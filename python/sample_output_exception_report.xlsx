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TT_Breaches" sheetId="2" state="visible" r:id="rId2"/>
    <sheet xmlns:r="http://schemas.openxmlformats.org/officeDocument/2006/relationships" name="DNA_by_Specialty" sheetId="3" state="visible" r:id="rId3"/>
    <sheet xmlns:r="http://schemas.openxmlformats.org/officeDocument/2006/relationships" name="Waiting_Stats" sheetId="4" state="visible" r:id="rId4"/>
    <sheet xmlns:r="http://schemas.openxmlformats.org/officeDocument/2006/relationships" name="DQ_Scores" sheetId="5" state="visible" r:id="rId5"/>
    <sheet xmlns:r="http://schemas.openxmlformats.org/officeDocument/2006/relationships" name="DQ_Exceptions" sheetId="6" state="visible" r:id="rId6"/>
    <sheet xmlns:r="http://schemas.openxmlformats.org/officeDocument/2006/relationships" name="Audit_Log" sheetId="7" state="visible" r:id="rId7"/>
  </sheets>
  <definedNames>
    <definedName name="_xlnm._FilterDatabase" localSheetId="1" hidden="1">'RTT_Breaches'!$A$1:$J$77</definedName>
    <definedName name="_xlnm._FilterDatabase" localSheetId="5" hidden="1">'DQ_Exceptions'!$A$2:$H$35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3087"/>
      <sz val="14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003087"/>
      <sz val="12"/>
    </font>
  </fonts>
  <fills count="5">
    <fill>
      <patternFill/>
    </fill>
    <fill>
      <patternFill patternType="gray125"/>
    </fill>
    <fill>
      <patternFill patternType="solid">
        <fgColor rgb="00005EB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1" fontId="4" fillId="0" borderId="1" pivotButton="0" quotePrefix="0" xfId="0"/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Bronings University Hospital Group — Weekly Waiting List Exception Report</t>
        </is>
      </c>
    </row>
    <row r="2">
      <c r="A2" s="2" t="inlineStr">
        <is>
          <t>Data period: 06/01/2025 to 21/03/2025   ·   Generated automatically 23/10/2026 19:09   ·   Source: PAS outpatient extract</t>
        </is>
      </c>
    </row>
    <row r="4">
      <c r="A4" s="3" t="inlineStr">
        <is>
          <t>Measure</t>
        </is>
      </c>
      <c r="B4" s="3" t="inlineStr">
        <is>
          <t>This week</t>
        </is>
      </c>
      <c r="C4" s="3" t="inlineStr">
        <is>
          <t>Target</t>
        </is>
      </c>
      <c r="D4" s="3" t="inlineStr">
        <is>
          <t>RAG</t>
        </is>
      </c>
    </row>
    <row r="5">
      <c r="A5" s="4" t="inlineStr">
        <is>
          <t>DNA rate</t>
        </is>
      </c>
      <c r="B5" s="4" t="inlineStr">
        <is>
          <t>13.1%</t>
        </is>
      </c>
      <c r="C5" s="4" t="inlineStr">
        <is>
          <t>&lt; 8%</t>
        </is>
      </c>
      <c r="D5" s="4" t="inlineStr">
        <is>
          <t>Amber</t>
        </is>
      </c>
    </row>
    <row r="6">
      <c r="A6" s="4" t="inlineStr">
        <is>
          <t>RTT 18-week compliance</t>
        </is>
      </c>
      <c r="B6" s="4" t="inlineStr">
        <is>
          <t>41.98%</t>
        </is>
      </c>
      <c r="C6" s="4" t="inlineStr">
        <is>
          <t>92%</t>
        </is>
      </c>
      <c r="D6" s="4" t="inlineStr">
        <is>
          <t>Red</t>
        </is>
      </c>
    </row>
    <row r="7">
      <c r="A7" s="4" t="inlineStr">
        <is>
          <t>RTT breaches (&gt;18 weeks)</t>
        </is>
      </c>
      <c r="B7" s="4" t="inlineStr">
        <is>
          <t>76</t>
        </is>
      </c>
      <c r="C7" s="4" t="inlineStr">
        <is>
          <t>0</t>
        </is>
      </c>
      <c r="D7" s="4" t="inlineStr">
        <is>
          <t>Red</t>
        </is>
      </c>
    </row>
    <row r="8">
      <c r="A8" s="4" t="inlineStr">
        <is>
          <t>Open pathways &gt;52 weeks</t>
        </is>
      </c>
      <c r="B8" s="4" t="inlineStr">
        <is>
          <t>2</t>
        </is>
      </c>
      <c r="C8" s="4" t="inlineStr">
        <is>
          <t>0</t>
        </is>
      </c>
      <c r="D8" s="4" t="inlineStr">
        <is>
          <t>Red</t>
        </is>
      </c>
    </row>
    <row r="9">
      <c r="A9" s="4" t="inlineStr">
        <is>
          <t>Median wait (days)</t>
        </is>
      </c>
      <c r="B9" s="4" t="inlineStr">
        <is>
          <t>68</t>
        </is>
      </c>
      <c r="C9" s="4" t="inlineStr">
        <is>
          <t>—</t>
        </is>
      </c>
      <c r="D9" s="4" t="inlineStr"/>
    </row>
    <row r="10">
      <c r="A10" s="4" t="inlineStr">
        <is>
          <t>Outpatient DQ Score</t>
        </is>
      </c>
      <c r="B10" s="4" t="inlineStr">
        <is>
          <t>93.3%</t>
        </is>
      </c>
      <c r="C10" s="4" t="inlineStr">
        <is>
          <t>≥ 95%</t>
        </is>
      </c>
      <c r="D10" s="4" t="inlineStr">
        <is>
          <t>Amber</t>
        </is>
      </c>
    </row>
    <row r="12">
      <c r="A12" s="5" t="inlineStr">
        <is>
          <t>Top exceptions this week</t>
        </is>
      </c>
    </row>
    <row r="13">
      <c r="A13" s="6" t="inlineStr">
        <is>
          <t>1. 76 of 131 open pathways have waited over 18 weeks; 2 exceed 52 weeks (longest 60.4 weeks).</t>
        </is>
      </c>
    </row>
    <row r="14">
      <c r="A14" s="6" t="inlineStr">
        <is>
          <t>2. OR has the most RTT breaches (17).</t>
        </is>
      </c>
    </row>
    <row r="15">
      <c r="A15" s="6" t="inlineStr">
        <is>
          <t>3. OR has the highest DNA rate (36.2%) — 17 DNAs.</t>
        </is>
      </c>
    </row>
    <row r="16">
      <c r="A16" s="6" t="inlineStr">
        <is>
          <t>4. 2 breaching pathway(s) have no NHS Number and cannot be traced — correct at source this week.</t>
        </is>
      </c>
    </row>
  </sheetData>
  <conditionalFormatting sqref="D5:D10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8" customWidth="1" min="4" max="4"/>
    <col width="22" customWidth="1" min="5" max="5"/>
    <col width="20" customWidth="1" min="6" max="6"/>
    <col width="13" customWidth="1" min="7" max="7"/>
    <col width="15" customWidth="1" min="8" max="8"/>
    <col width="14" customWidth="1" min="9" max="9"/>
    <col width="16" customWidth="1" min="10" max="10"/>
  </cols>
  <sheetData>
    <row r="1">
      <c r="A1" s="3" t="inlineStr">
        <is>
          <t>Appointment_ID</t>
        </is>
      </c>
      <c r="B1" s="3" t="inlineStr">
        <is>
          <t>NHS_Number</t>
        </is>
      </c>
      <c r="C1" s="3" t="inlineStr">
        <is>
          <t>Specialty_Code</t>
        </is>
      </c>
      <c r="D1" s="3" t="inlineStr">
        <is>
          <t>Consultant_Code</t>
        </is>
      </c>
      <c r="E1" s="3" t="inlineStr">
        <is>
          <t>Appointment_Date</t>
        </is>
      </c>
      <c r="F1" s="3" t="inlineStr">
        <is>
          <t>Attendance_Status</t>
        </is>
      </c>
      <c r="G1" s="3" t="inlineStr">
        <is>
          <t>RTT_Weeks</t>
        </is>
      </c>
      <c r="H1" s="3" t="inlineStr">
        <is>
          <t>Waiting_Days</t>
        </is>
      </c>
      <c r="I1" s="3" t="inlineStr">
        <is>
          <t>Breach_Band</t>
        </is>
      </c>
      <c r="J1" s="3" t="inlineStr">
        <is>
          <t>DQ_Flag</t>
        </is>
      </c>
    </row>
    <row r="2">
      <c r="A2" s="7" t="inlineStr">
        <is>
          <t>APT-100143</t>
        </is>
      </c>
      <c r="B2" s="7" t="inlineStr">
        <is>
          <t>1938472056</t>
        </is>
      </c>
      <c r="C2" s="7" t="inlineStr">
        <is>
          <t>OR</t>
        </is>
      </c>
      <c r="D2" s="7" t="inlineStr">
        <is>
          <t>C-1033</t>
        </is>
      </c>
      <c r="E2" s="8" t="n">
        <v>45681</v>
      </c>
      <c r="F2" s="7" t="inlineStr">
        <is>
          <t>DNA</t>
        </is>
      </c>
      <c r="G2" s="9" t="n">
        <v>60.4</v>
      </c>
      <c r="H2" s="10" t="n">
        <v>423</v>
      </c>
      <c r="I2" s="7" t="inlineStr">
        <is>
          <t>&gt;52 wks</t>
        </is>
      </c>
      <c r="J2" s="7" t="inlineStr"/>
    </row>
    <row r="3">
      <c r="A3" s="7" t="inlineStr">
        <is>
          <t>APT-100123</t>
        </is>
      </c>
      <c r="B3" s="7" t="inlineStr">
        <is>
          <t>5847291036</t>
        </is>
      </c>
      <c r="C3" s="7" t="inlineStr">
        <is>
          <t>OR</t>
        </is>
      </c>
      <c r="D3" s="7" t="inlineStr">
        <is>
          <t>C-1033</t>
        </is>
      </c>
      <c r="E3" s="8" t="n">
        <v>45679</v>
      </c>
      <c r="F3" s="7" t="inlineStr">
        <is>
          <t>DNA</t>
        </is>
      </c>
      <c r="G3" s="9" t="n">
        <v>54</v>
      </c>
      <c r="H3" s="10" t="n">
        <v>378</v>
      </c>
      <c r="I3" s="7" t="inlineStr">
        <is>
          <t>&gt;52 wks</t>
        </is>
      </c>
      <c r="J3" s="7" t="inlineStr"/>
    </row>
    <row r="4">
      <c r="A4" s="4" t="inlineStr">
        <is>
          <t>APT-100103</t>
        </is>
      </c>
      <c r="B4" s="4" t="inlineStr">
        <is>
          <t>7193824560</t>
        </is>
      </c>
      <c r="C4" s="4" t="inlineStr">
        <is>
          <t>OR</t>
        </is>
      </c>
      <c r="D4" s="4" t="inlineStr">
        <is>
          <t>C-1033</t>
        </is>
      </c>
      <c r="E4" s="11" t="n">
        <v>45677</v>
      </c>
      <c r="F4" s="4" t="inlineStr">
        <is>
          <t>DNA</t>
        </is>
      </c>
      <c r="G4" s="12" t="n">
        <v>50.9</v>
      </c>
      <c r="H4" s="13" t="n">
        <v>356</v>
      </c>
      <c r="I4" s="4" t="inlineStr">
        <is>
          <t>40–52 wks</t>
        </is>
      </c>
      <c r="J4" s="4" t="inlineStr"/>
    </row>
    <row r="5">
      <c r="A5" s="4" t="inlineStr">
        <is>
          <t>APT-100563</t>
        </is>
      </c>
      <c r="B5" s="4" t="inlineStr">
        <is>
          <t>8207708289</t>
        </is>
      </c>
      <c r="C5" s="4" t="inlineStr">
        <is>
          <t>RHE</t>
        </is>
      </c>
      <c r="D5" s="4" t="inlineStr">
        <is>
          <t>C-1015</t>
        </is>
      </c>
      <c r="E5" s="11" t="n">
        <v>45727</v>
      </c>
      <c r="F5" s="4" t="inlineStr">
        <is>
          <t>DNA</t>
        </is>
      </c>
      <c r="G5" s="12" t="n">
        <v>50.7</v>
      </c>
      <c r="H5" s="13" t="n">
        <v>355</v>
      </c>
      <c r="I5" s="4" t="inlineStr">
        <is>
          <t>40–52 wks</t>
        </is>
      </c>
      <c r="J5" s="4" t="inlineStr"/>
    </row>
    <row r="6">
      <c r="A6" s="4" t="inlineStr">
        <is>
          <t>APT-100242</t>
        </is>
      </c>
      <c r="B6" s="4" t="inlineStr">
        <is>
          <t>2748391605</t>
        </is>
      </c>
      <c r="C6" s="4" t="inlineStr">
        <is>
          <t>OR</t>
        </is>
      </c>
      <c r="D6" s="4" t="inlineStr">
        <is>
          <t>C-1033</t>
        </is>
      </c>
      <c r="E6" s="11" t="n">
        <v>45695</v>
      </c>
      <c r="F6" s="4" t="inlineStr">
        <is>
          <t>DNA</t>
        </is>
      </c>
      <c r="G6" s="12" t="n">
        <v>44.7</v>
      </c>
      <c r="H6" s="13" t="n">
        <v>313</v>
      </c>
      <c r="I6" s="4" t="inlineStr">
        <is>
          <t>40–52 wks</t>
        </is>
      </c>
      <c r="J6" s="4" t="inlineStr"/>
    </row>
    <row r="7">
      <c r="A7" s="4" t="inlineStr">
        <is>
          <t>APT-100083</t>
        </is>
      </c>
      <c r="B7" s="4" t="inlineStr">
        <is>
          <t>2748391605</t>
        </is>
      </c>
      <c r="C7" s="4" t="inlineStr">
        <is>
          <t>OR</t>
        </is>
      </c>
      <c r="D7" s="4" t="inlineStr">
        <is>
          <t>C-1033</t>
        </is>
      </c>
      <c r="E7" s="11" t="n">
        <v>45673</v>
      </c>
      <c r="F7" s="4" t="inlineStr">
        <is>
          <t>DNA</t>
        </is>
      </c>
      <c r="G7" s="12" t="n">
        <v>44.6</v>
      </c>
      <c r="H7" s="13" t="n">
        <v>312</v>
      </c>
      <c r="I7" s="4" t="inlineStr">
        <is>
          <t>40–52 wks</t>
        </is>
      </c>
      <c r="J7" s="4" t="inlineStr"/>
    </row>
    <row r="8">
      <c r="A8" s="4" t="inlineStr">
        <is>
          <t>APT-100185</t>
        </is>
      </c>
      <c r="B8" s="4" t="inlineStr">
        <is>
          <t>6491837250</t>
        </is>
      </c>
      <c r="C8" s="4" t="inlineStr">
        <is>
          <t>OR</t>
        </is>
      </c>
      <c r="D8" s="4" t="inlineStr">
        <is>
          <t>C-1033</t>
        </is>
      </c>
      <c r="E8" s="11" t="n">
        <v>45687</v>
      </c>
      <c r="F8" s="4" t="inlineStr">
        <is>
          <t>DNA</t>
        </is>
      </c>
      <c r="G8" s="12" t="n">
        <v>44.6</v>
      </c>
      <c r="H8" s="13" t="n">
        <v>312</v>
      </c>
      <c r="I8" s="4" t="inlineStr">
        <is>
          <t>40–52 wks</t>
        </is>
      </c>
      <c r="J8" s="4" t="inlineStr"/>
    </row>
    <row r="9">
      <c r="A9" s="4" t="inlineStr">
        <is>
          <t>APT-100175</t>
        </is>
      </c>
      <c r="B9" s="4" t="inlineStr"/>
      <c r="C9" s="4" t="inlineStr">
        <is>
          <t>GM</t>
        </is>
      </c>
      <c r="D9" s="4" t="inlineStr">
        <is>
          <t>C-1042</t>
        </is>
      </c>
      <c r="E9" s="11" t="n">
        <v>45686</v>
      </c>
      <c r="F9" s="4" t="inlineStr">
        <is>
          <t>DNA</t>
        </is>
      </c>
      <c r="G9" s="12" t="n">
        <v>44.6</v>
      </c>
      <c r="H9" s="13" t="n">
        <v>312</v>
      </c>
      <c r="I9" s="4" t="inlineStr">
        <is>
          <t>40–52 wks</t>
        </is>
      </c>
      <c r="J9" s="14" t="inlineStr">
        <is>
          <t>NO_NHS_NUMBER</t>
        </is>
      </c>
    </row>
    <row r="10">
      <c r="A10" s="4" t="inlineStr">
        <is>
          <t>APT-100343</t>
        </is>
      </c>
      <c r="B10" s="4" t="inlineStr">
        <is>
          <t>4891273605</t>
        </is>
      </c>
      <c r="C10" s="4" t="inlineStr">
        <is>
          <t>OR</t>
        </is>
      </c>
      <c r="D10" s="4" t="inlineStr">
        <is>
          <t>C-1033</t>
        </is>
      </c>
      <c r="E10" s="11" t="n">
        <v>45709</v>
      </c>
      <c r="F10" s="4" t="inlineStr">
        <is>
          <t>DNA</t>
        </is>
      </c>
      <c r="G10" s="12" t="n">
        <v>41.4</v>
      </c>
      <c r="H10" s="13" t="n">
        <v>290</v>
      </c>
      <c r="I10" s="4" t="inlineStr">
        <is>
          <t>40–52 wks</t>
        </is>
      </c>
      <c r="J10" s="4" t="inlineStr"/>
    </row>
    <row r="11">
      <c r="A11" s="4" t="inlineStr">
        <is>
          <t>APT-100227</t>
        </is>
      </c>
      <c r="B11" s="4" t="inlineStr">
        <is>
          <t>2847913605</t>
        </is>
      </c>
      <c r="C11" s="4" t="inlineStr">
        <is>
          <t>OR</t>
        </is>
      </c>
      <c r="D11" s="4" t="inlineStr">
        <is>
          <t>C-1033</t>
        </is>
      </c>
      <c r="E11" s="11" t="n">
        <v>45693</v>
      </c>
      <c r="F11" s="4" t="inlineStr">
        <is>
          <t>DNA</t>
        </is>
      </c>
      <c r="G11" s="12" t="n">
        <v>41.4</v>
      </c>
      <c r="H11" s="13" t="n">
        <v>290</v>
      </c>
      <c r="I11" s="4" t="inlineStr">
        <is>
          <t>40–52 wks</t>
        </is>
      </c>
      <c r="J11" s="4" t="inlineStr"/>
    </row>
    <row r="12">
      <c r="A12" s="4" t="inlineStr">
        <is>
          <t>APT-100073</t>
        </is>
      </c>
      <c r="B12" s="4" t="inlineStr">
        <is>
          <t>4891273605</t>
        </is>
      </c>
      <c r="C12" s="4" t="inlineStr">
        <is>
          <t>OR</t>
        </is>
      </c>
      <c r="D12" s="4" t="inlineStr">
        <is>
          <t>C-1033</t>
        </is>
      </c>
      <c r="E12" s="11" t="n">
        <v>45672</v>
      </c>
      <c r="F12" s="4" t="inlineStr">
        <is>
          <t>DNA</t>
        </is>
      </c>
      <c r="G12" s="12" t="n">
        <v>41.3</v>
      </c>
      <c r="H12" s="13" t="n">
        <v>289</v>
      </c>
      <c r="I12" s="4" t="inlineStr">
        <is>
          <t>40–52 wks</t>
        </is>
      </c>
      <c r="J12" s="4" t="inlineStr"/>
    </row>
    <row r="13">
      <c r="A13" s="4" t="inlineStr">
        <is>
          <t>APT-100313</t>
        </is>
      </c>
      <c r="B13" s="4" t="inlineStr">
        <is>
          <t>2948371605</t>
        </is>
      </c>
      <c r="C13" s="4" t="inlineStr">
        <is>
          <t>OR</t>
        </is>
      </c>
      <c r="D13" s="4" t="inlineStr">
        <is>
          <t>C-1033</t>
        </is>
      </c>
      <c r="E13" s="11" t="n">
        <v>45706</v>
      </c>
      <c r="F13" s="4" t="inlineStr">
        <is>
          <t>DNA</t>
        </is>
      </c>
      <c r="G13" s="12" t="n">
        <v>38.3</v>
      </c>
      <c r="H13" s="13" t="n">
        <v>268</v>
      </c>
      <c r="I13" s="4" t="inlineStr">
        <is>
          <t>26–40 wks</t>
        </is>
      </c>
      <c r="J13" s="4" t="inlineStr"/>
    </row>
    <row r="14">
      <c r="A14" s="4" t="inlineStr">
        <is>
          <t>APT-100131</t>
        </is>
      </c>
      <c r="B14" s="4" t="inlineStr">
        <is>
          <t>2847913506</t>
        </is>
      </c>
      <c r="C14" s="4" t="inlineStr">
        <is>
          <t>GM</t>
        </is>
      </c>
      <c r="D14" s="4" t="inlineStr">
        <is>
          <t>C-1042</t>
        </is>
      </c>
      <c r="E14" s="11" t="n">
        <v>45680</v>
      </c>
      <c r="F14" s="4" t="inlineStr">
        <is>
          <t>DNA</t>
        </is>
      </c>
      <c r="G14" s="12" t="n">
        <v>38.1</v>
      </c>
      <c r="H14" s="13" t="n">
        <v>267</v>
      </c>
      <c r="I14" s="4" t="inlineStr">
        <is>
          <t>26–40 wks</t>
        </is>
      </c>
      <c r="J14" s="4" t="inlineStr"/>
    </row>
    <row r="15">
      <c r="A15" s="4" t="inlineStr">
        <is>
          <t>APT-100164</t>
        </is>
      </c>
      <c r="B15" s="4" t="inlineStr"/>
      <c r="C15" s="4" t="inlineStr">
        <is>
          <t>OR</t>
        </is>
      </c>
      <c r="D15" s="4" t="inlineStr">
        <is>
          <t>C-1033</t>
        </is>
      </c>
      <c r="E15" s="11" t="n">
        <v>45685</v>
      </c>
      <c r="F15" s="4" t="inlineStr">
        <is>
          <t>DNA</t>
        </is>
      </c>
      <c r="G15" s="12" t="n">
        <v>38.1</v>
      </c>
      <c r="H15" s="13" t="n">
        <v>267</v>
      </c>
      <c r="I15" s="4" t="inlineStr">
        <is>
          <t>26–40 wks</t>
        </is>
      </c>
      <c r="J15" s="14" t="inlineStr">
        <is>
          <t>NO_NHS_NUMBER</t>
        </is>
      </c>
    </row>
    <row r="16">
      <c r="A16" s="4" t="inlineStr">
        <is>
          <t>APT-100043</t>
        </is>
      </c>
      <c r="B16" s="4" t="inlineStr">
        <is>
          <t>2948371605</t>
        </is>
      </c>
      <c r="C16" s="4" t="inlineStr">
        <is>
          <t>OR</t>
        </is>
      </c>
      <c r="D16" s="4" t="inlineStr">
        <is>
          <t>C-1033</t>
        </is>
      </c>
      <c r="E16" s="11" t="n">
        <v>45667</v>
      </c>
      <c r="F16" s="4" t="inlineStr">
        <is>
          <t>DNA</t>
        </is>
      </c>
      <c r="G16" s="12" t="n">
        <v>38.1</v>
      </c>
      <c r="H16" s="13" t="n">
        <v>267</v>
      </c>
      <c r="I16" s="4" t="inlineStr">
        <is>
          <t>26–40 wks</t>
        </is>
      </c>
      <c r="J16" s="4" t="inlineStr"/>
    </row>
    <row r="17">
      <c r="A17" s="4" t="inlineStr">
        <is>
          <t>APT-100217</t>
        </is>
      </c>
      <c r="B17" s="4" t="inlineStr">
        <is>
          <t>4829137506</t>
        </is>
      </c>
      <c r="C17" s="4" t="inlineStr">
        <is>
          <t>OPH</t>
        </is>
      </c>
      <c r="D17" s="4" t="inlineStr">
        <is>
          <t>C-1037</t>
        </is>
      </c>
      <c r="E17" s="11" t="n">
        <v>45692</v>
      </c>
      <c r="F17" s="4" t="inlineStr">
        <is>
          <t>DNA</t>
        </is>
      </c>
      <c r="G17" s="12" t="n">
        <v>35.1</v>
      </c>
      <c r="H17" s="13" t="n">
        <v>246</v>
      </c>
      <c r="I17" s="4" t="inlineStr">
        <is>
          <t>26–40 wks</t>
        </is>
      </c>
      <c r="J17" s="4" t="inlineStr"/>
    </row>
    <row r="18">
      <c r="A18" s="4" t="inlineStr">
        <is>
          <t>APT-100331</t>
        </is>
      </c>
      <c r="B18" s="4" t="inlineStr">
        <is>
          <t>3847291605</t>
        </is>
      </c>
      <c r="C18" s="4" t="inlineStr">
        <is>
          <t>GM</t>
        </is>
      </c>
      <c r="D18" s="4" t="inlineStr">
        <is>
          <t>C-1042</t>
        </is>
      </c>
      <c r="E18" s="11" t="n">
        <v>45708</v>
      </c>
      <c r="F18" s="4" t="inlineStr">
        <is>
          <t>DNA</t>
        </is>
      </c>
      <c r="G18" s="12" t="n">
        <v>35.1</v>
      </c>
      <c r="H18" s="13" t="n">
        <v>246</v>
      </c>
      <c r="I18" s="4" t="inlineStr">
        <is>
          <t>26–40 wks</t>
        </is>
      </c>
      <c r="J18" s="4" t="inlineStr"/>
    </row>
    <row r="19">
      <c r="A19" s="4" t="inlineStr">
        <is>
          <t>APT-100119</t>
        </is>
      </c>
      <c r="B19" s="4" t="inlineStr">
        <is>
          <t>4829137506</t>
        </is>
      </c>
      <c r="C19" s="4" t="inlineStr">
        <is>
          <t>OPH</t>
        </is>
      </c>
      <c r="D19" s="4" t="inlineStr">
        <is>
          <t>C-1037</t>
        </is>
      </c>
      <c r="E19" s="11" t="n">
        <v>45678</v>
      </c>
      <c r="F19" s="4" t="inlineStr">
        <is>
          <t>DNA</t>
        </is>
      </c>
      <c r="G19" s="12" t="n">
        <v>35</v>
      </c>
      <c r="H19" s="13" t="n">
        <v>245</v>
      </c>
      <c r="I19" s="4" t="inlineStr">
        <is>
          <t>26–40 wks</t>
        </is>
      </c>
      <c r="J19" s="4" t="inlineStr"/>
    </row>
    <row r="20">
      <c r="A20" s="4" t="inlineStr">
        <is>
          <t>APT-100061</t>
        </is>
      </c>
      <c r="B20" s="4" t="inlineStr">
        <is>
          <t>3847291605</t>
        </is>
      </c>
      <c r="C20" s="4" t="inlineStr">
        <is>
          <t>GM</t>
        </is>
      </c>
      <c r="D20" s="4" t="inlineStr">
        <is>
          <t>C-1042</t>
        </is>
      </c>
      <c r="E20" s="11" t="n">
        <v>45671</v>
      </c>
      <c r="F20" s="4" t="inlineStr">
        <is>
          <t>DNA</t>
        </is>
      </c>
      <c r="G20" s="12" t="n">
        <v>35</v>
      </c>
      <c r="H20" s="13" t="n">
        <v>245</v>
      </c>
      <c r="I20" s="4" t="inlineStr">
        <is>
          <t>26–40 wks</t>
        </is>
      </c>
      <c r="J20" s="4" t="inlineStr"/>
    </row>
    <row r="21">
      <c r="A21" s="4" t="inlineStr">
        <is>
          <t>APT-100247</t>
        </is>
      </c>
      <c r="B21" s="4" t="inlineStr">
        <is>
          <t>4829371605</t>
        </is>
      </c>
      <c r="C21" s="4" t="inlineStr">
        <is>
          <t>URO</t>
        </is>
      </c>
      <c r="D21" s="4" t="inlineStr">
        <is>
          <t>C-1022</t>
        </is>
      </c>
      <c r="E21" s="11" t="n">
        <v>45695</v>
      </c>
      <c r="F21" s="4" t="inlineStr">
        <is>
          <t>DNA</t>
        </is>
      </c>
      <c r="G21" s="12" t="n">
        <v>33.6</v>
      </c>
      <c r="H21" s="13" t="n">
        <v>235</v>
      </c>
      <c r="I21" s="4" t="inlineStr">
        <is>
          <t>26–40 wks</t>
        </is>
      </c>
      <c r="J21" s="4" t="inlineStr"/>
    </row>
    <row r="22">
      <c r="A22" s="4" t="inlineStr">
        <is>
          <t>APT-100088</t>
        </is>
      </c>
      <c r="B22" s="4" t="inlineStr">
        <is>
          <t>4829371605</t>
        </is>
      </c>
      <c r="C22" s="4" t="inlineStr">
        <is>
          <t>URO</t>
        </is>
      </c>
      <c r="D22" s="4" t="inlineStr">
        <is>
          <t>C-1022</t>
        </is>
      </c>
      <c r="E22" s="11" t="n">
        <v>45673</v>
      </c>
      <c r="F22" s="4" t="inlineStr">
        <is>
          <t>DNA</t>
        </is>
      </c>
      <c r="G22" s="12" t="n">
        <v>33.4</v>
      </c>
      <c r="H22" s="13" t="n">
        <v>234</v>
      </c>
      <c r="I22" s="4" t="inlineStr">
        <is>
          <t>26–40 wks</t>
        </is>
      </c>
      <c r="J22" s="4" t="inlineStr"/>
    </row>
    <row r="23">
      <c r="A23" s="4" t="inlineStr">
        <is>
          <t>APT-100537</t>
        </is>
      </c>
      <c r="B23" s="4" t="inlineStr">
        <is>
          <t>8261552384</t>
        </is>
      </c>
      <c r="C23" s="4" t="inlineStr">
        <is>
          <t>GYN</t>
        </is>
      </c>
      <c r="D23" s="4" t="inlineStr">
        <is>
          <t>C-1044</t>
        </is>
      </c>
      <c r="E23" s="11" t="n">
        <v>45726</v>
      </c>
      <c r="F23" s="4" t="inlineStr">
        <is>
          <t>DNA</t>
        </is>
      </c>
      <c r="G23" s="12" t="n">
        <v>32.9</v>
      </c>
      <c r="H23" s="13" t="n">
        <v>230</v>
      </c>
      <c r="I23" s="4" t="inlineStr">
        <is>
          <t>26–40 wks</t>
        </is>
      </c>
      <c r="J23" s="4" t="inlineStr"/>
    </row>
    <row r="24">
      <c r="A24" s="4" t="inlineStr">
        <is>
          <t>APT-100293</t>
        </is>
      </c>
      <c r="B24" s="4" t="inlineStr">
        <is>
          <t>4817362905</t>
        </is>
      </c>
      <c r="C24" s="4" t="inlineStr">
        <is>
          <t>OR</t>
        </is>
      </c>
      <c r="D24" s="4" t="inlineStr">
        <is>
          <t>C-1033</t>
        </is>
      </c>
      <c r="E24" s="11" t="n">
        <v>45702</v>
      </c>
      <c r="F24" s="4" t="inlineStr">
        <is>
          <t>DNA</t>
        </is>
      </c>
      <c r="G24" s="12" t="n">
        <v>32</v>
      </c>
      <c r="H24" s="13" t="n">
        <v>224</v>
      </c>
      <c r="I24" s="4" t="inlineStr">
        <is>
          <t>26–40 wks</t>
        </is>
      </c>
      <c r="J24" s="4" t="inlineStr"/>
    </row>
    <row r="25">
      <c r="A25" s="4" t="inlineStr">
        <is>
          <t>APT-100536</t>
        </is>
      </c>
      <c r="B25" s="4" t="inlineStr">
        <is>
          <t>6237476219</t>
        </is>
      </c>
      <c r="C25" s="4" t="inlineStr">
        <is>
          <t>OPH</t>
        </is>
      </c>
      <c r="D25" s="4" t="inlineStr">
        <is>
          <t>C-1037</t>
        </is>
      </c>
      <c r="E25" s="11" t="n">
        <v>45737</v>
      </c>
      <c r="F25" s="4" t="inlineStr">
        <is>
          <t>DNA</t>
        </is>
      </c>
      <c r="G25" s="12" t="n">
        <v>32</v>
      </c>
      <c r="H25" s="13" t="n">
        <v>224</v>
      </c>
      <c r="I25" s="4" t="inlineStr">
        <is>
          <t>26–40 wks</t>
        </is>
      </c>
      <c r="J25" s="4" t="inlineStr"/>
    </row>
    <row r="26">
      <c r="A26" s="4" t="inlineStr">
        <is>
          <t>APT-100232</t>
        </is>
      </c>
      <c r="B26" s="4" t="inlineStr">
        <is>
          <t>8273914560</t>
        </is>
      </c>
      <c r="C26" s="4" t="inlineStr">
        <is>
          <t>URO</t>
        </is>
      </c>
      <c r="D26" s="4" t="inlineStr">
        <is>
          <t>C-1022</t>
        </is>
      </c>
      <c r="E26" s="11" t="n">
        <v>45694</v>
      </c>
      <c r="F26" s="4" t="inlineStr">
        <is>
          <t>DNA</t>
        </is>
      </c>
      <c r="G26" s="12" t="n">
        <v>32</v>
      </c>
      <c r="H26" s="13" t="n">
        <v>224</v>
      </c>
      <c r="I26" s="4" t="inlineStr">
        <is>
          <t>26–40 wks</t>
        </is>
      </c>
      <c r="J26" s="4" t="inlineStr"/>
    </row>
    <row r="27">
      <c r="A27" s="4" t="inlineStr">
        <is>
          <t>APT-100108</t>
        </is>
      </c>
      <c r="B27" s="4" t="inlineStr">
        <is>
          <t>8273914560</t>
        </is>
      </c>
      <c r="C27" s="4" t="inlineStr">
        <is>
          <t>URO</t>
        </is>
      </c>
      <c r="D27" s="4" t="inlineStr">
        <is>
          <t>C-1022</t>
        </is>
      </c>
      <c r="E27" s="11" t="n">
        <v>45677</v>
      </c>
      <c r="F27" s="4" t="inlineStr">
        <is>
          <t>DNA</t>
        </is>
      </c>
      <c r="G27" s="12" t="n">
        <v>31.9</v>
      </c>
      <c r="H27" s="13" t="n">
        <v>223</v>
      </c>
      <c r="I27" s="4" t="inlineStr">
        <is>
          <t>26–40 wks</t>
        </is>
      </c>
      <c r="J27" s="4" t="inlineStr"/>
    </row>
    <row r="28">
      <c r="A28" s="4" t="inlineStr">
        <is>
          <t>APT-100023</t>
        </is>
      </c>
      <c r="B28" s="4" t="inlineStr">
        <is>
          <t>4817362905</t>
        </is>
      </c>
      <c r="C28" s="4" t="inlineStr">
        <is>
          <t>OR</t>
        </is>
      </c>
      <c r="D28" s="4" t="inlineStr">
        <is>
          <t>C-1033</t>
        </is>
      </c>
      <c r="E28" s="11" t="n">
        <v>45665</v>
      </c>
      <c r="F28" s="4" t="inlineStr">
        <is>
          <t>DNA</t>
        </is>
      </c>
      <c r="G28" s="12" t="n">
        <v>31.9</v>
      </c>
      <c r="H28" s="13" t="n">
        <v>223</v>
      </c>
      <c r="I28" s="4" t="inlineStr">
        <is>
          <t>26–40 wks</t>
        </is>
      </c>
      <c r="J28" s="4" t="inlineStr"/>
    </row>
    <row r="29">
      <c r="A29" s="4" t="inlineStr">
        <is>
          <t>APT-100328</t>
        </is>
      </c>
      <c r="B29" s="4" t="inlineStr">
        <is>
          <t>1938274605</t>
        </is>
      </c>
      <c r="C29" s="4" t="inlineStr">
        <is>
          <t>URO</t>
        </is>
      </c>
      <c r="D29" s="4" t="inlineStr">
        <is>
          <t>C-1022</t>
        </is>
      </c>
      <c r="E29" s="11" t="n">
        <v>45707</v>
      </c>
      <c r="F29" s="4" t="inlineStr">
        <is>
          <t>DNA</t>
        </is>
      </c>
      <c r="G29" s="12" t="n">
        <v>30.4</v>
      </c>
      <c r="H29" s="13" t="n">
        <v>213</v>
      </c>
      <c r="I29" s="4" t="inlineStr">
        <is>
          <t>26–40 wks</t>
        </is>
      </c>
      <c r="J29" s="4" t="inlineStr"/>
    </row>
    <row r="30">
      <c r="A30" s="4" t="inlineStr">
        <is>
          <t>APT-100180</t>
        </is>
      </c>
      <c r="B30" s="4" t="inlineStr">
        <is>
          <t>1938274605</t>
        </is>
      </c>
      <c r="C30" s="4" t="inlineStr">
        <is>
          <t>URO</t>
        </is>
      </c>
      <c r="D30" s="4" t="inlineStr">
        <is>
          <t>C-1022</t>
        </is>
      </c>
      <c r="E30" s="11" t="n">
        <v>45686</v>
      </c>
      <c r="F30" s="4" t="inlineStr">
        <is>
          <t>DNA</t>
        </is>
      </c>
      <c r="G30" s="12" t="n">
        <v>30.4</v>
      </c>
      <c r="H30" s="13" t="n">
        <v>213</v>
      </c>
      <c r="I30" s="4" t="inlineStr">
        <is>
          <t>26–40 wks</t>
        </is>
      </c>
      <c r="J30" s="4" t="inlineStr"/>
    </row>
    <row r="31">
      <c r="A31" s="4" t="inlineStr">
        <is>
          <t>APT-100058</t>
        </is>
      </c>
      <c r="B31" s="4" t="inlineStr">
        <is>
          <t>1938274605</t>
        </is>
      </c>
      <c r="C31" s="4" t="inlineStr">
        <is>
          <t>URO</t>
        </is>
      </c>
      <c r="D31" s="4" t="inlineStr">
        <is>
          <t>C-1022</t>
        </is>
      </c>
      <c r="E31" s="11" t="n">
        <v>45670</v>
      </c>
      <c r="F31" s="4" t="inlineStr">
        <is>
          <t>DNA</t>
        </is>
      </c>
      <c r="G31" s="12" t="n">
        <v>30.3</v>
      </c>
      <c r="H31" s="13" t="n">
        <v>212</v>
      </c>
      <c r="I31" s="4" t="inlineStr">
        <is>
          <t>26–40 wks</t>
        </is>
      </c>
      <c r="J31" s="4" t="inlineStr"/>
    </row>
    <row r="32">
      <c r="A32" s="4" t="inlineStr">
        <is>
          <t>APT-100302</t>
        </is>
      </c>
      <c r="B32" s="4" t="inlineStr">
        <is>
          <t>8149273650</t>
        </is>
      </c>
      <c r="C32" s="4" t="inlineStr">
        <is>
          <t>CS</t>
        </is>
      </c>
      <c r="D32" s="4" t="inlineStr">
        <is>
          <t>C-1017</t>
        </is>
      </c>
      <c r="E32" s="11" t="n">
        <v>45705</v>
      </c>
      <c r="F32" s="4" t="inlineStr">
        <is>
          <t>DNA</t>
        </is>
      </c>
      <c r="G32" s="12" t="n">
        <v>29</v>
      </c>
      <c r="H32" s="13" t="n">
        <v>203</v>
      </c>
      <c r="I32" s="4" t="inlineStr">
        <is>
          <t>26–40 wks</t>
        </is>
      </c>
      <c r="J32" s="4" t="inlineStr"/>
    </row>
    <row r="33">
      <c r="A33" s="4" t="inlineStr">
        <is>
          <t>APT-100162</t>
        </is>
      </c>
      <c r="B33" s="4" t="inlineStr">
        <is>
          <t>8149273650</t>
        </is>
      </c>
      <c r="C33" s="4" t="inlineStr">
        <is>
          <t>CS</t>
        </is>
      </c>
      <c r="D33" s="4" t="inlineStr">
        <is>
          <t>C-1017</t>
        </is>
      </c>
      <c r="E33" s="11" t="n">
        <v>45685</v>
      </c>
      <c r="F33" s="4" t="inlineStr">
        <is>
          <t>DNA</t>
        </is>
      </c>
      <c r="G33" s="12" t="n">
        <v>28.9</v>
      </c>
      <c r="H33" s="13" t="n">
        <v>202</v>
      </c>
      <c r="I33" s="4" t="inlineStr">
        <is>
          <t>26–40 wks</t>
        </is>
      </c>
      <c r="J33" s="4" t="inlineStr"/>
    </row>
    <row r="34">
      <c r="A34" s="4" t="inlineStr">
        <is>
          <t>APT-100239</t>
        </is>
      </c>
      <c r="B34" s="4" t="inlineStr">
        <is>
          <t>6291374805</t>
        </is>
      </c>
      <c r="C34" s="4" t="inlineStr">
        <is>
          <t>RHE</t>
        </is>
      </c>
      <c r="D34" s="4" t="inlineStr">
        <is>
          <t>C-1015</t>
        </is>
      </c>
      <c r="E34" s="11" t="n">
        <v>45694</v>
      </c>
      <c r="F34" s="4" t="inlineStr">
        <is>
          <t>DNA</t>
        </is>
      </c>
      <c r="G34" s="12" t="n">
        <v>28.9</v>
      </c>
      <c r="H34" s="13" t="n">
        <v>202</v>
      </c>
      <c r="I34" s="4" t="inlineStr">
        <is>
          <t>26–40 wks</t>
        </is>
      </c>
      <c r="J34" s="4" t="inlineStr"/>
    </row>
    <row r="35">
      <c r="A35" s="4" t="inlineStr">
        <is>
          <t>APT-100139</t>
        </is>
      </c>
      <c r="B35" s="4" t="inlineStr">
        <is>
          <t>9273841056</t>
        </is>
      </c>
      <c r="C35" s="4" t="inlineStr">
        <is>
          <t>OPH</t>
        </is>
      </c>
      <c r="D35" s="4" t="inlineStr">
        <is>
          <t>C-1037</t>
        </is>
      </c>
      <c r="E35" s="11" t="n">
        <v>45680</v>
      </c>
      <c r="F35" s="4" t="inlineStr">
        <is>
          <t>DNA</t>
        </is>
      </c>
      <c r="G35" s="12" t="n">
        <v>28.7</v>
      </c>
      <c r="H35" s="13" t="n">
        <v>201</v>
      </c>
      <c r="I35" s="4" t="inlineStr">
        <is>
          <t>26–40 wks</t>
        </is>
      </c>
      <c r="J35" s="4" t="inlineStr"/>
    </row>
    <row r="36">
      <c r="A36" s="4" t="inlineStr">
        <is>
          <t>APT-100080</t>
        </is>
      </c>
      <c r="B36" s="4" t="inlineStr">
        <is>
          <t>6291374805</t>
        </is>
      </c>
      <c r="C36" s="4" t="inlineStr">
        <is>
          <t>RHE</t>
        </is>
      </c>
      <c r="D36" s="4" t="inlineStr">
        <is>
          <t>C-1015</t>
        </is>
      </c>
      <c r="E36" s="11" t="n">
        <v>45672</v>
      </c>
      <c r="F36" s="4" t="inlineStr">
        <is>
          <t>DNA</t>
        </is>
      </c>
      <c r="G36" s="12" t="n">
        <v>28.7</v>
      </c>
      <c r="H36" s="13" t="n">
        <v>201</v>
      </c>
      <c r="I36" s="4" t="inlineStr">
        <is>
          <t>26–40 wks</t>
        </is>
      </c>
      <c r="J36" s="4" t="inlineStr"/>
    </row>
    <row r="37">
      <c r="A37" s="4" t="inlineStr">
        <is>
          <t>APT-100112</t>
        </is>
      </c>
      <c r="B37" s="4" t="inlineStr">
        <is>
          <t>2847913560</t>
        </is>
      </c>
      <c r="C37" s="4" t="inlineStr">
        <is>
          <t>CS</t>
        </is>
      </c>
      <c r="D37" s="4" t="inlineStr">
        <is>
          <t>C-1017</t>
        </is>
      </c>
      <c r="E37" s="11" t="n">
        <v>45678</v>
      </c>
      <c r="F37" s="4" t="inlineStr">
        <is>
          <t>DNA</t>
        </is>
      </c>
      <c r="G37" s="12" t="n">
        <v>28.7</v>
      </c>
      <c r="H37" s="13" t="n">
        <v>201</v>
      </c>
      <c r="I37" s="4" t="inlineStr">
        <is>
          <t>26–40 wks</t>
        </is>
      </c>
      <c r="J37" s="4" t="inlineStr"/>
    </row>
    <row r="38">
      <c r="A38" s="4" t="inlineStr">
        <is>
          <t>APT-100032</t>
        </is>
      </c>
      <c r="B38" s="4" t="inlineStr">
        <is>
          <t>8149273650</t>
        </is>
      </c>
      <c r="C38" s="4" t="inlineStr">
        <is>
          <t>CS</t>
        </is>
      </c>
      <c r="D38" s="4" t="inlineStr">
        <is>
          <t>C-1017</t>
        </is>
      </c>
      <c r="E38" s="11" t="n">
        <v>45666</v>
      </c>
      <c r="F38" s="4" t="inlineStr">
        <is>
          <t>DNA</t>
        </is>
      </c>
      <c r="G38" s="12" t="n">
        <v>28.7</v>
      </c>
      <c r="H38" s="13" t="n">
        <v>201</v>
      </c>
      <c r="I38" s="4" t="inlineStr">
        <is>
          <t>26–40 wks</t>
        </is>
      </c>
      <c r="J38" s="4" t="inlineStr"/>
    </row>
    <row r="39">
      <c r="A39" s="4" t="inlineStr">
        <is>
          <t>APT-100196</t>
        </is>
      </c>
      <c r="B39" s="4" t="inlineStr">
        <is>
          <t>8163924750</t>
        </is>
      </c>
      <c r="C39" s="4" t="inlineStr">
        <is>
          <t>RS</t>
        </is>
      </c>
      <c r="D39" s="4" t="inlineStr">
        <is>
          <t>C-1051</t>
        </is>
      </c>
      <c r="E39" s="11" t="n">
        <v>45688</v>
      </c>
      <c r="F39" s="4" t="inlineStr">
        <is>
          <t>DNA</t>
        </is>
      </c>
      <c r="G39" s="12" t="n">
        <v>27.1</v>
      </c>
      <c r="H39" s="13" t="n">
        <v>190</v>
      </c>
      <c r="I39" s="4" t="inlineStr">
        <is>
          <t>26–40 wks</t>
        </is>
      </c>
      <c r="J39" s="4" t="inlineStr"/>
    </row>
    <row r="40">
      <c r="A40" s="4" t="inlineStr">
        <is>
          <t>APT-100256</t>
        </is>
      </c>
      <c r="B40" s="4" t="inlineStr">
        <is>
          <t>6291374560</t>
        </is>
      </c>
      <c r="C40" s="4" t="inlineStr">
        <is>
          <t>OPH</t>
        </is>
      </c>
      <c r="D40" s="4" t="inlineStr">
        <is>
          <t>C-1037</t>
        </is>
      </c>
      <c r="E40" s="11" t="n">
        <v>45698</v>
      </c>
      <c r="F40" s="4" t="inlineStr">
        <is>
          <t>DNA</t>
        </is>
      </c>
      <c r="G40" s="12" t="n">
        <v>27.1</v>
      </c>
      <c r="H40" s="13" t="n">
        <v>190</v>
      </c>
      <c r="I40" s="4" t="inlineStr">
        <is>
          <t>26–40 wks</t>
        </is>
      </c>
      <c r="J40" s="4" t="inlineStr"/>
    </row>
    <row r="41">
      <c r="A41" s="4" t="inlineStr">
        <is>
          <t>APT-100322</t>
        </is>
      </c>
      <c r="B41" s="4" t="inlineStr">
        <is>
          <t>2847193650</t>
        </is>
      </c>
      <c r="C41" s="4" t="inlineStr">
        <is>
          <t>CS</t>
        </is>
      </c>
      <c r="D41" s="4" t="inlineStr">
        <is>
          <t>C-1017</t>
        </is>
      </c>
      <c r="E41" s="11" t="n">
        <v>45707</v>
      </c>
      <c r="F41" s="4" t="inlineStr">
        <is>
          <t>DNA</t>
        </is>
      </c>
      <c r="G41" s="12" t="n">
        <v>27.1</v>
      </c>
      <c r="H41" s="13" t="n">
        <v>190</v>
      </c>
      <c r="I41" s="4" t="inlineStr">
        <is>
          <t>26–40 wks</t>
        </is>
      </c>
      <c r="J41" s="4" t="inlineStr"/>
    </row>
    <row r="42">
      <c r="A42" s="4" t="inlineStr">
        <is>
          <t>APT-100285</t>
        </is>
      </c>
      <c r="B42" s="4" t="inlineStr">
        <is>
          <t>6183924750</t>
        </is>
      </c>
      <c r="C42" s="4" t="inlineStr">
        <is>
          <t>RS</t>
        </is>
      </c>
      <c r="D42" s="4" t="inlineStr">
        <is>
          <t>C-1051</t>
        </is>
      </c>
      <c r="E42" s="11" t="n">
        <v>45701</v>
      </c>
      <c r="F42" s="4" t="inlineStr">
        <is>
          <t>DNA</t>
        </is>
      </c>
      <c r="G42" s="12" t="n">
        <v>27.1</v>
      </c>
      <c r="H42" s="13" t="n">
        <v>190</v>
      </c>
      <c r="I42" s="4" t="inlineStr">
        <is>
          <t>26–40 wks</t>
        </is>
      </c>
      <c r="J42" s="4" t="inlineStr"/>
    </row>
    <row r="43">
      <c r="A43" s="4" t="inlineStr">
        <is>
          <t>APT-100015</t>
        </is>
      </c>
      <c r="B43" s="4" t="inlineStr">
        <is>
          <t>6183924750</t>
        </is>
      </c>
      <c r="C43" s="4" t="inlineStr">
        <is>
          <t>RS</t>
        </is>
      </c>
      <c r="D43" s="4" t="inlineStr">
        <is>
          <t>C-1051</t>
        </is>
      </c>
      <c r="E43" s="11" t="n">
        <v>45664</v>
      </c>
      <c r="F43" s="4" t="inlineStr">
        <is>
          <t>DNA</t>
        </is>
      </c>
      <c r="G43" s="12" t="n">
        <v>27</v>
      </c>
      <c r="H43" s="13" t="n">
        <v>189</v>
      </c>
      <c r="I43" s="4" t="inlineStr">
        <is>
          <t>26–40 wks</t>
        </is>
      </c>
      <c r="J43" s="4" t="inlineStr"/>
    </row>
    <row r="44">
      <c r="A44" s="4" t="inlineStr">
        <is>
          <t>APT-100128</t>
        </is>
      </c>
      <c r="B44" s="4" t="inlineStr">
        <is>
          <t>3748291056</t>
        </is>
      </c>
      <c r="C44" s="4" t="inlineStr">
        <is>
          <t>URO</t>
        </is>
      </c>
      <c r="D44" s="4" t="inlineStr">
        <is>
          <t>C-1022</t>
        </is>
      </c>
      <c r="E44" s="11" t="n">
        <v>45679</v>
      </c>
      <c r="F44" s="4" t="inlineStr">
        <is>
          <t>DNA</t>
        </is>
      </c>
      <c r="G44" s="12" t="n">
        <v>27</v>
      </c>
      <c r="H44" s="13" t="n">
        <v>189</v>
      </c>
      <c r="I44" s="4" t="inlineStr">
        <is>
          <t>26–40 wks</t>
        </is>
      </c>
      <c r="J44" s="4" t="inlineStr"/>
    </row>
    <row r="45">
      <c r="A45" s="4" t="inlineStr">
        <is>
          <t>APT-100099</t>
        </is>
      </c>
      <c r="B45" s="4" t="inlineStr">
        <is>
          <t>6291374560</t>
        </is>
      </c>
      <c r="C45" s="4" t="inlineStr">
        <is>
          <t>OPH</t>
        </is>
      </c>
      <c r="D45" s="4" t="inlineStr">
        <is>
          <t>C-1037</t>
        </is>
      </c>
      <c r="E45" s="11" t="n">
        <v>45674</v>
      </c>
      <c r="F45" s="4" t="inlineStr">
        <is>
          <t>DNA</t>
        </is>
      </c>
      <c r="G45" s="12" t="n">
        <v>27</v>
      </c>
      <c r="H45" s="13" t="n">
        <v>189</v>
      </c>
      <c r="I45" s="4" t="inlineStr">
        <is>
          <t>26–40 wks</t>
        </is>
      </c>
      <c r="J45" s="4" t="inlineStr"/>
    </row>
    <row r="46">
      <c r="A46" s="4" t="inlineStr">
        <is>
          <t>APT-100158</t>
        </is>
      </c>
      <c r="B46" s="4" t="inlineStr">
        <is>
          <t>8163924750</t>
        </is>
      </c>
      <c r="C46" s="4" t="inlineStr">
        <is>
          <t>RS</t>
        </is>
      </c>
      <c r="D46" s="4" t="inlineStr">
        <is>
          <t>C-1051</t>
        </is>
      </c>
      <c r="E46" s="11" t="n">
        <v>45684</v>
      </c>
      <c r="F46" s="4" t="inlineStr">
        <is>
          <t>DNA</t>
        </is>
      </c>
      <c r="G46" s="12" t="n">
        <v>27</v>
      </c>
      <c r="H46" s="13" t="n">
        <v>189</v>
      </c>
      <c r="I46" s="4" t="inlineStr">
        <is>
          <t>26–40 wks</t>
        </is>
      </c>
      <c r="J46" s="4" t="inlineStr"/>
    </row>
    <row r="47">
      <c r="A47" s="4" t="inlineStr">
        <is>
          <t>APT-100052</t>
        </is>
      </c>
      <c r="B47" s="4" t="inlineStr">
        <is>
          <t>2847193650</t>
        </is>
      </c>
      <c r="C47" s="4" t="inlineStr">
        <is>
          <t>CS</t>
        </is>
      </c>
      <c r="D47" s="4" t="inlineStr">
        <is>
          <t>C-1017</t>
        </is>
      </c>
      <c r="E47" s="11" t="n">
        <v>45670</v>
      </c>
      <c r="F47" s="4" t="inlineStr">
        <is>
          <t>DNA</t>
        </is>
      </c>
      <c r="G47" s="12" t="n">
        <v>27</v>
      </c>
      <c r="H47" s="13" t="n">
        <v>189</v>
      </c>
      <c r="I47" s="4" t="inlineStr">
        <is>
          <t>26–40 wks</t>
        </is>
      </c>
      <c r="J47" s="4" t="inlineStr"/>
    </row>
    <row r="48">
      <c r="A48" s="4" t="inlineStr">
        <is>
          <t>APT-100567</t>
        </is>
      </c>
      <c r="B48" s="4" t="inlineStr">
        <is>
          <t>5754242218</t>
        </is>
      </c>
      <c r="C48" s="4" t="inlineStr">
        <is>
          <t>GS</t>
        </is>
      </c>
      <c r="D48" s="4" t="inlineStr">
        <is>
          <t>C-1028</t>
        </is>
      </c>
      <c r="E48" s="11" t="n">
        <v>45719</v>
      </c>
      <c r="F48" s="4" t="inlineStr">
        <is>
          <t>DNA</t>
        </is>
      </c>
      <c r="G48" s="12" t="n">
        <v>26.3</v>
      </c>
      <c r="H48" s="13" t="n">
        <v>184</v>
      </c>
      <c r="I48" s="4" t="inlineStr">
        <is>
          <t>26–40 wks</t>
        </is>
      </c>
      <c r="J48" s="4" t="inlineStr"/>
    </row>
    <row r="49">
      <c r="A49" s="4" t="inlineStr">
        <is>
          <t>APT-100172</t>
        </is>
      </c>
      <c r="B49" s="4" t="inlineStr">
        <is>
          <t>2947163850</t>
        </is>
      </c>
      <c r="C49" s="4" t="inlineStr">
        <is>
          <t>GS</t>
        </is>
      </c>
      <c r="D49" s="4" t="inlineStr">
        <is>
          <t>C-1028</t>
        </is>
      </c>
      <c r="E49" s="11" t="n">
        <v>45686</v>
      </c>
      <c r="F49" s="4" t="inlineStr">
        <is>
          <t>DNA</t>
        </is>
      </c>
      <c r="G49" s="12" t="n">
        <v>25.6</v>
      </c>
      <c r="H49" s="13" t="n">
        <v>179</v>
      </c>
      <c r="I49" s="4" t="inlineStr">
        <is>
          <t>18–26 wks</t>
        </is>
      </c>
      <c r="J49" s="4" t="inlineStr"/>
    </row>
    <row r="50">
      <c r="A50" s="4" t="inlineStr">
        <is>
          <t>APT-100309</t>
        </is>
      </c>
      <c r="B50" s="4" t="inlineStr">
        <is>
          <t>9183726405</t>
        </is>
      </c>
      <c r="C50" s="4" t="inlineStr">
        <is>
          <t>OPH</t>
        </is>
      </c>
      <c r="D50" s="4" t="inlineStr">
        <is>
          <t>C-1037</t>
        </is>
      </c>
      <c r="E50" s="11" t="n">
        <v>45705</v>
      </c>
      <c r="F50" s="4" t="inlineStr">
        <is>
          <t>DNA</t>
        </is>
      </c>
      <c r="G50" s="12" t="n">
        <v>25.6</v>
      </c>
      <c r="H50" s="13" t="n">
        <v>179</v>
      </c>
      <c r="I50" s="4" t="inlineStr">
        <is>
          <t>18–26 wks</t>
        </is>
      </c>
      <c r="J50" s="4" t="inlineStr"/>
    </row>
    <row r="51">
      <c r="A51" s="4" t="inlineStr">
        <is>
          <t>APT-100064</t>
        </is>
      </c>
      <c r="B51" s="4" t="inlineStr">
        <is>
          <t>8293714605</t>
        </is>
      </c>
      <c r="C51" s="4" t="inlineStr">
        <is>
          <t>GS</t>
        </is>
      </c>
      <c r="D51" s="4" t="inlineStr">
        <is>
          <t>C-1028</t>
        </is>
      </c>
      <c r="E51" s="11" t="n">
        <v>45671</v>
      </c>
      <c r="F51" s="4" t="inlineStr">
        <is>
          <t>DNA</t>
        </is>
      </c>
      <c r="G51" s="12" t="n">
        <v>25.4</v>
      </c>
      <c r="H51" s="13" t="n">
        <v>178</v>
      </c>
      <c r="I51" s="4" t="inlineStr">
        <is>
          <t>18–26 wks</t>
        </is>
      </c>
      <c r="J51" s="4" t="inlineStr"/>
    </row>
    <row r="52">
      <c r="A52" s="4" t="inlineStr">
        <is>
          <t>APT-100039</t>
        </is>
      </c>
      <c r="B52" s="4" t="inlineStr">
        <is>
          <t>9183726405</t>
        </is>
      </c>
      <c r="C52" s="4" t="inlineStr">
        <is>
          <t>OPH</t>
        </is>
      </c>
      <c r="D52" s="4" t="inlineStr">
        <is>
          <t>C-1037</t>
        </is>
      </c>
      <c r="E52" s="11" t="n">
        <v>45666</v>
      </c>
      <c r="F52" s="4" t="inlineStr">
        <is>
          <t>DNA</t>
        </is>
      </c>
      <c r="G52" s="12" t="n">
        <v>25.4</v>
      </c>
      <c r="H52" s="13" t="n">
        <v>178</v>
      </c>
      <c r="I52" s="4" t="inlineStr">
        <is>
          <t>18–26 wks</t>
        </is>
      </c>
      <c r="J52" s="4" t="inlineStr"/>
    </row>
    <row r="53">
      <c r="A53" s="4" t="inlineStr">
        <is>
          <t>APT-100008</t>
        </is>
      </c>
      <c r="B53" s="4" t="inlineStr">
        <is>
          <t>5063821749</t>
        </is>
      </c>
      <c r="C53" s="4" t="inlineStr">
        <is>
          <t>URO</t>
        </is>
      </c>
      <c r="D53" s="4" t="inlineStr">
        <is>
          <t>C-1022</t>
        </is>
      </c>
      <c r="E53" s="11" t="n">
        <v>45663</v>
      </c>
      <c r="F53" s="4" t="inlineStr">
        <is>
          <t>DNA</t>
        </is>
      </c>
      <c r="G53" s="12" t="n">
        <v>25.4</v>
      </c>
      <c r="H53" s="13" t="n">
        <v>178</v>
      </c>
      <c r="I53" s="4" t="inlineStr">
        <is>
          <t>18–26 wks</t>
        </is>
      </c>
      <c r="J53" s="4" t="inlineStr"/>
    </row>
    <row r="54">
      <c r="A54" s="4" t="inlineStr">
        <is>
          <t>APT-100092</t>
        </is>
      </c>
      <c r="B54" s="4" t="inlineStr">
        <is>
          <t>4938271605</t>
        </is>
      </c>
      <c r="C54" s="4" t="inlineStr">
        <is>
          <t>CS</t>
        </is>
      </c>
      <c r="D54" s="4" t="inlineStr">
        <is>
          <t>C-1017</t>
        </is>
      </c>
      <c r="E54" s="11" t="n">
        <v>45674</v>
      </c>
      <c r="F54" s="4" t="inlineStr">
        <is>
          <t>DNA</t>
        </is>
      </c>
      <c r="G54" s="12" t="n">
        <v>25.4</v>
      </c>
      <c r="H54" s="13" t="n">
        <v>178</v>
      </c>
      <c r="I54" s="4" t="inlineStr">
        <is>
          <t>18–26 wks</t>
        </is>
      </c>
      <c r="J54" s="4" t="inlineStr"/>
    </row>
    <row r="55">
      <c r="A55" s="4" t="inlineStr">
        <is>
          <t>APT-100347</t>
        </is>
      </c>
      <c r="B55" s="4" t="inlineStr">
        <is>
          <t>1847392605</t>
        </is>
      </c>
      <c r="C55" s="4" t="inlineStr">
        <is>
          <t>GYN</t>
        </is>
      </c>
      <c r="D55" s="4" t="inlineStr">
        <is>
          <t>C-1044</t>
        </is>
      </c>
      <c r="E55" s="11" t="n">
        <v>45709</v>
      </c>
      <c r="F55" s="4" t="inlineStr">
        <is>
          <t>DNA</t>
        </is>
      </c>
      <c r="G55" s="12" t="n">
        <v>24</v>
      </c>
      <c r="H55" s="13" t="n">
        <v>168</v>
      </c>
      <c r="I55" s="4" t="inlineStr">
        <is>
          <t>18–26 wks</t>
        </is>
      </c>
      <c r="J55" s="4" t="inlineStr"/>
    </row>
    <row r="56">
      <c r="A56" s="4" t="inlineStr">
        <is>
          <t>APT-100236</t>
        </is>
      </c>
      <c r="B56" s="4" t="inlineStr">
        <is>
          <t>1847392605</t>
        </is>
      </c>
      <c r="C56" s="4" t="inlineStr">
        <is>
          <t>GYN</t>
        </is>
      </c>
      <c r="D56" s="4" t="inlineStr">
        <is>
          <t>C-1044</t>
        </is>
      </c>
      <c r="E56" s="11" t="n">
        <v>45694</v>
      </c>
      <c r="F56" s="4" t="inlineStr">
        <is>
          <t>DNA</t>
        </is>
      </c>
      <c r="G56" s="12" t="n">
        <v>24</v>
      </c>
      <c r="H56" s="13" t="n">
        <v>168</v>
      </c>
      <c r="I56" s="4" t="inlineStr">
        <is>
          <t>18–26 wks</t>
        </is>
      </c>
      <c r="J56" s="4" t="inlineStr"/>
    </row>
    <row r="57">
      <c r="A57" s="4" t="inlineStr">
        <is>
          <t>APT-100159</t>
        </is>
      </c>
      <c r="B57" s="4" t="inlineStr">
        <is>
          <t>5948271630</t>
        </is>
      </c>
      <c r="C57" s="4" t="inlineStr">
        <is>
          <t>RHE</t>
        </is>
      </c>
      <c r="D57" s="4" t="inlineStr">
        <is>
          <t>C-1015</t>
        </is>
      </c>
      <c r="E57" s="11" t="n">
        <v>45684</v>
      </c>
      <c r="F57" s="4" t="inlineStr">
        <is>
          <t>DNA</t>
        </is>
      </c>
      <c r="G57" s="12" t="n">
        <v>24</v>
      </c>
      <c r="H57" s="13" t="n">
        <v>168</v>
      </c>
      <c r="I57" s="4" t="inlineStr">
        <is>
          <t>18–26 wks</t>
        </is>
      </c>
      <c r="J57" s="4" t="inlineStr"/>
    </row>
    <row r="58">
      <c r="A58" s="4" t="inlineStr">
        <is>
          <t>APT-100222</t>
        </is>
      </c>
      <c r="B58" s="4" t="inlineStr">
        <is>
          <t>1847392506</t>
        </is>
      </c>
      <c r="C58" s="4" t="inlineStr">
        <is>
          <t>RS</t>
        </is>
      </c>
      <c r="D58" s="4" t="inlineStr">
        <is>
          <t>C-1051</t>
        </is>
      </c>
      <c r="E58" s="11" t="n">
        <v>45693</v>
      </c>
      <c r="F58" s="4" t="inlineStr">
        <is>
          <t>DNA</t>
        </is>
      </c>
      <c r="G58" s="12" t="n">
        <v>24</v>
      </c>
      <c r="H58" s="13" t="n">
        <v>168</v>
      </c>
      <c r="I58" s="4" t="inlineStr">
        <is>
          <t>18–26 wks</t>
        </is>
      </c>
      <c r="J58" s="4" t="inlineStr"/>
    </row>
    <row r="59">
      <c r="A59" s="4" t="inlineStr">
        <is>
          <t>APT-100020</t>
        </is>
      </c>
      <c r="B59" s="4" t="inlineStr">
        <is>
          <t>5948271630</t>
        </is>
      </c>
      <c r="C59" s="4" t="inlineStr">
        <is>
          <t>RHE</t>
        </is>
      </c>
      <c r="D59" s="4" t="inlineStr">
        <is>
          <t>C-1015</t>
        </is>
      </c>
      <c r="E59" s="11" t="n">
        <v>45664</v>
      </c>
      <c r="F59" s="4" t="inlineStr">
        <is>
          <t>DNA</t>
        </is>
      </c>
      <c r="G59" s="12" t="n">
        <v>23.9</v>
      </c>
      <c r="H59" s="13" t="n">
        <v>167</v>
      </c>
      <c r="I59" s="4" t="inlineStr">
        <is>
          <t>18–26 wks</t>
        </is>
      </c>
      <c r="J59" s="4" t="inlineStr"/>
    </row>
    <row r="60">
      <c r="A60" s="4" t="inlineStr">
        <is>
          <t>APT-100115</t>
        </is>
      </c>
      <c r="B60" s="4" t="inlineStr">
        <is>
          <t>1847392506</t>
        </is>
      </c>
      <c r="C60" s="4" t="inlineStr">
        <is>
          <t>RS</t>
        </is>
      </c>
      <c r="D60" s="4" t="inlineStr">
        <is>
          <t>C-1051</t>
        </is>
      </c>
      <c r="E60" s="11" t="n">
        <v>45678</v>
      </c>
      <c r="F60" s="4" t="inlineStr">
        <is>
          <t>DNA</t>
        </is>
      </c>
      <c r="G60" s="12" t="n">
        <v>23.9</v>
      </c>
      <c r="H60" s="13" t="n">
        <v>167</v>
      </c>
      <c r="I60" s="4" t="inlineStr">
        <is>
          <t>18–26 wks</t>
        </is>
      </c>
      <c r="J60" s="4" t="inlineStr"/>
    </row>
    <row r="61">
      <c r="A61" s="4" t="inlineStr">
        <is>
          <t>APT-100148</t>
        </is>
      </c>
      <c r="B61" s="4" t="inlineStr">
        <is>
          <t>7291384056</t>
        </is>
      </c>
      <c r="C61" s="4" t="inlineStr">
        <is>
          <t>URO</t>
        </is>
      </c>
      <c r="D61" s="4" t="inlineStr">
        <is>
          <t>C-1022</t>
        </is>
      </c>
      <c r="E61" s="11" t="n">
        <v>45681</v>
      </c>
      <c r="F61" s="4" t="inlineStr">
        <is>
          <t>DNA</t>
        </is>
      </c>
      <c r="G61" s="12" t="n">
        <v>23.9</v>
      </c>
      <c r="H61" s="13" t="n">
        <v>167</v>
      </c>
      <c r="I61" s="4" t="inlineStr">
        <is>
          <t>18–26 wks</t>
        </is>
      </c>
      <c r="J61" s="4" t="inlineStr"/>
    </row>
    <row r="62">
      <c r="A62" s="4" t="inlineStr">
        <is>
          <t>APT-100077</t>
        </is>
      </c>
      <c r="B62" s="4" t="inlineStr">
        <is>
          <t>1847392605</t>
        </is>
      </c>
      <c r="C62" s="4" t="inlineStr">
        <is>
          <t>GYN</t>
        </is>
      </c>
      <c r="D62" s="4" t="inlineStr">
        <is>
          <t>C-1044</t>
        </is>
      </c>
      <c r="E62" s="11" t="n">
        <v>45672</v>
      </c>
      <c r="F62" s="4" t="inlineStr">
        <is>
          <t>DNA</t>
        </is>
      </c>
      <c r="G62" s="12" t="n">
        <v>23.9</v>
      </c>
      <c r="H62" s="13" t="n">
        <v>167</v>
      </c>
      <c r="I62" s="4" t="inlineStr">
        <is>
          <t>18–26 wks</t>
        </is>
      </c>
      <c r="J62" s="4" t="inlineStr"/>
    </row>
    <row r="63">
      <c r="A63" s="4" t="inlineStr">
        <is>
          <t>APT-100339</t>
        </is>
      </c>
      <c r="B63" s="4" t="inlineStr">
        <is>
          <t>4293817605</t>
        </is>
      </c>
      <c r="C63" s="4" t="inlineStr">
        <is>
          <t>OPH</t>
        </is>
      </c>
      <c r="D63" s="4" t="inlineStr">
        <is>
          <t>C-1037</t>
        </is>
      </c>
      <c r="E63" s="11" t="n">
        <v>45708</v>
      </c>
      <c r="F63" s="4" t="inlineStr">
        <is>
          <t>DNA</t>
        </is>
      </c>
      <c r="G63" s="12" t="n">
        <v>22.4</v>
      </c>
      <c r="H63" s="13" t="n">
        <v>157</v>
      </c>
      <c r="I63" s="4" t="inlineStr">
        <is>
          <t>18–26 wks</t>
        </is>
      </c>
      <c r="J63" s="4" t="inlineStr"/>
    </row>
    <row r="64">
      <c r="A64" s="4" t="inlineStr">
        <is>
          <t>APT-100069</t>
        </is>
      </c>
      <c r="B64" s="4" t="inlineStr">
        <is>
          <t>4293817605</t>
        </is>
      </c>
      <c r="C64" s="4" t="inlineStr">
        <is>
          <t>OPH</t>
        </is>
      </c>
      <c r="D64" s="4" t="inlineStr">
        <is>
          <t>C-1037</t>
        </is>
      </c>
      <c r="E64" s="11" t="n">
        <v>45671</v>
      </c>
      <c r="F64" s="4" t="inlineStr">
        <is>
          <t>DNA</t>
        </is>
      </c>
      <c r="G64" s="12" t="n">
        <v>22.3</v>
      </c>
      <c r="H64" s="13" t="n">
        <v>156</v>
      </c>
      <c r="I64" s="4" t="inlineStr">
        <is>
          <t>18–26 wks</t>
        </is>
      </c>
      <c r="J64" s="4" t="inlineStr"/>
    </row>
    <row r="65">
      <c r="A65" s="4" t="inlineStr">
        <is>
          <t>APT-100135</t>
        </is>
      </c>
      <c r="B65" s="4" t="inlineStr">
        <is>
          <t>8374291056</t>
        </is>
      </c>
      <c r="C65" s="4" t="inlineStr">
        <is>
          <t>RS</t>
        </is>
      </c>
      <c r="D65" s="4" t="inlineStr">
        <is>
          <t>C-1051</t>
        </is>
      </c>
      <c r="E65" s="11" t="n">
        <v>45680</v>
      </c>
      <c r="F65" s="4" t="inlineStr">
        <is>
          <t>DNA</t>
        </is>
      </c>
      <c r="G65" s="12" t="n">
        <v>22.3</v>
      </c>
      <c r="H65" s="13" t="n">
        <v>156</v>
      </c>
      <c r="I65" s="4" t="inlineStr">
        <is>
          <t>18–26 wks</t>
        </is>
      </c>
      <c r="J65" s="4" t="inlineStr"/>
    </row>
    <row r="66">
      <c r="A66" s="4" t="inlineStr">
        <is>
          <t>APT-100028</t>
        </is>
      </c>
      <c r="B66" s="4" t="inlineStr">
        <is>
          <t>8364917250</t>
        </is>
      </c>
      <c r="C66" s="4" t="inlineStr">
        <is>
          <t>URO</t>
        </is>
      </c>
      <c r="D66" s="4" t="inlineStr">
        <is>
          <t>C-1022</t>
        </is>
      </c>
      <c r="E66" s="11" t="n">
        <v>45665</v>
      </c>
      <c r="F66" s="4" t="inlineStr">
        <is>
          <t>DNA</t>
        </is>
      </c>
      <c r="G66" s="12" t="n">
        <v>22.3</v>
      </c>
      <c r="H66" s="13" t="n">
        <v>156</v>
      </c>
      <c r="I66" s="4" t="inlineStr">
        <is>
          <t>18–26 wks</t>
        </is>
      </c>
      <c r="J66" s="4" t="inlineStr"/>
    </row>
    <row r="67">
      <c r="A67" s="4" t="inlineStr">
        <is>
          <t>APT-100561</t>
        </is>
      </c>
      <c r="B67" s="4" t="inlineStr">
        <is>
          <t>8831053917</t>
        </is>
      </c>
      <c r="C67" s="4" t="inlineStr">
        <is>
          <t>GS</t>
        </is>
      </c>
      <c r="D67" s="4" t="inlineStr">
        <is>
          <t>C-1028</t>
        </is>
      </c>
      <c r="E67" s="11" t="n">
        <v>45729</v>
      </c>
      <c r="F67" s="4" t="inlineStr">
        <is>
          <t>DNA</t>
        </is>
      </c>
      <c r="G67" s="12" t="n">
        <v>22.3</v>
      </c>
      <c r="H67" s="13" t="n">
        <v>156</v>
      </c>
      <c r="I67" s="4" t="inlineStr">
        <is>
          <t>18–26 wks</t>
        </is>
      </c>
      <c r="J67" s="4" t="inlineStr"/>
    </row>
    <row r="68">
      <c r="A68" s="4" t="inlineStr">
        <is>
          <t>APT-100191</t>
        </is>
      </c>
      <c r="B68" s="4" t="inlineStr">
        <is>
          <t>4819273650</t>
        </is>
      </c>
      <c r="C68" s="4" t="inlineStr">
        <is>
          <t>OR</t>
        </is>
      </c>
      <c r="D68" s="4" t="inlineStr"/>
      <c r="E68" s="11" t="n">
        <v>45688</v>
      </c>
      <c r="F68" s="4" t="inlineStr">
        <is>
          <t>DNA</t>
        </is>
      </c>
      <c r="G68" s="12" t="n">
        <v>20.9</v>
      </c>
      <c r="H68" s="13" t="n">
        <v>146</v>
      </c>
      <c r="I68" s="4" t="inlineStr">
        <is>
          <t>18–26 wks</t>
        </is>
      </c>
      <c r="J68" s="4" t="inlineStr"/>
    </row>
    <row r="69">
      <c r="A69" s="4" t="inlineStr">
        <is>
          <t>APT-100035</t>
        </is>
      </c>
      <c r="B69" s="4" t="inlineStr">
        <is>
          <t>5837291640</t>
        </is>
      </c>
      <c r="C69" s="4" t="inlineStr">
        <is>
          <t>RS</t>
        </is>
      </c>
      <c r="D69" s="4" t="inlineStr">
        <is>
          <t>C-1051</t>
        </is>
      </c>
      <c r="E69" s="11" t="n">
        <v>45666</v>
      </c>
      <c r="F69" s="4" t="inlineStr">
        <is>
          <t>DNA</t>
        </is>
      </c>
      <c r="G69" s="12" t="n">
        <v>20.7</v>
      </c>
      <c r="H69" s="13" t="n">
        <v>145</v>
      </c>
      <c r="I69" s="4" t="inlineStr">
        <is>
          <t>18–26 wks</t>
        </is>
      </c>
      <c r="J69" s="4" t="inlineStr"/>
    </row>
    <row r="70">
      <c r="A70" s="4" t="inlineStr">
        <is>
          <t>APT-100156</t>
        </is>
      </c>
      <c r="B70" s="4" t="inlineStr">
        <is>
          <t>4819273650</t>
        </is>
      </c>
      <c r="C70" s="4" t="inlineStr">
        <is>
          <t>OR</t>
        </is>
      </c>
      <c r="D70" s="4" t="inlineStr"/>
      <c r="E70" s="11" t="n">
        <v>45684</v>
      </c>
      <c r="F70" s="4" t="inlineStr">
        <is>
          <t>DNA</t>
        </is>
      </c>
      <c r="G70" s="12" t="n">
        <v>20.7</v>
      </c>
      <c r="H70" s="13" t="n">
        <v>145</v>
      </c>
      <c r="I70" s="4" t="inlineStr">
        <is>
          <t>18–26 wks</t>
        </is>
      </c>
      <c r="J70" s="4" t="inlineStr"/>
    </row>
    <row r="71">
      <c r="A71" s="4" t="inlineStr">
        <is>
          <t>APT-100095</t>
        </is>
      </c>
      <c r="B71" s="4" t="inlineStr">
        <is>
          <t>5374821960</t>
        </is>
      </c>
      <c r="C71" s="4" t="inlineStr">
        <is>
          <t>RS</t>
        </is>
      </c>
      <c r="D71" s="4" t="inlineStr">
        <is>
          <t>C-1051</t>
        </is>
      </c>
      <c r="E71" s="11" t="n">
        <v>45674</v>
      </c>
      <c r="F71" s="4" t="inlineStr">
        <is>
          <t>DNA</t>
        </is>
      </c>
      <c r="G71" s="12" t="n">
        <v>20.7</v>
      </c>
      <c r="H71" s="13" t="n">
        <v>145</v>
      </c>
      <c r="I71" s="4" t="inlineStr">
        <is>
          <t>18–26 wks</t>
        </is>
      </c>
      <c r="J71" s="4" t="inlineStr"/>
    </row>
    <row r="72">
      <c r="A72" s="4" t="inlineStr">
        <is>
          <t>APT-100003</t>
        </is>
      </c>
      <c r="B72" s="4" t="inlineStr">
        <is>
          <t>3394820174</t>
        </is>
      </c>
      <c r="C72" s="4" t="inlineStr">
        <is>
          <t>OR</t>
        </is>
      </c>
      <c r="D72" s="4" t="inlineStr">
        <is>
          <t>C-1033</t>
        </is>
      </c>
      <c r="E72" s="11" t="n">
        <v>45663</v>
      </c>
      <c r="F72" s="4" t="inlineStr">
        <is>
          <t>DNA</t>
        </is>
      </c>
      <c r="G72" s="12" t="n">
        <v>20.7</v>
      </c>
      <c r="H72" s="13" t="n">
        <v>145</v>
      </c>
      <c r="I72" s="4" t="inlineStr">
        <is>
          <t>18–26 wks</t>
        </is>
      </c>
      <c r="J72" s="4" t="inlineStr"/>
    </row>
    <row r="73">
      <c r="A73" s="4" t="inlineStr">
        <is>
          <t>APT-100576</t>
        </is>
      </c>
      <c r="B73" s="4" t="inlineStr">
        <is>
          <t>7343064581</t>
        </is>
      </c>
      <c r="C73" s="4" t="inlineStr">
        <is>
          <t>GYN</t>
        </is>
      </c>
      <c r="D73" s="4" t="inlineStr">
        <is>
          <t>C-1044</t>
        </is>
      </c>
      <c r="E73" s="11" t="n">
        <v>45735</v>
      </c>
      <c r="F73" s="4" t="inlineStr">
        <is>
          <t>DNA</t>
        </is>
      </c>
      <c r="G73" s="12" t="n">
        <v>20.6</v>
      </c>
      <c r="H73" s="13" t="n">
        <v>144</v>
      </c>
      <c r="I73" s="4" t="inlineStr">
        <is>
          <t>18–26 wks</t>
        </is>
      </c>
      <c r="J73" s="4" t="inlineStr"/>
    </row>
    <row r="74">
      <c r="A74" s="4" t="inlineStr">
        <is>
          <t>APT-100317</t>
        </is>
      </c>
      <c r="B74" s="4" t="inlineStr">
        <is>
          <t>6293817450</t>
        </is>
      </c>
      <c r="C74" s="4" t="inlineStr">
        <is>
          <t>GYN</t>
        </is>
      </c>
      <c r="D74" s="4" t="inlineStr">
        <is>
          <t>C-1044</t>
        </is>
      </c>
      <c r="E74" s="11" t="n">
        <v>45706</v>
      </c>
      <c r="F74" s="4" t="inlineStr">
        <is>
          <t>DNA</t>
        </is>
      </c>
      <c r="G74" s="12" t="n">
        <v>19.4</v>
      </c>
      <c r="H74" s="13" t="n">
        <v>136</v>
      </c>
      <c r="I74" s="4" t="inlineStr">
        <is>
          <t>18–26 wks</t>
        </is>
      </c>
      <c r="J74" s="4" t="inlineStr"/>
    </row>
    <row r="75">
      <c r="A75" s="4" t="inlineStr">
        <is>
          <t>APT-100192</t>
        </is>
      </c>
      <c r="B75" s="4" t="inlineStr">
        <is>
          <t>6293817450</t>
        </is>
      </c>
      <c r="C75" s="4" t="inlineStr">
        <is>
          <t>GYN</t>
        </is>
      </c>
      <c r="D75" s="4" t="inlineStr">
        <is>
          <t>C-1044</t>
        </is>
      </c>
      <c r="E75" s="11" t="n">
        <v>45688</v>
      </c>
      <c r="F75" s="4" t="inlineStr">
        <is>
          <t>DNA</t>
        </is>
      </c>
      <c r="G75" s="12" t="n">
        <v>19.3</v>
      </c>
      <c r="H75" s="13" t="n">
        <v>135</v>
      </c>
      <c r="I75" s="4" t="inlineStr">
        <is>
          <t>18–26 wks</t>
        </is>
      </c>
      <c r="J75" s="4" t="inlineStr"/>
    </row>
    <row r="76">
      <c r="A76" s="4" t="inlineStr">
        <is>
          <t>APT-100047</t>
        </is>
      </c>
      <c r="B76" s="4" t="inlineStr">
        <is>
          <t>6293817450</t>
        </is>
      </c>
      <c r="C76" s="4" t="inlineStr">
        <is>
          <t>GYN</t>
        </is>
      </c>
      <c r="D76" s="4" t="inlineStr">
        <is>
          <t>C-1044</t>
        </is>
      </c>
      <c r="E76" s="11" t="n">
        <v>45667</v>
      </c>
      <c r="F76" s="4" t="inlineStr">
        <is>
          <t>DNA</t>
        </is>
      </c>
      <c r="G76" s="12" t="n">
        <v>19.1</v>
      </c>
      <c r="H76" s="13" t="n">
        <v>134</v>
      </c>
      <c r="I76" s="4" t="inlineStr">
        <is>
          <t>18–26 wks</t>
        </is>
      </c>
      <c r="J76" s="4" t="inlineStr"/>
    </row>
    <row r="77">
      <c r="A77" s="4" t="inlineStr">
        <is>
          <t>APT-100012</t>
        </is>
      </c>
      <c r="B77" s="4" t="inlineStr">
        <is>
          <t>7294618305</t>
        </is>
      </c>
      <c r="C77" s="4" t="inlineStr">
        <is>
          <t>CS</t>
        </is>
      </c>
      <c r="D77" s="4" t="inlineStr">
        <is>
          <t>C-1017</t>
        </is>
      </c>
      <c r="E77" s="11" t="n">
        <v>45664</v>
      </c>
      <c r="F77" s="4" t="inlineStr">
        <is>
          <t>DNA</t>
        </is>
      </c>
      <c r="G77" s="12" t="n">
        <v>19.1</v>
      </c>
      <c r="H77" s="13" t="n">
        <v>134</v>
      </c>
      <c r="I77" s="4" t="inlineStr">
        <is>
          <t>18–26 wks</t>
        </is>
      </c>
      <c r="J77" s="4" t="inlineStr"/>
    </row>
  </sheetData>
  <autoFilter ref="A1:J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5" t="inlineStr">
        <is>
          <t>DNA rate by specialty — DNA ÷ (ATT+DNA+CAN+REF); target 8%</t>
        </is>
      </c>
    </row>
    <row r="2">
      <c r="A2" s="3" t="inlineStr">
        <is>
          <t>Specialty_Code</t>
        </is>
      </c>
      <c r="B2" s="3" t="inlineStr">
        <is>
          <t>ATT</t>
        </is>
      </c>
      <c r="C2" s="3" t="inlineStr">
        <is>
          <t>DNA</t>
        </is>
      </c>
      <c r="D2" s="3" t="inlineStr">
        <is>
          <t>CAN</t>
        </is>
      </c>
      <c r="E2" s="3" t="inlineStr">
        <is>
          <t>REF</t>
        </is>
      </c>
      <c r="F2" s="3" t="inlineStr">
        <is>
          <t>Total</t>
        </is>
      </c>
      <c r="G2" s="3" t="inlineStr">
        <is>
          <t>DNA_Rate_%</t>
        </is>
      </c>
      <c r="H2" s="3" t="inlineStr">
        <is>
          <t>RAG</t>
        </is>
      </c>
    </row>
    <row r="3">
      <c r="A3" s="4" t="inlineStr">
        <is>
          <t>OR</t>
        </is>
      </c>
      <c r="B3" s="4" t="n">
        <v>27</v>
      </c>
      <c r="C3" s="4" t="n">
        <v>17</v>
      </c>
      <c r="D3" s="4" t="n">
        <v>2</v>
      </c>
      <c r="E3" s="4" t="n">
        <v>1</v>
      </c>
      <c r="F3" s="4" t="n">
        <v>47</v>
      </c>
      <c r="G3" s="12" t="n">
        <v>36.2</v>
      </c>
      <c r="H3" s="4" t="inlineStr">
        <is>
          <t>Red</t>
        </is>
      </c>
    </row>
    <row r="4">
      <c r="A4" s="4" t="inlineStr">
        <is>
          <t>URO</t>
        </is>
      </c>
      <c r="B4" s="4" t="n">
        <v>42</v>
      </c>
      <c r="C4" s="4" t="n">
        <v>11</v>
      </c>
      <c r="D4" s="4" t="n">
        <v>5</v>
      </c>
      <c r="E4" s="4" t="n">
        <v>0</v>
      </c>
      <c r="F4" s="4" t="n">
        <v>58</v>
      </c>
      <c r="G4" s="12" t="n">
        <v>19</v>
      </c>
      <c r="H4" s="4" t="inlineStr">
        <is>
          <t>Red</t>
        </is>
      </c>
    </row>
    <row r="5">
      <c r="A5" s="4" t="inlineStr">
        <is>
          <t>OPH</t>
        </is>
      </c>
      <c r="B5" s="4" t="n">
        <v>48</v>
      </c>
      <c r="C5" s="4" t="n">
        <v>10</v>
      </c>
      <c r="D5" s="4" t="n">
        <v>2</v>
      </c>
      <c r="E5" s="4" t="n">
        <v>1</v>
      </c>
      <c r="F5" s="4" t="n">
        <v>61</v>
      </c>
      <c r="G5" s="12" t="n">
        <v>16.4</v>
      </c>
      <c r="H5" s="4" t="inlineStr">
        <is>
          <t>Red</t>
        </is>
      </c>
    </row>
    <row r="6">
      <c r="A6" s="4" t="inlineStr">
        <is>
          <t>CS</t>
        </is>
      </c>
      <c r="B6" s="4" t="n">
        <v>42</v>
      </c>
      <c r="C6" s="4" t="n">
        <v>8</v>
      </c>
      <c r="D6" s="4" t="n">
        <v>2</v>
      </c>
      <c r="E6" s="4" t="n">
        <v>0</v>
      </c>
      <c r="F6" s="4" t="n">
        <v>52</v>
      </c>
      <c r="G6" s="12" t="n">
        <v>15.4</v>
      </c>
      <c r="H6" s="4" t="inlineStr">
        <is>
          <t>Red</t>
        </is>
      </c>
    </row>
    <row r="7">
      <c r="A7" s="4" t="inlineStr">
        <is>
          <t>RS</t>
        </is>
      </c>
      <c r="B7" s="4" t="n">
        <v>50</v>
      </c>
      <c r="C7" s="4" t="n">
        <v>9</v>
      </c>
      <c r="D7" s="4" t="n">
        <v>0</v>
      </c>
      <c r="E7" s="4" t="n">
        <v>1</v>
      </c>
      <c r="F7" s="4" t="n">
        <v>60</v>
      </c>
      <c r="G7" s="12" t="n">
        <v>15</v>
      </c>
      <c r="H7" s="4" t="inlineStr">
        <is>
          <t>Amber</t>
        </is>
      </c>
    </row>
    <row r="8">
      <c r="A8" s="4" t="inlineStr">
        <is>
          <t>GYN</t>
        </is>
      </c>
      <c r="B8" s="4" t="n">
        <v>51</v>
      </c>
      <c r="C8" s="4" t="n">
        <v>8</v>
      </c>
      <c r="D8" s="4" t="n">
        <v>0</v>
      </c>
      <c r="E8" s="4" t="n">
        <v>2</v>
      </c>
      <c r="F8" s="4" t="n">
        <v>61</v>
      </c>
      <c r="G8" s="12" t="n">
        <v>13.1</v>
      </c>
      <c r="H8" s="4" t="inlineStr">
        <is>
          <t>Amber</t>
        </is>
      </c>
    </row>
    <row r="9">
      <c r="A9" s="4" t="inlineStr">
        <is>
          <t>RHE</t>
        </is>
      </c>
      <c r="B9" s="4" t="n">
        <v>59</v>
      </c>
      <c r="C9" s="4" t="n">
        <v>5</v>
      </c>
      <c r="D9" s="4" t="n">
        <v>1</v>
      </c>
      <c r="E9" s="4" t="n">
        <v>0</v>
      </c>
      <c r="F9" s="4" t="n">
        <v>65</v>
      </c>
      <c r="G9" s="12" t="n">
        <v>7.7</v>
      </c>
      <c r="H9" s="4" t="inlineStr">
        <is>
          <t>Green</t>
        </is>
      </c>
    </row>
    <row r="10">
      <c r="A10" s="4" t="inlineStr">
        <is>
          <t>GS</t>
        </is>
      </c>
      <c r="B10" s="4" t="n">
        <v>49</v>
      </c>
      <c r="C10" s="4" t="n">
        <v>4</v>
      </c>
      <c r="D10" s="4" t="n">
        <v>1</v>
      </c>
      <c r="E10" s="4" t="n">
        <v>0</v>
      </c>
      <c r="F10" s="4" t="n">
        <v>54</v>
      </c>
      <c r="G10" s="12" t="n">
        <v>7.4</v>
      </c>
      <c r="H10" s="4" t="inlineStr">
        <is>
          <t>Green</t>
        </is>
      </c>
    </row>
    <row r="11">
      <c r="A11" s="4" t="inlineStr">
        <is>
          <t>GM</t>
        </is>
      </c>
      <c r="B11" s="4" t="n">
        <v>52</v>
      </c>
      <c r="C11" s="4" t="n">
        <v>4</v>
      </c>
      <c r="D11" s="4" t="n">
        <v>1</v>
      </c>
      <c r="E11" s="4" t="n">
        <v>0</v>
      </c>
      <c r="F11" s="4" t="n">
        <v>57</v>
      </c>
      <c r="G11" s="12" t="n">
        <v>7</v>
      </c>
      <c r="H11" s="4" t="inlineStr">
        <is>
          <t>Green</t>
        </is>
      </c>
    </row>
    <row r="12">
      <c r="A12" s="4" t="inlineStr">
        <is>
          <t>EM</t>
        </is>
      </c>
      <c r="B12" s="4" t="n">
        <v>44</v>
      </c>
      <c r="C12" s="4" t="n">
        <v>0</v>
      </c>
      <c r="D12" s="4" t="n">
        <v>19</v>
      </c>
      <c r="E12" s="4" t="n">
        <v>1</v>
      </c>
      <c r="F12" s="4" t="n">
        <v>64</v>
      </c>
      <c r="G12" s="12" t="n">
        <v>0</v>
      </c>
      <c r="H12" s="4" t="inlineStr">
        <is>
          <t>Green</t>
        </is>
      </c>
    </row>
    <row r="13">
      <c r="A13" s="5" t="inlineStr">
        <is>
          <t>Trust</t>
        </is>
      </c>
      <c r="B13" s="5">
        <f>SUM(B3:B12)</f>
        <v/>
      </c>
      <c r="C13" s="5">
        <f>SUM(C3:C12)</f>
        <v/>
      </c>
      <c r="D13" s="5">
        <f>SUM(D3:D12)</f>
        <v/>
      </c>
      <c r="E13" s="5">
        <f>SUM(E3:E12)</f>
        <v/>
      </c>
      <c r="F13" s="5">
        <f>SUM(F3:F12)</f>
        <v/>
      </c>
      <c r="G13" s="5">
        <f>ROUND(C13/F13*100,1)</f>
        <v/>
      </c>
    </row>
  </sheetData>
  <conditionalFormatting sqref="H3:H1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9" customWidth="1" min="4" max="4"/>
    <col width="16" customWidth="1" min="5" max="5"/>
    <col width="16" customWidth="1" min="6" max="6"/>
    <col width="16" customWidth="1" min="7" max="7"/>
    <col width="15" customWidth="1" min="8" max="8"/>
    <col width="19" customWidth="1" min="9" max="9"/>
  </cols>
  <sheetData>
    <row r="1">
      <c r="A1" s="15" t="inlineStr">
        <is>
          <t>Waiting-time statistics by specialty (days) and RTT position</t>
        </is>
      </c>
    </row>
    <row r="2">
      <c r="A2" s="3" t="inlineStr">
        <is>
          <t>Specialty_Code</t>
        </is>
      </c>
      <c r="B2" s="3" t="inlineStr">
        <is>
          <t>Appointments</t>
        </is>
      </c>
      <c r="C2" s="3" t="inlineStr">
        <is>
          <t>Mean_Wait_Days</t>
        </is>
      </c>
      <c r="D2" s="3" t="inlineStr">
        <is>
          <t>Median_Wait_Days</t>
        </is>
      </c>
      <c r="E2" s="3" t="inlineStr">
        <is>
          <t>P92_Wait_Days</t>
        </is>
      </c>
      <c r="F2" s="3" t="inlineStr">
        <is>
          <t>Max_Wait_Days</t>
        </is>
      </c>
      <c r="G2" s="3" t="inlineStr">
        <is>
          <t>Open_Pathways</t>
        </is>
      </c>
      <c r="H2" s="3" t="inlineStr">
        <is>
          <t>RTT_Breaches</t>
        </is>
      </c>
      <c r="I2" s="3" t="inlineStr">
        <is>
          <t>RTT_Compliance_%</t>
        </is>
      </c>
    </row>
    <row r="3">
      <c r="A3" s="4" t="inlineStr">
        <is>
          <t>OR</t>
        </is>
      </c>
      <c r="B3" s="4" t="n">
        <v>47</v>
      </c>
      <c r="C3" s="12" t="n">
        <v>164.7</v>
      </c>
      <c r="D3" s="12" t="n">
        <v>93</v>
      </c>
      <c r="E3" s="12" t="n">
        <v>354</v>
      </c>
      <c r="F3" s="12" t="n">
        <v>423</v>
      </c>
      <c r="G3" s="4" t="n">
        <v>19</v>
      </c>
      <c r="H3" s="4" t="n">
        <v>17</v>
      </c>
      <c r="I3" s="12" t="n">
        <v>10.5</v>
      </c>
    </row>
    <row r="4">
      <c r="A4" s="4" t="inlineStr">
        <is>
          <t>URO</t>
        </is>
      </c>
      <c r="B4" s="4" t="n">
        <v>58</v>
      </c>
      <c r="C4" s="12" t="n">
        <v>96.90000000000001</v>
      </c>
      <c r="D4" s="12" t="n">
        <v>61.5</v>
      </c>
      <c r="E4" s="12" t="n">
        <v>223.4</v>
      </c>
      <c r="F4" s="12" t="n">
        <v>395</v>
      </c>
      <c r="G4" s="4" t="n">
        <v>16</v>
      </c>
      <c r="H4" s="4" t="n">
        <v>11</v>
      </c>
      <c r="I4" s="12" t="n">
        <v>31.2</v>
      </c>
    </row>
    <row r="5">
      <c r="A5" s="4" t="inlineStr">
        <is>
          <t>OPH</t>
        </is>
      </c>
      <c r="B5" s="4" t="n">
        <v>61</v>
      </c>
      <c r="C5" s="12" t="n">
        <v>110</v>
      </c>
      <c r="D5" s="12" t="n">
        <v>89</v>
      </c>
      <c r="E5" s="12" t="n">
        <v>228.2</v>
      </c>
      <c r="F5" s="12" t="n">
        <v>316</v>
      </c>
      <c r="G5" s="4" t="n">
        <v>12</v>
      </c>
      <c r="H5" s="4" t="n">
        <v>10</v>
      </c>
      <c r="I5" s="12" t="n">
        <v>16.7</v>
      </c>
    </row>
    <row r="6">
      <c r="A6" s="4" t="inlineStr">
        <is>
          <t>RS</t>
        </is>
      </c>
      <c r="B6" s="4" t="n">
        <v>60</v>
      </c>
      <c r="C6" s="12" t="n">
        <v>90.3</v>
      </c>
      <c r="D6" s="12" t="n">
        <v>67.5</v>
      </c>
      <c r="E6" s="12" t="n">
        <v>190</v>
      </c>
      <c r="F6" s="12" t="n">
        <v>307</v>
      </c>
      <c r="G6" s="4" t="n">
        <v>9</v>
      </c>
      <c r="H6" s="4" t="n">
        <v>9</v>
      </c>
      <c r="I6" s="12" t="n">
        <v>0</v>
      </c>
    </row>
    <row r="7">
      <c r="A7" s="4" t="inlineStr">
        <is>
          <t>GYN</t>
        </is>
      </c>
      <c r="B7" s="4" t="n">
        <v>61</v>
      </c>
      <c r="C7" s="12" t="n">
        <v>81.5</v>
      </c>
      <c r="D7" s="12" t="n">
        <v>64</v>
      </c>
      <c r="E7" s="12" t="n">
        <v>168</v>
      </c>
      <c r="F7" s="12" t="n">
        <v>359</v>
      </c>
      <c r="G7" s="4" t="n">
        <v>9</v>
      </c>
      <c r="H7" s="4" t="n">
        <v>8</v>
      </c>
      <c r="I7" s="12" t="n">
        <v>11.1</v>
      </c>
    </row>
    <row r="8">
      <c r="A8" s="4" t="inlineStr">
        <is>
          <t>CS</t>
        </is>
      </c>
      <c r="B8" s="4" t="n">
        <v>52</v>
      </c>
      <c r="C8" s="12" t="n">
        <v>78.7</v>
      </c>
      <c r="D8" s="12" t="n">
        <v>66.5</v>
      </c>
      <c r="E8" s="12" t="n">
        <v>189.9</v>
      </c>
      <c r="F8" s="12" t="n">
        <v>203</v>
      </c>
      <c r="G8" s="4" t="n">
        <v>10</v>
      </c>
      <c r="H8" s="4" t="n">
        <v>8</v>
      </c>
      <c r="I8" s="12" t="n">
        <v>20</v>
      </c>
    </row>
    <row r="9">
      <c r="A9" s="4" t="inlineStr">
        <is>
          <t>RHE</t>
        </is>
      </c>
      <c r="B9" s="4" t="n">
        <v>65</v>
      </c>
      <c r="C9" s="12" t="n">
        <v>101.1</v>
      </c>
      <c r="D9" s="12" t="n">
        <v>78</v>
      </c>
      <c r="E9" s="12" t="n">
        <v>201.9</v>
      </c>
      <c r="F9" s="12" t="n">
        <v>380</v>
      </c>
      <c r="G9" s="4" t="n">
        <v>6</v>
      </c>
      <c r="H9" s="4" t="n">
        <v>5</v>
      </c>
      <c r="I9" s="12" t="n">
        <v>16.7</v>
      </c>
    </row>
    <row r="10">
      <c r="A10" s="4" t="inlineStr">
        <is>
          <t>GM</t>
        </is>
      </c>
      <c r="B10" s="4" t="n">
        <v>58</v>
      </c>
      <c r="C10" s="12" t="n">
        <v>78.3</v>
      </c>
      <c r="D10" s="12" t="n">
        <v>56</v>
      </c>
      <c r="E10" s="12" t="n">
        <v>191.7</v>
      </c>
      <c r="F10" s="12" t="n">
        <v>312</v>
      </c>
      <c r="G10" s="4" t="n">
        <v>8</v>
      </c>
      <c r="H10" s="4" t="n">
        <v>4</v>
      </c>
      <c r="I10" s="12" t="n">
        <v>50</v>
      </c>
    </row>
    <row r="11">
      <c r="A11" s="4" t="inlineStr">
        <is>
          <t>GS</t>
        </is>
      </c>
      <c r="B11" s="4" t="n">
        <v>54</v>
      </c>
      <c r="C11" s="12" t="n">
        <v>69</v>
      </c>
      <c r="D11" s="12" t="n">
        <v>56</v>
      </c>
      <c r="E11" s="12" t="n">
        <v>145.2</v>
      </c>
      <c r="F11" s="12" t="n">
        <v>228</v>
      </c>
      <c r="G11" s="4" t="n">
        <v>5</v>
      </c>
      <c r="H11" s="4" t="n">
        <v>4</v>
      </c>
      <c r="I11" s="12" t="n">
        <v>20</v>
      </c>
    </row>
    <row r="12">
      <c r="A12" s="4" t="inlineStr">
        <is>
          <t>EM</t>
        </is>
      </c>
      <c r="B12" s="4" t="n">
        <v>64</v>
      </c>
      <c r="C12" s="12" t="n">
        <v>43.8</v>
      </c>
      <c r="D12" s="12" t="n">
        <v>28.5</v>
      </c>
      <c r="E12" s="12" t="n">
        <v>105.8</v>
      </c>
      <c r="F12" s="12" t="n">
        <v>174</v>
      </c>
      <c r="G12" s="4" t="n">
        <v>37</v>
      </c>
      <c r="H12" s="4" t="n">
        <v>0</v>
      </c>
      <c r="I12" s="1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2" customWidth="1" min="3" max="3"/>
    <col width="15" customWidth="1" min="4" max="4"/>
    <col width="17" customWidth="1" min="5" max="5"/>
    <col width="13" customWidth="1" min="6" max="6"/>
    <col width="15" customWidth="1" min="7" max="7"/>
    <col width="16" customWidth="1" min="8" max="8"/>
    <col width="13" customWidth="1" min="9" max="9"/>
  </cols>
  <sheetData>
    <row r="1">
      <c r="A1" s="15" t="inlineStr">
        <is>
          <t>Data Quality Score by dataset — % of rows passing every check (DSP Toolkit)</t>
        </is>
      </c>
    </row>
    <row r="2">
      <c r="A2" s="3" t="inlineStr">
        <is>
          <t>Dataset</t>
        </is>
      </c>
      <c r="B2" s="3" t="inlineStr">
        <is>
          <t>Rows</t>
        </is>
      </c>
      <c r="C2" s="3" t="inlineStr">
        <is>
          <t>Rows failing ≥1 check</t>
        </is>
      </c>
      <c r="D2" s="3" t="inlineStr">
        <is>
          <t>DQ Score %</t>
        </is>
      </c>
      <c r="E2" s="3" t="inlineStr">
        <is>
          <t>Completeness %</t>
        </is>
      </c>
      <c r="F2" s="3" t="inlineStr">
        <is>
          <t>Validity %</t>
        </is>
      </c>
      <c r="G2" s="3" t="inlineStr">
        <is>
          <t>Uniqueness %</t>
        </is>
      </c>
      <c r="H2" s="3" t="inlineStr">
        <is>
          <t>Consistency %</t>
        </is>
      </c>
      <c r="I2" s="3" t="inlineStr">
        <is>
          <t>RAG</t>
        </is>
      </c>
    </row>
    <row r="3">
      <c r="A3" s="4" t="inlineStr">
        <is>
          <t>Outpatients</t>
        </is>
      </c>
      <c r="B3" s="4" t="n">
        <v>580</v>
      </c>
      <c r="C3" s="4" t="n">
        <v>39</v>
      </c>
      <c r="D3" s="12" t="n">
        <v>93.3</v>
      </c>
      <c r="E3" s="12" t="n">
        <v>98.40000000000001</v>
      </c>
      <c r="F3" s="12" t="n">
        <v>94.3</v>
      </c>
      <c r="G3" s="12" t="n">
        <v>100</v>
      </c>
      <c r="H3" s="12" t="n">
        <v/>
      </c>
      <c r="I3" s="4" t="inlineStr">
        <is>
          <t>Amber</t>
        </is>
      </c>
    </row>
    <row r="4">
      <c r="A4" s="4" t="inlineStr">
        <is>
          <t>Inpatients</t>
        </is>
      </c>
      <c r="B4" s="4" t="n">
        <v>1206</v>
      </c>
      <c r="C4" s="4" t="n">
        <v>242</v>
      </c>
      <c r="D4" s="12" t="n">
        <v>79.90000000000001</v>
      </c>
      <c r="E4" s="12" t="n">
        <v>83.90000000000001</v>
      </c>
      <c r="F4" s="12" t="n">
        <v>96.7</v>
      </c>
      <c r="G4" s="12" t="n">
        <v>99.5</v>
      </c>
      <c r="H4" s="12" t="n">
        <v>99.5</v>
      </c>
      <c r="I4" s="4" t="inlineStr">
        <is>
          <t>Red</t>
        </is>
      </c>
    </row>
    <row r="5">
      <c r="A5" s="4" t="inlineStr">
        <is>
          <t>ED</t>
        </is>
      </c>
      <c r="B5" s="4" t="n">
        <v>969</v>
      </c>
      <c r="C5" s="4" t="n">
        <v>421</v>
      </c>
      <c r="D5" s="12" t="n">
        <v>56.6</v>
      </c>
      <c r="E5" s="12" t="n">
        <v>81.59999999999999</v>
      </c>
      <c r="F5" s="12" t="n">
        <v>70.8</v>
      </c>
      <c r="G5" s="12" t="n">
        <v>99.09999999999999</v>
      </c>
      <c r="H5" s="12" t="n">
        <v/>
      </c>
      <c r="I5" s="4" t="inlineStr">
        <is>
          <t>Red</t>
        </is>
      </c>
    </row>
    <row r="6">
      <c r="A6" s="4" t="inlineStr">
        <is>
          <t>Theatres</t>
        </is>
      </c>
      <c r="B6" s="4" t="n">
        <v>208</v>
      </c>
      <c r="C6" s="4" t="n">
        <v>63</v>
      </c>
      <c r="D6" s="12" t="n">
        <v>69.7</v>
      </c>
      <c r="E6" s="12" t="n">
        <v>75.5</v>
      </c>
      <c r="F6" s="12" t="n">
        <v>99</v>
      </c>
      <c r="G6" s="12" t="n">
        <v>100</v>
      </c>
      <c r="H6" s="12" t="n">
        <v>94.7</v>
      </c>
      <c r="I6" s="4" t="inlineStr">
        <is>
          <t>Red</t>
        </is>
      </c>
    </row>
    <row r="7">
      <c r="A7" s="4" t="inlineStr">
        <is>
          <t>Workforce</t>
        </is>
      </c>
      <c r="B7" s="4" t="n">
        <v>1560</v>
      </c>
      <c r="C7" s="4" t="n">
        <v>83</v>
      </c>
      <c r="D7" s="12" t="n">
        <v>94.7</v>
      </c>
      <c r="E7" s="12" t="n">
        <v>97.3</v>
      </c>
      <c r="F7" s="12" t="n">
        <v>97.40000000000001</v>
      </c>
      <c r="G7" s="12" t="n">
        <v>100</v>
      </c>
      <c r="H7" s="12" t="n">
        <v/>
      </c>
      <c r="I7" s="4" t="inlineStr">
        <is>
          <t>Amber</t>
        </is>
      </c>
    </row>
    <row r="8">
      <c r="A8" s="5" t="inlineStr">
        <is>
          <t>Overall: 81.3%   ·   RAG: Green ≥95% · Amber 85–94.9% · Red &lt;85%</t>
        </is>
      </c>
    </row>
    <row r="10">
      <c r="A10" s="15" t="inlineStr">
        <is>
          <t>Check-level detail</t>
        </is>
      </c>
    </row>
    <row r="11">
      <c r="A11" s="3" t="inlineStr">
        <is>
          <t>Dataset</t>
        </is>
      </c>
      <c r="B11" s="3" t="inlineStr">
        <is>
          <t>Dimension</t>
        </is>
      </c>
      <c r="C11" s="3" t="inlineStr">
        <is>
          <t>Check</t>
        </is>
      </c>
      <c r="D11" s="3" t="inlineStr">
        <is>
          <t>Rows failing</t>
        </is>
      </c>
    </row>
    <row r="12">
      <c r="A12" s="4" t="inlineStr">
        <is>
          <t>Outpatients</t>
        </is>
      </c>
      <c r="B12" s="4" t="inlineStr">
        <is>
          <t>Completeness</t>
        </is>
      </c>
      <c r="C12" s="4" t="inlineStr">
        <is>
          <t>NHS Number blank</t>
        </is>
      </c>
      <c r="D12" s="4" t="n">
        <v>3</v>
      </c>
    </row>
    <row r="13">
      <c r="A13" s="4" t="inlineStr">
        <is>
          <t>Outpatients</t>
        </is>
      </c>
      <c r="B13" s="4" t="inlineStr">
        <is>
          <t>Completeness</t>
        </is>
      </c>
      <c r="C13" s="4" t="inlineStr">
        <is>
          <t>RTT_Status / RTT_Weeks blank</t>
        </is>
      </c>
      <c r="D13" s="4" t="n">
        <v>2</v>
      </c>
    </row>
    <row r="14">
      <c r="A14" s="4" t="inlineStr">
        <is>
          <t>Outpatients</t>
        </is>
      </c>
      <c r="B14" s="4" t="inlineStr">
        <is>
          <t>Completeness</t>
        </is>
      </c>
      <c r="C14" s="4" t="inlineStr">
        <is>
          <t>Consultant blank</t>
        </is>
      </c>
      <c r="D14" s="4" t="n">
        <v>5</v>
      </c>
    </row>
    <row r="15">
      <c r="A15" s="4" t="inlineStr">
        <is>
          <t>Outpatients</t>
        </is>
      </c>
      <c r="B15" s="4" t="inlineStr">
        <is>
          <t>Validity</t>
        </is>
      </c>
      <c r="C15" s="4" t="inlineStr">
        <is>
          <t>Attendance status not standard</t>
        </is>
      </c>
      <c r="D15" s="4" t="n">
        <v>2</v>
      </c>
    </row>
    <row r="16">
      <c r="A16" s="4" t="inlineStr">
        <is>
          <t>Outpatients</t>
        </is>
      </c>
      <c r="B16" s="4" t="inlineStr">
        <is>
          <t>Validity</t>
        </is>
      </c>
      <c r="C16" s="4" t="inlineStr">
        <is>
          <t>Waiting_Days not a number &gt;= 0</t>
        </is>
      </c>
      <c r="D16" s="4" t="n">
        <v>29</v>
      </c>
    </row>
    <row r="17">
      <c r="A17" s="4" t="inlineStr">
        <is>
          <t>Outpatients</t>
        </is>
      </c>
      <c r="B17" s="4" t="inlineStr">
        <is>
          <t>Validity</t>
        </is>
      </c>
      <c r="C17" s="4" t="inlineStr">
        <is>
          <t>Appointment time not HH:MM</t>
        </is>
      </c>
      <c r="D17" s="4" t="n">
        <v>1</v>
      </c>
    </row>
    <row r="18">
      <c r="A18" s="4" t="inlineStr">
        <is>
          <t>Outpatients</t>
        </is>
      </c>
      <c r="B18" s="4" t="inlineStr">
        <is>
          <t>Validity</t>
        </is>
      </c>
      <c r="C18" s="4" t="inlineStr">
        <is>
          <t>Retired specialty code</t>
        </is>
      </c>
      <c r="D18" s="4" t="n">
        <v>3</v>
      </c>
    </row>
    <row r="19">
      <c r="A19" s="4" t="inlineStr">
        <is>
          <t>Outpatients</t>
        </is>
      </c>
      <c r="B19" s="4" t="inlineStr">
        <is>
          <t>Validity</t>
        </is>
      </c>
      <c r="C19" s="4" t="inlineStr">
        <is>
          <t>Referral source not standard</t>
        </is>
      </c>
      <c r="D19" s="4" t="n">
        <v>1</v>
      </c>
    </row>
    <row r="20">
      <c r="A20" s="4" t="inlineStr">
        <is>
          <t>Outpatients</t>
        </is>
      </c>
      <c r="B20" s="4" t="inlineStr">
        <is>
          <t>Uniqueness</t>
        </is>
      </c>
      <c r="C20" s="4" t="inlineStr">
        <is>
          <t>Duplicate Appointment_ID</t>
        </is>
      </c>
      <c r="D20" s="4" t="n">
        <v>0</v>
      </c>
    </row>
    <row r="21">
      <c r="A21" s="4" t="inlineStr">
        <is>
          <t>Inpatients</t>
        </is>
      </c>
      <c r="B21" s="4" t="inlineStr">
        <is>
          <t>Completeness</t>
        </is>
      </c>
      <c r="C21" s="4" t="inlineStr">
        <is>
          <t>NHS Number blank</t>
        </is>
      </c>
      <c r="D21" s="4" t="n">
        <v>20</v>
      </c>
    </row>
    <row r="22">
      <c r="A22" s="4" t="inlineStr">
        <is>
          <t>Inpatients</t>
        </is>
      </c>
      <c r="B22" s="4" t="inlineStr">
        <is>
          <t>Completeness</t>
        </is>
      </c>
      <c r="C22" s="4" t="inlineStr">
        <is>
          <t>Discharge date blank (open episode)</t>
        </is>
      </c>
      <c r="D22" s="4" t="n">
        <v>31</v>
      </c>
    </row>
    <row r="23">
      <c r="A23" s="4" t="inlineStr">
        <is>
          <t>Inpatients</t>
        </is>
      </c>
      <c r="B23" s="4" t="inlineStr">
        <is>
          <t>Completeness</t>
        </is>
      </c>
      <c r="C23" s="4" t="inlineStr">
        <is>
          <t>Readmission flag blank</t>
        </is>
      </c>
      <c r="D23" s="4" t="n">
        <v>44</v>
      </c>
    </row>
    <row r="24">
      <c r="A24" s="4" t="inlineStr">
        <is>
          <t>Inpatients</t>
        </is>
      </c>
      <c r="B24" s="4" t="inlineStr">
        <is>
          <t>Completeness</t>
        </is>
      </c>
      <c r="C24" s="4" t="inlineStr">
        <is>
          <t>HRG code blank</t>
        </is>
      </c>
      <c r="D24" s="4" t="n">
        <v>28</v>
      </c>
    </row>
    <row r="25">
      <c r="A25" s="4" t="inlineStr">
        <is>
          <t>Inpatients</t>
        </is>
      </c>
      <c r="B25" s="4" t="inlineStr">
        <is>
          <t>Completeness</t>
        </is>
      </c>
      <c r="C25" s="4" t="inlineStr">
        <is>
          <t>Consultant / ICD10 / OPCS4 blank</t>
        </is>
      </c>
      <c r="D25" s="4" t="n">
        <v>80</v>
      </c>
    </row>
    <row r="26">
      <c r="A26" s="4" t="inlineStr">
        <is>
          <t>Inpatients</t>
        </is>
      </c>
      <c r="B26" s="4" t="inlineStr">
        <is>
          <t>Validity</t>
        </is>
      </c>
      <c r="C26" s="4" t="inlineStr">
        <is>
          <t>Admission type not standard</t>
        </is>
      </c>
      <c r="D26" s="4" t="n">
        <v>13</v>
      </c>
    </row>
    <row r="27">
      <c r="A27" s="4" t="inlineStr">
        <is>
          <t>Inpatients</t>
        </is>
      </c>
      <c r="B27" s="4" t="inlineStr">
        <is>
          <t>Validity</t>
        </is>
      </c>
      <c r="C27" s="4" t="inlineStr">
        <is>
          <t>Discharge method not standard</t>
        </is>
      </c>
      <c r="D27" s="4" t="n">
        <v>15</v>
      </c>
    </row>
    <row r="28">
      <c r="A28" s="4" t="inlineStr">
        <is>
          <t>Inpatients</t>
        </is>
      </c>
      <c r="B28" s="4" t="inlineStr">
        <is>
          <t>Validity</t>
        </is>
      </c>
      <c r="C28" s="4" t="inlineStr">
        <is>
          <t>Discharge date unreadable</t>
        </is>
      </c>
      <c r="D28" s="4" t="n">
        <v>3</v>
      </c>
    </row>
    <row r="29">
      <c r="A29" s="4" t="inlineStr">
        <is>
          <t>Inpatients</t>
        </is>
      </c>
      <c r="B29" s="4" t="inlineStr">
        <is>
          <t>Validity</t>
        </is>
      </c>
      <c r="C29" s="4" t="inlineStr">
        <is>
          <t>Retired specialty code</t>
        </is>
      </c>
      <c r="D29" s="4" t="n">
        <v>10</v>
      </c>
    </row>
    <row r="30">
      <c r="A30" s="4" t="inlineStr">
        <is>
          <t>Inpatients</t>
        </is>
      </c>
      <c r="B30" s="4" t="inlineStr">
        <is>
          <t>Uniqueness</t>
        </is>
      </c>
      <c r="C30" s="4" t="inlineStr">
        <is>
          <t>Duplicate Episode_ID</t>
        </is>
      </c>
      <c r="D30" s="4" t="n">
        <v>6</v>
      </c>
    </row>
    <row r="31">
      <c r="A31" s="4" t="inlineStr">
        <is>
          <t>Inpatients</t>
        </is>
      </c>
      <c r="B31" s="4" t="inlineStr">
        <is>
          <t>Consistency</t>
        </is>
      </c>
      <c r="C31" s="4" t="inlineStr">
        <is>
          <t>Length of stay negative or != dates</t>
        </is>
      </c>
      <c r="D31" s="4" t="n">
        <v>6</v>
      </c>
    </row>
    <row r="32">
      <c r="A32" s="4" t="inlineStr">
        <is>
          <t>ED</t>
        </is>
      </c>
      <c r="B32" s="4" t="inlineStr">
        <is>
          <t>Completeness</t>
        </is>
      </c>
      <c r="C32" s="4" t="inlineStr">
        <is>
          <t>NHS Number blank</t>
        </is>
      </c>
      <c r="D32" s="4" t="n">
        <v>121</v>
      </c>
    </row>
    <row r="33">
      <c r="A33" s="4" t="inlineStr">
        <is>
          <t>ED</t>
        </is>
      </c>
      <c r="B33" s="4" t="inlineStr">
        <is>
          <t>Completeness</t>
        </is>
      </c>
      <c r="C33" s="4" t="inlineStr">
        <is>
          <t>Departure / clinician time blank</t>
        </is>
      </c>
      <c r="D33" s="4" t="n">
        <v>63</v>
      </c>
    </row>
    <row r="34">
      <c r="A34" s="4" t="inlineStr">
        <is>
          <t>ED</t>
        </is>
      </c>
      <c r="B34" s="4" t="inlineStr">
        <is>
          <t>Completeness</t>
        </is>
      </c>
      <c r="C34" s="4" t="inlineStr">
        <is>
          <t>Four-hour breach flag blank</t>
        </is>
      </c>
      <c r="D34" s="4" t="n">
        <v>39</v>
      </c>
    </row>
    <row r="35">
      <c r="A35" s="4" t="inlineStr">
        <is>
          <t>ED</t>
        </is>
      </c>
      <c r="B35" s="4" t="inlineStr">
        <is>
          <t>Validity</t>
        </is>
      </c>
      <c r="C35" s="4" t="inlineStr">
        <is>
          <t>Triage category not 1–5</t>
        </is>
      </c>
      <c r="D35" s="4" t="n">
        <v>9</v>
      </c>
    </row>
    <row r="36">
      <c r="A36" s="4" t="inlineStr">
        <is>
          <t>ED</t>
        </is>
      </c>
      <c r="B36" s="4" t="inlineStr">
        <is>
          <t>Validity</t>
        </is>
      </c>
      <c r="C36" s="4" t="inlineStr">
        <is>
          <t>Arrival time not 24-hour HH:MM</t>
        </is>
      </c>
      <c r="D36" s="4" t="n">
        <v>17</v>
      </c>
    </row>
    <row r="37">
      <c r="A37" s="4" t="inlineStr">
        <is>
          <t>ED</t>
        </is>
      </c>
      <c r="B37" s="4" t="inlineStr">
        <is>
          <t>Validity</t>
        </is>
      </c>
      <c r="C37" s="4" t="inlineStr">
        <is>
          <t>Departure code not credible (DIED/LEFT)</t>
        </is>
      </c>
      <c r="D37" s="4" t="n">
        <v>261</v>
      </c>
    </row>
    <row r="38">
      <c r="A38" s="4" t="inlineStr">
        <is>
          <t>ED</t>
        </is>
      </c>
      <c r="B38" s="4" t="inlineStr">
        <is>
          <t>Validity</t>
        </is>
      </c>
      <c r="C38" s="4" t="inlineStr">
        <is>
          <t>Negative ED time</t>
        </is>
      </c>
      <c r="D38" s="4" t="n">
        <v>4</v>
      </c>
    </row>
    <row r="39">
      <c r="A39" s="4" t="inlineStr">
        <is>
          <t>ED</t>
        </is>
      </c>
      <c r="B39" s="4" t="inlineStr">
        <is>
          <t>Uniqueness</t>
        </is>
      </c>
      <c r="C39" s="4" t="inlineStr">
        <is>
          <t>Duplicate Attendance_ID</t>
        </is>
      </c>
      <c r="D39" s="4" t="n">
        <v>9</v>
      </c>
    </row>
    <row r="40">
      <c r="A40" s="4" t="inlineStr">
        <is>
          <t>Theatres</t>
        </is>
      </c>
      <c r="B40" s="4" t="inlineStr">
        <is>
          <t>Completeness</t>
        </is>
      </c>
      <c r="C40" s="4" t="inlineStr">
        <is>
          <t>Cancellation counts blank</t>
        </is>
      </c>
      <c r="D40" s="4" t="n">
        <v>51</v>
      </c>
    </row>
    <row r="41">
      <c r="A41" s="4" t="inlineStr">
        <is>
          <t>Theatres</t>
        </is>
      </c>
      <c r="B41" s="4" t="inlineStr">
        <is>
          <t>Validity</t>
        </is>
      </c>
      <c r="C41" s="4" t="inlineStr">
        <is>
          <t>Theatre ID not T1–T4</t>
        </is>
      </c>
      <c r="D41" s="4" t="n">
        <v>1</v>
      </c>
    </row>
    <row r="42">
      <c r="A42" s="4" t="inlineStr">
        <is>
          <t>Theatres</t>
        </is>
      </c>
      <c r="B42" s="4" t="inlineStr">
        <is>
          <t>Validity</t>
        </is>
      </c>
      <c r="C42" s="4" t="inlineStr">
        <is>
          <t>Zero sessions available</t>
        </is>
      </c>
      <c r="D42" s="4" t="n">
        <v>1</v>
      </c>
    </row>
    <row r="43">
      <c r="A43" s="4" t="inlineStr">
        <is>
          <t>Theatres</t>
        </is>
      </c>
      <c r="B43" s="4" t="inlineStr">
        <is>
          <t>Consistency</t>
        </is>
      </c>
      <c r="C43" s="4" t="inlineStr">
        <is>
          <t>Sessions used &gt; available</t>
        </is>
      </c>
      <c r="D43" s="4" t="n">
        <v>4</v>
      </c>
    </row>
    <row r="44">
      <c r="A44" s="4" t="inlineStr">
        <is>
          <t>Theatres</t>
        </is>
      </c>
      <c r="B44" s="4" t="inlineStr">
        <is>
          <t>Consistency</t>
        </is>
      </c>
      <c r="C44" s="4" t="inlineStr">
        <is>
          <t>Utilisation_Pct != used/available</t>
        </is>
      </c>
      <c r="D44" s="4" t="n">
        <v>7</v>
      </c>
    </row>
    <row r="45">
      <c r="A45" s="4" t="inlineStr">
        <is>
          <t>Theatres</t>
        </is>
      </c>
      <c r="B45" s="4" t="inlineStr">
        <is>
          <t>Uniqueness</t>
        </is>
      </c>
      <c r="C45" s="4" t="inlineStr">
        <is>
          <t>Duplicate week + theatre</t>
        </is>
      </c>
      <c r="D45" s="4" t="n">
        <v>0</v>
      </c>
    </row>
    <row r="46">
      <c r="A46" s="4" t="inlineStr">
        <is>
          <t>Workforce</t>
        </is>
      </c>
      <c r="B46" s="4" t="inlineStr">
        <is>
          <t>Completeness</t>
        </is>
      </c>
      <c r="C46" s="4" t="inlineStr">
        <is>
          <t>Staff ID blank</t>
        </is>
      </c>
      <c r="D46" s="4" t="n">
        <v>18</v>
      </c>
    </row>
    <row r="47">
      <c r="A47" s="4" t="inlineStr">
        <is>
          <t>Workforce</t>
        </is>
      </c>
      <c r="B47" s="4" t="inlineStr">
        <is>
          <t>Completeness</t>
        </is>
      </c>
      <c r="C47" s="4" t="inlineStr">
        <is>
          <t>Agency / absence flag blank</t>
        </is>
      </c>
      <c r="D47" s="4" t="n">
        <v>24</v>
      </c>
    </row>
    <row r="48">
      <c r="A48" s="4" t="inlineStr">
        <is>
          <t>Workforce</t>
        </is>
      </c>
      <c r="B48" s="4" t="inlineStr">
        <is>
          <t>Validity</t>
        </is>
      </c>
      <c r="C48" s="4" t="inlineStr">
        <is>
          <t>Test record (ST-99)</t>
        </is>
      </c>
      <c r="D48" s="4" t="n">
        <v>24</v>
      </c>
    </row>
    <row r="49">
      <c r="A49" s="4" t="inlineStr">
        <is>
          <t>Workforce</t>
        </is>
      </c>
      <c r="B49" s="4" t="inlineStr">
        <is>
          <t>Validity</t>
        </is>
      </c>
      <c r="C49" s="4" t="inlineStr">
        <is>
          <t>Staff grade not standard</t>
        </is>
      </c>
      <c r="D49" s="4" t="n">
        <v>9</v>
      </c>
    </row>
    <row r="50">
      <c r="A50" s="4" t="inlineStr">
        <is>
          <t>Workforce</t>
        </is>
      </c>
      <c r="B50" s="4" t="inlineStr">
        <is>
          <t>Validity</t>
        </is>
      </c>
      <c r="C50" s="4" t="inlineStr">
        <is>
          <t>Shift type abbreviated</t>
        </is>
      </c>
      <c r="D50" s="4" t="n">
        <v>5</v>
      </c>
    </row>
    <row r="51">
      <c r="A51" s="4" t="inlineStr">
        <is>
          <t>Workforce</t>
        </is>
      </c>
      <c r="B51" s="4" t="inlineStr">
        <is>
          <t>Validity</t>
        </is>
      </c>
      <c r="C51" s="4" t="inlineStr">
        <is>
          <t>Zero rostered hours</t>
        </is>
      </c>
      <c r="D51" s="4" t="n">
        <v>3</v>
      </c>
    </row>
    <row r="52">
      <c r="A52" s="4" t="inlineStr">
        <is>
          <t>Workforce</t>
        </is>
      </c>
      <c r="B52" s="4" t="inlineStr">
        <is>
          <t>Uniqueness</t>
        </is>
      </c>
      <c r="C52" s="4" t="inlineStr">
        <is>
          <t>Duplicate Shift_ID</t>
        </is>
      </c>
      <c r="D52" s="4" t="n">
        <v>0</v>
      </c>
    </row>
  </sheetData>
  <conditionalFormatting sqref="I3:I7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22" customWidth="1" min="4" max="4"/>
    <col width="24" customWidth="1" min="5" max="5"/>
    <col width="13" customWidth="1" min="6" max="6"/>
    <col width="13" customWidth="1" min="7" max="7"/>
    <col width="38" customWidth="1" min="8" max="8"/>
  </cols>
  <sheetData>
    <row r="1">
      <c r="A1" s="15" t="inlineStr">
        <is>
          <t>Outpatient records to correct at source (PAS)</t>
        </is>
      </c>
    </row>
    <row r="2">
      <c r="A2" s="3" t="inlineStr">
        <is>
          <t>Appointment_ID</t>
        </is>
      </c>
      <c r="B2" s="3" t="inlineStr">
        <is>
          <t>NHS_Number</t>
        </is>
      </c>
      <c r="C2" s="3" t="inlineStr">
        <is>
          <t>Specialty_Code</t>
        </is>
      </c>
      <c r="D2" s="3" t="inlineStr">
        <is>
          <t>Appointment_Date</t>
        </is>
      </c>
      <c r="E2" s="3" t="inlineStr">
        <is>
          <t>Attendance_Status_Raw</t>
        </is>
      </c>
      <c r="F2" s="3" t="inlineStr">
        <is>
          <t>RTT_Status</t>
        </is>
      </c>
      <c r="G2" s="3" t="inlineStr">
        <is>
          <t>RTT_Weeks</t>
        </is>
      </c>
      <c r="H2" s="3" t="inlineStr">
        <is>
          <t>DQ_Flag</t>
        </is>
      </c>
    </row>
    <row r="3">
      <c r="A3" s="4" t="inlineStr">
        <is>
          <t>APT-100153</t>
        </is>
      </c>
      <c r="B3" s="4" t="inlineStr"/>
      <c r="C3" s="4" t="inlineStr">
        <is>
          <t>GM</t>
        </is>
      </c>
      <c r="D3" s="11" t="n">
        <v>45684</v>
      </c>
      <c r="E3" s="4" t="inlineStr">
        <is>
          <t>ATT</t>
        </is>
      </c>
      <c r="F3" s="4" t="inlineStr">
        <is>
          <t>OPEN</t>
        </is>
      </c>
      <c r="G3" s="4" t="n">
        <v>11.1</v>
      </c>
      <c r="H3" s="4" t="inlineStr">
        <is>
          <t>NO_NHS_NUMBER</t>
        </is>
      </c>
    </row>
    <row r="4">
      <c r="A4" s="4" t="inlineStr">
        <is>
          <t>APT-100164</t>
        </is>
      </c>
      <c r="B4" s="4" t="inlineStr"/>
      <c r="C4" s="4" t="inlineStr">
        <is>
          <t>OR</t>
        </is>
      </c>
      <c r="D4" s="11" t="n">
        <v>45685</v>
      </c>
      <c r="E4" s="4" t="inlineStr">
        <is>
          <t>DNA</t>
        </is>
      </c>
      <c r="F4" s="4" t="inlineStr">
        <is>
          <t>OPEN</t>
        </is>
      </c>
      <c r="G4" s="4" t="n">
        <v>38.1</v>
      </c>
      <c r="H4" s="4" t="inlineStr">
        <is>
          <t>NO_NHS_NUMBER</t>
        </is>
      </c>
    </row>
    <row r="5">
      <c r="A5" s="4" t="inlineStr">
        <is>
          <t>APT-100175</t>
        </is>
      </c>
      <c r="B5" s="4" t="inlineStr"/>
      <c r="C5" s="4" t="inlineStr">
        <is>
          <t>GM</t>
        </is>
      </c>
      <c r="D5" s="11" t="n">
        <v>45686</v>
      </c>
      <c r="E5" s="4" t="inlineStr">
        <is>
          <t>DNA</t>
        </is>
      </c>
      <c r="F5" s="4" t="inlineStr">
        <is>
          <t>OPEN</t>
        </is>
      </c>
      <c r="G5" s="4" t="n">
        <v>44.6</v>
      </c>
      <c r="H5" s="4" t="inlineStr">
        <is>
          <t>NO_NHS_NUMBER</t>
        </is>
      </c>
    </row>
    <row r="6">
      <c r="A6" s="4" t="inlineStr">
        <is>
          <t>APT-100199</t>
        </is>
      </c>
      <c r="B6" s="4" t="inlineStr">
        <is>
          <t>6374821095</t>
        </is>
      </c>
      <c r="C6" s="4" t="inlineStr">
        <is>
          <t>GM</t>
        </is>
      </c>
      <c r="D6" s="11" t="n">
        <v>45688</v>
      </c>
      <c r="E6" s="4" t="inlineStr">
        <is>
          <t>N/A</t>
        </is>
      </c>
      <c r="F6" s="4" t="inlineStr">
        <is>
          <t>OPEN</t>
        </is>
      </c>
      <c r="G6" s="4" t="n">
        <v>12.7</v>
      </c>
      <c r="H6" s="4" t="inlineStr">
        <is>
          <t>NON_STANDARD_STATUS</t>
        </is>
      </c>
    </row>
    <row r="7">
      <c r="A7" s="4" t="inlineStr">
        <is>
          <t>APT-100200</t>
        </is>
      </c>
      <c r="B7" s="4" t="inlineStr">
        <is>
          <t>4182739605</t>
        </is>
      </c>
      <c r="C7" s="4" t="inlineStr">
        <is>
          <t>GM</t>
        </is>
      </c>
      <c r="D7" s="11" t="n">
        <v>45688</v>
      </c>
      <c r="E7" s="4" t="inlineStr">
        <is>
          <t>ATT</t>
        </is>
      </c>
      <c r="F7" s="4" t="inlineStr">
        <is>
          <t>OPEN</t>
        </is>
      </c>
      <c r="G7" s="4" t="n">
        <v/>
      </c>
      <c r="H7" s="4" t="inlineStr">
        <is>
          <t>WAITING_DAYS_REPAIRED; NO_RTT_CLOCK</t>
        </is>
      </c>
    </row>
    <row r="8">
      <c r="A8" s="4" t="inlineStr">
        <is>
          <t>APT-100362</t>
        </is>
      </c>
      <c r="B8" s="4" t="inlineStr">
        <is>
          <t>0721302594</t>
        </is>
      </c>
      <c r="C8" s="4" t="inlineStr">
        <is>
          <t>URO</t>
        </is>
      </c>
      <c r="D8" s="11" t="n">
        <v>45734</v>
      </c>
      <c r="E8" s="4" t="inlineStr">
        <is>
          <t>ATT</t>
        </is>
      </c>
      <c r="F8" s="4" t="inlineStr">
        <is>
          <t>CLOSED</t>
        </is>
      </c>
      <c r="G8" s="4" t="n">
        <v>56.4</v>
      </c>
      <c r="H8" s="4" t="inlineStr">
        <is>
          <t>WAITING_DAYS_REPAIRED</t>
        </is>
      </c>
    </row>
    <row r="9">
      <c r="A9" s="4" t="inlineStr">
        <is>
          <t>APT-100369</t>
        </is>
      </c>
      <c r="B9" s="4" t="inlineStr">
        <is>
          <t>1312841340</t>
        </is>
      </c>
      <c r="C9" s="4" t="inlineStr">
        <is>
          <t>RS</t>
        </is>
      </c>
      <c r="D9" s="11" t="n">
        <v>45734</v>
      </c>
      <c r="E9" s="4" t="inlineStr">
        <is>
          <t>ATT</t>
        </is>
      </c>
      <c r="F9" s="4" t="inlineStr">
        <is>
          <t>CLOSED</t>
        </is>
      </c>
      <c r="G9" s="4" t="n">
        <v>28</v>
      </c>
      <c r="H9" s="4" t="inlineStr">
        <is>
          <t>WAITING_DAYS_REPAIRED</t>
        </is>
      </c>
    </row>
    <row r="10">
      <c r="A10" s="4" t="inlineStr">
        <is>
          <t>APT-100375</t>
        </is>
      </c>
      <c r="B10" s="4" t="inlineStr">
        <is>
          <t>3961559484</t>
        </is>
      </c>
      <c r="C10" s="4" t="inlineStr">
        <is>
          <t>RHE</t>
        </is>
      </c>
      <c r="D10" s="11" t="n">
        <v>45727</v>
      </c>
      <c r="E10" s="4" t="inlineStr">
        <is>
          <t>ATT</t>
        </is>
      </c>
      <c r="F10" s="4" t="inlineStr">
        <is>
          <t>CLOSED</t>
        </is>
      </c>
      <c r="G10" s="4" t="n">
        <v>38.9</v>
      </c>
      <c r="H10" s="4" t="inlineStr">
        <is>
          <t>WAITING_DAYS_REPAIRED</t>
        </is>
      </c>
    </row>
    <row r="11">
      <c r="A11" s="4" t="inlineStr">
        <is>
          <t>APT-100393</t>
        </is>
      </c>
      <c r="B11" s="4" t="inlineStr">
        <is>
          <t>7888911850</t>
        </is>
      </c>
      <c r="C11" s="4" t="inlineStr">
        <is>
          <t>OPH</t>
        </is>
      </c>
      <c r="D11" s="11" t="n">
        <v>45720</v>
      </c>
      <c r="E11" s="4" t="inlineStr">
        <is>
          <t>ATT</t>
        </is>
      </c>
      <c r="F11" s="4" t="inlineStr">
        <is>
          <t>CLOSED</t>
        </is>
      </c>
      <c r="G11" s="4" t="n">
        <v>36.9</v>
      </c>
      <c r="H11" s="4" t="inlineStr">
        <is>
          <t>WAITING_DAYS_REPAIRED</t>
        </is>
      </c>
    </row>
    <row r="12">
      <c r="A12" s="4" t="inlineStr">
        <is>
          <t>APT-100395</t>
        </is>
      </c>
      <c r="B12" s="4" t="inlineStr">
        <is>
          <t>8759621286</t>
        </is>
      </c>
      <c r="C12" s="4" t="inlineStr">
        <is>
          <t>OR</t>
        </is>
      </c>
      <c r="D12" s="11" t="n">
        <v>45714</v>
      </c>
      <c r="E12" s="4" t="inlineStr">
        <is>
          <t>ATT</t>
        </is>
      </c>
      <c r="F12" s="4" t="inlineStr">
        <is>
          <t>CLOSED</t>
        </is>
      </c>
      <c r="G12" s="4" t="n">
        <v>50.4</v>
      </c>
      <c r="H12" s="4" t="inlineStr">
        <is>
          <t>WAITING_DAYS_REPAIRED</t>
        </is>
      </c>
    </row>
    <row r="13">
      <c r="A13" s="4" t="inlineStr">
        <is>
          <t>APT-100399</t>
        </is>
      </c>
      <c r="B13" s="4" t="inlineStr">
        <is>
          <t>0204142621</t>
        </is>
      </c>
      <c r="C13" s="4" t="inlineStr">
        <is>
          <t>GYN</t>
        </is>
      </c>
      <c r="D13" s="11" t="n">
        <v>45721</v>
      </c>
      <c r="E13" s="4" t="inlineStr">
        <is>
          <t>ATT</t>
        </is>
      </c>
      <c r="F13" s="4" t="inlineStr">
        <is>
          <t>CLOSED</t>
        </is>
      </c>
      <c r="G13" s="4" t="n">
        <v>30.7</v>
      </c>
      <c r="H13" s="4" t="inlineStr">
        <is>
          <t>WAITING_DAYS_REPAIRED</t>
        </is>
      </c>
    </row>
    <row r="14">
      <c r="A14" s="4" t="inlineStr">
        <is>
          <t>APT-100408</t>
        </is>
      </c>
      <c r="B14" s="4" t="inlineStr">
        <is>
          <t>3990365914</t>
        </is>
      </c>
      <c r="C14" s="4" t="inlineStr">
        <is>
          <t>GYN</t>
        </is>
      </c>
      <c r="D14" s="11" t="n">
        <v>45726</v>
      </c>
      <c r="E14" s="4" t="inlineStr">
        <is>
          <t>ATT</t>
        </is>
      </c>
      <c r="F14" s="4" t="inlineStr">
        <is>
          <t>CLOSED</t>
        </is>
      </c>
      <c r="G14" s="4" t="n">
        <v>51.3</v>
      </c>
      <c r="H14" s="4" t="inlineStr">
        <is>
          <t>WAITING_DAYS_REPAIRED</t>
        </is>
      </c>
    </row>
    <row r="15">
      <c r="A15" s="4" t="inlineStr">
        <is>
          <t>APT-100413</t>
        </is>
      </c>
      <c r="B15" s="4" t="inlineStr">
        <is>
          <t>5997926106</t>
        </is>
      </c>
      <c r="C15" s="4" t="inlineStr">
        <is>
          <t>GYN</t>
        </is>
      </c>
      <c r="D15" s="11" t="n">
        <v>45722</v>
      </c>
      <c r="E15" s="4" t="inlineStr">
        <is>
          <t>ATT</t>
        </is>
      </c>
      <c r="F15" s="4" t="inlineStr">
        <is>
          <t>CLOSED</t>
        </is>
      </c>
      <c r="G15" s="4" t="n">
        <v>33</v>
      </c>
      <c r="H15" s="4" t="inlineStr">
        <is>
          <t>WAITING_DAYS_REPAIRED</t>
        </is>
      </c>
    </row>
    <row r="16">
      <c r="A16" s="4" t="inlineStr">
        <is>
          <t>APT-100415</t>
        </is>
      </c>
      <c r="B16" s="4" t="inlineStr">
        <is>
          <t>5841907771</t>
        </is>
      </c>
      <c r="C16" s="4" t="inlineStr">
        <is>
          <t>OR</t>
        </is>
      </c>
      <c r="D16" s="11" t="n">
        <v>45716</v>
      </c>
      <c r="E16" s="4" t="inlineStr">
        <is>
          <t>ATT</t>
        </is>
      </c>
      <c r="F16" s="4" t="inlineStr">
        <is>
          <t>CLOSED</t>
        </is>
      </c>
      <c r="G16" s="4" t="n">
        <v>55.1</v>
      </c>
      <c r="H16" s="4" t="inlineStr">
        <is>
          <t>WAITING_DAYS_REPAIRED</t>
        </is>
      </c>
    </row>
    <row r="17">
      <c r="A17" s="4" t="inlineStr">
        <is>
          <t>APT-100424</t>
        </is>
      </c>
      <c r="B17" s="4" t="inlineStr">
        <is>
          <t>3921851232</t>
        </is>
      </c>
      <c r="C17" s="4" t="inlineStr">
        <is>
          <t>RS</t>
        </is>
      </c>
      <c r="D17" s="11" t="n">
        <v>45719</v>
      </c>
      <c r="E17" s="4" t="inlineStr">
        <is>
          <t>ATT</t>
        </is>
      </c>
      <c r="F17" s="4" t="inlineStr">
        <is>
          <t>CLOSED</t>
        </is>
      </c>
      <c r="G17" s="4" t="n">
        <v>41.3</v>
      </c>
      <c r="H17" s="4" t="inlineStr">
        <is>
          <t>WAITING_DAYS_REPAIRED</t>
        </is>
      </c>
    </row>
    <row r="18">
      <c r="A18" s="4" t="inlineStr">
        <is>
          <t>APT-100428</t>
        </is>
      </c>
      <c r="B18" s="4" t="inlineStr">
        <is>
          <t>7604434932</t>
        </is>
      </c>
      <c r="C18" s="4" t="inlineStr">
        <is>
          <t>RHE</t>
        </is>
      </c>
      <c r="D18" s="11" t="n">
        <v>45723</v>
      </c>
      <c r="E18" s="4" t="inlineStr">
        <is>
          <t>ATT</t>
        </is>
      </c>
      <c r="F18" s="4" t="inlineStr">
        <is>
          <t>CLOSED</t>
        </is>
      </c>
      <c r="G18" s="4" t="n">
        <v>46.1</v>
      </c>
      <c r="H18" s="4" t="inlineStr">
        <is>
          <t>WAITING_DAYS_REPAIRED</t>
        </is>
      </c>
    </row>
    <row r="19">
      <c r="A19" s="4" t="inlineStr">
        <is>
          <t>APT-100429</t>
        </is>
      </c>
      <c r="B19" s="4" t="inlineStr">
        <is>
          <t>0889380780</t>
        </is>
      </c>
      <c r="C19" s="4" t="inlineStr">
        <is>
          <t>OPH</t>
        </is>
      </c>
      <c r="D19" s="11" t="n">
        <v>45726</v>
      </c>
      <c r="E19" s="4" t="inlineStr">
        <is>
          <t>ATT</t>
        </is>
      </c>
      <c r="F19" s="4" t="inlineStr">
        <is>
          <t>CLOSED</t>
        </is>
      </c>
      <c r="G19" s="4" t="n">
        <v>25.3</v>
      </c>
      <c r="H19" s="4" t="inlineStr">
        <is>
          <t>WAITING_DAYS_REPAIRED</t>
        </is>
      </c>
    </row>
    <row r="20">
      <c r="A20" s="4" t="inlineStr">
        <is>
          <t>APT-100442</t>
        </is>
      </c>
      <c r="B20" s="4" t="inlineStr">
        <is>
          <t>4429602100</t>
        </is>
      </c>
      <c r="C20" s="4" t="inlineStr">
        <is>
          <t>GM</t>
        </is>
      </c>
      <c r="D20" s="11" t="n">
        <v>45729</v>
      </c>
      <c r="E20" s="4" t="inlineStr">
        <is>
          <t>ATT</t>
        </is>
      </c>
      <c r="F20" s="4" t="inlineStr">
        <is>
          <t>CLOSED</t>
        </is>
      </c>
      <c r="G20" s="4" t="n">
        <v>44.6</v>
      </c>
      <c r="H20" s="4" t="inlineStr">
        <is>
          <t>WAITING_DAYS_REPAIRED</t>
        </is>
      </c>
    </row>
    <row r="21">
      <c r="A21" s="4" t="inlineStr">
        <is>
          <t>APT-100445</t>
        </is>
      </c>
      <c r="B21" s="4" t="inlineStr">
        <is>
          <t>5097743660</t>
        </is>
      </c>
      <c r="C21" s="4" t="inlineStr">
        <is>
          <t>URO</t>
        </is>
      </c>
      <c r="D21" s="11" t="n">
        <v>45719</v>
      </c>
      <c r="E21" s="4" t="inlineStr">
        <is>
          <t>ATT</t>
        </is>
      </c>
      <c r="F21" s="4" t="inlineStr">
        <is>
          <t>CLOSED</t>
        </is>
      </c>
      <c r="G21" s="4" t="n">
        <v>26.3</v>
      </c>
      <c r="H21" s="4" t="inlineStr">
        <is>
          <t>WAITING_DAYS_REPAIRED</t>
        </is>
      </c>
    </row>
    <row r="22">
      <c r="A22" s="4" t="inlineStr">
        <is>
          <t>APT-100448</t>
        </is>
      </c>
      <c r="B22" s="4" t="inlineStr">
        <is>
          <t>9620822616</t>
        </is>
      </c>
      <c r="C22" s="4" t="inlineStr">
        <is>
          <t>GYN</t>
        </is>
      </c>
      <c r="D22" s="11" t="n">
        <v>45733</v>
      </c>
      <c r="E22" s="4" t="inlineStr">
        <is>
          <t>ATT</t>
        </is>
      </c>
      <c r="F22" s="4" t="inlineStr">
        <is>
          <t>CLOSED</t>
        </is>
      </c>
      <c r="G22" s="4" t="n">
        <v>21.3</v>
      </c>
      <c r="H22" s="4" t="inlineStr">
        <is>
          <t>WAITING_DAYS_REPAIRED</t>
        </is>
      </c>
    </row>
    <row r="23">
      <c r="A23" s="4" t="inlineStr">
        <is>
          <t>APT-100456</t>
        </is>
      </c>
      <c r="B23" s="4" t="inlineStr">
        <is>
          <t>3247264852</t>
        </is>
      </c>
      <c r="C23" s="4" t="inlineStr">
        <is>
          <t>EM</t>
        </is>
      </c>
      <c r="D23" s="11" t="n">
        <v>45720</v>
      </c>
      <c r="E23" s="4" t="inlineStr">
        <is>
          <t>ATT</t>
        </is>
      </c>
      <c r="F23" s="4" t="inlineStr">
        <is>
          <t>CLOSED</t>
        </is>
      </c>
      <c r="G23" s="4" t="n">
        <v>24.9</v>
      </c>
      <c r="H23" s="4" t="inlineStr">
        <is>
          <t>WAITING_DAYS_REPAIRED</t>
        </is>
      </c>
    </row>
    <row r="24">
      <c r="A24" s="4" t="inlineStr">
        <is>
          <t>APT-100463</t>
        </is>
      </c>
      <c r="B24" s="4" t="inlineStr">
        <is>
          <t>6138627172</t>
        </is>
      </c>
      <c r="C24" s="4" t="inlineStr">
        <is>
          <t>OR</t>
        </is>
      </c>
      <c r="D24" s="11" t="n">
        <v>45735</v>
      </c>
      <c r="E24" s="4" t="inlineStr">
        <is>
          <t>ATT</t>
        </is>
      </c>
      <c r="F24" s="4" t="inlineStr">
        <is>
          <t>CLOSED</t>
        </is>
      </c>
      <c r="G24" s="4" t="n">
        <v>49.7</v>
      </c>
      <c r="H24" s="4" t="inlineStr">
        <is>
          <t>WAITING_DAYS_REPAIRED</t>
        </is>
      </c>
    </row>
    <row r="25">
      <c r="A25" s="4" t="inlineStr">
        <is>
          <t>APT-100478</t>
        </is>
      </c>
      <c r="B25" s="4" t="inlineStr">
        <is>
          <t>0983521995</t>
        </is>
      </c>
      <c r="C25" s="4" t="inlineStr">
        <is>
          <t>RS</t>
        </is>
      </c>
      <c r="D25" s="11" t="n">
        <v>45733</v>
      </c>
      <c r="E25" s="4" t="inlineStr">
        <is>
          <t>ATT</t>
        </is>
      </c>
      <c r="F25" s="4" t="inlineStr">
        <is>
          <t>CLOSED</t>
        </is>
      </c>
      <c r="G25" s="4" t="n">
        <v>43.9</v>
      </c>
      <c r="H25" s="4" t="inlineStr">
        <is>
          <t>WAITING_DAYS_REPAIRED</t>
        </is>
      </c>
    </row>
    <row r="26">
      <c r="A26" s="4" t="inlineStr">
        <is>
          <t>APT-100481</t>
        </is>
      </c>
      <c r="B26" s="4" t="inlineStr">
        <is>
          <t>7705503167</t>
        </is>
      </c>
      <c r="C26" s="4" t="inlineStr">
        <is>
          <t>RHE</t>
        </is>
      </c>
      <c r="D26" s="11" t="n">
        <v>45723</v>
      </c>
      <c r="E26" s="4" t="inlineStr">
        <is>
          <t>ATT</t>
        </is>
      </c>
      <c r="F26" s="4" t="inlineStr">
        <is>
          <t>CLOSED</t>
        </is>
      </c>
      <c r="G26" s="4" t="n">
        <v>54.3</v>
      </c>
      <c r="H26" s="4" t="inlineStr">
        <is>
          <t>WAITING_DAYS_REPAIRED</t>
        </is>
      </c>
    </row>
    <row r="27">
      <c r="A27" s="4" t="inlineStr">
        <is>
          <t>APT-100486</t>
        </is>
      </c>
      <c r="B27" s="4" t="inlineStr">
        <is>
          <t>5737092034</t>
        </is>
      </c>
      <c r="C27" s="4" t="inlineStr">
        <is>
          <t>OPH</t>
        </is>
      </c>
      <c r="D27" s="11" t="n">
        <v>45721</v>
      </c>
      <c r="E27" s="4" t="inlineStr">
        <is>
          <t>ATT</t>
        </is>
      </c>
      <c r="F27" s="4" t="inlineStr">
        <is>
          <t>CLOSED</t>
        </is>
      </c>
      <c r="G27" s="4" t="n">
        <v>43</v>
      </c>
      <c r="H27" s="4" t="inlineStr">
        <is>
          <t>WAITING_DAYS_REPAIRED</t>
        </is>
      </c>
    </row>
    <row r="28">
      <c r="A28" s="4" t="inlineStr">
        <is>
          <t>APT-100493</t>
        </is>
      </c>
      <c r="B28" s="4" t="inlineStr">
        <is>
          <t>4899279190</t>
        </is>
      </c>
      <c r="C28" s="4" t="inlineStr">
        <is>
          <t>GS</t>
        </is>
      </c>
      <c r="D28" s="11" t="n">
        <v>45722</v>
      </c>
      <c r="E28" s="4" t="inlineStr">
        <is>
          <t>ATT</t>
        </is>
      </c>
      <c r="F28" s="4" t="inlineStr">
        <is>
          <t>CLOSED</t>
        </is>
      </c>
      <c r="G28" s="4" t="n">
        <v>32.6</v>
      </c>
      <c r="H28" s="4" t="inlineStr">
        <is>
          <t>WAITING_DAYS_REPAIRED</t>
        </is>
      </c>
    </row>
    <row r="29">
      <c r="A29" s="4" t="inlineStr">
        <is>
          <t>APT-100501</t>
        </is>
      </c>
      <c r="B29" s="4" t="inlineStr">
        <is>
          <t>0232249246</t>
        </is>
      </c>
      <c r="C29" s="4" t="inlineStr">
        <is>
          <t>RHE</t>
        </is>
      </c>
      <c r="D29" s="11" t="n">
        <v>45733</v>
      </c>
      <c r="E29" s="4" t="inlineStr">
        <is>
          <t>ATT</t>
        </is>
      </c>
      <c r="F29" s="4" t="inlineStr">
        <is>
          <t>CLOSED</t>
        </is>
      </c>
      <c r="G29" s="4" t="n">
        <v>27</v>
      </c>
      <c r="H29" s="4" t="inlineStr">
        <is>
          <t>WAITING_DAYS_REPAIRED</t>
        </is>
      </c>
    </row>
    <row r="30">
      <c r="A30" s="4" t="inlineStr">
        <is>
          <t>APT-100515</t>
        </is>
      </c>
      <c r="B30" s="4" t="inlineStr">
        <is>
          <t>4485748550</t>
        </is>
      </c>
      <c r="C30" s="4" t="inlineStr">
        <is>
          <t>URO</t>
        </is>
      </c>
      <c r="D30" s="11" t="n">
        <v>45733</v>
      </c>
      <c r="E30" s="4" t="inlineStr">
        <is>
          <t>ATT</t>
        </is>
      </c>
      <c r="F30" s="4" t="inlineStr">
        <is>
          <t>CLOSED</t>
        </is>
      </c>
      <c r="G30" s="4" t="n">
        <v>37.3</v>
      </c>
      <c r="H30" s="4" t="inlineStr">
        <is>
          <t>WAITING_DAYS_REPAIRED</t>
        </is>
      </c>
    </row>
    <row r="31">
      <c r="A31" s="4" t="inlineStr">
        <is>
          <t>APT-100516</t>
        </is>
      </c>
      <c r="B31" s="4" t="inlineStr">
        <is>
          <t>1463206367</t>
        </is>
      </c>
      <c r="C31" s="4" t="inlineStr">
        <is>
          <t>OPH</t>
        </is>
      </c>
      <c r="D31" s="11" t="n">
        <v>45714</v>
      </c>
      <c r="E31" s="4" t="inlineStr">
        <is>
          <t>ATT</t>
        </is>
      </c>
      <c r="F31" s="4" t="inlineStr">
        <is>
          <t>CLOSED</t>
        </is>
      </c>
      <c r="G31" s="4" t="n">
        <v>45.1</v>
      </c>
      <c r="H31" s="4" t="inlineStr">
        <is>
          <t>WAITING_DAYS_REPAIRED</t>
        </is>
      </c>
    </row>
    <row r="32">
      <c r="A32" s="4" t="inlineStr">
        <is>
          <t>APT-100524</t>
        </is>
      </c>
      <c r="B32" s="4" t="inlineStr">
        <is>
          <t>6150650029</t>
        </is>
      </c>
      <c r="C32" s="4" t="inlineStr">
        <is>
          <t>RS</t>
        </is>
      </c>
      <c r="D32" s="11" t="n">
        <v>45712</v>
      </c>
      <c r="E32" s="4" t="inlineStr">
        <is>
          <t>ATT</t>
        </is>
      </c>
      <c r="F32" s="4" t="inlineStr">
        <is>
          <t>CLOSED</t>
        </is>
      </c>
      <c r="G32" s="4" t="n">
        <v>18.7</v>
      </c>
      <c r="H32" s="4" t="inlineStr">
        <is>
          <t>WAITING_DAYS_REPAIRED</t>
        </is>
      </c>
    </row>
    <row r="33">
      <c r="A33" s="4" t="inlineStr">
        <is>
          <t>APT-100529</t>
        </is>
      </c>
      <c r="B33" s="4" t="inlineStr">
        <is>
          <t>6561751489</t>
        </is>
      </c>
      <c r="C33" s="4" t="inlineStr">
        <is>
          <t>RHE</t>
        </is>
      </c>
      <c r="D33" s="11" t="n">
        <v>45716</v>
      </c>
      <c r="E33" s="4" t="inlineStr">
        <is>
          <t>ATT</t>
        </is>
      </c>
      <c r="F33" s="4" t="inlineStr">
        <is>
          <t>CLOSED</t>
        </is>
      </c>
      <c r="G33" s="4" t="n">
        <v>47.7</v>
      </c>
      <c r="H33" s="4" t="inlineStr">
        <is>
          <t>WAITING_DAYS_REPAIRED</t>
        </is>
      </c>
    </row>
    <row r="34">
      <c r="A34" s="4" t="inlineStr">
        <is>
          <t>APT-100530</t>
        </is>
      </c>
      <c r="B34" s="4" t="inlineStr">
        <is>
          <t>3401304991</t>
        </is>
      </c>
      <c r="C34" s="4" t="inlineStr">
        <is>
          <t>OPH</t>
        </is>
      </c>
      <c r="D34" s="11" t="n">
        <v>45719</v>
      </c>
      <c r="E34" s="4" t="inlineStr">
        <is>
          <t>ATT</t>
        </is>
      </c>
      <c r="F34" s="4" t="inlineStr">
        <is>
          <t>CLOSED</t>
        </is>
      </c>
      <c r="G34" s="4" t="n">
        <v>29</v>
      </c>
      <c r="H34" s="4" t="inlineStr">
        <is>
          <t>WAITING_DAYS_REPAIRED</t>
        </is>
      </c>
    </row>
    <row r="35">
      <c r="A35" s="4" t="inlineStr">
        <is>
          <t>APT-100535</t>
        </is>
      </c>
      <c r="B35" s="4" t="inlineStr">
        <is>
          <t>4482650360</t>
        </is>
      </c>
      <c r="C35" s="4" t="inlineStr">
        <is>
          <t>RS</t>
        </is>
      </c>
      <c r="D35" s="11" t="n">
        <v>45730</v>
      </c>
      <c r="E35" s="4" t="inlineStr">
        <is>
          <t>ATT</t>
        </is>
      </c>
      <c r="F35" s="4" t="inlineStr">
        <is>
          <t>CLOSED</t>
        </is>
      </c>
      <c r="G35" s="4" t="n">
        <v>38.7</v>
      </c>
      <c r="H35" s="4" t="inlineStr">
        <is>
          <t>WAITING_DAYS_REPAIRED</t>
        </is>
      </c>
    </row>
  </sheetData>
  <autoFilter ref="A2:H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0" customWidth="1" min="3" max="3"/>
  </cols>
  <sheetData>
    <row r="1">
      <c r="A1" s="15" t="inlineStr">
        <is>
          <t>Audit log</t>
        </is>
      </c>
    </row>
    <row r="2">
      <c r="A2" s="3" t="inlineStr">
        <is>
          <t>Item</t>
        </is>
      </c>
      <c r="B2" s="3" t="inlineStr">
        <is>
          <t>Value</t>
        </is>
      </c>
    </row>
    <row r="3">
      <c r="A3" s="4" t="inlineStr">
        <is>
          <t>Run time</t>
        </is>
      </c>
      <c r="B3" s="4" t="inlineStr">
        <is>
          <t>23/10/2026 19:09:08</t>
        </is>
      </c>
    </row>
    <row r="4">
      <c r="A4" s="4" t="inlineStr">
        <is>
          <t>Run by</t>
        </is>
      </c>
      <c r="B4" s="4" t="inlineStr">
        <is>
          <t>Automated (Python 3 / pandas)</t>
        </is>
      </c>
    </row>
    <row r="5">
      <c r="A5" s="4" t="inlineStr">
        <is>
          <t>Notebook</t>
        </is>
      </c>
      <c r="B5" s="4" t="inlineStr">
        <is>
          <t>Waiting_List_Exception_Report.ipynb</t>
        </is>
      </c>
    </row>
    <row r="6">
      <c r="A6" s="4" t="inlineStr">
        <is>
          <t>Rows read (outpatients)</t>
        </is>
      </c>
      <c r="B6" s="4" t="n">
        <v>580</v>
      </c>
    </row>
    <row r="7">
      <c r="A7" s="4" t="inlineStr">
        <is>
          <t>Rows with valid status</t>
        </is>
      </c>
      <c r="B7" s="4" t="n">
        <v>579</v>
      </c>
    </row>
    <row r="8">
      <c r="A8" s="4" t="inlineStr">
        <is>
          <t>Measurable open pathways</t>
        </is>
      </c>
      <c r="B8" s="4" t="n">
        <v>131</v>
      </c>
    </row>
    <row r="9">
      <c r="A9" s="4" t="inlineStr">
        <is>
          <t>Input: Outpatients</t>
        </is>
      </c>
      <c r="B9" s="4" t="inlineStr">
        <is>
          <t>03_outpatient_appointments.csv (580 rows)</t>
        </is>
      </c>
    </row>
    <row r="10">
      <c r="A10" s="4" t="inlineStr">
        <is>
          <t>Input: Inpatients</t>
        </is>
      </c>
      <c r="B10" s="4" t="inlineStr">
        <is>
          <t>04_inpatient_admissions.csv (1206 rows)</t>
        </is>
      </c>
    </row>
    <row r="11">
      <c r="A11" s="4" t="inlineStr">
        <is>
          <t>Input: ED</t>
        </is>
      </c>
      <c r="B11" s="4" t="inlineStr">
        <is>
          <t>05_ed_attendances.csv (969 rows)</t>
        </is>
      </c>
    </row>
    <row r="12">
      <c r="A12" s="4" t="inlineStr">
        <is>
          <t>Input: Theatres</t>
        </is>
      </c>
      <c r="B12" s="4" t="inlineStr">
        <is>
          <t>06_theatre_utilisation.csv (208 rows)</t>
        </is>
      </c>
    </row>
    <row r="13">
      <c r="A13" s="4" t="inlineStr">
        <is>
          <t>Input: Workforce</t>
        </is>
      </c>
      <c r="B13" s="4" t="inlineStr">
        <is>
          <t>07_workforce_staffing.csv (1560 rows)</t>
        </is>
      </c>
    </row>
    <row r="16">
      <c r="A16" s="15" t="inlineStr">
        <is>
          <t>Cleaning rules applied</t>
        </is>
      </c>
    </row>
    <row r="17">
      <c r="A17" s="3" t="inlineStr">
        <is>
          <t>Rule</t>
        </is>
      </c>
      <c r="B17" s="3" t="inlineStr">
        <is>
          <t>Rows affected</t>
        </is>
      </c>
      <c r="C17" s="3" t="inlineStr">
        <is>
          <t>Action</t>
        </is>
      </c>
    </row>
    <row r="18">
      <c r="A18" s="4" t="inlineStr">
        <is>
          <t>C1</t>
        </is>
      </c>
      <c r="B18" s="4" t="n">
        <v>1</v>
      </c>
      <c r="C18" s="4" t="inlineStr">
        <is>
          <t>Non-standard spelling mapped to ATT</t>
        </is>
      </c>
    </row>
    <row r="19">
      <c r="A19" s="4" t="inlineStr">
        <is>
          <t>C2</t>
        </is>
      </c>
      <c r="B19" s="4" t="n">
        <v>1</v>
      </c>
      <c r="C19" s="4" t="inlineStr">
        <is>
          <t>Non-standard status (e.g. N/A) excluded from DNA denominator</t>
        </is>
      </c>
    </row>
    <row r="20">
      <c r="A20" s="4" t="inlineStr">
        <is>
          <t>C3</t>
        </is>
      </c>
      <c r="B20" s="4" t="n">
        <v>3</v>
      </c>
      <c r="C20" s="4" t="inlineStr">
        <is>
          <t>Blank NHS Number flagged — listed as exception</t>
        </is>
      </c>
    </row>
    <row r="21">
      <c r="A21" s="4" t="inlineStr">
        <is>
          <t>C4</t>
        </is>
      </c>
      <c r="B21" s="4" t="n">
        <v>28</v>
      </c>
      <c r="C21" s="4" t="inlineStr">
        <is>
          <t>Text in Waiting_Days recovered as RTT_Weeks x 7</t>
        </is>
      </c>
    </row>
    <row r="22">
      <c r="A22" s="4" t="inlineStr">
        <is>
          <t>C5</t>
        </is>
      </c>
      <c r="B22" s="4" t="n">
        <v>1</v>
      </c>
      <c r="C22" s="4" t="inlineStr">
        <is>
          <t>Negative Waiting_Days set to blank</t>
        </is>
      </c>
    </row>
    <row r="23">
      <c r="A23" s="4" t="inlineStr">
        <is>
          <t>C6</t>
        </is>
      </c>
      <c r="B23" s="4" t="n">
        <v>1</v>
      </c>
      <c r="C23" s="4" t="inlineStr">
        <is>
          <t>Blank RTT_Status with weeks recorded -&gt; OPEN</t>
        </is>
      </c>
    </row>
    <row r="24">
      <c r="A24" s="4" t="inlineStr">
        <is>
          <t>C7</t>
        </is>
      </c>
      <c r="B24" s="4" t="n">
        <v>1</v>
      </c>
      <c r="C24" s="4" t="inlineStr">
        <is>
          <t>OPEN pathway with no RTT_Weeks — not measurable</t>
        </is>
      </c>
    </row>
    <row r="25">
      <c r="A25" s="4" t="inlineStr">
        <is>
          <t>C8</t>
        </is>
      </c>
      <c r="B25" s="4" t="n">
        <v>3</v>
      </c>
      <c r="C25" s="4" t="inlineStr">
        <is>
          <t>Retired specialty GEN mapped to 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2026-10-23T18:09:08Z</dcterms:created>
  <dcterms:modified xmlns:dcterms="http://purl.org/dc/terms/" xmlns:xsi="http://www.w3.org/2001/XMLSchema-instance" xsi:type="dcterms:W3CDTF">2026-10-23T18:09:08Z</dcterms:modified>
</cp:coreProperties>
</file>