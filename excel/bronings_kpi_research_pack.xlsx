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PI_Register" sheetId="2" state="visible" r:id="rId4"/>
    <sheet name="Gap_Analysis" sheetId="3" state="visible" r:id="rId5"/>
    <sheet name="DNA_Method" sheetId="4" state="visible" r:id="rId6"/>
    <sheet name="Financial_Exposure" sheetId="5" state="visible" r:id="rId7"/>
    <sheet name="Sources" sheetId="6" state="visible" r:id="rId8"/>
  </sheets>
  <definedNames>
    <definedName function="false" hidden="true" localSheetId="1" name="_xlnm._FilterDatabase" vbProcedure="false">KPI_Register!$A$1:$AA$19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1" authorId="0">
      <text>
        <r>
          <rPr>
            <sz val="10"/>
            <rFont val="Arial"/>
            <family val="2"/>
          </rPr>
          <t xml:space="preserve">Current figures from the company brief (Jan 2025). Blank = Unknown or Disputed on the Board KPI table.</t>
        </r>
      </text>
    </comment>
    <comment ref="S1" authorId="0">
      <text>
        <r>
          <rPr>
            <sz val="10"/>
            <rFont val="Arial"/>
            <family val="2"/>
          </rPr>
          <t xml:space="preserve">Numeric version of column K used for the gap calculation. Blank where no national numeric standard exists.</t>
        </r>
      </text>
    </comment>
    <comment ref="U1" authorId="0">
      <text>
        <r>
          <rPr>
            <sz val="10"/>
            <rFont val="Arial"/>
            <family val="2"/>
          </rPr>
          <t xml:space="preserve">Direction-aware. Positive = better than standard; negative = shortfall.</t>
        </r>
      </text>
    </comment>
  </commentList>
</comments>
</file>

<file path=xl/sharedStrings.xml><?xml version="1.0" encoding="utf-8"?>
<sst xmlns="http://schemas.openxmlformats.org/spreadsheetml/2006/main" count="584" uniqueCount="504">
  <si>
    <t xml:space="preserve">Bronings University Hospital Group — 18-KPI Research Pack</t>
  </si>
  <si>
    <t xml:space="preserve">Phase 2 deliverable · Prepared for Tom Nguyen (Director of Operations) · Input to the Phase 5 KPI Design Workshop and Phase 6 dashboards</t>
  </si>
  <si>
    <t xml:space="preserve">Prepared by: Lucky Ukeni, Advanced Healthcare Data Analyst · 17 January 2025 · Status: DRAFT for workshop</t>
  </si>
  <si>
    <t xml:space="preserve">Purpose</t>
  </si>
  <si>
    <t xml:space="preserve">Bronings has no agreed KPI framework — three departments produced three DNA rates (9.8%, 12.4%, 14.1%) from the same data. This pack fixes one definition per KPI so every stakeholder works from the same formula, source, standard, target and owner.</t>
  </si>
  <si>
    <t xml:space="preserve">How the 7 required fields map to KPI_Register (columns C–K, blue headers)</t>
  </si>
  <si>
    <t xml:space="preserve">1. KPI name and abbreviation → columns C–D   ·   2. Formula → column E (numerator F, denominator G, rules H)   ·   3. Data source → columns I–J   ·   4. NHS England standard → column K</t>
  </si>
  <si>
    <t xml:space="preserve">5. Bronings Trust target → column L   ·   6. Operational owner (department) → column M (named lead in N)   ·   7. Business decision supported → column O</t>
  </si>
  <si>
    <t xml:space="preserve">Columns P onwards (grey headers) add value for the workshop: numeric targets, current figure, gap, data confidence, action on breach and sources.</t>
  </si>
  <si>
    <t xml:space="preserve">Sheets</t>
  </si>
  <si>
    <t xml:space="preserve">KPI_Register — the 18 KPIs.   Gap_Analysis — current vs Trust target vs NHS standard (formula-driven).   DNA_Method — the three DNA figures explained, with a calculator.   Financial_Exposure — the brief's £ risk rebuilt with formulas.   Sources — references.</t>
  </si>
  <si>
    <t xml:space="preserve">Legend</t>
  </si>
  <si>
    <t xml:space="preserve">Blue text = hardcoded input (company brief, process notes or published NHS source). Black = formula. Green text = linked from another sheet. Yellow fill = input for you to fill in.</t>
  </si>
  <si>
    <t xml:space="preserve">Data source columns: names marked ✔ are confirmed in the company brief / process notes; names marked [?] are the expected column names and must be confirmed against Bronings_Master_v14 in Phase 3.</t>
  </si>
  <si>
    <t xml:space="preserve">Trust targets marked 'Proposed' are not in the company brief — they are recommendations for ratification at the Phase 5 workshop.</t>
  </si>
  <si>
    <t xml:space="preserve">Data confidence (can Tom quote it today?): Green = defensible · Amber = usable with caveat · Red = do not quote · Unknown = cannot be calculated yet.</t>
  </si>
  <si>
    <t xml:space="preserve">Percentages are stored as fractions (0.813 = 81.3%).</t>
  </si>
  <si>
    <t xml:space="preserve">Key caveat</t>
  </si>
  <si>
    <t xml:space="preserve">NHS England sets constitutional standards (e.g. 95% ED 4-hour, 92% RTT) and lower annual interim planning targets (e.g. 78% ED 4-hour by March 2025). Both are shown. Simulation date is January 2025, so 2024/25 and 2025/26 planning guidance apply.</t>
  </si>
  <si>
    <t xml:space="preserve">KPI_ID</t>
  </si>
  <si>
    <t xml:space="preserve">Domain</t>
  </si>
  <si>
    <t xml:space="preserve">1. KPI name</t>
  </si>
  <si>
    <t xml:space="preserve">1. Abbreviation</t>
  </si>
  <si>
    <t xml:space="preserve">2. Formula (exact calculation)</t>
  </si>
  <si>
    <t xml:space="preserve">Numerator</t>
  </si>
  <si>
    <t xml:space="preserve">Denominator</t>
  </si>
  <si>
    <t xml:space="preserve">Inclusion / exclusion rules</t>
  </si>
  <si>
    <t xml:space="preserve">3. Data source — system</t>
  </si>
  <si>
    <t xml:space="preserve">3. Data source — sheet &amp; column(s)</t>
  </si>
  <si>
    <t xml:space="preserve">4. NHS England standard / benchmark</t>
  </si>
  <si>
    <t xml:space="preserve">5. Bronings Trust target</t>
  </si>
  <si>
    <t xml:space="preserve">6. Operational owner (department)</t>
  </si>
  <si>
    <t xml:space="preserve">Named lead</t>
  </si>
  <si>
    <t xml:space="preserve">7. Business decision supported</t>
  </si>
  <si>
    <t xml:space="preserve">Unit</t>
  </si>
  <si>
    <t xml:space="preserve">Better when</t>
  </si>
  <si>
    <t xml:space="preserve">Bronings current</t>
  </si>
  <si>
    <t xml:space="preserve">NHS standard (value)</t>
  </si>
  <si>
    <t xml:space="preserve">Trust target (value)</t>
  </si>
  <si>
    <t xml:space="preserve">Gap to NHS standard</t>
  </si>
  <si>
    <t xml:space="preserve">Status vs NHS standard</t>
  </si>
  <si>
    <t xml:space="preserve">Data confidence</t>
  </si>
  <si>
    <t xml:space="preserve">Why confidence is limited</t>
  </si>
  <si>
    <t xml:space="preserve">Action on breach</t>
  </si>
  <si>
    <t xml:space="preserve">Reporting frequency</t>
  </si>
  <si>
    <t xml:space="preserve">Benchmark source</t>
  </si>
  <si>
    <t xml:space="preserve">K01</t>
  </si>
  <si>
    <t xml:space="preserve">Emergency</t>
  </si>
  <si>
    <t xml:space="preserve">ED 4-hour target compliance</t>
  </si>
  <si>
    <t xml:space="preserve">4HT</t>
  </si>
  <si>
    <t xml:space="preserve">(ED attendances with Departure_DateTime − Arrival_DateTime ≤ 4 hours) ÷ (all ED attendances) × 100</t>
  </si>
  <si>
    <t xml:space="preserve">ED attendances admitted, transferred or discharged within 240 minutes of arrival</t>
  </si>
  <si>
    <t xml:space="preserve">All ED attendances in the period</t>
  </si>
  <si>
    <t xml:space="preserve">All departure types counted (ADM, DISC, LWBS, transfer). Remove duplicate ED-IDs. Reformat 14 Nov 2024 downtime entries (DD-MM-YYYY HH:MM) before calculating.</t>
  </si>
  <si>
    <t xml:space="preserve">EDIS</t>
  </si>
  <si>
    <t xml:space="preserve">ED_Attendances: ED_ID ✔ (ED-XXXXXXX), Arrival_DateTime [?], Departure_DateTime [?], Departure_Method [?]</t>
  </si>
  <si>
    <t xml:space="preserve">95% (NHS Constitution). Interim: 78% by March 2025 (2024/25 planning guidance)</t>
  </si>
  <si>
    <t xml:space="preserve">90%</t>
  </si>
  <si>
    <t xml:space="preserve">Urgent &amp; Emergency Care (Operations)</t>
  </si>
  <si>
    <t xml:space="preserve">Tom Nguyen, Director of Operations</t>
  </si>
  <si>
    <t xml:space="preserve">ED staffing and flow investment; escalation (OPEL) decisions; the headline figure NHS England will test.</t>
  </si>
  <si>
    <t xml:space="preserve">%</t>
  </si>
  <si>
    <t xml:space="preserve">Higher</t>
  </si>
  <si>
    <t xml:space="preserve">Amber</t>
  </si>
  <si>
    <t xml:space="preserve">Board figure is counted by eye in a filtered view — no audit trail. 14 Nov 2024 manual entries in non-standard date format.</t>
  </si>
  <si>
    <t xml:space="preserve">Below 78%: daily breach review by cause (bed wait / clinical / assessment). Below Trust target 3 months running: recovery plan to Board.</t>
  </si>
  <si>
    <t xml:space="preserve">Daily; monthly statutory</t>
  </si>
  <si>
    <t xml:space="preserve">NHS Constitution; NHS England 2024/25 planning guidance</t>
  </si>
  <si>
    <t xml:space="preserve">K02</t>
  </si>
  <si>
    <t xml:space="preserve">ED Left Without Being Seen rate</t>
  </si>
  <si>
    <t xml:space="preserve">LWBS</t>
  </si>
  <si>
    <t xml:space="preserve">(ED attendances with Departure_Method = 'LWBS') ÷ (all ED attendances) × 100</t>
  </si>
  <si>
    <t xml:space="preserve">Attendances coded LWBS</t>
  </si>
  <si>
    <t xml:space="preserve">Glossary code LWBS only. Same cleaning rules as 4HT.</t>
  </si>
  <si>
    <t xml:space="preserve">ED_Attendances: Departure_Method [?] (code LWBS ✔), ED_ID ✔</t>
  </si>
  <si>
    <t xml:space="preserve">≤5% (A&amp;E clinical quality indicators, DH 2010/11). No current national target</t>
  </si>
  <si>
    <t xml:space="preserve">Proposed: &lt;5%</t>
  </si>
  <si>
    <t xml:space="preserve">Urgent &amp; Emergency Care (ED)</t>
  </si>
  <si>
    <t xml:space="preserve">ED Clinical Lead (reports to Tom Nguyen)</t>
  </si>
  <si>
    <t xml:space="preserve">Triage and streaming capacity; front-door staffing at peak arrival times.</t>
  </si>
  <si>
    <t xml:space="preserve">Lower</t>
  </si>
  <si>
    <t xml:space="preserve">Depends on correct departure coding in EDIS; not yet profiled.</t>
  </si>
  <si>
    <t xml:space="preserve">Above 5%: review by hour/day; check triage-to-clinician times; re-roster to peaks.</t>
  </si>
  <si>
    <t xml:space="preserve">Weekly / monthly</t>
  </si>
  <si>
    <t xml:space="preserve">A&amp;E Clinical Quality Indicators (DH)</t>
  </si>
  <si>
    <t xml:space="preserve">K03</t>
  </si>
  <si>
    <t xml:space="preserve">Outpatients</t>
  </si>
  <si>
    <t xml:space="preserve">DNA (Did Not Attend) rate</t>
  </si>
  <si>
    <t xml:space="preserve">DNA</t>
  </si>
  <si>
    <t xml:space="preserve">COUNTIF(ATT_STATUS,"DNA") ÷ (COUNTIF(ATT_STATUS,"ATT") + COUNTIF(ATT_STATUS,"DNA") + COUNTIF(ATT_STATUS,"REF")) × 100</t>
  </si>
  <si>
    <t xml:space="preserve">Appointments with ATT_STATUS = DNA</t>
  </si>
  <si>
    <t xml:space="preserve">All booked appointments excluding cancellations (ATT + DNA + REF)</t>
  </si>
  <si>
    <t xml:space="preserve">Exclude CAN (Trust cancellations) and blank status. Fixed period = financial quarter. Exclude CL-OLD / CL-DEP clinics and 5-digit (truncated) APT-IDs pending validation. Workshop to confirm REF treatment.</t>
  </si>
  <si>
    <t xml:space="preserve">PAS</t>
  </si>
  <si>
    <t xml:space="preserve">Outpatient_Appointments: ATT_STATUS ✔ (column F), APT_ID ✔, clinic_code ✔, Appointment_Date [?]</t>
  </si>
  <si>
    <t xml:space="preserve">No constitutional standard. National average 7.6% (2021/22, NHS England). NHS England definition: denominator excludes cancelled appointments. Brief cites NHS &lt;10%</t>
  </si>
  <si>
    <t xml:space="preserve">&lt;8%</t>
  </si>
  <si>
    <t xml:space="preserve">Outpatients (Performance team)</t>
  </si>
  <si>
    <t xml:space="preserve">Sarah Okafor, Performance Manager</t>
  </si>
  <si>
    <t xml:space="preserve">Where to target SMS reminders, overbooking and clinic redesign; frees clinic capacity for RTT recovery.</t>
  </si>
  <si>
    <t xml:space="preserve">Red</t>
  </si>
  <si>
    <t xml:space="preserve">Three competing figures (9.8% / 12.4% / 14.1%) — none valid. See DNA_Method sheet.</t>
  </si>
  <si>
    <t xml:space="preserve">Above 8%: drill down by specialty and clinic; check reminder coverage; review repeat non-attenders for safeguarding ('was not brought').</t>
  </si>
  <si>
    <t xml:space="preserve">Monthly</t>
  </si>
  <si>
    <t xml:space="preserve">NHS England: Reducing DNAs in outpatient services</t>
  </si>
  <si>
    <t xml:space="preserve">K04</t>
  </si>
  <si>
    <t xml:space="preserve">Elective</t>
  </si>
  <si>
    <t xml:space="preserve">RTT 18-week compliance</t>
  </si>
  <si>
    <t xml:space="preserve">RTT18</t>
  </si>
  <si>
    <t xml:space="preserve">(Open RTT pathways with clock-start-to-month-end ≤ 18 weeks) ÷ (all open RTT pathways) × 100</t>
  </si>
  <si>
    <t xml:space="preserve">Incomplete pathways waiting 18 weeks or less</t>
  </si>
  <si>
    <t xml:space="preserve">All incomplete (open) RTT pathways at month end</t>
  </si>
  <si>
    <t xml:space="preserve">Incomplete pathways only. Remove pathways that have stopped but are still marked OPEN (suspected cause of the 12–18 patient PAS vs Unify2 gap).</t>
  </si>
  <si>
    <t xml:space="preserve">RTT_Compliance (rebuild — pivot stale since Aug 2024); Outpatient_Appointments: Referral_Date [?], Waiting_Days ✔, Pathway_Status [?]</t>
  </si>
  <si>
    <t xml:space="preserve">92% (NHS Constitution). Interim: 65% nationally by March 2026, every trust +5 points (2025/26 guidance)</t>
  </si>
  <si>
    <t xml:space="preserve">88%</t>
  </si>
  <si>
    <t xml:space="preserve">Elective Care / Planned Care (Operations)</t>
  </si>
  <si>
    <t xml:space="preserve">Which specialties need extra capacity, outsourcing or validation; statutory monthly RTT submission.</t>
  </si>
  <si>
    <t xml:space="preserve">RTT_Compliance pivot on manual refresh since August 2024 — 74.8% may be an August figure. v13 VLOOKUP error. PAS vs Unify2 gap unresolved.</t>
  </si>
  <si>
    <t xml:space="preserve">Specialty breakdown monthly; any specialty below target gets a recovery trajectory; validate open pathways before each submission.</t>
  </si>
  <si>
    <t xml:space="preserve">Monthly statutory</t>
  </si>
  <si>
    <t xml:space="preserve">NHS Constitution; NHS England 2025/26 planning guidance</t>
  </si>
  <si>
    <t xml:space="preserve">K05</t>
  </si>
  <si>
    <t xml:space="preserve">Waiting list size (open RTT pathways)</t>
  </si>
  <si>
    <t xml:space="preserve">RTT-WL</t>
  </si>
  <si>
    <t xml:space="preserve">COUNT of open RTT pathways at month-end snapshot (= denominator of RTT18)</t>
  </si>
  <si>
    <t xml:space="preserve">Open RTT pathways at month end</t>
  </si>
  <si>
    <t xml:space="preserve">n/a — count (trend vs previous month and vs plan trajectory)</t>
  </si>
  <si>
    <t xml:space="preserve">Validated open pathways only; de-duplicate on valid 10-digit NHS Number + pathway ID.</t>
  </si>
  <si>
    <t xml:space="preserve">Outpatient_Appointments / RTT_Compliance: Pathway_ID [?], Pathway_Status [?], NHS_Number ✔</t>
  </si>
  <si>
    <t xml:space="preserve">No fixed national size target. NHS England tracks list size monthly; 2025/26 guidance sets 18-week and 52-week ratios rather than list size</t>
  </si>
  <si>
    <t xml:space="preserve">Proposed: month-on-month reduction against agreed trajectory</t>
  </si>
  <si>
    <t xml:space="preserve">Elective Care (Operations / Performance)</t>
  </si>
  <si>
    <t xml:space="preserve">Capacity-vs-demand planning; validation programme; outsourcing and insourcing decisions.</t>
  </si>
  <si>
    <t xml:space="preserve">Count</t>
  </si>
  <si>
    <t xml:space="preserve">Includes pathways that have stopped but remain OPEN; truncated NHS Numbers may create duplicates.</t>
  </si>
  <si>
    <t xml:space="preserve">List growing for 2+ months: demand/capacity review by specialty; prioritise validation.</t>
  </si>
  <si>
    <t xml:space="preserve">NHS England RTT waiting times statistics</t>
  </si>
  <si>
    <t xml:space="preserve">K06</t>
  </si>
  <si>
    <t xml:space="preserve">Patients waiting more than 52 weeks</t>
  </si>
  <si>
    <t xml:space="preserve">RTT52</t>
  </si>
  <si>
    <t xml:space="preserve">COUNTIFS(Pathway_Status,"OPEN", Waiting_Weeks,"&gt;52")  — also report &gt;104 weeks separately</t>
  </si>
  <si>
    <t xml:space="preserve">Open RTT pathways waiting over 52 weeks</t>
  </si>
  <si>
    <t xml:space="preserve">n/a — count (also as % of waiting list)</t>
  </si>
  <si>
    <t xml:space="preserve">Same validation as RTT18. Report &gt;104-week patients (currently 47) as a sub-count.</t>
  </si>
  <si>
    <t xml:space="preserve">RTT_Compliance; Outpatient_Appointments: Waiting_Days ✔ (÷7), Pathway_Status [?]</t>
  </si>
  <si>
    <t xml:space="preserve">Zero; 2025/26 interim: fewer than 1% of the waiting list by March 2026</t>
  </si>
  <si>
    <t xml:space="preserve">0</t>
  </si>
  <si>
    <t xml:space="preserve">Elective Care (Operations)</t>
  </si>
  <si>
    <t xml:space="preserve">Prioritising long-waiters; mutual aid and outsourcing; financial exposure (£14,000 per breach per brief).</t>
  </si>
  <si>
    <t xml:space="preserve">Count depends on unvalidated open pathways (PAS vs Unify2 differ by 12–18 patients).</t>
  </si>
  <si>
    <t xml:space="preserve">Weekly patient-level list with a treatment date for each; clinical harm review for every patient over 52 weeks.</t>
  </si>
  <si>
    <t xml:space="preserve">NHS England 2025/26 planning guidance</t>
  </si>
  <si>
    <t xml:space="preserve">K07</t>
  </si>
  <si>
    <t xml:space="preserve">Theatre utilisation rate</t>
  </si>
  <si>
    <t xml:space="preserve">TU</t>
  </si>
  <si>
    <t xml:space="preserve">Recommended (GIRFT capped): SUM(touch-time within planned session, capped at session end) ÷ SUM(planned session time) × 100. Current Trust method: Sessions_Used ÷ Sessions_Available</t>
  </si>
  <si>
    <t xml:space="preserve">Capped operating (touch) time in elective sessions</t>
  </si>
  <si>
    <t xml:space="preserve">Planned elective session time (T1–T3)</t>
  </si>
  <si>
    <t xml:space="preserve">Exclude T4 (emergency &amp; trauma). Weeks where Sessions_Used &gt; Sessions_Available are entry errors — fix at source; stop the silent 'fudge' rule.</t>
  </si>
  <si>
    <t xml:space="preserve">TMS</t>
  </si>
  <si>
    <t xml:space="preserve">Theatre_Utilisation: Sessions_Used ✔, Sessions_Available ✔, Theatre_ID ✔ (T1–T4), Planned_Hours [?], Touch_Time_Hours [?]</t>
  </si>
  <si>
    <t xml:space="preserve">85% capped touch-time utilisation (GIRFT, 2024/25)</t>
  </si>
  <si>
    <t xml:space="preserve">85%</t>
  </si>
  <si>
    <t xml:space="preserve">Theatres &amp; Anaesthetics (Surgical division)</t>
  </si>
  <si>
    <t xml:space="preserve">Theatres Manager (accountable: Tom Nguyen)</t>
  </si>
  <si>
    <t xml:space="preserve">Session planning and reallocation; list scheduling; whether to cancel or repurpose under-used sessions (~£180k/month unused).</t>
  </si>
  <si>
    <t xml:space="preserve">No agreed definition: 63% (sessions) vs 71% (hours) vs a third TMS method.</t>
  </si>
  <si>
    <t xml:space="preserve">Below 85%: session-level review of late starts, early finishes, on-the-day cancellations; reallocate persistently unused sessions.</t>
  </si>
  <si>
    <t xml:space="preserve">GIRFT Theatre Productivity programme</t>
  </si>
  <si>
    <t xml:space="preserve">K08</t>
  </si>
  <si>
    <t xml:space="preserve">Cancelled operations rate</t>
  </si>
  <si>
    <t xml:space="preserve">CANOP</t>
  </si>
  <si>
    <t xml:space="preserve">(Elective operations cancelled at the last minute for non-clinical reasons) ÷ (elective admissions) × 100;  plus % of those patients not treated within 28 days</t>
  </si>
  <si>
    <t xml:space="preserve">Last-minute non-clinical cancellations (on the day or after arrival)</t>
  </si>
  <si>
    <t xml:space="preserve">All elective (ELEC) admissions in the period</t>
  </si>
  <si>
    <t xml:space="preserve">Last minute = on the day of surgery or after admission. Non-clinical reasons only (e.g. no bed, list over-run, staff). Exclude patient-initiated cancellations.</t>
  </si>
  <si>
    <t xml:space="preserve">TMS + EHR</t>
  </si>
  <si>
    <t xml:space="preserve">Theatre_Utilisation: Cancellation_Reason [?], Cancellation_Date [?]; Inpatient_Admissions: Admission_Type = ELEC ✔</t>
  </si>
  <si>
    <t xml:space="preserve">National ≈0.9% of elective activity (Q2 2025/26). NHS Constitution: every patient offered a binding new date within 28 days</t>
  </si>
  <si>
    <t xml:space="preserve">Proposed: &lt;0.8%; 100% rebooked within 28 days</t>
  </si>
  <si>
    <t xml:space="preserve">Theatres &amp; Surgical division (with Patient Flow)</t>
  </si>
  <si>
    <t xml:space="preserve">Theatres Manager / Tom Nguyen</t>
  </si>
  <si>
    <t xml:space="preserve">Protecting elective beds; list planning; statutory Cancelled Operations return.</t>
  </si>
  <si>
    <t xml:space="preserve">Unknown</t>
  </si>
  <si>
    <t xml:space="preserve">Cancellation fields not yet profiled in the TMS export; TMS does not always update cancelled sessions (pipeline issue 5).</t>
  </si>
  <si>
    <t xml:space="preserve">Any breach of 28-day rule escalated to Tom; weekly review of cancellation reasons (bed availability vs theatre).</t>
  </si>
  <si>
    <t xml:space="preserve">Monthly statutory (quarterly national publication)</t>
  </si>
  <si>
    <t xml:space="preserve">NHS England Cancelled Elective Operations statistics</t>
  </si>
  <si>
    <t xml:space="preserve">K09</t>
  </si>
  <si>
    <t xml:space="preserve">Flow &amp; Quality</t>
  </si>
  <si>
    <t xml:space="preserve">Bed occupancy rate</t>
  </si>
  <si>
    <t xml:space="preserve">BOR</t>
  </si>
  <si>
    <t xml:space="preserve">(Occupied general &amp; acute beds at midnight census, averaged over period) ÷ (available G&amp;A beds) × 100</t>
  </si>
  <si>
    <t xml:space="preserve">Occupied beds at midnight (from admissions spanning midnight)</t>
  </si>
  <si>
    <t xml:space="preserve">Available beds (380; exclude W-08)</t>
  </si>
  <si>
    <t xml:space="preserve">Exclude W-08 (decommissioned Feb 2024). Midnight census averaged over the period.</t>
  </si>
  <si>
    <t xml:space="preserve">EHR</t>
  </si>
  <si>
    <t xml:space="preserve">Inpatient_Admissions: Admission_Date [?], Discharge_Date [?], Ward_Code ✔ (W-01–W-08); bed base = 380 (brief)</t>
  </si>
  <si>
    <t xml:space="preserve">≤92% (2023/24 planning guidance)</t>
  </si>
  <si>
    <t xml:space="preserve">&lt;85%</t>
  </si>
  <si>
    <t xml:space="preserve">Patient Flow / Site Management (Operations)</t>
  </si>
  <si>
    <t xml:space="preserve">Escalation beds, discharge focus, elective bed protection; the root driver of ED breaches.</t>
  </si>
  <si>
    <t xml:space="preserve">Bed_Occupancy sheet disappeared in workbook v11; method undocumented.</t>
  </si>
  <si>
    <t xml:space="preserve">Above 92%: daily discharge huddles, long-stayer (&gt;21 days) review, protect elective beds.</t>
  </si>
  <si>
    <t xml:space="preserve">Daily / monthly</t>
  </si>
  <si>
    <t xml:space="preserve">NHS England 2023/24 planning guidance</t>
  </si>
  <si>
    <t xml:space="preserve">K10</t>
  </si>
  <si>
    <t xml:space="preserve">Average length of stay</t>
  </si>
  <si>
    <t xml:space="preserve">ALOS</t>
  </si>
  <si>
    <t xml:space="preserve">SUM(Discharge_Date − Admission_Date) ÷ COUNT(discharged spells)</t>
  </si>
  <si>
    <t xml:space="preserve">Total bed days for spells discharged in the period</t>
  </si>
  <si>
    <t xml:space="preserve">Number of spells discharged in the period</t>
  </si>
  <si>
    <t xml:space="preserve">Discharged spells only. Report elective and emergency separately; exclude day cases (LOS = 0).</t>
  </si>
  <si>
    <t xml:space="preserve">Inpatient_Admissions: Admission_Date [?], Discharge_Date [?], Admission_Type ✔ (ELEC/EMER), Discharge_Method ✔ (HOME/TRANSFER)</t>
  </si>
  <si>
    <t xml:space="preserve">No national target — benchmark vs peers (Model Health System). Brief cites &lt;4.5 days</t>
  </si>
  <si>
    <t xml:space="preserve">&lt;4.5 days</t>
  </si>
  <si>
    <t xml:space="preserve">Medical &amp; Surgical divisions (Patient Flow)</t>
  </si>
  <si>
    <t xml:space="preserve">Medical Director (with Director of Operations)</t>
  </si>
  <si>
    <t xml:space="preserve">Discharge process improvement; community capacity; specialty bed allocation.</t>
  </si>
  <si>
    <t xml:space="preserve">Days</t>
  </si>
  <si>
    <t xml:space="preserve">Not currently calculated; admission/discharge dates not yet profiled.</t>
  </si>
  <si>
    <t xml:space="preserve">Above target: ward and specialty drill-down; review delayed discharges and patients with no criteria to reside.</t>
  </si>
  <si>
    <t xml:space="preserve">Model Health System; company brief</t>
  </si>
  <si>
    <t xml:space="preserve">K11</t>
  </si>
  <si>
    <t xml:space="preserve">30-day readmission rate</t>
  </si>
  <si>
    <t xml:space="preserve">RA30</t>
  </si>
  <si>
    <t xml:space="preserve">(Emergency readmissions within 30 days of a previous discharge) ÷ (all discharges in the period) × 100</t>
  </si>
  <si>
    <t xml:space="preserve">Discharges followed by an EMER admission within 30 days</t>
  </si>
  <si>
    <t xml:space="preserve">All discharges in the period</t>
  </si>
  <si>
    <t xml:space="preserve">Emergency readmissions only. Back-fill blank Readmission_Flag using admission-date logic (Nov 2024 governance decision).</t>
  </si>
  <si>
    <t xml:space="preserve">Inpatient_Admissions: Readmission_Flag ✔ (41 rows blank), Admission_Type ✔, Admission_Date [?], Discharge_Date [?], NHS_Number ✔</t>
  </si>
  <si>
    <t xml:space="preserve">No national target; monitored in NHS Oversight Framework. Brief cites &lt;10%</t>
  </si>
  <si>
    <t xml:space="preserve">&lt;10%</t>
  </si>
  <si>
    <t xml:space="preserve">Clinical Governance (Medical Director's office)</t>
  </si>
  <si>
    <t xml:space="preserve">Medical Director</t>
  </si>
  <si>
    <t xml:space="preserve">Discharge quality, follow-up and community support decisions.</t>
  </si>
  <si>
    <t xml:space="preserve">Readmission_Flag not populated by EHR — 41 rows blank; ownership disputed.</t>
  </si>
  <si>
    <t xml:space="preserve">Above 10%: specialty case review of readmissions; check discharge-planning compliance.</t>
  </si>
  <si>
    <t xml:space="preserve">NHS Oversight Framework; company brief</t>
  </si>
  <si>
    <t xml:space="preserve">K12</t>
  </si>
  <si>
    <t xml:space="preserve">Finance</t>
  </si>
  <si>
    <t xml:space="preserve">HRG coding completeness</t>
  </si>
  <si>
    <t xml:space="preserve">HRG%</t>
  </si>
  <si>
    <t xml:space="preserve">COUNTIFS(HRG_Code,"&lt;&gt;") ÷ COUNTA(Episode_ID) × 100;  £ at risk = blank episodes × £1,850</t>
  </si>
  <si>
    <t xml:space="preserve">Finished inpatient episodes with a valid HRG code</t>
  </si>
  <si>
    <t xml:space="preserve">All finished inpatient episodes in the period</t>
  </si>
  <si>
    <t xml:space="preserve">Finished episodes only (allow for coding lag in the current month).</t>
  </si>
  <si>
    <t xml:space="preserve">EHR → SUS</t>
  </si>
  <si>
    <t xml:space="preserve">Inpatient_Admissions: HRG_Code ✔, Episode_ID ✔ (EP-XXXXXXXX)</t>
  </si>
  <si>
    <t xml:space="preserve">98% (brief); complete coding required for monthly SUS submission</t>
  </si>
  <si>
    <t xml:space="preserve">98%</t>
  </si>
  <si>
    <t xml:space="preserve">Clinical Coding (Finance impact)</t>
  </si>
  <si>
    <t xml:space="preserve">Marcus Reid, Clinical Coding Manager (with Priya Chakrabarti)</t>
  </si>
  <si>
    <t xml:space="preserve">Coding resource allocation; income recovery before the SUS deadline (~£51,800/month at risk).</t>
  </si>
  <si>
    <t xml:space="preserve">~28 blank episodes/month estimated; exact count to confirm in Phase 3.</t>
  </si>
  <si>
    <t xml:space="preserve">Below 98%: send uncoded-episode list to Clinical Coding before SUS submission; report £ at risk to Priya.</t>
  </si>
  <si>
    <t xml:space="preserve">Company brief; SUS submission requirements</t>
  </si>
  <si>
    <t xml:space="preserve">K13</t>
  </si>
  <si>
    <t xml:space="preserve">Agency spend as % of total staff cost</t>
  </si>
  <si>
    <t xml:space="preserve">AGY%</t>
  </si>
  <si>
    <t xml:space="preserve">SUM(cost of shifts where Agency_Flag = 'Y') ÷ SUM(total staff cost) × 100  — report best/worst case until blank flags are resolved</t>
  </si>
  <si>
    <t xml:space="preserve">Agency staff cost (£)</t>
  </si>
  <si>
    <t xml:space="preserve">Total staff cost / pay bill (£)</t>
  </si>
  <si>
    <t xml:space="preserve">Exclude WRS training records (Staff_ID starting ST-99). Classify blank Agency_Flag shifts (bank vs agency) before calculating; reconcile to the Finance ledger.</t>
  </si>
  <si>
    <t xml:space="preserve">WRS + Finance System</t>
  </si>
  <si>
    <t xml:space="preserve">Workforce_Staffing: Agency_Flag ✔, Staff_ID ✔, Shift_ID ✔, Grade ✔, Shift_Cost [?]; Finance ledger agency cost centres</t>
  </si>
  <si>
    <t xml:space="preserve">Max 3.2% of total pay bill (2024/25 guidance); minimum 30% reduction in agency spend (2025/26)</t>
  </si>
  <si>
    <t xml:space="preserve">&lt;8% (brief) — above the national cap; recommend review</t>
  </si>
  <si>
    <t xml:space="preserve">Finance (with Workforce)</t>
  </si>
  <si>
    <t xml:space="preserve">Priya Chakrabarti, Finance Business Partner</t>
  </si>
  <si>
    <t xml:space="preserve">Agency approval controls; recruitment business cases; workforce spend reporting to the Board.</t>
  </si>
  <si>
    <t xml:space="preserve">Blank Agency_Flag for bank shifts booked outside the agency module — never quantified. Spend estimated £2.3m/yr.</t>
  </si>
  <si>
    <t xml:space="preserve">Above cap: executive sign-off for agency shifts; ward-level review of blank-flag shifts; monthly ledger reconciliation with documented assumptions.</t>
  </si>
  <si>
    <t xml:space="preserve">NHS England 2024/25 &amp; 2025/26 planning guidance</t>
  </si>
  <si>
    <t xml:space="preserve">K14</t>
  </si>
  <si>
    <t xml:space="preserve">Cost per patient episode</t>
  </si>
  <si>
    <t xml:space="preserve">CPE</t>
  </si>
  <si>
    <t xml:space="preserve">Total operating cost (£) ÷ number of finished patient episodes; also by HRG / specialty</t>
  </si>
  <si>
    <t xml:space="preserve">Total operating expenditure in the period (£)</t>
  </si>
  <si>
    <t xml:space="preserve">Finished patient episodes in the period</t>
  </si>
  <si>
    <t xml:space="preserve">Use the same period and scope for cost and activity (e.g. inpatients only, or all points of delivery). Uncoded episodes understate activity — fix HRG% first.</t>
  </si>
  <si>
    <t xml:space="preserve">Finance System + EHR</t>
  </si>
  <si>
    <t xml:space="preserve">Finance ledger (actuals by cost centre); Inpatient_Admissions: Episode_ID ✔, HRG_Code ✔, Specialty_Code ✔</t>
  </si>
  <si>
    <t xml:space="preserve">No national target. Benchmark vs peers using National Cost Collection / Model Health System</t>
  </si>
  <si>
    <t xml:space="preserve">Proposed: at or below peer median</t>
  </si>
  <si>
    <t xml:space="preserve">Finance (Service Line Reporting)</t>
  </si>
  <si>
    <t xml:space="preserve">Service-line efficiency and cost-improvement plans; pricing and contract negotiations.</t>
  </si>
  <si>
    <t xml:space="preserve">£</t>
  </si>
  <si>
    <t xml:space="preserve">Finance_Reconciliation sheet undocumented; episode counts affected by blank HRG codes.</t>
  </si>
  <si>
    <t xml:space="preserve">Above peer median: specialty cost drill-down (pay, drugs, theatre time); feed into cost-improvement plan.</t>
  </si>
  <si>
    <t xml:space="preserve">Monthly / quarterly</t>
  </si>
  <si>
    <t xml:space="preserve">National Cost Collection; Model Health System</t>
  </si>
  <si>
    <t xml:space="preserve">K15</t>
  </si>
  <si>
    <t xml:space="preserve">Quality &amp; Safety</t>
  </si>
  <si>
    <t xml:space="preserve">Patient safety incident rate</t>
  </si>
  <si>
    <t xml:space="preserve">PSIR</t>
  </si>
  <si>
    <t xml:space="preserve">(Patient safety incidents reported) ÷ (occupied bed days) × 1,000;  plus % causing moderate or severe harm</t>
  </si>
  <si>
    <t xml:space="preserve">Patient safety incidents reported in the period</t>
  </si>
  <si>
    <t xml:space="preserve">Occupied bed days in the period (÷ 1,000)</t>
  </si>
  <si>
    <t xml:space="preserve">All reported incidents (LFPSE). Report harm level separately — a high reporting rate with low harm indicates a good reporting culture.</t>
  </si>
  <si>
    <t xml:space="preserve">Incident system (LFPSE / Datix) + EHR</t>
  </si>
  <si>
    <t xml:space="preserve">Not in master workbook — incident export required; bed days from Inpatient_Admissions: Admission_Date [?], Discharge_Date [?]</t>
  </si>
  <si>
    <t xml:space="preserve">No national target. NHS England publishes LFPSE patient safety event statistics quarterly for comparison</t>
  </si>
  <si>
    <t xml:space="preserve">Proposed: reporting rate at or above peer median; moderate+ harm reducing</t>
  </si>
  <si>
    <t xml:space="preserve">Patient Safety / Clinical Governance</t>
  </si>
  <si>
    <t xml:space="preserve">Medical Director and Chief Nurse</t>
  </si>
  <si>
    <t xml:space="preserve">Safety improvement priorities under PSIRF; learning and assurance to the Board and CQC.</t>
  </si>
  <si>
    <t xml:space="preserve">Per 1,000</t>
  </si>
  <si>
    <t xml:space="preserve">Context</t>
  </si>
  <si>
    <t xml:space="preserve">Incident data not in the workbook; needs a new feed (flag to Daniel Walsh).</t>
  </si>
  <si>
    <t xml:space="preserve">Falling reporting or rising moderate+ harm: Patient Safety team review; themes to Quality Committee.</t>
  </si>
  <si>
    <t xml:space="preserve">NHS England patient safety data (LFPSE)</t>
  </si>
  <si>
    <t xml:space="preserve">K16</t>
  </si>
  <si>
    <t xml:space="preserve">Workforce</t>
  </si>
  <si>
    <t xml:space="preserve">Staff vacancy rate</t>
  </si>
  <si>
    <t xml:space="preserve">VAC</t>
  </si>
  <si>
    <t xml:space="preserve">(Funded establishment WTE − staff in post WTE) ÷ funded establishment WTE × 100</t>
  </si>
  <si>
    <t xml:space="preserve">Vacant funded WTE</t>
  </si>
  <si>
    <t xml:space="preserve">Funded establishment WTE</t>
  </si>
  <si>
    <t xml:space="preserve">Use the finance-funded establishment; report by staff group (CONS, REG, SHO, NURSE, HCA) and ward.</t>
  </si>
  <si>
    <t xml:space="preserve">Finance System + ESR/WRS</t>
  </si>
  <si>
    <t xml:space="preserve">Finance establishment ledger; Workforce_Staffing: Staff_ID ✔, Grade ✔ (staff in post)</t>
  </si>
  <si>
    <t xml:space="preserve">No national target. Benchmark vs NHS England quarterly NHS Vacancy Statistics</t>
  </si>
  <si>
    <t xml:space="preserve">Proposed: at or below national rate for each staff group</t>
  </si>
  <si>
    <t xml:space="preserve">Workforce / HR</t>
  </si>
  <si>
    <t xml:space="preserve">Adaeze Obi, Workforce Planning Manager</t>
  </si>
  <si>
    <t xml:space="preserve">Recruitment priorities and business cases; root cause of agency spend (AGY%).</t>
  </si>
  <si>
    <t xml:space="preserve">Establishment data not in the workbook.</t>
  </si>
  <si>
    <t xml:space="preserve">Above benchmark: targeted recruitment plan for hot-spot wards; skill-mix review.</t>
  </si>
  <si>
    <t xml:space="preserve">Quarterly</t>
  </si>
  <si>
    <t xml:space="preserve">NHS England Digital: NHS Vacancy Statistics</t>
  </si>
  <si>
    <t xml:space="preserve">K17</t>
  </si>
  <si>
    <t xml:space="preserve">Data Quality</t>
  </si>
  <si>
    <t xml:space="preserve">DSP Toolkit DQMI score</t>
  </si>
  <si>
    <t xml:space="preserve">DQMI</t>
  </si>
  <si>
    <t xml:space="preserve">NHS England DQMI: average across national datasets (e.g. SUS) of the % of data items that are complete and valid. Internal proxy = valid &amp; complete key fields ÷ total key fields × 100</t>
  </si>
  <si>
    <t xml:space="preserve">Valid and complete data items submitted</t>
  </si>
  <si>
    <t xml:space="preserve">All data items submitted</t>
  </si>
  <si>
    <t xml:space="preserve">Internal proxy uses Phase 3 field rules (e.g. NHS Number = 10 digits + Modulus 11; Specialty_Code in mapping table; valid dates).</t>
  </si>
  <si>
    <t xml:space="preserve">NHS England DQMI publication; internal DQ_Issue_Log</t>
  </si>
  <si>
    <t xml:space="preserve">DQ_Issue_Log (incomplete); all five export sheets</t>
  </si>
  <si>
    <t xml:space="preserve">75 / 100 = acceptable threshold (brief)</t>
  </si>
  <si>
    <t xml:space="preserve">≥75 by DSP Toolkit submission (March); internal DQ score &gt;95%</t>
  </si>
  <si>
    <t xml:space="preserve">Analytics / Information (with Information Governance)</t>
  </si>
  <si>
    <t xml:space="preserve">Head of Analytics (vacant — interim analyst); Fiona Lawson, IG Lead</t>
  </si>
  <si>
    <t xml:space="preserve">Which data fixes to prioritise; evidence for the DSP Toolkit submission and £380k CQUIN.</t>
  </si>
  <si>
    <t xml:space="preserve">Score</t>
  </si>
  <si>
    <t xml:space="preserve">Green</t>
  </si>
  <si>
    <t xml:space="preserve">Published score — defensible as a figure. The underlying data quality is the problem.</t>
  </si>
  <si>
    <t xml:space="preserve">Below 75: prioritised fix list via Daniel Walsh's pipeline queue; monthly DQ report to Tom.</t>
  </si>
  <si>
    <t xml:space="preserve">NHS Data Quality Maturity Index; company brief</t>
  </si>
  <si>
    <t xml:space="preserve">K18</t>
  </si>
  <si>
    <t xml:space="preserve">RTT clock start to stop accuracy</t>
  </si>
  <si>
    <t xml:space="preserve">RTT-CSA</t>
  </si>
  <si>
    <t xml:space="preserve">(Validated RTT pathways with correct clock start and clock stop per the RTT rules) ÷ (RTT pathways validated) × 100;  plus count of negative waits and PAS-vs-Unify2 difference</t>
  </si>
  <si>
    <t xml:space="preserve">Sampled pathways whose clock start (referral date) and clock stop (treatment / decision) are correctly recorded</t>
  </si>
  <si>
    <t xml:space="preserve">Pathways validated in the period (sample or full)</t>
  </si>
  <si>
    <t xml:space="preserve">Apply national RTT rules suite. Negative Waiting_Days (4 rows) = automatic fail. Include transferred-in patients with original clock start.</t>
  </si>
  <si>
    <t xml:space="preserve">PAS (vs Unify2 portal)</t>
  </si>
  <si>
    <t xml:space="preserve">Outpatient_Appointments: Referral_Date [?], Appointment_Date [?], Waiting_Days ✔, RTT_Status / outcome code [?]; Unify2 submission totals</t>
  </si>
  <si>
    <t xml:space="preserve">NHS England RTT rules suite: every pathway must have a recorded clock start and clock stop; Trust boards must assure waiting-time data quality</t>
  </si>
  <si>
    <t xml:space="preserve">Proposed: ≥98% of validated pathways correct; 0 negative waits; PAS = Unify2</t>
  </si>
  <si>
    <t xml:space="preserve">Elective Access / Performance team</t>
  </si>
  <si>
    <t xml:space="preserve">Whether the RTT submission can be defended to NHS England; how much validation resource is needed.</t>
  </si>
  <si>
    <t xml:space="preserve">4 negative Waiting_Days rows; PAS and Unify2 differ by 12–18 patients every month; closed pathways left OPEN.</t>
  </si>
  <si>
    <t xml:space="preserve">Below 98% or any negative wait: correct before submission; root-cause with PAS team; report to Tom.</t>
  </si>
  <si>
    <t xml:space="preserve">Monthly (before each RTT submission)</t>
  </si>
  <si>
    <t xml:space="preserve">NHS England: Recording and reporting RTT waiting times guidance</t>
  </si>
  <si>
    <t xml:space="preserve">Summary</t>
  </si>
  <si>
    <t xml:space="preserve">KPIs in framework</t>
  </si>
  <si>
    <t xml:space="preserve">Breaching NHS standard</t>
  </si>
  <si>
    <t xml:space="preserve">No current figure</t>
  </si>
  <si>
    <t xml:space="preserve">Confidence: Green</t>
  </si>
  <si>
    <t xml:space="preserve">Confidence: Amber</t>
  </si>
  <si>
    <t xml:space="preserve">Confidence: Red</t>
  </si>
  <si>
    <t xml:space="preserve">Confidence: Unknown</t>
  </si>
  <si>
    <t xml:space="preserve">Trust targets still to be agreed (Proposed)</t>
  </si>
  <si>
    <t xml:space="preserve">KPI</t>
  </si>
  <si>
    <t xml:space="preserve">Abbr.</t>
  </si>
  <si>
    <t xml:space="preserve">Trust target</t>
  </si>
  <si>
    <t xml:space="preserve">NHS standard</t>
  </si>
  <si>
    <t xml:space="preserve">NHS interim target</t>
  </si>
  <si>
    <t xml:space="preserve">Gap to Trust target</t>
  </si>
  <si>
    <t xml:space="preserve">Gap to interim</t>
  </si>
  <si>
    <t xml:space="preserve">Notes</t>
  </si>
  <si>
    <t xml:space="preserve">Green text = linked from KPI_Register. Blue = input. Negative gap = shortfall.</t>
  </si>
  <si>
    <t xml:space="preserve">Interim targets: ED 4-hour 78% (March 2025, 2024/25 guidance); RTT 65% (March 2026, 2025/26 guidance); theatre 85% (GIRFT).</t>
  </si>
  <si>
    <t xml:space="preserve">ED 4-hour (81.3%) is already above the 78% national interim target — a positive point for the review, while still 13.7 points below the constitutional standard.</t>
  </si>
  <si>
    <t xml:space="preserve">Caution: RTT 74.8% may be stale (pivot not refreshed since Aug 2024). Theatre 63% is sessions-based; hours-based is 71%.</t>
  </si>
  <si>
    <t xml:space="preserve">Only 5 of 18 KPIs have a current figure. The DNA rate is disputed; the other 12 cannot yet be calculated reliably.</t>
  </si>
  <si>
    <t xml:space="preserve">DNA rate — why three figures exist and the recommended method</t>
  </si>
  <si>
    <t xml:space="preserve">Version</t>
  </si>
  <si>
    <t xml:space="preserve">Reported value</t>
  </si>
  <si>
    <t xml:space="preserve">Where it lives</t>
  </si>
  <si>
    <t xml:space="preserve">Method</t>
  </si>
  <si>
    <t xml:space="preserve">Why it is wrong</t>
  </si>
  <si>
    <t xml:space="preserve">A — KPI_Summary (Operations)</t>
  </si>
  <si>
    <t xml:space="preserve">KPI_Summary!D14</t>
  </si>
  <si>
    <t xml:space="preserve">=COUNTIF(F:F,"DNA")/COUNTA(F:F)</t>
  </si>
  <si>
    <t xml:space="preserve">COUNTA counts the header row; CAN (Trust cancellations) included in denominator — understates the rate.</t>
  </si>
  <si>
    <t xml:space="preserve">B — Finance</t>
  </si>
  <si>
    <t xml:space="preserve">Finance_Reconciliation!B7</t>
  </si>
  <si>
    <t xml:space="preserve">Hardcoded value, last updated September 2024</t>
  </si>
  <si>
    <t xml:space="preserve">Not linked to live data. This is the figure currently sent to the Board.</t>
  </si>
  <si>
    <t xml:space="preserve">C — PAS report</t>
  </si>
  <si>
    <t xml:space="preserve">PAS reporting module</t>
  </si>
  <si>
    <t xml:space="preserve">PAS standard report, calendar-month filter</t>
  </si>
  <si>
    <t xml:space="preserve">Different period (calendar month vs financial quarter); method not documented.</t>
  </si>
  <si>
    <t xml:space="preserve">Recommended (NHS-aligned)</t>
  </si>
  <si>
    <t xml:space="preserve">New DNA_Rate sheet (Phase 3)</t>
  </si>
  <si>
    <t xml:space="preserve">DNA ÷ (ATT + DNA + REF)</t>
  </si>
  <si>
    <t xml:space="preserve">Matches NHS England definition: denominator = all appointments excluding cancellations. Fixed period = financial quarter.</t>
  </si>
  <si>
    <t xml:space="preserve">Calculator — enter appointment counts by ATT_STATUS for one period</t>
  </si>
  <si>
    <t xml:space="preserve">Yellow cells are inputs. The values shown are ILLUSTRATIVE ONLY (not Bronings data) — replace with real counts in Phase 3.</t>
  </si>
  <si>
    <t xml:space="preserve">ATT — attended</t>
  </si>
  <si>
    <t xml:space="preserve">DNA — did not attend</t>
  </si>
  <si>
    <t xml:space="preserve">CAN — cancelled by Trust</t>
  </si>
  <si>
    <t xml:space="preserve">REF — refused on the day</t>
  </si>
  <si>
    <t xml:space="preserve">Blank status rows</t>
  </si>
  <si>
    <t xml:space="preserve">Total rows incl. header (what COUNTA sees)</t>
  </si>
  <si>
    <t xml:space="preserve">Result</t>
  </si>
  <si>
    <t xml:space="preserve">Formula logic</t>
  </si>
  <si>
    <t xml:space="preserve">Version A logic (broken)</t>
  </si>
  <si>
    <t xml:space="preserve">DNA ÷ (all non-blank rows incl. header and CAN)</t>
  </si>
  <si>
    <t xml:space="preserve">All booked incl. CAN, no header</t>
  </si>
  <si>
    <t xml:space="preserve">DNA ÷ (ATT+DNA+CAN+REF)</t>
  </si>
  <si>
    <t xml:space="preserve">RECOMMENDED — NHS-aligned</t>
  </si>
  <si>
    <t xml:space="preserve">DNA ÷ (ATT+DNA+REF) — cancellations and blanks excluded</t>
  </si>
  <si>
    <t xml:space="preserve">Alternative — DNA vs attended only</t>
  </si>
  <si>
    <t xml:space="preserve">DNA ÷ (ATT+DNA) — if workshop decides REF is excluded</t>
  </si>
  <si>
    <t xml:space="preserve">Spread between broken and recommended method (percentage points)</t>
  </si>
  <si>
    <t xml:space="preserve">Decisions for the Phase 5 workshop</t>
  </si>
  <si>
    <t xml:space="preserve">1. Adopt DNA ÷ (ATT + DNA + REF) as the single Trust definition (NHS England: denominator = appointments excluding cancellations).</t>
  </si>
  <si>
    <t xml:space="preserve">2. Confirm whether REF (refused on the day) is treated as attended-equivalent (in denominator) or excluded entirely.</t>
  </si>
  <si>
    <t xml:space="preserve">3. Fix the reporting period: financial quarter for Board, calendar month for operational review — always labelled.</t>
  </si>
  <si>
    <t xml:space="preserve">4. Retire Version A (KPI_Summary D14) and Version B (hardcoded B7). One live formula, one owner (Performance Manager).</t>
  </si>
  <si>
    <t xml:space="preserve">5. Apply DQ exclusions first: truncated 5-digit APT-IDs, CL-OLD / CL-DEP clinics, duplicate appointments.</t>
  </si>
  <si>
    <t xml:space="preserve">Financial stakes from the company brief — rebuilt with formulas</t>
  </si>
  <si>
    <t xml:space="preserve">Issue</t>
  </si>
  <si>
    <t xml:space="preserve">Unit value (£)</t>
  </si>
  <si>
    <t xml:space="preserve">Volume</t>
  </si>
  <si>
    <t xml:space="preserve">Periods / yr</t>
  </si>
  <si>
    <t xml:space="preserve">Annual exposure (£)</t>
  </si>
  <si>
    <t xml:space="preserve">Basis / assumption</t>
  </si>
  <si>
    <t xml:space="preserve">Unused theatre capacity (63% vs 85%)</t>
  </si>
  <si>
    <t xml:space="preserve">£180,000 per month (brief)</t>
  </si>
  <si>
    <t xml:space="preserve">Blank HRG codes — unpaid episodes</t>
  </si>
  <si>
    <t xml:space="preserve">£1,850 per episode × ~28 episodes per month (brief)</t>
  </si>
  <si>
    <t xml:space="preserve">Agency spend (untracked, estimate)</t>
  </si>
  <si>
    <t xml:space="preserve">£2.3m per year estimate — actual unknown (brief). This is total spend, not all of it is avoidable.</t>
  </si>
  <si>
    <t xml:space="preserve">RTT 52-week breach fines</t>
  </si>
  <si>
    <t xml:space="preserve">£14,000 per breach per patient × 312 patients (brief). Treated as a one-off annual exposure.</t>
  </si>
  <si>
    <t xml:space="preserve">CQUIN income at risk</t>
  </si>
  <si>
    <t xml:space="preserve">£380,000 quality payments tied to data quality (brief)</t>
  </si>
  <si>
    <t xml:space="preserve">Sum of line items</t>
  </si>
  <si>
    <t xml:space="preserve">Total stated in company brief</t>
  </si>
  <si>
    <t xml:space="preserve">Difference (to reconcile with Priya Chakrabarti)</t>
  </si>
  <si>
    <t xml:space="preserve">Finding: the line items do not add up to the £4.2m stated in the brief. The basis of the £4.2m is undocumented (e.g. it may exclude agency spend or treat RTT fines differently). Agree the method and assumptions with Priya before any £ figure goes to the Board.</t>
  </si>
  <si>
    <t xml:space="preserve">Source</t>
  </si>
  <si>
    <t xml:space="preserve">Used for</t>
  </si>
  <si>
    <t xml:space="preserve">URL</t>
  </si>
  <si>
    <t xml:space="preserve">NHS Constitution for England</t>
  </si>
  <si>
    <t xml:space="preserve">ED 95% 4-hour; RTT 92% 18-week; 28-day cancelled operations pledge</t>
  </si>
  <si>
    <t xml:space="preserve">https://www.gov.uk/government/publications/the-nhs-constitution-for-england</t>
  </si>
  <si>
    <t xml:space="preserve">NHS England — 2024/25 priorities and operational planning guidance</t>
  </si>
  <si>
    <t xml:space="preserve">ED 78% (Mar 2025); agency cap 3.2% of pay bill</t>
  </si>
  <si>
    <t xml:space="preserve">https://www.england.nhs.uk/long-read/2024-25-priorities-and-operational-planning-guidance/</t>
  </si>
  <si>
    <t xml:space="preserve">NHS England — 2025/26 priorities and operational planning guidance</t>
  </si>
  <si>
    <t xml:space="preserve">RTT 65% by Mar 2026 (+5 pts per trust); 52-week &lt;1%; ED 78% (Mar 2026); agency −30%</t>
  </si>
  <si>
    <t xml:space="preserve">https://www.england.nhs.uk/long-read/2025-26-priorities-and-operational-planning-guidance/</t>
  </si>
  <si>
    <t xml:space="preserve">NHS England — 2023/24 priorities and operational planning guidance</t>
  </si>
  <si>
    <t xml:space="preserve">G&amp;A bed occupancy ≤92%</t>
  </si>
  <si>
    <t xml:space="preserve">https://www.england.nhs.uk/wp-content/uploads/2022/12/PRN00021-23-24-priorities-and-operational-planning-guidance-v1.1.pdf</t>
  </si>
  <si>
    <t xml:space="preserve">NHS England — Reducing did not attends (DNAs) in outpatient services</t>
  </si>
  <si>
    <t xml:space="preserve">DNA definition (denominator excludes cancellations); national 7.6% (2021/22)</t>
  </si>
  <si>
    <t xml:space="preserve">https://www.england.nhs.uk/long-read/reducing-did-not-attends-dnas-in-outpatient-services/</t>
  </si>
  <si>
    <t xml:space="preserve">GIRFT — Theatre productivity programme</t>
  </si>
  <si>
    <t xml:space="preserve">85% capped touch-time theatre utilisation</t>
  </si>
  <si>
    <t xml:space="preserve">https://gettingitrightfirsttime.co.uk/hvlc/theatre-productivity/</t>
  </si>
  <si>
    <t xml:space="preserve">NHS England — Cancelled Elective Operations statistics (QMCO)</t>
  </si>
  <si>
    <t xml:space="preserve">Last-minute cancellation definition; national ≈0.9% of elective activity; 28-day standard</t>
  </si>
  <si>
    <t xml:space="preserve">https://www.england.nhs.uk/statistics/wp-content/uploads/sites/2/2025/11/QMCO-Statistical-Commentary-Q2-2025-26.pdf</t>
  </si>
  <si>
    <t xml:space="preserve">NHS England — Recording and reporting RTT waiting times guidance</t>
  </si>
  <si>
    <t xml:space="preserve">RTT clock start/stop rules; board assurance of waiting-time data quality</t>
  </si>
  <si>
    <t xml:space="preserve">https://www.england.nhs.uk/statistics/wp-content/uploads/sites/2/2025/10/Recording-and-reporting-RTT-waiting-times-guidance-v5.2-Feb25.pdf</t>
  </si>
  <si>
    <t xml:space="preserve">NHS England — Patient safety data (LFPSE statistics)</t>
  </si>
  <si>
    <t xml:space="preserve">Patient safety incident benchmarking</t>
  </si>
  <si>
    <t xml:space="preserve">https://www.england.nhs.uk/statistics/statistical-work-areas/patient-safety-data/</t>
  </si>
  <si>
    <t xml:space="preserve">NHS England Digital — NHS Vacancy Statistics</t>
  </si>
  <si>
    <t xml:space="preserve">Vacancy rate benchmark</t>
  </si>
  <si>
    <t xml:space="preserve">https://digital.nhs.uk/data-and-information/publications/statistical/nhs-vacancies-survey</t>
  </si>
  <si>
    <t xml:space="preserve">NHS England — National Cost Collection / Model Health System</t>
  </si>
  <si>
    <t xml:space="preserve">Cost per episode and length-of-stay peer benchmarks</t>
  </si>
  <si>
    <t xml:space="preserve">https://www.england.nhs.uk/costing-in-the-nhs/national-cost-collection/</t>
  </si>
  <si>
    <t xml:space="preserve">NHS England — Data Quality Maturity Index (DQMI)</t>
  </si>
  <si>
    <t xml:space="preserve">DQMI method and score</t>
  </si>
  <si>
    <t xml:space="preserve">https://digital.nhs.uk/data-and-information/data-tools-and-services/data-services/data-quality</t>
  </si>
  <si>
    <t xml:space="preserve">Bronings Company Brief (Jan 2025)</t>
  </si>
  <si>
    <t xml:space="preserve">Current performance, Trust targets, financial stakes, glossary codes</t>
  </si>
  <si>
    <t xml:space="preserve">Internal — 01_company_brief</t>
  </si>
  <si>
    <t xml:space="preserve">Analytics Process Notes &amp; Handover (J. Whitfield / D. Walsh)</t>
  </si>
  <si>
    <t xml:space="preserve">Column names, pipeline issues, DNA versions, open questions</t>
  </si>
  <si>
    <t xml:space="preserve">Internal — 02_process_notes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</si>
</sst>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\+0.0%;\-0.0%;0.0%"/>
    <numFmt numFmtId="167" formatCode="#,##0"/>
    <numFmt numFmtId="168" formatCode="\+#,##0;\-#,##0;0"/>
    <numFmt numFmtId="169" formatCode="0.0"/>
    <numFmt numFmtId="170" formatCode="\+0.0;\-0.0;0.0"/>
    <numFmt numFmtId="171" formatCode="\£#,##0"/>
    <numFmt numFmtId="172" formatCode="&quot;+£&quot;#,##0;&quot;-£&quot;#,##0;0"/>
    <numFmt numFmtId="173" formatCode="0"/>
    <numFmt numFmtId="174" formatCode="\+0;\-0;0"/>
    <numFmt numFmtId="175" formatCode="General"/>
    <numFmt numFmtId="176" formatCode="0.00%"/>
    <numFmt numFmtId="177" formatCode="\+0.00%;\-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3087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00308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1"/>
      <color rgb="FF003087"/>
      <name val="Arial"/>
      <family val="0"/>
      <charset val="1"/>
    </font>
    <font>
      <sz val="10"/>
      <name val="Arial"/>
      <family val="2"/>
    </font>
    <font>
      <sz val="9"/>
      <color rgb="FF008000"/>
      <name val="Arial"/>
      <family val="0"/>
      <charset val="1"/>
    </font>
    <font>
      <b val="true"/>
      <sz val="14"/>
      <color rgb="FF003087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5EB8"/>
        <bgColor rgb="FF008080"/>
      </patternFill>
    </fill>
    <fill>
      <patternFill patternType="solid">
        <fgColor rgb="FF768692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005EB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6869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b val="1"/>
        <color rgb="FFC00000"/>
        <sz val="9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68692"/>
      <rgbColor rgb="FF9999FF"/>
      <rgbColor rgb="FF993366"/>
      <rgbColor rgb="FFFFFFCC"/>
      <rgbColor rgb="FFCCFFFF"/>
      <rgbColor rgb="FF660066"/>
      <rgbColor rgb="FFFF8080"/>
      <rgbColor rgb="FF005EB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08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</v>
      </c>
    </row>
    <row r="6" customFormat="false" ht="30" hidden="false" customHeight="true" outlineLevel="0" collapsed="false">
      <c r="A6" s="4" t="s">
        <v>4</v>
      </c>
    </row>
    <row r="7" customFormat="false" ht="15" hidden="false" customHeight="false" outlineLevel="0" collapsed="false">
      <c r="A7" s="4"/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5" t="s">
        <v>9</v>
      </c>
    </row>
    <row r="14" customFormat="false" ht="30" hidden="false" customHeight="true" outlineLevel="0" collapsed="false">
      <c r="A14" s="4" t="s">
        <v>10</v>
      </c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5" t="s">
        <v>11</v>
      </c>
    </row>
    <row r="17" customFormat="false" ht="15" hidden="false" customHeight="false" outlineLevel="0" collapsed="false">
      <c r="A17" s="4" t="s">
        <v>12</v>
      </c>
    </row>
    <row r="18" customFormat="false" ht="30" hidden="false" customHeight="true" outlineLevel="0" collapsed="false">
      <c r="A18" s="4" t="s">
        <v>13</v>
      </c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5" t="s">
        <v>17</v>
      </c>
    </row>
    <row r="24" customFormat="false" ht="30" hidden="false" customHeight="true" outlineLevel="0" collapsed="false">
      <c r="A24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42"/>
    <col collapsed="false" customWidth="true" hidden="false" outlineLevel="0" max="6" min="6" style="0" width="28"/>
    <col collapsed="false" customWidth="true" hidden="false" outlineLevel="0" max="7" min="7" style="0" width="26"/>
    <col collapsed="false" customWidth="true" hidden="false" outlineLevel="0" max="8" min="8" style="0" width="32"/>
    <col collapsed="false" customWidth="true" hidden="false" outlineLevel="0" max="9" min="9" style="0" width="16"/>
    <col collapsed="false" customWidth="true" hidden="false" outlineLevel="0" max="10" min="10" style="0" width="32"/>
    <col collapsed="false" customWidth="true" hidden="false" outlineLevel="0" max="11" min="11" style="0" width="30"/>
    <col collapsed="false" customWidth="true" hidden="false" outlineLevel="0" max="12" min="12" style="0" width="18"/>
    <col collapsed="false" customWidth="true" hidden="false" outlineLevel="0" max="13" min="13" style="0" width="20"/>
    <col collapsed="false" customWidth="true" hidden="false" outlineLevel="0" max="14" min="14" style="0" width="18"/>
    <col collapsed="false" customWidth="true" hidden="false" outlineLevel="0" max="15" min="15" style="0" width="36"/>
    <col collapsed="false" customWidth="true" hidden="false" outlineLevel="0" max="17" min="16" style="0" width="8"/>
    <col collapsed="false" customWidth="true" hidden="false" outlineLevel="0" max="21" min="18" style="0" width="10"/>
    <col collapsed="false" customWidth="true" hidden="false" outlineLevel="0" max="22" min="22" style="0" width="12"/>
    <col collapsed="false" customWidth="true" hidden="false" outlineLevel="0" max="23" min="23" style="0" width="10"/>
    <col collapsed="false" customWidth="true" hidden="false" outlineLevel="0" max="25" min="24" style="0" width="34"/>
    <col collapsed="false" customWidth="true" hidden="false" outlineLevel="0" max="26" min="26" style="0" width="11"/>
    <col collapsed="false" customWidth="true" hidden="false" outlineLevel="0" max="27" min="27" style="0" width="28"/>
  </cols>
  <sheetData>
    <row r="1" customFormat="false" ht="45" hidden="false" customHeight="tru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7" t="s">
        <v>34</v>
      </c>
      <c r="Q1" s="7" t="s">
        <v>35</v>
      </c>
      <c r="R1" s="7" t="s">
        <v>36</v>
      </c>
      <c r="S1" s="7" t="s">
        <v>37</v>
      </c>
      <c r="T1" s="7" t="s">
        <v>38</v>
      </c>
      <c r="U1" s="7" t="s">
        <v>39</v>
      </c>
      <c r="V1" s="7" t="s">
        <v>40</v>
      </c>
      <c r="W1" s="7" t="s">
        <v>41</v>
      </c>
      <c r="X1" s="7" t="s">
        <v>42</v>
      </c>
      <c r="Y1" s="7" t="s">
        <v>43</v>
      </c>
      <c r="Z1" s="7" t="s">
        <v>44</v>
      </c>
      <c r="AA1" s="7" t="s">
        <v>45</v>
      </c>
    </row>
    <row r="2" customFormat="false" ht="165" hidden="false" customHeight="true" outlineLevel="0" collapsed="false">
      <c r="A2" s="8" t="s">
        <v>46</v>
      </c>
      <c r="B2" s="9" t="s">
        <v>47</v>
      </c>
      <c r="C2" s="8" t="s">
        <v>48</v>
      </c>
      <c r="D2" s="8" t="s">
        <v>49</v>
      </c>
      <c r="E2" s="9" t="s">
        <v>50</v>
      </c>
      <c r="F2" s="9" t="s">
        <v>51</v>
      </c>
      <c r="G2" s="9" t="s">
        <v>52</v>
      </c>
      <c r="H2" s="9" t="s">
        <v>53</v>
      </c>
      <c r="I2" s="9" t="s">
        <v>54</v>
      </c>
      <c r="J2" s="9" t="s">
        <v>55</v>
      </c>
      <c r="K2" s="9" t="s">
        <v>56</v>
      </c>
      <c r="L2" s="9" t="s">
        <v>57</v>
      </c>
      <c r="M2" s="9" t="s">
        <v>58</v>
      </c>
      <c r="N2" s="9" t="s">
        <v>59</v>
      </c>
      <c r="O2" s="9" t="s">
        <v>60</v>
      </c>
      <c r="P2" s="10" t="s">
        <v>61</v>
      </c>
      <c r="Q2" s="10" t="s">
        <v>62</v>
      </c>
      <c r="R2" s="11" t="n">
        <v>0.813</v>
      </c>
      <c r="S2" s="11" t="n">
        <v>0.95</v>
      </c>
      <c r="T2" s="11" t="n">
        <v>0.9</v>
      </c>
      <c r="U2" s="12" t="n">
        <f aca="false">IF(OR(R2="",S2=""),"",IF(Q2="Higher",R2-S2,IF(Q2="Lower",S2-R2,"")))</f>
        <v>-0.137</v>
      </c>
      <c r="V2" s="10" t="str">
        <f aca="false">IF(R2="","No current figure",IF(S2="","No national target",IF(Q2="Higher",IF(R2&gt;=S2,"Meeting","Breaching"),IF(Q2="Lower",IF(R2&lt;=S2,"Meeting","Breaching"),"Context only"))))</f>
        <v>Breaching</v>
      </c>
      <c r="W2" s="13" t="s">
        <v>63</v>
      </c>
      <c r="X2" s="9" t="s">
        <v>64</v>
      </c>
      <c r="Y2" s="9" t="s">
        <v>65</v>
      </c>
      <c r="Z2" s="9" t="s">
        <v>66</v>
      </c>
      <c r="AA2" s="9" t="s">
        <v>67</v>
      </c>
    </row>
    <row r="3" customFormat="false" ht="165" hidden="false" customHeight="true" outlineLevel="0" collapsed="false">
      <c r="A3" s="8" t="s">
        <v>68</v>
      </c>
      <c r="B3" s="9" t="s">
        <v>47</v>
      </c>
      <c r="C3" s="8" t="s">
        <v>69</v>
      </c>
      <c r="D3" s="8" t="s">
        <v>70</v>
      </c>
      <c r="E3" s="9" t="s">
        <v>71</v>
      </c>
      <c r="F3" s="9" t="s">
        <v>72</v>
      </c>
      <c r="G3" s="9" t="s">
        <v>52</v>
      </c>
      <c r="H3" s="9" t="s">
        <v>73</v>
      </c>
      <c r="I3" s="9" t="s">
        <v>54</v>
      </c>
      <c r="J3" s="9" t="s">
        <v>74</v>
      </c>
      <c r="K3" s="9" t="s">
        <v>75</v>
      </c>
      <c r="L3" s="9" t="s">
        <v>76</v>
      </c>
      <c r="M3" s="9" t="s">
        <v>77</v>
      </c>
      <c r="N3" s="9" t="s">
        <v>78</v>
      </c>
      <c r="O3" s="9" t="s">
        <v>79</v>
      </c>
      <c r="P3" s="10" t="s">
        <v>61</v>
      </c>
      <c r="Q3" s="10" t="s">
        <v>80</v>
      </c>
      <c r="R3" s="11"/>
      <c r="S3" s="11" t="n">
        <v>0.05</v>
      </c>
      <c r="T3" s="11" t="n">
        <v>0.05</v>
      </c>
      <c r="U3" s="12" t="str">
        <f aca="false">IF(OR(R3="",S3=""),"",IF(Q3="Higher",R3-S3,IF(Q3="Lower",S3-R3,"")))</f>
        <v/>
      </c>
      <c r="V3" s="10" t="str">
        <f aca="false">IF(R3="","No current figure",IF(S3="","No national target",IF(Q3="Higher",IF(R3&gt;=S3,"Meeting","Breaching"),IF(Q3="Lower",IF(R3&lt;=S3,"Meeting","Breaching"),"Context only"))))</f>
        <v>No current figure</v>
      </c>
      <c r="W3" s="13" t="s">
        <v>63</v>
      </c>
      <c r="X3" s="9" t="s">
        <v>81</v>
      </c>
      <c r="Y3" s="9" t="s">
        <v>82</v>
      </c>
      <c r="Z3" s="9" t="s">
        <v>83</v>
      </c>
      <c r="AA3" s="9" t="s">
        <v>84</v>
      </c>
    </row>
    <row r="4" customFormat="false" ht="165" hidden="false" customHeight="true" outlineLevel="0" collapsed="false">
      <c r="A4" s="8" t="s">
        <v>85</v>
      </c>
      <c r="B4" s="9" t="s">
        <v>86</v>
      </c>
      <c r="C4" s="8" t="s">
        <v>87</v>
      </c>
      <c r="D4" s="8" t="s">
        <v>88</v>
      </c>
      <c r="E4" s="9" t="s">
        <v>89</v>
      </c>
      <c r="F4" s="9" t="s">
        <v>90</v>
      </c>
      <c r="G4" s="9" t="s">
        <v>91</v>
      </c>
      <c r="H4" s="9" t="s">
        <v>92</v>
      </c>
      <c r="I4" s="9" t="s">
        <v>93</v>
      </c>
      <c r="J4" s="9" t="s">
        <v>94</v>
      </c>
      <c r="K4" s="9" t="s">
        <v>95</v>
      </c>
      <c r="L4" s="9" t="s">
        <v>96</v>
      </c>
      <c r="M4" s="9" t="s">
        <v>97</v>
      </c>
      <c r="N4" s="9" t="s">
        <v>98</v>
      </c>
      <c r="O4" s="9" t="s">
        <v>99</v>
      </c>
      <c r="P4" s="10" t="s">
        <v>61</v>
      </c>
      <c r="Q4" s="10" t="s">
        <v>80</v>
      </c>
      <c r="R4" s="11"/>
      <c r="S4" s="11" t="n">
        <v>0.1</v>
      </c>
      <c r="T4" s="11" t="n">
        <v>0.08</v>
      </c>
      <c r="U4" s="12" t="str">
        <f aca="false">IF(OR(R4="",S4=""),"",IF(Q4="Higher",R4-S4,IF(Q4="Lower",S4-R4,"")))</f>
        <v/>
      </c>
      <c r="V4" s="10" t="str">
        <f aca="false">IF(R4="","No current figure",IF(S4="","No national target",IF(Q4="Higher",IF(R4&gt;=S4,"Meeting","Breaching"),IF(Q4="Lower",IF(R4&lt;=S4,"Meeting","Breaching"),"Context only"))))</f>
        <v>No current figure</v>
      </c>
      <c r="W4" s="13" t="s">
        <v>100</v>
      </c>
      <c r="X4" s="9" t="s">
        <v>101</v>
      </c>
      <c r="Y4" s="9" t="s">
        <v>102</v>
      </c>
      <c r="Z4" s="9" t="s">
        <v>103</v>
      </c>
      <c r="AA4" s="9" t="s">
        <v>104</v>
      </c>
    </row>
    <row r="5" customFormat="false" ht="165" hidden="false" customHeight="true" outlineLevel="0" collapsed="false">
      <c r="A5" s="8" t="s">
        <v>105</v>
      </c>
      <c r="B5" s="9" t="s">
        <v>106</v>
      </c>
      <c r="C5" s="8" t="s">
        <v>107</v>
      </c>
      <c r="D5" s="8" t="s">
        <v>108</v>
      </c>
      <c r="E5" s="9" t="s">
        <v>109</v>
      </c>
      <c r="F5" s="9" t="s">
        <v>110</v>
      </c>
      <c r="G5" s="9" t="s">
        <v>111</v>
      </c>
      <c r="H5" s="9" t="s">
        <v>112</v>
      </c>
      <c r="I5" s="9" t="s">
        <v>93</v>
      </c>
      <c r="J5" s="9" t="s">
        <v>113</v>
      </c>
      <c r="K5" s="9" t="s">
        <v>114</v>
      </c>
      <c r="L5" s="9" t="s">
        <v>115</v>
      </c>
      <c r="M5" s="9" t="s">
        <v>116</v>
      </c>
      <c r="N5" s="9" t="s">
        <v>59</v>
      </c>
      <c r="O5" s="9" t="s">
        <v>117</v>
      </c>
      <c r="P5" s="10" t="s">
        <v>61</v>
      </c>
      <c r="Q5" s="10" t="s">
        <v>62</v>
      </c>
      <c r="R5" s="11" t="n">
        <v>0.748</v>
      </c>
      <c r="S5" s="11" t="n">
        <v>0.92</v>
      </c>
      <c r="T5" s="11" t="n">
        <v>0.88</v>
      </c>
      <c r="U5" s="12" t="n">
        <f aca="false">IF(OR(R5="",S5=""),"",IF(Q5="Higher",R5-S5,IF(Q5="Lower",S5-R5,"")))</f>
        <v>-0.172</v>
      </c>
      <c r="V5" s="10" t="str">
        <f aca="false">IF(R5="","No current figure",IF(S5="","No national target",IF(Q5="Higher",IF(R5&gt;=S5,"Meeting","Breaching"),IF(Q5="Lower",IF(R5&lt;=S5,"Meeting","Breaching"),"Context only"))))</f>
        <v>Breaching</v>
      </c>
      <c r="W5" s="13" t="s">
        <v>100</v>
      </c>
      <c r="X5" s="9" t="s">
        <v>118</v>
      </c>
      <c r="Y5" s="9" t="s">
        <v>119</v>
      </c>
      <c r="Z5" s="9" t="s">
        <v>120</v>
      </c>
      <c r="AA5" s="9" t="s">
        <v>121</v>
      </c>
    </row>
    <row r="6" customFormat="false" ht="165" hidden="false" customHeight="true" outlineLevel="0" collapsed="false">
      <c r="A6" s="8" t="s">
        <v>122</v>
      </c>
      <c r="B6" s="9" t="s">
        <v>106</v>
      </c>
      <c r="C6" s="8" t="s">
        <v>123</v>
      </c>
      <c r="D6" s="8" t="s">
        <v>124</v>
      </c>
      <c r="E6" s="9" t="s">
        <v>125</v>
      </c>
      <c r="F6" s="9" t="s">
        <v>126</v>
      </c>
      <c r="G6" s="9" t="s">
        <v>127</v>
      </c>
      <c r="H6" s="9" t="s">
        <v>128</v>
      </c>
      <c r="I6" s="9" t="s">
        <v>93</v>
      </c>
      <c r="J6" s="9" t="s">
        <v>129</v>
      </c>
      <c r="K6" s="9" t="s">
        <v>130</v>
      </c>
      <c r="L6" s="9" t="s">
        <v>131</v>
      </c>
      <c r="M6" s="9" t="s">
        <v>132</v>
      </c>
      <c r="N6" s="9" t="s">
        <v>98</v>
      </c>
      <c r="O6" s="9" t="s">
        <v>133</v>
      </c>
      <c r="P6" s="10" t="s">
        <v>134</v>
      </c>
      <c r="Q6" s="10" t="s">
        <v>80</v>
      </c>
      <c r="R6" s="14"/>
      <c r="S6" s="14"/>
      <c r="T6" s="14"/>
      <c r="U6" s="15" t="str">
        <f aca="false">IF(OR(R6="",S6=""),"",IF(Q6="Higher",R6-S6,IF(Q6="Lower",S6-R6,"")))</f>
        <v/>
      </c>
      <c r="V6" s="10" t="str">
        <f aca="false">IF(R6="","No current figure",IF(S6="","No national target",IF(Q6="Higher",IF(R6&gt;=S6,"Meeting","Breaching"),IF(Q6="Lower",IF(R6&lt;=S6,"Meeting","Breaching"),"Context only"))))</f>
        <v>No current figure</v>
      </c>
      <c r="W6" s="13" t="s">
        <v>63</v>
      </c>
      <c r="X6" s="9" t="s">
        <v>135</v>
      </c>
      <c r="Y6" s="9" t="s">
        <v>136</v>
      </c>
      <c r="Z6" s="9" t="s">
        <v>83</v>
      </c>
      <c r="AA6" s="9" t="s">
        <v>137</v>
      </c>
    </row>
    <row r="7" customFormat="false" ht="165" hidden="false" customHeight="true" outlineLevel="0" collapsed="false">
      <c r="A7" s="8" t="s">
        <v>138</v>
      </c>
      <c r="B7" s="9" t="s">
        <v>106</v>
      </c>
      <c r="C7" s="8" t="s">
        <v>139</v>
      </c>
      <c r="D7" s="8" t="s">
        <v>140</v>
      </c>
      <c r="E7" s="9" t="s">
        <v>141</v>
      </c>
      <c r="F7" s="9" t="s">
        <v>142</v>
      </c>
      <c r="G7" s="9" t="s">
        <v>143</v>
      </c>
      <c r="H7" s="9" t="s">
        <v>144</v>
      </c>
      <c r="I7" s="9" t="s">
        <v>93</v>
      </c>
      <c r="J7" s="9" t="s">
        <v>145</v>
      </c>
      <c r="K7" s="9" t="s">
        <v>146</v>
      </c>
      <c r="L7" s="9" t="s">
        <v>147</v>
      </c>
      <c r="M7" s="9" t="s">
        <v>148</v>
      </c>
      <c r="N7" s="9" t="s">
        <v>59</v>
      </c>
      <c r="O7" s="9" t="s">
        <v>149</v>
      </c>
      <c r="P7" s="10" t="s">
        <v>134</v>
      </c>
      <c r="Q7" s="10" t="s">
        <v>80</v>
      </c>
      <c r="R7" s="14" t="n">
        <v>312</v>
      </c>
      <c r="S7" s="14" t="n">
        <v>0</v>
      </c>
      <c r="T7" s="14" t="n">
        <v>0</v>
      </c>
      <c r="U7" s="15" t="n">
        <f aca="false">IF(OR(R7="",S7=""),"",IF(Q7="Higher",R7-S7,IF(Q7="Lower",S7-R7,"")))</f>
        <v>-312</v>
      </c>
      <c r="V7" s="10" t="str">
        <f aca="false">IF(R7="","No current figure",IF(S7="","No national target",IF(Q7="Higher",IF(R7&gt;=S7,"Meeting","Breaching"),IF(Q7="Lower",IF(R7&lt;=S7,"Meeting","Breaching"),"Context only"))))</f>
        <v>Breaching</v>
      </c>
      <c r="W7" s="13" t="s">
        <v>63</v>
      </c>
      <c r="X7" s="9" t="s">
        <v>150</v>
      </c>
      <c r="Y7" s="9" t="s">
        <v>151</v>
      </c>
      <c r="Z7" s="9" t="s">
        <v>83</v>
      </c>
      <c r="AA7" s="9" t="s">
        <v>152</v>
      </c>
    </row>
    <row r="8" customFormat="false" ht="165" hidden="false" customHeight="true" outlineLevel="0" collapsed="false">
      <c r="A8" s="8" t="s">
        <v>153</v>
      </c>
      <c r="B8" s="9" t="s">
        <v>106</v>
      </c>
      <c r="C8" s="8" t="s">
        <v>154</v>
      </c>
      <c r="D8" s="8" t="s">
        <v>155</v>
      </c>
      <c r="E8" s="9" t="s">
        <v>156</v>
      </c>
      <c r="F8" s="9" t="s">
        <v>157</v>
      </c>
      <c r="G8" s="9" t="s">
        <v>158</v>
      </c>
      <c r="H8" s="9" t="s">
        <v>159</v>
      </c>
      <c r="I8" s="9" t="s">
        <v>160</v>
      </c>
      <c r="J8" s="9" t="s">
        <v>161</v>
      </c>
      <c r="K8" s="9" t="s">
        <v>162</v>
      </c>
      <c r="L8" s="9" t="s">
        <v>163</v>
      </c>
      <c r="M8" s="9" t="s">
        <v>164</v>
      </c>
      <c r="N8" s="9" t="s">
        <v>165</v>
      </c>
      <c r="O8" s="9" t="s">
        <v>166</v>
      </c>
      <c r="P8" s="10" t="s">
        <v>61</v>
      </c>
      <c r="Q8" s="10" t="s">
        <v>62</v>
      </c>
      <c r="R8" s="11" t="n">
        <v>0.63</v>
      </c>
      <c r="S8" s="11" t="n">
        <v>0.85</v>
      </c>
      <c r="T8" s="11" t="n">
        <v>0.85</v>
      </c>
      <c r="U8" s="12" t="n">
        <f aca="false">IF(OR(R8="",S8=""),"",IF(Q8="Higher",R8-S8,IF(Q8="Lower",S8-R8,"")))</f>
        <v>-0.22</v>
      </c>
      <c r="V8" s="10" t="str">
        <f aca="false">IF(R8="","No current figure",IF(S8="","No national target",IF(Q8="Higher",IF(R8&gt;=S8,"Meeting","Breaching"),IF(Q8="Lower",IF(R8&lt;=S8,"Meeting","Breaching"),"Context only"))))</f>
        <v>Breaching</v>
      </c>
      <c r="W8" s="13" t="s">
        <v>63</v>
      </c>
      <c r="X8" s="9" t="s">
        <v>167</v>
      </c>
      <c r="Y8" s="9" t="s">
        <v>168</v>
      </c>
      <c r="Z8" s="9" t="s">
        <v>83</v>
      </c>
      <c r="AA8" s="9" t="s">
        <v>169</v>
      </c>
    </row>
    <row r="9" customFormat="false" ht="165" hidden="false" customHeight="true" outlineLevel="0" collapsed="false">
      <c r="A9" s="8" t="s">
        <v>170</v>
      </c>
      <c r="B9" s="9" t="s">
        <v>106</v>
      </c>
      <c r="C9" s="8" t="s">
        <v>171</v>
      </c>
      <c r="D9" s="8" t="s">
        <v>172</v>
      </c>
      <c r="E9" s="9" t="s">
        <v>173</v>
      </c>
      <c r="F9" s="9" t="s">
        <v>174</v>
      </c>
      <c r="G9" s="9" t="s">
        <v>175</v>
      </c>
      <c r="H9" s="9" t="s">
        <v>176</v>
      </c>
      <c r="I9" s="9" t="s">
        <v>177</v>
      </c>
      <c r="J9" s="9" t="s">
        <v>178</v>
      </c>
      <c r="K9" s="9" t="s">
        <v>179</v>
      </c>
      <c r="L9" s="9" t="s">
        <v>180</v>
      </c>
      <c r="M9" s="9" t="s">
        <v>181</v>
      </c>
      <c r="N9" s="9" t="s">
        <v>182</v>
      </c>
      <c r="O9" s="9" t="s">
        <v>183</v>
      </c>
      <c r="P9" s="10" t="s">
        <v>61</v>
      </c>
      <c r="Q9" s="10" t="s">
        <v>80</v>
      </c>
      <c r="R9" s="11"/>
      <c r="S9" s="11"/>
      <c r="T9" s="11" t="n">
        <v>0.008</v>
      </c>
      <c r="U9" s="12" t="str">
        <f aca="false">IF(OR(R9="",S9=""),"",IF(Q9="Higher",R9-S9,IF(Q9="Lower",S9-R9,"")))</f>
        <v/>
      </c>
      <c r="V9" s="10" t="str">
        <f aca="false">IF(R9="","No current figure",IF(S9="","No national target",IF(Q9="Higher",IF(R9&gt;=S9,"Meeting","Breaching"),IF(Q9="Lower",IF(R9&lt;=S9,"Meeting","Breaching"),"Context only"))))</f>
        <v>No current figure</v>
      </c>
      <c r="W9" s="13" t="s">
        <v>184</v>
      </c>
      <c r="X9" s="9" t="s">
        <v>185</v>
      </c>
      <c r="Y9" s="9" t="s">
        <v>186</v>
      </c>
      <c r="Z9" s="9" t="s">
        <v>187</v>
      </c>
      <c r="AA9" s="9" t="s">
        <v>188</v>
      </c>
    </row>
    <row r="10" customFormat="false" ht="165" hidden="false" customHeight="true" outlineLevel="0" collapsed="false">
      <c r="A10" s="8" t="s">
        <v>189</v>
      </c>
      <c r="B10" s="9" t="s">
        <v>190</v>
      </c>
      <c r="C10" s="8" t="s">
        <v>191</v>
      </c>
      <c r="D10" s="8" t="s">
        <v>192</v>
      </c>
      <c r="E10" s="9" t="s">
        <v>193</v>
      </c>
      <c r="F10" s="9" t="s">
        <v>194</v>
      </c>
      <c r="G10" s="9" t="s">
        <v>195</v>
      </c>
      <c r="H10" s="9" t="s">
        <v>196</v>
      </c>
      <c r="I10" s="9" t="s">
        <v>197</v>
      </c>
      <c r="J10" s="9" t="s">
        <v>198</v>
      </c>
      <c r="K10" s="9" t="s">
        <v>199</v>
      </c>
      <c r="L10" s="9" t="s">
        <v>200</v>
      </c>
      <c r="M10" s="9" t="s">
        <v>201</v>
      </c>
      <c r="N10" s="9" t="s">
        <v>59</v>
      </c>
      <c r="O10" s="9" t="s">
        <v>202</v>
      </c>
      <c r="P10" s="10" t="s">
        <v>61</v>
      </c>
      <c r="Q10" s="10" t="s">
        <v>80</v>
      </c>
      <c r="R10" s="11"/>
      <c r="S10" s="11" t="n">
        <v>0.92</v>
      </c>
      <c r="T10" s="11" t="n">
        <v>0.85</v>
      </c>
      <c r="U10" s="12" t="str">
        <f aca="false">IF(OR(R10="",S10=""),"",IF(Q10="Higher",R10-S10,IF(Q10="Lower",S10-R10,"")))</f>
        <v/>
      </c>
      <c r="V10" s="10" t="str">
        <f aca="false">IF(R10="","No current figure",IF(S10="","No national target",IF(Q10="Higher",IF(R10&gt;=S10,"Meeting","Breaching"),IF(Q10="Lower",IF(R10&lt;=S10,"Meeting","Breaching"),"Context only"))))</f>
        <v>No current figure</v>
      </c>
      <c r="W10" s="13" t="s">
        <v>184</v>
      </c>
      <c r="X10" s="9" t="s">
        <v>203</v>
      </c>
      <c r="Y10" s="9" t="s">
        <v>204</v>
      </c>
      <c r="Z10" s="9" t="s">
        <v>205</v>
      </c>
      <c r="AA10" s="9" t="s">
        <v>206</v>
      </c>
    </row>
    <row r="11" customFormat="false" ht="165" hidden="false" customHeight="true" outlineLevel="0" collapsed="false">
      <c r="A11" s="8" t="s">
        <v>207</v>
      </c>
      <c r="B11" s="9" t="s">
        <v>190</v>
      </c>
      <c r="C11" s="8" t="s">
        <v>208</v>
      </c>
      <c r="D11" s="8" t="s">
        <v>209</v>
      </c>
      <c r="E11" s="9" t="s">
        <v>210</v>
      </c>
      <c r="F11" s="9" t="s">
        <v>211</v>
      </c>
      <c r="G11" s="9" t="s">
        <v>212</v>
      </c>
      <c r="H11" s="9" t="s">
        <v>213</v>
      </c>
      <c r="I11" s="9" t="s">
        <v>197</v>
      </c>
      <c r="J11" s="9" t="s">
        <v>214</v>
      </c>
      <c r="K11" s="9" t="s">
        <v>215</v>
      </c>
      <c r="L11" s="9" t="s">
        <v>216</v>
      </c>
      <c r="M11" s="9" t="s">
        <v>217</v>
      </c>
      <c r="N11" s="9" t="s">
        <v>218</v>
      </c>
      <c r="O11" s="9" t="s">
        <v>219</v>
      </c>
      <c r="P11" s="10" t="s">
        <v>220</v>
      </c>
      <c r="Q11" s="10" t="s">
        <v>80</v>
      </c>
      <c r="R11" s="16"/>
      <c r="S11" s="16" t="n">
        <v>4.5</v>
      </c>
      <c r="T11" s="16" t="n">
        <v>4.5</v>
      </c>
      <c r="U11" s="17" t="str">
        <f aca="false">IF(OR(R11="",S11=""),"",IF(Q11="Higher",R11-S11,IF(Q11="Lower",S11-R11,"")))</f>
        <v/>
      </c>
      <c r="V11" s="10" t="str">
        <f aca="false">IF(R11="","No current figure",IF(S11="","No national target",IF(Q11="Higher",IF(R11&gt;=S11,"Meeting","Breaching"),IF(Q11="Lower",IF(R11&lt;=S11,"Meeting","Breaching"),"Context only"))))</f>
        <v>No current figure</v>
      </c>
      <c r="W11" s="13" t="s">
        <v>184</v>
      </c>
      <c r="X11" s="9" t="s">
        <v>221</v>
      </c>
      <c r="Y11" s="9" t="s">
        <v>222</v>
      </c>
      <c r="Z11" s="9" t="s">
        <v>103</v>
      </c>
      <c r="AA11" s="9" t="s">
        <v>223</v>
      </c>
    </row>
    <row r="12" customFormat="false" ht="165" hidden="false" customHeight="true" outlineLevel="0" collapsed="false">
      <c r="A12" s="8" t="s">
        <v>224</v>
      </c>
      <c r="B12" s="9" t="s">
        <v>190</v>
      </c>
      <c r="C12" s="8" t="s">
        <v>225</v>
      </c>
      <c r="D12" s="8" t="s">
        <v>226</v>
      </c>
      <c r="E12" s="9" t="s">
        <v>227</v>
      </c>
      <c r="F12" s="9" t="s">
        <v>228</v>
      </c>
      <c r="G12" s="9" t="s">
        <v>229</v>
      </c>
      <c r="H12" s="9" t="s">
        <v>230</v>
      </c>
      <c r="I12" s="9" t="s">
        <v>197</v>
      </c>
      <c r="J12" s="9" t="s">
        <v>231</v>
      </c>
      <c r="K12" s="9" t="s">
        <v>232</v>
      </c>
      <c r="L12" s="9" t="s">
        <v>233</v>
      </c>
      <c r="M12" s="9" t="s">
        <v>234</v>
      </c>
      <c r="N12" s="9" t="s">
        <v>235</v>
      </c>
      <c r="O12" s="9" t="s">
        <v>236</v>
      </c>
      <c r="P12" s="10" t="s">
        <v>61</v>
      </c>
      <c r="Q12" s="10" t="s">
        <v>80</v>
      </c>
      <c r="R12" s="11"/>
      <c r="S12" s="11" t="n">
        <v>0.1</v>
      </c>
      <c r="T12" s="11" t="n">
        <v>0.1</v>
      </c>
      <c r="U12" s="12" t="str">
        <f aca="false">IF(OR(R12="",S12=""),"",IF(Q12="Higher",R12-S12,IF(Q12="Lower",S12-R12,"")))</f>
        <v/>
      </c>
      <c r="V12" s="10" t="str">
        <f aca="false">IF(R12="","No current figure",IF(S12="","No national target",IF(Q12="Higher",IF(R12&gt;=S12,"Meeting","Breaching"),IF(Q12="Lower",IF(R12&lt;=S12,"Meeting","Breaching"),"Context only"))))</f>
        <v>No current figure</v>
      </c>
      <c r="W12" s="13" t="s">
        <v>100</v>
      </c>
      <c r="X12" s="9" t="s">
        <v>237</v>
      </c>
      <c r="Y12" s="9" t="s">
        <v>238</v>
      </c>
      <c r="Z12" s="9" t="s">
        <v>103</v>
      </c>
      <c r="AA12" s="9" t="s">
        <v>239</v>
      </c>
    </row>
    <row r="13" customFormat="false" ht="165" hidden="false" customHeight="true" outlineLevel="0" collapsed="false">
      <c r="A13" s="8" t="s">
        <v>240</v>
      </c>
      <c r="B13" s="9" t="s">
        <v>241</v>
      </c>
      <c r="C13" s="8" t="s">
        <v>242</v>
      </c>
      <c r="D13" s="8" t="s">
        <v>243</v>
      </c>
      <c r="E13" s="9" t="s">
        <v>244</v>
      </c>
      <c r="F13" s="9" t="s">
        <v>245</v>
      </c>
      <c r="G13" s="9" t="s">
        <v>246</v>
      </c>
      <c r="H13" s="9" t="s">
        <v>247</v>
      </c>
      <c r="I13" s="9" t="s">
        <v>248</v>
      </c>
      <c r="J13" s="9" t="s">
        <v>249</v>
      </c>
      <c r="K13" s="9" t="s">
        <v>250</v>
      </c>
      <c r="L13" s="9" t="s">
        <v>251</v>
      </c>
      <c r="M13" s="9" t="s">
        <v>252</v>
      </c>
      <c r="N13" s="9" t="s">
        <v>253</v>
      </c>
      <c r="O13" s="9" t="s">
        <v>254</v>
      </c>
      <c r="P13" s="10" t="s">
        <v>61</v>
      </c>
      <c r="Q13" s="10" t="s">
        <v>62</v>
      </c>
      <c r="R13" s="11"/>
      <c r="S13" s="11" t="n">
        <v>0.98</v>
      </c>
      <c r="T13" s="11" t="n">
        <v>0.98</v>
      </c>
      <c r="U13" s="12" t="str">
        <f aca="false">IF(OR(R13="",S13=""),"",IF(Q13="Higher",R13-S13,IF(Q13="Lower",S13-R13,"")))</f>
        <v/>
      </c>
      <c r="V13" s="10" t="str">
        <f aca="false">IF(R13="","No current figure",IF(S13="","No national target",IF(Q13="Higher",IF(R13&gt;=S13,"Meeting","Breaching"),IF(Q13="Lower",IF(R13&lt;=S13,"Meeting","Breaching"),"Context only"))))</f>
        <v>No current figure</v>
      </c>
      <c r="W13" s="13" t="s">
        <v>63</v>
      </c>
      <c r="X13" s="9" t="s">
        <v>255</v>
      </c>
      <c r="Y13" s="9" t="s">
        <v>256</v>
      </c>
      <c r="Z13" s="9" t="s">
        <v>103</v>
      </c>
      <c r="AA13" s="9" t="s">
        <v>257</v>
      </c>
    </row>
    <row r="14" customFormat="false" ht="165" hidden="false" customHeight="true" outlineLevel="0" collapsed="false">
      <c r="A14" s="8" t="s">
        <v>258</v>
      </c>
      <c r="B14" s="9" t="s">
        <v>241</v>
      </c>
      <c r="C14" s="8" t="s">
        <v>259</v>
      </c>
      <c r="D14" s="8" t="s">
        <v>260</v>
      </c>
      <c r="E14" s="9" t="s">
        <v>261</v>
      </c>
      <c r="F14" s="9" t="s">
        <v>262</v>
      </c>
      <c r="G14" s="9" t="s">
        <v>263</v>
      </c>
      <c r="H14" s="9" t="s">
        <v>264</v>
      </c>
      <c r="I14" s="9" t="s">
        <v>265</v>
      </c>
      <c r="J14" s="9" t="s">
        <v>266</v>
      </c>
      <c r="K14" s="9" t="s">
        <v>267</v>
      </c>
      <c r="L14" s="9" t="s">
        <v>268</v>
      </c>
      <c r="M14" s="9" t="s">
        <v>269</v>
      </c>
      <c r="N14" s="9" t="s">
        <v>270</v>
      </c>
      <c r="O14" s="9" t="s">
        <v>271</v>
      </c>
      <c r="P14" s="10" t="s">
        <v>61</v>
      </c>
      <c r="Q14" s="10" t="s">
        <v>80</v>
      </c>
      <c r="R14" s="11"/>
      <c r="S14" s="11" t="n">
        <v>0.032</v>
      </c>
      <c r="T14" s="11" t="n">
        <v>0.08</v>
      </c>
      <c r="U14" s="12" t="str">
        <f aca="false">IF(OR(R14="",S14=""),"",IF(Q14="Higher",R14-S14,IF(Q14="Lower",S14-R14,"")))</f>
        <v/>
      </c>
      <c r="V14" s="10" t="str">
        <f aca="false">IF(R14="","No current figure",IF(S14="","No national target",IF(Q14="Higher",IF(R14&gt;=S14,"Meeting","Breaching"),IF(Q14="Lower",IF(R14&lt;=S14,"Meeting","Breaching"),"Context only"))))</f>
        <v>No current figure</v>
      </c>
      <c r="W14" s="13" t="s">
        <v>100</v>
      </c>
      <c r="X14" s="9" t="s">
        <v>272</v>
      </c>
      <c r="Y14" s="9" t="s">
        <v>273</v>
      </c>
      <c r="Z14" s="9" t="s">
        <v>103</v>
      </c>
      <c r="AA14" s="9" t="s">
        <v>274</v>
      </c>
    </row>
    <row r="15" customFormat="false" ht="165" hidden="false" customHeight="true" outlineLevel="0" collapsed="false">
      <c r="A15" s="8" t="s">
        <v>275</v>
      </c>
      <c r="B15" s="9" t="s">
        <v>241</v>
      </c>
      <c r="C15" s="8" t="s">
        <v>276</v>
      </c>
      <c r="D15" s="8" t="s">
        <v>277</v>
      </c>
      <c r="E15" s="9" t="s">
        <v>278</v>
      </c>
      <c r="F15" s="9" t="s">
        <v>279</v>
      </c>
      <c r="G15" s="9" t="s">
        <v>280</v>
      </c>
      <c r="H15" s="9" t="s">
        <v>281</v>
      </c>
      <c r="I15" s="9" t="s">
        <v>282</v>
      </c>
      <c r="J15" s="9" t="s">
        <v>283</v>
      </c>
      <c r="K15" s="9" t="s">
        <v>284</v>
      </c>
      <c r="L15" s="9" t="s">
        <v>285</v>
      </c>
      <c r="M15" s="9" t="s">
        <v>286</v>
      </c>
      <c r="N15" s="9" t="s">
        <v>270</v>
      </c>
      <c r="O15" s="9" t="s">
        <v>287</v>
      </c>
      <c r="P15" s="10" t="s">
        <v>288</v>
      </c>
      <c r="Q15" s="10" t="s">
        <v>80</v>
      </c>
      <c r="R15" s="18"/>
      <c r="S15" s="18"/>
      <c r="T15" s="18"/>
      <c r="U15" s="19" t="str">
        <f aca="false">IF(OR(R15="",S15=""),"",IF(Q15="Higher",R15-S15,IF(Q15="Lower",S15-R15,"")))</f>
        <v/>
      </c>
      <c r="V15" s="10" t="str">
        <f aca="false">IF(R15="","No current figure",IF(S15="","No national target",IF(Q15="Higher",IF(R15&gt;=S15,"Meeting","Breaching"),IF(Q15="Lower",IF(R15&lt;=S15,"Meeting","Breaching"),"Context only"))))</f>
        <v>No current figure</v>
      </c>
      <c r="W15" s="13" t="s">
        <v>184</v>
      </c>
      <c r="X15" s="9" t="s">
        <v>289</v>
      </c>
      <c r="Y15" s="9" t="s">
        <v>290</v>
      </c>
      <c r="Z15" s="9" t="s">
        <v>291</v>
      </c>
      <c r="AA15" s="9" t="s">
        <v>292</v>
      </c>
    </row>
    <row r="16" customFormat="false" ht="165" hidden="false" customHeight="true" outlineLevel="0" collapsed="false">
      <c r="A16" s="8" t="s">
        <v>293</v>
      </c>
      <c r="B16" s="9" t="s">
        <v>294</v>
      </c>
      <c r="C16" s="8" t="s">
        <v>295</v>
      </c>
      <c r="D16" s="8" t="s">
        <v>296</v>
      </c>
      <c r="E16" s="9" t="s">
        <v>297</v>
      </c>
      <c r="F16" s="9" t="s">
        <v>298</v>
      </c>
      <c r="G16" s="9" t="s">
        <v>299</v>
      </c>
      <c r="H16" s="9" t="s">
        <v>300</v>
      </c>
      <c r="I16" s="9" t="s">
        <v>301</v>
      </c>
      <c r="J16" s="9" t="s">
        <v>302</v>
      </c>
      <c r="K16" s="9" t="s">
        <v>303</v>
      </c>
      <c r="L16" s="9" t="s">
        <v>304</v>
      </c>
      <c r="M16" s="9" t="s">
        <v>305</v>
      </c>
      <c r="N16" s="9" t="s">
        <v>306</v>
      </c>
      <c r="O16" s="9" t="s">
        <v>307</v>
      </c>
      <c r="P16" s="10" t="s">
        <v>308</v>
      </c>
      <c r="Q16" s="10" t="s">
        <v>309</v>
      </c>
      <c r="R16" s="16"/>
      <c r="S16" s="16"/>
      <c r="T16" s="16"/>
      <c r="U16" s="17" t="str">
        <f aca="false">IF(OR(R16="",S16=""),"",IF(Q16="Higher",R16-S16,IF(Q16="Lower",S16-R16,"")))</f>
        <v/>
      </c>
      <c r="V16" s="10" t="str">
        <f aca="false">IF(R16="","No current figure",IF(S16="","No national target",IF(Q16="Higher",IF(R16&gt;=S16,"Meeting","Breaching"),IF(Q16="Lower",IF(R16&lt;=S16,"Meeting","Breaching"),"Context only"))))</f>
        <v>No current figure</v>
      </c>
      <c r="W16" s="13" t="s">
        <v>184</v>
      </c>
      <c r="X16" s="9" t="s">
        <v>310</v>
      </c>
      <c r="Y16" s="9" t="s">
        <v>311</v>
      </c>
      <c r="Z16" s="9" t="s">
        <v>103</v>
      </c>
      <c r="AA16" s="9" t="s">
        <v>312</v>
      </c>
    </row>
    <row r="17" customFormat="false" ht="165" hidden="false" customHeight="true" outlineLevel="0" collapsed="false">
      <c r="A17" s="8" t="s">
        <v>313</v>
      </c>
      <c r="B17" s="9" t="s">
        <v>314</v>
      </c>
      <c r="C17" s="8" t="s">
        <v>315</v>
      </c>
      <c r="D17" s="8" t="s">
        <v>316</v>
      </c>
      <c r="E17" s="9" t="s">
        <v>317</v>
      </c>
      <c r="F17" s="9" t="s">
        <v>318</v>
      </c>
      <c r="G17" s="9" t="s">
        <v>319</v>
      </c>
      <c r="H17" s="9" t="s">
        <v>320</v>
      </c>
      <c r="I17" s="9" t="s">
        <v>321</v>
      </c>
      <c r="J17" s="9" t="s">
        <v>322</v>
      </c>
      <c r="K17" s="9" t="s">
        <v>323</v>
      </c>
      <c r="L17" s="9" t="s">
        <v>324</v>
      </c>
      <c r="M17" s="9" t="s">
        <v>325</v>
      </c>
      <c r="N17" s="9" t="s">
        <v>326</v>
      </c>
      <c r="O17" s="9" t="s">
        <v>327</v>
      </c>
      <c r="P17" s="10" t="s">
        <v>61</v>
      </c>
      <c r="Q17" s="10" t="s">
        <v>80</v>
      </c>
      <c r="R17" s="11"/>
      <c r="S17" s="11"/>
      <c r="T17" s="11"/>
      <c r="U17" s="12" t="str">
        <f aca="false">IF(OR(R17="",S17=""),"",IF(Q17="Higher",R17-S17,IF(Q17="Lower",S17-R17,"")))</f>
        <v/>
      </c>
      <c r="V17" s="10" t="str">
        <f aca="false">IF(R17="","No current figure",IF(S17="","No national target",IF(Q17="Higher",IF(R17&gt;=S17,"Meeting","Breaching"),IF(Q17="Lower",IF(R17&lt;=S17,"Meeting","Breaching"),"Context only"))))</f>
        <v>No current figure</v>
      </c>
      <c r="W17" s="13" t="s">
        <v>184</v>
      </c>
      <c r="X17" s="9" t="s">
        <v>328</v>
      </c>
      <c r="Y17" s="9" t="s">
        <v>329</v>
      </c>
      <c r="Z17" s="9" t="s">
        <v>330</v>
      </c>
      <c r="AA17" s="9" t="s">
        <v>331</v>
      </c>
    </row>
    <row r="18" customFormat="false" ht="165" hidden="false" customHeight="true" outlineLevel="0" collapsed="false">
      <c r="A18" s="8" t="s">
        <v>332</v>
      </c>
      <c r="B18" s="9" t="s">
        <v>333</v>
      </c>
      <c r="C18" s="8" t="s">
        <v>334</v>
      </c>
      <c r="D18" s="8" t="s">
        <v>335</v>
      </c>
      <c r="E18" s="9" t="s">
        <v>336</v>
      </c>
      <c r="F18" s="9" t="s">
        <v>337</v>
      </c>
      <c r="G18" s="9" t="s">
        <v>338</v>
      </c>
      <c r="H18" s="9" t="s">
        <v>339</v>
      </c>
      <c r="I18" s="9" t="s">
        <v>340</v>
      </c>
      <c r="J18" s="9" t="s">
        <v>341</v>
      </c>
      <c r="K18" s="9" t="s">
        <v>342</v>
      </c>
      <c r="L18" s="9" t="s">
        <v>343</v>
      </c>
      <c r="M18" s="9" t="s">
        <v>344</v>
      </c>
      <c r="N18" s="9" t="s">
        <v>345</v>
      </c>
      <c r="O18" s="9" t="s">
        <v>346</v>
      </c>
      <c r="P18" s="10" t="s">
        <v>347</v>
      </c>
      <c r="Q18" s="10" t="s">
        <v>62</v>
      </c>
      <c r="R18" s="20" t="n">
        <v>52</v>
      </c>
      <c r="S18" s="20" t="n">
        <v>75</v>
      </c>
      <c r="T18" s="20" t="n">
        <v>75</v>
      </c>
      <c r="U18" s="21" t="n">
        <f aca="false">IF(OR(R18="",S18=""),"",IF(Q18="Higher",R18-S18,IF(Q18="Lower",S18-R18,"")))</f>
        <v>-23</v>
      </c>
      <c r="V18" s="10" t="str">
        <f aca="false">IF(R18="","No current figure",IF(S18="","No national target",IF(Q18="Higher",IF(R18&gt;=S18,"Meeting","Breaching"),IF(Q18="Lower",IF(R18&lt;=S18,"Meeting","Breaching"),"Context only"))))</f>
        <v>Breaching</v>
      </c>
      <c r="W18" s="13" t="s">
        <v>348</v>
      </c>
      <c r="X18" s="9" t="s">
        <v>349</v>
      </c>
      <c r="Y18" s="9" t="s">
        <v>350</v>
      </c>
      <c r="Z18" s="9" t="s">
        <v>103</v>
      </c>
      <c r="AA18" s="9" t="s">
        <v>351</v>
      </c>
    </row>
    <row r="19" customFormat="false" ht="165" hidden="false" customHeight="true" outlineLevel="0" collapsed="false">
      <c r="A19" s="8" t="s">
        <v>352</v>
      </c>
      <c r="B19" s="9" t="s">
        <v>333</v>
      </c>
      <c r="C19" s="8" t="s">
        <v>353</v>
      </c>
      <c r="D19" s="8" t="s">
        <v>354</v>
      </c>
      <c r="E19" s="9" t="s">
        <v>355</v>
      </c>
      <c r="F19" s="9" t="s">
        <v>356</v>
      </c>
      <c r="G19" s="9" t="s">
        <v>357</v>
      </c>
      <c r="H19" s="9" t="s">
        <v>358</v>
      </c>
      <c r="I19" s="9" t="s">
        <v>359</v>
      </c>
      <c r="J19" s="9" t="s">
        <v>360</v>
      </c>
      <c r="K19" s="9" t="s">
        <v>361</v>
      </c>
      <c r="L19" s="9" t="s">
        <v>362</v>
      </c>
      <c r="M19" s="9" t="s">
        <v>363</v>
      </c>
      <c r="N19" s="9" t="s">
        <v>98</v>
      </c>
      <c r="O19" s="9" t="s">
        <v>364</v>
      </c>
      <c r="P19" s="10" t="s">
        <v>61</v>
      </c>
      <c r="Q19" s="10" t="s">
        <v>62</v>
      </c>
      <c r="R19" s="11"/>
      <c r="S19" s="11"/>
      <c r="T19" s="11" t="n">
        <v>0.98</v>
      </c>
      <c r="U19" s="12" t="str">
        <f aca="false">IF(OR(R19="",S19=""),"",IF(Q19="Higher",R19-S19,IF(Q19="Lower",S19-R19,"")))</f>
        <v/>
      </c>
      <c r="V19" s="10" t="str">
        <f aca="false">IF(R19="","No current figure",IF(S19="","No national target",IF(Q19="Higher",IF(R19&gt;=S19,"Meeting","Breaching"),IF(Q19="Lower",IF(R19&lt;=S19,"Meeting","Breaching"),"Context only"))))</f>
        <v>No current figure</v>
      </c>
      <c r="W19" s="13" t="s">
        <v>100</v>
      </c>
      <c r="X19" s="9" t="s">
        <v>365</v>
      </c>
      <c r="Y19" s="9" t="s">
        <v>366</v>
      </c>
      <c r="Z19" s="9" t="s">
        <v>367</v>
      </c>
      <c r="AA19" s="9" t="s">
        <v>368</v>
      </c>
    </row>
    <row r="21" customFormat="false" ht="15" hidden="false" customHeight="false" outlineLevel="0" collapsed="false">
      <c r="C21" s="22" t="s">
        <v>369</v>
      </c>
    </row>
    <row r="22" customFormat="false" ht="13.5" hidden="false" customHeight="true" outlineLevel="0" collapsed="false">
      <c r="C22" s="23" t="s">
        <v>370</v>
      </c>
      <c r="D22" s="24" t="n">
        <f aca="false">COUNTA(A2:A19)</f>
        <v>18</v>
      </c>
    </row>
    <row r="23" customFormat="false" ht="13.5" hidden="false" customHeight="true" outlineLevel="0" collapsed="false">
      <c r="C23" s="23" t="s">
        <v>371</v>
      </c>
      <c r="D23" s="24" t="n">
        <f aca="false">COUNTIF(V2:V19,"Breaching")</f>
        <v>5</v>
      </c>
    </row>
    <row r="24" customFormat="false" ht="13.5" hidden="false" customHeight="true" outlineLevel="0" collapsed="false">
      <c r="C24" s="23" t="s">
        <v>372</v>
      </c>
      <c r="D24" s="24" t="n">
        <f aca="false">COUNTIF(V2:V19,"No current figure")</f>
        <v>13</v>
      </c>
    </row>
    <row r="25" customFormat="false" ht="13.5" hidden="false" customHeight="true" outlineLevel="0" collapsed="false">
      <c r="C25" s="23" t="s">
        <v>373</v>
      </c>
      <c r="D25" s="24" t="n">
        <f aca="false">COUNTIF(W2:W19,"Green")</f>
        <v>1</v>
      </c>
    </row>
    <row r="26" customFormat="false" ht="13.5" hidden="false" customHeight="true" outlineLevel="0" collapsed="false">
      <c r="C26" s="23" t="s">
        <v>374</v>
      </c>
      <c r="D26" s="24" t="n">
        <f aca="false">COUNTIF(W2:W19,"Amber")</f>
        <v>6</v>
      </c>
    </row>
    <row r="27" customFormat="false" ht="13.5" hidden="false" customHeight="true" outlineLevel="0" collapsed="false">
      <c r="C27" s="23" t="s">
        <v>375</v>
      </c>
      <c r="D27" s="24" t="n">
        <f aca="false">COUNTIF(W2:W19,"Red")</f>
        <v>5</v>
      </c>
    </row>
    <row r="28" customFormat="false" ht="13.5" hidden="false" customHeight="true" outlineLevel="0" collapsed="false">
      <c r="C28" s="23" t="s">
        <v>376</v>
      </c>
      <c r="D28" s="24" t="n">
        <f aca="false">COUNTIF(W2:W19,"Unknown")</f>
        <v>6</v>
      </c>
    </row>
    <row r="29" customFormat="false" ht="13.5" hidden="false" customHeight="true" outlineLevel="0" collapsed="false">
      <c r="C29" s="23" t="s">
        <v>377</v>
      </c>
      <c r="D29" s="24" t="n">
        <f aca="false">COUNTIF(L2:L19,"Proposed*")</f>
        <v>7</v>
      </c>
    </row>
  </sheetData>
  <autoFilter ref="A1:AA19"/>
  <conditionalFormatting sqref="W2:W19">
    <cfRule type="cellIs" priority="2" operator="equal" aboveAverage="0" equalAverage="0" bottom="0" percent="0" rank="0" text="" dxfId="9">
      <formula>"Red"</formula>
    </cfRule>
    <cfRule type="cellIs" priority="3" operator="equal" aboveAverage="0" equalAverage="0" bottom="0" percent="0" rank="0" text="" dxfId="10">
      <formula>"Amber"</formula>
    </cfRule>
    <cfRule type="cellIs" priority="4" operator="equal" aboveAverage="0" equalAverage="0" bottom="0" percent="0" rank="0" text="" dxfId="11">
      <formula>"Green"</formula>
    </cfRule>
    <cfRule type="cellIs" priority="5" operator="equal" aboveAverage="0" equalAverage="0" bottom="0" percent="0" rank="0" text="" dxfId="12">
      <formula>"Unknown"</formula>
    </cfRule>
  </conditionalFormatting>
  <conditionalFormatting sqref="V2:V19">
    <cfRule type="cellIs" priority="6" operator="equal" aboveAverage="0" equalAverage="0" bottom="0" percent="0" rank="0" text="" dxfId="9">
      <formula>"Breaching"</formula>
    </cfRule>
    <cfRule type="cellIs" priority="7" operator="equal" aboveAverage="0" equalAverage="0" bottom="0" percent="0" rank="0" text="" dxfId="11">
      <formula>"Meeting"</formula>
    </cfRule>
  </conditionalFormatting>
  <dataValidations count="1">
    <dataValidation allowBlank="false" errorStyle="stop" operator="between" showDropDown="false" showErrorMessage="false" showInputMessage="false" sqref="W2:W19" type="list">
      <formula1>"Green,Amber,Red,Unknown"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9" min="6" style="0" width="12"/>
    <col collapsed="false" customWidth="true" hidden="false" outlineLevel="0" max="12" min="10" style="0" width="14"/>
    <col collapsed="false" customWidth="true" hidden="false" outlineLevel="0" max="13" min="13" style="0" width="18"/>
  </cols>
  <sheetData>
    <row r="1" customFormat="false" ht="31.5" hidden="false" customHeight="true" outlineLevel="0" collapsed="false">
      <c r="A1" s="6" t="s">
        <v>19</v>
      </c>
      <c r="B1" s="6" t="s">
        <v>378</v>
      </c>
      <c r="C1" s="6" t="s">
        <v>379</v>
      </c>
      <c r="D1" s="6" t="s">
        <v>34</v>
      </c>
      <c r="E1" s="6" t="s">
        <v>35</v>
      </c>
      <c r="F1" s="6" t="s">
        <v>36</v>
      </c>
      <c r="G1" s="6" t="s">
        <v>380</v>
      </c>
      <c r="H1" s="6" t="s">
        <v>381</v>
      </c>
      <c r="I1" s="6" t="s">
        <v>382</v>
      </c>
      <c r="J1" s="6" t="s">
        <v>383</v>
      </c>
      <c r="K1" s="6" t="s">
        <v>39</v>
      </c>
      <c r="L1" s="6" t="s">
        <v>384</v>
      </c>
      <c r="M1" s="6" t="s">
        <v>40</v>
      </c>
    </row>
    <row r="2" customFormat="false" ht="15" hidden="false" customHeight="false" outlineLevel="0" collapsed="false">
      <c r="A2" s="25" t="str">
        <f aca="false">KPI_Register!A2</f>
        <v>K01</v>
      </c>
      <c r="B2" s="26" t="str">
        <f aca="false">KPI_Register!C2</f>
        <v>ED 4-hour target compliance</v>
      </c>
      <c r="C2" s="25" t="str">
        <f aca="false">KPI_Register!D2</f>
        <v>4HT</v>
      </c>
      <c r="D2" s="25" t="str">
        <f aca="false">KPI_Register!P2</f>
        <v>%</v>
      </c>
      <c r="E2" s="25" t="str">
        <f aca="false">KPI_Register!Q2</f>
        <v>Higher</v>
      </c>
      <c r="F2" s="27" t="n">
        <f aca="false">KPI_Register!R2</f>
        <v>0.813</v>
      </c>
      <c r="G2" s="27" t="n">
        <f aca="false">KPI_Register!T2</f>
        <v>0.9</v>
      </c>
      <c r="H2" s="27" t="n">
        <f aca="false">KPI_Register!S2</f>
        <v>0.95</v>
      </c>
      <c r="I2" s="11" t="n">
        <v>0.78</v>
      </c>
      <c r="J2" s="12" t="n">
        <f aca="false">IF(G2="","",IF(E2="Higher",F2-G2,G2-F2))</f>
        <v>-0.0870000000000001</v>
      </c>
      <c r="K2" s="12" t="n">
        <f aca="false">IF(H2="","",IF(E2="Higher",F2-H2,H2-F2))</f>
        <v>-0.137</v>
      </c>
      <c r="L2" s="12" t="n">
        <f aca="false">IF(I2="","",IF(E2="Higher",F2-I2,I2-F2))</f>
        <v>0.0329999999999999</v>
      </c>
      <c r="M2" s="10" t="str">
        <f aca="false">IF(K2="","",IF(K2&gt;=0,"Meeting","Breaching"))</f>
        <v>Breaching</v>
      </c>
    </row>
    <row r="3" customFormat="false" ht="15" hidden="false" customHeight="false" outlineLevel="0" collapsed="false">
      <c r="A3" s="25" t="str">
        <f aca="false">KPI_Register!A5</f>
        <v>K04</v>
      </c>
      <c r="B3" s="26" t="str">
        <f aca="false">KPI_Register!C5</f>
        <v>RTT 18-week compliance</v>
      </c>
      <c r="C3" s="25" t="str">
        <f aca="false">KPI_Register!D5</f>
        <v>RTT18</v>
      </c>
      <c r="D3" s="25" t="str">
        <f aca="false">KPI_Register!P5</f>
        <v>%</v>
      </c>
      <c r="E3" s="25" t="str">
        <f aca="false">KPI_Register!Q5</f>
        <v>Higher</v>
      </c>
      <c r="F3" s="27" t="n">
        <f aca="false">KPI_Register!R5</f>
        <v>0.748</v>
      </c>
      <c r="G3" s="27" t="n">
        <f aca="false">KPI_Register!T5</f>
        <v>0.88</v>
      </c>
      <c r="H3" s="27" t="n">
        <f aca="false">KPI_Register!S5</f>
        <v>0.92</v>
      </c>
      <c r="I3" s="11" t="n">
        <v>0.65</v>
      </c>
      <c r="J3" s="12" t="n">
        <f aca="false">IF(G3="","",IF(E3="Higher",F3-G3,G3-F3))</f>
        <v>-0.132</v>
      </c>
      <c r="K3" s="12" t="n">
        <f aca="false">IF(H3="","",IF(E3="Higher",F3-H3,H3-F3))</f>
        <v>-0.172</v>
      </c>
      <c r="L3" s="12" t="n">
        <f aca="false">IF(I3="","",IF(E3="Higher",F3-I3,I3-F3))</f>
        <v>0.098</v>
      </c>
      <c r="M3" s="10" t="str">
        <f aca="false">IF(K3="","",IF(K3&gt;=0,"Meeting","Breaching"))</f>
        <v>Breaching</v>
      </c>
    </row>
    <row r="4" customFormat="false" ht="15" hidden="false" customHeight="false" outlineLevel="0" collapsed="false">
      <c r="A4" s="25" t="str">
        <f aca="false">KPI_Register!A7</f>
        <v>K06</v>
      </c>
      <c r="B4" s="26" t="str">
        <f aca="false">KPI_Register!C7</f>
        <v>Patients waiting more than 52 weeks</v>
      </c>
      <c r="C4" s="25" t="str">
        <f aca="false">KPI_Register!D7</f>
        <v>RTT52</v>
      </c>
      <c r="D4" s="25" t="str">
        <f aca="false">KPI_Register!P7</f>
        <v>Count</v>
      </c>
      <c r="E4" s="25" t="str">
        <f aca="false">KPI_Register!Q7</f>
        <v>Lower</v>
      </c>
      <c r="F4" s="28" t="n">
        <f aca="false">KPI_Register!R7</f>
        <v>312</v>
      </c>
      <c r="G4" s="28" t="n">
        <f aca="false">KPI_Register!T7</f>
        <v>0</v>
      </c>
      <c r="H4" s="28" t="n">
        <f aca="false">KPI_Register!S7</f>
        <v>0</v>
      </c>
      <c r="I4" s="29"/>
      <c r="J4" s="15" t="n">
        <f aca="false">IF(G4="","",IF(E4="Higher",F4-G4,G4-F4))</f>
        <v>-312</v>
      </c>
      <c r="K4" s="15" t="n">
        <f aca="false">IF(H4="","",IF(E4="Higher",F4-H4,H4-F4))</f>
        <v>-312</v>
      </c>
      <c r="L4" s="15" t="str">
        <f aca="false">IF(I4="","",IF(E4="Higher",F4-I4,I4-F4))</f>
        <v/>
      </c>
      <c r="M4" s="10" t="str">
        <f aca="false">IF(K4="","",IF(K4&gt;=0,"Meeting","Breaching"))</f>
        <v>Breaching</v>
      </c>
    </row>
    <row r="5" customFormat="false" ht="15" hidden="false" customHeight="false" outlineLevel="0" collapsed="false">
      <c r="A5" s="25" t="str">
        <f aca="false">KPI_Register!A8</f>
        <v>K07</v>
      </c>
      <c r="B5" s="26" t="str">
        <f aca="false">KPI_Register!C8</f>
        <v>Theatre utilisation rate</v>
      </c>
      <c r="C5" s="25" t="str">
        <f aca="false">KPI_Register!D8</f>
        <v>TU</v>
      </c>
      <c r="D5" s="25" t="str">
        <f aca="false">KPI_Register!P8</f>
        <v>%</v>
      </c>
      <c r="E5" s="25" t="str">
        <f aca="false">KPI_Register!Q8</f>
        <v>Higher</v>
      </c>
      <c r="F5" s="27" t="n">
        <f aca="false">KPI_Register!R8</f>
        <v>0.63</v>
      </c>
      <c r="G5" s="27" t="n">
        <f aca="false">KPI_Register!T8</f>
        <v>0.85</v>
      </c>
      <c r="H5" s="27" t="n">
        <f aca="false">KPI_Register!S8</f>
        <v>0.85</v>
      </c>
      <c r="I5" s="11" t="n">
        <v>0.85</v>
      </c>
      <c r="J5" s="12" t="n">
        <f aca="false">IF(G5="","",IF(E5="Higher",F5-G5,G5-F5))</f>
        <v>-0.22</v>
      </c>
      <c r="K5" s="12" t="n">
        <f aca="false">IF(H5="","",IF(E5="Higher",F5-H5,H5-F5))</f>
        <v>-0.22</v>
      </c>
      <c r="L5" s="12" t="n">
        <f aca="false">IF(I5="","",IF(E5="Higher",F5-I5,I5-F5))</f>
        <v>-0.22</v>
      </c>
      <c r="M5" s="10" t="str">
        <f aca="false">IF(K5="","",IF(K5&gt;=0,"Meeting","Breaching"))</f>
        <v>Breaching</v>
      </c>
    </row>
    <row r="6" customFormat="false" ht="15" hidden="false" customHeight="false" outlineLevel="0" collapsed="false">
      <c r="A6" s="25" t="str">
        <f aca="false">KPI_Register!A18</f>
        <v>K17</v>
      </c>
      <c r="B6" s="26" t="str">
        <f aca="false">KPI_Register!C18</f>
        <v>DSP Toolkit DQMI score</v>
      </c>
      <c r="C6" s="25" t="str">
        <f aca="false">KPI_Register!D18</f>
        <v>DQMI</v>
      </c>
      <c r="D6" s="25" t="str">
        <f aca="false">KPI_Register!P18</f>
        <v>Score</v>
      </c>
      <c r="E6" s="25" t="str">
        <f aca="false">KPI_Register!Q18</f>
        <v>Higher</v>
      </c>
      <c r="F6" s="30" t="n">
        <f aca="false">KPI_Register!R18</f>
        <v>52</v>
      </c>
      <c r="G6" s="30" t="n">
        <f aca="false">KPI_Register!T18</f>
        <v>75</v>
      </c>
      <c r="H6" s="30" t="n">
        <f aca="false">KPI_Register!S18</f>
        <v>75</v>
      </c>
      <c r="I6" s="31"/>
      <c r="J6" s="21" t="n">
        <f aca="false">IF(G6="","",IF(E6="Higher",F6-G6,G6-F6))</f>
        <v>-23</v>
      </c>
      <c r="K6" s="21" t="n">
        <f aca="false">IF(H6="","",IF(E6="Higher",F6-H6,H6-F6))</f>
        <v>-23</v>
      </c>
      <c r="L6" s="21" t="str">
        <f aca="false">IF(I6="","",IF(E6="Higher",F6-I6,I6-F6))</f>
        <v/>
      </c>
      <c r="M6" s="10" t="str">
        <f aca="false">IF(K6="","",IF(K6&gt;=0,"Meeting","Breaching"))</f>
        <v>Breaching</v>
      </c>
    </row>
    <row r="9" customFormat="false" ht="15" hidden="false" customHeight="false" outlineLevel="0" collapsed="false">
      <c r="A9" s="24" t="s">
        <v>385</v>
      </c>
    </row>
    <row r="10" customFormat="false" ht="15" hidden="false" customHeight="false" outlineLevel="0" collapsed="false">
      <c r="A10" s="23" t="s">
        <v>386</v>
      </c>
    </row>
    <row r="11" customFormat="false" ht="15" hidden="false" customHeight="false" outlineLevel="0" collapsed="false">
      <c r="A11" s="23" t="s">
        <v>387</v>
      </c>
    </row>
    <row r="12" customFormat="false" ht="15" hidden="false" customHeight="false" outlineLevel="0" collapsed="false">
      <c r="A12" s="23" t="s">
        <v>388</v>
      </c>
    </row>
    <row r="13" customFormat="false" ht="15" hidden="false" customHeight="false" outlineLevel="0" collapsed="false">
      <c r="A13" s="23" t="s">
        <v>389</v>
      </c>
    </row>
    <row r="14" customFormat="false" ht="15" hidden="false" customHeight="false" outlineLevel="0" collapsed="false">
      <c r="A14" s="23" t="s">
        <v>390</v>
      </c>
    </row>
  </sheetData>
  <conditionalFormatting sqref="M2:M6">
    <cfRule type="cellIs" priority="2" operator="equal" aboveAverage="0" equalAverage="0" bottom="0" percent="0" rank="0" text="" dxfId="9">
      <formula>"Breaching"</formula>
    </cfRule>
    <cfRule type="cellIs" priority="3" operator="equal" aboveAverage="0" equalAverage="0" bottom="0" percent="0" rank="0" text="" dxfId="11">
      <formula>"Meeting"</formula>
    </cfRule>
  </conditionalFormatting>
  <conditionalFormatting sqref="J2:L6">
    <cfRule type="cellIs" priority="4" operator="lessThan" aboveAverage="0" equalAverage="0" bottom="0" percent="0" rank="0" text="" dxfId="1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5" min="3" style="0" width="34"/>
  </cols>
  <sheetData>
    <row r="1" customFormat="false" ht="17.35" hidden="false" customHeight="false" outlineLevel="0" collapsed="false">
      <c r="A1" s="32" t="s">
        <v>391</v>
      </c>
    </row>
    <row r="3" customFormat="false" ht="15" hidden="false" customHeight="false" outlineLevel="0" collapsed="false">
      <c r="A3" s="6" t="s">
        <v>392</v>
      </c>
      <c r="B3" s="6" t="s">
        <v>393</v>
      </c>
      <c r="C3" s="6" t="s">
        <v>394</v>
      </c>
      <c r="D3" s="6" t="s">
        <v>395</v>
      </c>
      <c r="E3" s="6" t="s">
        <v>396</v>
      </c>
    </row>
    <row r="4" customFormat="false" ht="45" hidden="false" customHeight="true" outlineLevel="0" collapsed="false">
      <c r="A4" s="8" t="s">
        <v>397</v>
      </c>
      <c r="B4" s="11" t="n">
        <v>0.098</v>
      </c>
      <c r="C4" s="9" t="s">
        <v>398</v>
      </c>
      <c r="D4" s="9" t="s">
        <v>399</v>
      </c>
      <c r="E4" s="9" t="s">
        <v>400</v>
      </c>
    </row>
    <row r="5" customFormat="false" ht="45" hidden="false" customHeight="true" outlineLevel="0" collapsed="false">
      <c r="A5" s="8" t="s">
        <v>401</v>
      </c>
      <c r="B5" s="11" t="n">
        <v>0.124</v>
      </c>
      <c r="C5" s="9" t="s">
        <v>402</v>
      </c>
      <c r="D5" s="9" t="s">
        <v>403</v>
      </c>
      <c r="E5" s="9" t="s">
        <v>404</v>
      </c>
    </row>
    <row r="6" customFormat="false" ht="45" hidden="false" customHeight="true" outlineLevel="0" collapsed="false">
      <c r="A6" s="8" t="s">
        <v>405</v>
      </c>
      <c r="B6" s="11" t="n">
        <v>0.141</v>
      </c>
      <c r="C6" s="9" t="s">
        <v>406</v>
      </c>
      <c r="D6" s="9" t="s">
        <v>407</v>
      </c>
      <c r="E6" s="9" t="s">
        <v>408</v>
      </c>
    </row>
    <row r="7" customFormat="false" ht="45" hidden="false" customHeight="true" outlineLevel="0" collapsed="false">
      <c r="A7" s="8" t="s">
        <v>409</v>
      </c>
      <c r="B7" s="33" t="n">
        <f aca="false">B22</f>
        <v>0.0906077348066298</v>
      </c>
      <c r="C7" s="9" t="s">
        <v>410</v>
      </c>
      <c r="D7" s="9" t="s">
        <v>411</v>
      </c>
      <c r="E7" s="9" t="s">
        <v>412</v>
      </c>
    </row>
    <row r="10" customFormat="false" ht="15" hidden="false" customHeight="false" outlineLevel="0" collapsed="false">
      <c r="A10" s="34" t="s">
        <v>413</v>
      </c>
    </row>
    <row r="11" customFormat="false" ht="15" hidden="false" customHeight="false" outlineLevel="0" collapsed="false">
      <c r="A11" s="35" t="s">
        <v>414</v>
      </c>
    </row>
    <row r="12" customFormat="false" ht="15" hidden="false" customHeight="false" outlineLevel="0" collapsed="false">
      <c r="A12" s="23" t="s">
        <v>415</v>
      </c>
      <c r="B12" s="36" t="n">
        <v>8200</v>
      </c>
    </row>
    <row r="13" customFormat="false" ht="15" hidden="false" customHeight="false" outlineLevel="0" collapsed="false">
      <c r="A13" s="23" t="s">
        <v>416</v>
      </c>
      <c r="B13" s="36" t="n">
        <v>820</v>
      </c>
    </row>
    <row r="14" customFormat="false" ht="15" hidden="false" customHeight="false" outlineLevel="0" collapsed="false">
      <c r="A14" s="23" t="s">
        <v>417</v>
      </c>
      <c r="B14" s="36" t="n">
        <v>950</v>
      </c>
    </row>
    <row r="15" customFormat="false" ht="15" hidden="false" customHeight="false" outlineLevel="0" collapsed="false">
      <c r="A15" s="23" t="s">
        <v>418</v>
      </c>
      <c r="B15" s="36" t="n">
        <v>30</v>
      </c>
    </row>
    <row r="16" customFormat="false" ht="15" hidden="false" customHeight="false" outlineLevel="0" collapsed="false">
      <c r="A16" s="23" t="s">
        <v>419</v>
      </c>
      <c r="B16" s="36" t="n">
        <v>0</v>
      </c>
    </row>
    <row r="17" customFormat="false" ht="15" hidden="false" customHeight="false" outlineLevel="0" collapsed="false">
      <c r="A17" s="23" t="s">
        <v>420</v>
      </c>
      <c r="B17" s="37" t="n">
        <f aca="false">SUM(B12:B16)+1</f>
        <v>10001</v>
      </c>
    </row>
    <row r="19" customFormat="false" ht="15" hidden="false" customHeight="false" outlineLevel="0" collapsed="false">
      <c r="A19" s="38" t="s">
        <v>395</v>
      </c>
      <c r="B19" s="38" t="s">
        <v>421</v>
      </c>
      <c r="C19" s="38" t="s">
        <v>422</v>
      </c>
    </row>
    <row r="20" customFormat="false" ht="22.35" hidden="false" customHeight="false" outlineLevel="0" collapsed="false">
      <c r="A20" s="9" t="s">
        <v>423</v>
      </c>
      <c r="B20" s="39" t="n">
        <f aca="false">B13/(B17-B16)</f>
        <v>0.081991800819918</v>
      </c>
      <c r="C20" s="9" t="s">
        <v>424</v>
      </c>
    </row>
    <row r="21" customFormat="false" ht="15" hidden="false" customHeight="false" outlineLevel="0" collapsed="false">
      <c r="A21" s="9" t="s">
        <v>425</v>
      </c>
      <c r="B21" s="39" t="n">
        <f aca="false">B13/SUM(B12:B15)</f>
        <v>0.082</v>
      </c>
      <c r="C21" s="9" t="s">
        <v>426</v>
      </c>
    </row>
    <row r="22" customFormat="false" ht="22.35" hidden="false" customHeight="false" outlineLevel="0" collapsed="false">
      <c r="A22" s="8" t="s">
        <v>427</v>
      </c>
      <c r="B22" s="40" t="n">
        <f aca="false">B13/(B12+B13+B15)</f>
        <v>0.0906077348066298</v>
      </c>
      <c r="C22" s="8" t="s">
        <v>428</v>
      </c>
    </row>
    <row r="23" customFormat="false" ht="22.35" hidden="false" customHeight="false" outlineLevel="0" collapsed="false">
      <c r="A23" s="9" t="s">
        <v>429</v>
      </c>
      <c r="B23" s="39" t="n">
        <f aca="false">B13/(B12+B13)</f>
        <v>0.0909090909090909</v>
      </c>
      <c r="C23" s="9" t="s">
        <v>430</v>
      </c>
    </row>
    <row r="25" customFormat="false" ht="15" hidden="false" customHeight="false" outlineLevel="0" collapsed="false">
      <c r="A25" s="23" t="s">
        <v>431</v>
      </c>
      <c r="B25" s="41" t="n">
        <f aca="false">B22-B20</f>
        <v>0.00861593398671182</v>
      </c>
    </row>
    <row r="27" customFormat="false" ht="15" hidden="false" customHeight="false" outlineLevel="0" collapsed="false">
      <c r="A27" s="34" t="s">
        <v>432</v>
      </c>
    </row>
    <row r="28" customFormat="false" ht="15" hidden="false" customHeight="false" outlineLevel="0" collapsed="false">
      <c r="A28" s="23" t="s">
        <v>433</v>
      </c>
    </row>
    <row r="29" customFormat="false" ht="15" hidden="false" customHeight="false" outlineLevel="0" collapsed="false">
      <c r="A29" s="23" t="s">
        <v>434</v>
      </c>
    </row>
    <row r="30" customFormat="false" ht="15" hidden="false" customHeight="false" outlineLevel="0" collapsed="false">
      <c r="A30" s="23" t="s">
        <v>435</v>
      </c>
    </row>
    <row r="31" customFormat="false" ht="15" hidden="false" customHeight="false" outlineLevel="0" collapsed="false">
      <c r="A31" s="23" t="s">
        <v>436</v>
      </c>
    </row>
    <row r="32" customFormat="false" ht="15" hidden="false" customHeight="false" outlineLevel="0" collapsed="false">
      <c r="A32" s="23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32" t="s">
        <v>438</v>
      </c>
    </row>
    <row r="3" customFormat="false" ht="23.85" hidden="false" customHeight="false" outlineLevel="0" collapsed="false">
      <c r="A3" s="6" t="s">
        <v>439</v>
      </c>
      <c r="B3" s="6" t="s">
        <v>440</v>
      </c>
      <c r="C3" s="6" t="s">
        <v>441</v>
      </c>
      <c r="D3" s="6" t="s">
        <v>442</v>
      </c>
      <c r="E3" s="6" t="s">
        <v>443</v>
      </c>
      <c r="F3" s="6" t="s">
        <v>444</v>
      </c>
    </row>
    <row r="4" customFormat="false" ht="15" hidden="false" customHeight="false" outlineLevel="0" collapsed="false">
      <c r="A4" s="9" t="s">
        <v>445</v>
      </c>
      <c r="B4" s="42" t="n">
        <v>180000</v>
      </c>
      <c r="C4" s="43" t="n">
        <v>1</v>
      </c>
      <c r="D4" s="44" t="n">
        <v>12</v>
      </c>
      <c r="E4" s="45" t="n">
        <f aca="false">B4*C4*D4</f>
        <v>2160000</v>
      </c>
      <c r="F4" s="9" t="s">
        <v>446</v>
      </c>
    </row>
    <row r="5" customFormat="false" ht="15" hidden="false" customHeight="false" outlineLevel="0" collapsed="false">
      <c r="A5" s="9" t="s">
        <v>447</v>
      </c>
      <c r="B5" s="42" t="n">
        <v>1850</v>
      </c>
      <c r="C5" s="43" t="n">
        <v>28</v>
      </c>
      <c r="D5" s="44" t="n">
        <v>12</v>
      </c>
      <c r="E5" s="45" t="n">
        <f aca="false">B5*C5*D5</f>
        <v>621600</v>
      </c>
      <c r="F5" s="9" t="s">
        <v>448</v>
      </c>
    </row>
    <row r="6" customFormat="false" ht="22.35" hidden="false" customHeight="false" outlineLevel="0" collapsed="false">
      <c r="A6" s="9" t="s">
        <v>449</v>
      </c>
      <c r="B6" s="42" t="n">
        <v>2300000</v>
      </c>
      <c r="C6" s="43" t="n">
        <v>1</v>
      </c>
      <c r="D6" s="44" t="n">
        <v>1</v>
      </c>
      <c r="E6" s="45" t="n">
        <f aca="false">B6*C6*D6</f>
        <v>2300000</v>
      </c>
      <c r="F6" s="9" t="s">
        <v>450</v>
      </c>
    </row>
    <row r="7" customFormat="false" ht="22.35" hidden="false" customHeight="false" outlineLevel="0" collapsed="false">
      <c r="A7" s="9" t="s">
        <v>451</v>
      </c>
      <c r="B7" s="42" t="n">
        <v>14000</v>
      </c>
      <c r="C7" s="43" t="n">
        <v>312</v>
      </c>
      <c r="D7" s="44" t="n">
        <v>1</v>
      </c>
      <c r="E7" s="45" t="n">
        <f aca="false">B7*C7*D7</f>
        <v>4368000</v>
      </c>
      <c r="F7" s="9" t="s">
        <v>452</v>
      </c>
    </row>
    <row r="8" customFormat="false" ht="15" hidden="false" customHeight="false" outlineLevel="0" collapsed="false">
      <c r="A8" s="9" t="s">
        <v>453</v>
      </c>
      <c r="B8" s="42" t="n">
        <v>380000</v>
      </c>
      <c r="C8" s="43" t="n">
        <v>1</v>
      </c>
      <c r="D8" s="44" t="n">
        <v>1</v>
      </c>
      <c r="E8" s="45" t="n">
        <f aca="false">B8*C8*D8</f>
        <v>380000</v>
      </c>
      <c r="F8" s="9" t="s">
        <v>454</v>
      </c>
    </row>
    <row r="10" customFormat="false" ht="15" hidden="false" customHeight="false" outlineLevel="0" collapsed="false">
      <c r="A10" s="24" t="s">
        <v>455</v>
      </c>
      <c r="E10" s="46" t="n">
        <f aca="false">SUM(E4:E8)</f>
        <v>9829600</v>
      </c>
    </row>
    <row r="11" customFormat="false" ht="15" hidden="false" customHeight="false" outlineLevel="0" collapsed="false">
      <c r="A11" s="24" t="s">
        <v>456</v>
      </c>
      <c r="E11" s="47" t="n">
        <v>4200000</v>
      </c>
    </row>
    <row r="12" customFormat="false" ht="15" hidden="false" customHeight="false" outlineLevel="0" collapsed="false">
      <c r="A12" s="24" t="s">
        <v>457</v>
      </c>
      <c r="E12" s="46" t="n">
        <f aca="false">E10-E11</f>
        <v>5629600</v>
      </c>
    </row>
    <row r="14" customFormat="false" ht="39.75" hidden="false" customHeight="true" outlineLevel="0" collapsed="false">
      <c r="A14" s="48" t="s">
        <v>458</v>
      </c>
      <c r="B14" s="48"/>
      <c r="C14" s="48"/>
      <c r="D14" s="48"/>
      <c r="E14" s="48"/>
      <c r="F14" s="48"/>
    </row>
  </sheetData>
  <mergeCells count="1"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62"/>
    <col collapsed="false" customWidth="true" hidden="false" outlineLevel="0" max="3" min="3" style="0" width="95"/>
  </cols>
  <sheetData>
    <row r="1" customFormat="false" ht="15" hidden="false" customHeight="false" outlineLevel="0" collapsed="false">
      <c r="A1" s="38" t="s">
        <v>459</v>
      </c>
      <c r="B1" s="38" t="s">
        <v>460</v>
      </c>
      <c r="C1" s="38" t="s">
        <v>461</v>
      </c>
    </row>
    <row r="2" customFormat="false" ht="15" hidden="false" customHeight="false" outlineLevel="0" collapsed="false">
      <c r="A2" s="9" t="s">
        <v>462</v>
      </c>
      <c r="B2" s="9" t="s">
        <v>463</v>
      </c>
      <c r="C2" s="9" t="s">
        <v>464</v>
      </c>
    </row>
    <row r="3" customFormat="false" ht="22.35" hidden="false" customHeight="false" outlineLevel="0" collapsed="false">
      <c r="A3" s="9" t="s">
        <v>465</v>
      </c>
      <c r="B3" s="9" t="s">
        <v>466</v>
      </c>
      <c r="C3" s="9" t="s">
        <v>467</v>
      </c>
    </row>
    <row r="4" customFormat="false" ht="22.35" hidden="false" customHeight="false" outlineLevel="0" collapsed="false">
      <c r="A4" s="9" t="s">
        <v>468</v>
      </c>
      <c r="B4" s="9" t="s">
        <v>469</v>
      </c>
      <c r="C4" s="9" t="s">
        <v>470</v>
      </c>
    </row>
    <row r="5" customFormat="false" ht="22.35" hidden="false" customHeight="false" outlineLevel="0" collapsed="false">
      <c r="A5" s="9" t="s">
        <v>471</v>
      </c>
      <c r="B5" s="9" t="s">
        <v>472</v>
      </c>
      <c r="C5" s="9" t="s">
        <v>473</v>
      </c>
    </row>
    <row r="6" customFormat="false" ht="22.35" hidden="false" customHeight="false" outlineLevel="0" collapsed="false">
      <c r="A6" s="9" t="s">
        <v>474</v>
      </c>
      <c r="B6" s="9" t="s">
        <v>475</v>
      </c>
      <c r="C6" s="9" t="s">
        <v>476</v>
      </c>
    </row>
    <row r="7" customFormat="false" ht="15" hidden="false" customHeight="false" outlineLevel="0" collapsed="false">
      <c r="A7" s="9" t="s">
        <v>477</v>
      </c>
      <c r="B7" s="9" t="s">
        <v>478</v>
      </c>
      <c r="C7" s="9" t="s">
        <v>479</v>
      </c>
    </row>
    <row r="8" customFormat="false" ht="22.35" hidden="false" customHeight="false" outlineLevel="0" collapsed="false">
      <c r="A8" s="9" t="s">
        <v>480</v>
      </c>
      <c r="B8" s="9" t="s">
        <v>481</v>
      </c>
      <c r="C8" s="9" t="s">
        <v>482</v>
      </c>
    </row>
    <row r="9" customFormat="false" ht="22.35" hidden="false" customHeight="false" outlineLevel="0" collapsed="false">
      <c r="A9" s="9" t="s">
        <v>483</v>
      </c>
      <c r="B9" s="9" t="s">
        <v>484</v>
      </c>
      <c r="C9" s="9" t="s">
        <v>485</v>
      </c>
    </row>
    <row r="10" customFormat="false" ht="15" hidden="false" customHeight="false" outlineLevel="0" collapsed="false">
      <c r="A10" s="9" t="s">
        <v>486</v>
      </c>
      <c r="B10" s="9" t="s">
        <v>487</v>
      </c>
      <c r="C10" s="9" t="s">
        <v>488</v>
      </c>
    </row>
    <row r="11" customFormat="false" ht="15" hidden="false" customHeight="false" outlineLevel="0" collapsed="false">
      <c r="A11" s="9" t="s">
        <v>489</v>
      </c>
      <c r="B11" s="9" t="s">
        <v>490</v>
      </c>
      <c r="C11" s="9" t="s">
        <v>491</v>
      </c>
    </row>
    <row r="12" customFormat="false" ht="15" hidden="false" customHeight="false" outlineLevel="0" collapsed="false">
      <c r="A12" s="9" t="s">
        <v>492</v>
      </c>
      <c r="B12" s="9" t="s">
        <v>493</v>
      </c>
      <c r="C12" s="9" t="s">
        <v>494</v>
      </c>
    </row>
    <row r="13" customFormat="false" ht="15" hidden="false" customHeight="false" outlineLevel="0" collapsed="false">
      <c r="A13" s="9" t="s">
        <v>495</v>
      </c>
      <c r="B13" s="9" t="s">
        <v>496</v>
      </c>
      <c r="C13" s="9" t="s">
        <v>497</v>
      </c>
    </row>
    <row r="14" customFormat="false" ht="15" hidden="false" customHeight="false" outlineLevel="0" collapsed="false">
      <c r="A14" s="9" t="s">
        <v>498</v>
      </c>
      <c r="B14" s="9" t="s">
        <v>499</v>
      </c>
      <c r="C14" s="9" t="s">
        <v>500</v>
      </c>
    </row>
    <row r="15" customFormat="false" ht="15" hidden="false" customHeight="false" outlineLevel="0" collapsed="false">
      <c r="A15" s="9" t="s">
        <v>501</v>
      </c>
      <c r="B15" s="9" t="s">
        <v>502</v>
      </c>
      <c r="C15" s="9" t="s">
        <v>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2026-10-04T18:34:43Z</dcterms:created>
  <dc:creator>openpyxl</dc:creator>
  <dc:description/>
  <dc:language>en-US</dc:language>
  <cp:lastModifiedBy/>
  <dcterms:modified xsi:type="dcterms:W3CDTF">2026-10-04T18:34:43Z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