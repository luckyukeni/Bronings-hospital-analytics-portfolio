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DQ_Issue_Log" sheetId="2" state="visible" r:id="rId4"/>
    <sheet name="DQ_Scores" sheetId="3" state="visible" r:id="rId5"/>
    <sheet name="Date_Format_Audit" sheetId="4" state="visible" r:id="rId6"/>
    <sheet name="GEN_Audit" sheetId="5" state="visible" r:id="rId7"/>
    <sheet name="Task_Workings" sheetId="6" state="visible" r:id="rId8"/>
    <sheet name="OP_Raw" sheetId="7" state="visible" r:id="rId9"/>
    <sheet name="IP_Raw" sheetId="8" state="visible" r:id="rId10"/>
    <sheet name="ED_Raw" sheetId="9" state="visible" r:id="rId11"/>
    <sheet name="TH_Raw" sheetId="10" state="visible" r:id="rId12"/>
    <sheet name="WF_Raw" sheetId="11" state="visible" r:id="rId13"/>
  </sheets>
  <definedNames>
    <definedName function="false" hidden="true" localSheetId="1" name="_xlnm._FilterDatabase" vbProcedure="false">DQ_Issue_Log!$A$1:$Q$64</definedName>
    <definedName function="false" hidden="true" localSheetId="8" name="_xlnm._FilterDatabase" vbProcedure="false">ED_Raw!$A$1:$N$970</definedName>
    <definedName function="false" hidden="true" localSheetId="7" name="_xlnm._FilterDatabase" vbProcedure="false">IP_Raw!$A$1:$Q$1207</definedName>
    <definedName function="false" hidden="true" localSheetId="6" name="_xlnm._FilterDatabase" vbProcedure="false">OP_Raw!$A$1:$O$581</definedName>
    <definedName function="false" hidden="true" localSheetId="9" name="_xlnm._FilterDatabase" vbProcedure="false">TH_Raw!$A$1:$K$209</definedName>
    <definedName function="false" hidden="true" localSheetId="10" name="_xlnm._FilterDatabase" vbProcedure="false">WF_Raw!$A$1:$L$1561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Live formulas against the raw sheets — change the raw data and the counts update.</t>
        </r>
      </text>
    </comment>
    <comment ref="J1" authorId="0">
      <text>
        <r>
          <rPr>
            <sz val="10"/>
            <rFont val="Arial"/>
            <family val="2"/>
          </rPr>
          <t xml:space="preserve">Critical = blocks statutory reporting · Major = distorts a KPI · Minor = cosmetic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Task 6: uses Waiting_Days when numeric and ≥0; otherwise recovers from RTT_Weeks × 7 (logic verified: Waiting_Days = RTT_Weeks × 7 on every numeric row). Negative value with no RTT_Weeks left blank.</t>
        </r>
      </text>
    </comment>
    <comment ref="R1" authorId="0">
      <text>
        <r>
          <rPr>
            <sz val="10"/>
            <rFont val="Arial"/>
            <family val="2"/>
          </rPr>
          <t xml:space="preserve">Task 7: GEN (retired June 2023) replaced with GM per Specialty_Code_Mapping.csv. Original column kept unchanged as the audit trail.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Arial"/>
            <family val="2"/>
          </rPr>
          <t xml:space="preserve">Task 7: GEN (retired June 2023) replaced with GM per Specialty_Code_Mapping.csv. Original column kept unchanged as the audit trail.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Recalculated from Arrival_Time and Departure_Time (handles 12-hour AM/PM entries and midnight crossover). Replaces Total_ED_Time_Minutes, which is negative in 4 rows.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Task 7: GEN (retired June 2023) replaced with GM per Specialty_Code_Mapping.csv. Original column kept unchanged as the audit trail.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Task 7: GEN (retired June 2023) replaced with GM per Specialty_Code_Mapping.csv. Original column kept unchanged as the audit trail.</t>
        </r>
      </text>
    </comment>
  </commentList>
</comments>
</file>

<file path=xl/sharedStrings.xml><?xml version="1.0" encoding="utf-8"?>
<sst xmlns="http://schemas.openxmlformats.org/spreadsheetml/2006/main" count="44339" uniqueCount="9378">
  <si>
    <t xml:space="preserve">Phase 3 Data Quality Audit — Executive Summary for Tom Nguyen</t>
  </si>
  <si>
    <t xml:space="preserve">Five exports audited: Outpatients (PAS), Inpatients (EHR), ED (EDIS), Theatres (TMS), Workforce (WRS). 4,523 rows, 63 issues logged. All counts are live formulas — see DQ_Issue_Log and Task_Workings.</t>
  </si>
  <si>
    <t xml:space="preserve">1. What is wrong — the errors that change performance figures</t>
  </si>
  <si>
    <t xml:space="preserve">ED 4-hour</t>
  </si>
  <si>
    <t xml:space="preserve">35 missing departure times + 9 duplicates + 4 negative times produce three figures: 79.9%, 83.2%, 83.9%. Validated figure: 83.1%.</t>
  </si>
  <si>
    <t xml:space="preserve">DNA rate</t>
  </si>
  <si>
    <t xml:space="preserve">Status miscoding is small (2 rows). The bigger problem is method and timing: the PAS 14.1% = DNA ÷ (ATT+DNA); DNA outcomes are recorded late (Jan 25.8% → Mar 3.7%). Validated Q1 figure: 13.9% — well above the 8% target.</t>
  </si>
  <si>
    <t xml:space="preserve">LWBS</t>
  </si>
  <si>
    <t xml:space="preserve">'LEFT' code (120 rows) is undefined: LWBS is 2.4% or 14.7% depending on its meaning.</t>
  </si>
  <si>
    <t xml:space="preserve">ED mortality</t>
  </si>
  <si>
    <t xml:space="preserve">'DIED' on 14.6% of attendances is not credible — likely miscoding. Do not quote any ED mortality figure.</t>
  </si>
  <si>
    <t xml:space="preserve">HRG income</t>
  </si>
  <si>
    <t xml:space="preserve">28 blank HRG codes = £51,800 — but over six months, not per month. The brief's £621k/yr figure is overstated ~6×.</t>
  </si>
  <si>
    <t xml:space="preserve">Readmissions</t>
  </si>
  <si>
    <t xml:space="preserve">44 blank flags: rate is 9.0%–12.3%, either side of the 10% target.</t>
  </si>
  <si>
    <t xml:space="preserve">Theatres</t>
  </si>
  <si>
    <t xml:space="preserve">Utilisation_Pct column wrong in 7 rows; 4 rows exceed 100%. The 64% vs 72% dispute is definitional (T4 + overruns).</t>
  </si>
  <si>
    <t xml:space="preserve">Agency spend</t>
  </si>
  <si>
    <t xml:space="preserve">15 blank flags + 24 test records. February range: £49,280–£53,515 (narrow — blanks are only 1.4%).</t>
  </si>
  <si>
    <t xml:space="preserve">Linkage</t>
  </si>
  <si>
    <t xml:space="preserve">No outpatient or ED NHS Number appears in the inpatient file — PAS, EDIS and EHR cannot currently be joined.</t>
  </si>
  <si>
    <t xml:space="preserve">NHS Numbers</t>
  </si>
  <si>
    <t xml:space="preserve">188 NHS Numbers start with 0 — opening the CSV in Excel drops the zero. This is the 'truncation' issue.</t>
  </si>
  <si>
    <t xml:space="preserve">2. What you can trust today</t>
  </si>
  <si>
    <t xml:space="preserve">KPI</t>
  </si>
  <si>
    <t xml:space="preserve">Validated figure</t>
  </si>
  <si>
    <t xml:space="preserve">Can we quote it?</t>
  </si>
  <si>
    <t xml:space="preserve">Caveat</t>
  </si>
  <si>
    <t xml:space="preserve">Amber</t>
  </si>
  <si>
    <t xml:space="preserve">Quote 83.1% with range 80.1%–83.8% (35 missing departures). Differs from the 81.3% in the brief — reconcile with Sarah's manual count.</t>
  </si>
  <si>
    <t xml:space="preserve">DNA rate (Q1, quarterly)</t>
  </si>
  <si>
    <t xml:space="preserve">Quarterly only — monthly figures are distorted by late outcome recording.</t>
  </si>
  <si>
    <t xml:space="preserve">HRG coding completeness</t>
  </si>
  <si>
    <t xml:space="preserve">Green</t>
  </si>
  <si>
    <t xml:space="preserve">97.7% coded vs 98% target; 28 episodes to code.</t>
  </si>
  <si>
    <t xml:space="preserve">Theatre utilisation (elective)</t>
  </si>
  <si>
    <t xml:space="preserve">Sessions-based, T1–T3. Definition to be ratified.</t>
  </si>
  <si>
    <t xml:space="preserve">Agency spend (Feb)</t>
  </si>
  <si>
    <t xml:space="preserve">£49k–£54k</t>
  </si>
  <si>
    <t xml:space="preserve">Range, not a point estimate; reconcile to ledger.</t>
  </si>
  <si>
    <t xml:space="preserve">30-day readmissions</t>
  </si>
  <si>
    <t xml:space="preserve">9.0%–12.3%</t>
  </si>
  <si>
    <t xml:space="preserve">Red</t>
  </si>
  <si>
    <t xml:space="preserve">44 blank flags — back-fill before quoting.</t>
  </si>
  <si>
    <t xml:space="preserve">LWBS rate</t>
  </si>
  <si>
    <t xml:space="preserve">2.4% or 14.7%</t>
  </si>
  <si>
    <t xml:space="preserve">Depends on definition of 'LEFT'.</t>
  </si>
  <si>
    <t xml:space="preserve">RTT 18-week</t>
  </si>
  <si>
    <t xml:space="preserve">Not from this extract</t>
  </si>
  <si>
    <t xml:space="preserve">Outpatient extract holds only 131 open pathways; only 41% of those are within 18 weeks — inconsistent with the 74.8% headline. Needs the full waiting list.</t>
  </si>
  <si>
    <t xml:space="preserve">ED mortality / DIED</t>
  </si>
  <si>
    <t xml:space="preserve">Do not use</t>
  </si>
  <si>
    <t xml:space="preserve">141 'DIED' codes are not credible.</t>
  </si>
  <si>
    <t xml:space="preserve">3. Priority order for fixing</t>
  </si>
  <si>
    <t xml:space="preserve">1. ED departures and 'DIED'/'LEFT' codes — ED 4-hour is the headline NHS England will test; mortality miscoding is a governance risk.</t>
  </si>
  <si>
    <t xml:space="preserve">2. DNA definition and outcome recording — adopt DNA ÷ (ATT+DNA+REF), report quarterly, 48-hour outcome standard.</t>
  </si>
  <si>
    <t xml:space="preserve">3. HRG blanks (28 episodes) — £51,800 recoverable before the SUS deadline.</t>
  </si>
  <si>
    <t xml:space="preserve">4. NHS Number import as text + PDS back-fill — fixes linkage for readmissions and duplicates.</t>
  </si>
  <si>
    <t xml:space="preserve">5. Readmission flag back-fill — moves RA30 from Unknown to known.</t>
  </si>
  <si>
    <t xml:space="preserve">6. Theatre definition (GIRFT, T1–T3, capped) and TMS session fix.</t>
  </si>
  <si>
    <t xml:space="preserve">7. Workforce: make Agency_Flag mandatory, remove ST-99 test data, escalate 8 shifts over 13 hours to HR.</t>
  </si>
  <si>
    <t xml:space="preserve">Issue_ID</t>
  </si>
  <si>
    <t xml:space="preserve">Task</t>
  </si>
  <si>
    <t xml:space="preserve">1. Sheet / dataset</t>
  </si>
  <si>
    <t xml:space="preserve">Source</t>
  </si>
  <si>
    <t xml:space="preserve">2. Column</t>
  </si>
  <si>
    <t xml:space="preserve">3. Issue type</t>
  </si>
  <si>
    <t xml:space="preserve">Issue found</t>
  </si>
  <si>
    <t xml:space="preserve">4. Rows affected</t>
  </si>
  <si>
    <t xml:space="preserve">% of rows</t>
  </si>
  <si>
    <t xml:space="preserve">5. Severity</t>
  </si>
  <si>
    <t xml:space="preserve">6. Recommended action</t>
  </si>
  <si>
    <t xml:space="preserve">Example record(s)</t>
  </si>
  <si>
    <t xml:space="preserve">KPI(s) affected</t>
  </si>
  <si>
    <t xml:space="preserve">Impact on the KPI</t>
  </si>
  <si>
    <t xml:space="preserve">Root cause (likely)</t>
  </si>
  <si>
    <t xml:space="preserve">Owner</t>
  </si>
  <si>
    <t xml:space="preserve">Status</t>
  </si>
  <si>
    <t xml:space="preserve">OP-01</t>
  </si>
  <si>
    <t xml:space="preserve">T1</t>
  </si>
  <si>
    <t xml:space="preserve">Outpatients</t>
  </si>
  <si>
    <t xml:space="preserve">PAS</t>
  </si>
  <si>
    <t xml:space="preserve">Attendance_Status</t>
  </si>
  <si>
    <t xml:space="preserve">Non-standard value</t>
  </si>
  <si>
    <t xml:space="preserve">Non-standard status values: 'attended' (1) and 'N/A' (1). Valid codes are ATT, DNA, CAN, REF.</t>
  </si>
  <si>
    <t xml:space="preserve">Major</t>
  </si>
  <si>
    <t xml:space="preserve">Map 'attended' → ATT; exclude 'N/A' (APT-100199 also has CL-DEP, GEN, blank consultant — likely a legacy/test record). Add PAS drop-down validation.</t>
  </si>
  <si>
    <t xml:space="preserve">APT-100154 ('attended'); APT-100199 ('N/A')</t>
  </si>
  <si>
    <t xml:space="preserve">A COUNTIF on 'ATT' misses 'attended'; 'N/A' inflates any COUNTA denominator. Small here (0.03 pts) but the same pattern at scale drives the DNA dispute.</t>
  </si>
  <si>
    <t xml:space="preserve">Free-text entry allowed in PAS status field</t>
  </si>
  <si>
    <t xml:space="preserve">PAS team / Sarah Okafor</t>
  </si>
  <si>
    <t xml:space="preserve">Fixed in analysis</t>
  </si>
  <si>
    <t xml:space="preserve">OP-02</t>
  </si>
  <si>
    <t xml:space="preserve">T6</t>
  </si>
  <si>
    <t xml:space="preserve">Waiting_Days</t>
  </si>
  <si>
    <t xml:space="preserve">Format error</t>
  </si>
  <si>
    <t xml:space="preserve">Text value 'ATT' in a numeric field (column-shift / entry error).</t>
  </si>
  <si>
    <t xml:space="preserve">Recover from RTT_Weeks × 7 (RTT_Weeks is populated and consistent for every other row).</t>
  </si>
  <si>
    <t xml:space="preserve">APT-100362, APT-100369, APT-100375</t>
  </si>
  <si>
    <t xml:space="preserve">RTT, waiting times</t>
  </si>
  <si>
    <t xml:space="preserve">Rows drop out of any AVERAGE/SUM of waiting time; Excel may error or silently ignore them.</t>
  </si>
  <si>
    <t xml:space="preserve">Status value written into the wrong field on export</t>
  </si>
  <si>
    <t xml:space="preserve">Daniel Walsh (pipeline)</t>
  </si>
  <si>
    <t xml:space="preserve">OP-03</t>
  </si>
  <si>
    <t xml:space="preserve">Impossible value</t>
  </si>
  <si>
    <t xml:space="preserve">Negative waiting time.</t>
  </si>
  <si>
    <t xml:space="preserve">Exclude from RTT calculations; validate referral date with PAS team.</t>
  </si>
  <si>
    <t xml:space="preserve">APT-100200 (−3 days)</t>
  </si>
  <si>
    <t xml:space="preserve">RTT</t>
  </si>
  <si>
    <t xml:space="preserve">Impossible value — appointment before referral. Handover notes said 4 rows; this extract has 1.</t>
  </si>
  <si>
    <t xml:space="preserve">Referral date entered after appointment date, or transferred-in patient clock</t>
  </si>
  <si>
    <t xml:space="preserve">Sarah Okafor</t>
  </si>
  <si>
    <t xml:space="preserve">Open — validate</t>
  </si>
  <si>
    <t xml:space="preserve">OP-04</t>
  </si>
  <si>
    <t xml:space="preserve">T2</t>
  </si>
  <si>
    <t xml:space="preserve">NHS_Number</t>
  </si>
  <si>
    <t xml:space="preserve">Blank</t>
  </si>
  <si>
    <t xml:space="preserve">NHS Number blank.</t>
  </si>
  <si>
    <t xml:space="preserve">Trace via PDS (Spine) and back-fill.</t>
  </si>
  <si>
    <t xml:space="preserve">3 rows</t>
  </si>
  <si>
    <t xml:space="preserve">Patient matching, RTT</t>
  </si>
  <si>
    <t xml:space="preserve">Cannot link to admissions / readmissions; possible duplicate patients on the waiting list.</t>
  </si>
  <si>
    <t xml:space="preserve">Not captured at registration</t>
  </si>
  <si>
    <t xml:space="preserve">PAS team</t>
  </si>
  <si>
    <t xml:space="preserve">Open</t>
  </si>
  <si>
    <t xml:space="preserve">OP-05</t>
  </si>
  <si>
    <t xml:space="preserve">NHS Numbers starting with 0 — will be truncated to 9 digits if the CSV is opened directly in Excel or cast as INT.</t>
  </si>
  <si>
    <t xml:space="preserve">Import NHS_Number as TEXT (Power Query: set type to Text); fix the export query to VARCHAR(10).</t>
  </si>
  <si>
    <t xml:space="preserve">APT-100362 (0721302594)</t>
  </si>
  <si>
    <t xml:space="preserve">All patient-level KPIs</t>
  </si>
  <si>
    <t xml:space="preserve">Root cause of the known 'NHS Number truncation' issue: numeric casting drops the leading zero.</t>
  </si>
  <si>
    <t xml:space="preserve">Export casts NHS_Number as INT; Excel auto-converts to number</t>
  </si>
  <si>
    <t xml:space="preserve">Daniel Walsh</t>
  </si>
  <si>
    <t xml:space="preserve">OP-06</t>
  </si>
  <si>
    <t xml:space="preserve">T7</t>
  </si>
  <si>
    <t xml:space="preserve">Specialty_Code</t>
  </si>
  <si>
    <t xml:space="preserve">Retired code GEN (replaced by GM in June 2023).</t>
  </si>
  <si>
    <t xml:space="preserve">Map GEN → GM using Specialty_Code_Mapping.csv.</t>
  </si>
  <si>
    <t xml:space="preserve">Specialty activity, RTT by specialty</t>
  </si>
  <si>
    <t xml:space="preserve">General Medicine activity split across two codes and under-reported.</t>
  </si>
  <si>
    <t xml:space="preserve">Specialty code migration not completed</t>
  </si>
  <si>
    <t xml:space="preserve">OP-07</t>
  </si>
  <si>
    <t xml:space="preserve">—</t>
  </si>
  <si>
    <t xml:space="preserve">Clinic_Code</t>
  </si>
  <si>
    <t xml:space="preserve">Retired / decommissioned clinic codes CL-OLD and CL-DEP.</t>
  </si>
  <si>
    <t xml:space="preserve">Minor</t>
  </si>
  <si>
    <t xml:space="preserve">Exclude from clinic reporting; confirm origin (pre-merger / closed dermatology) with PAS team.</t>
  </si>
  <si>
    <t xml:space="preserve">APT-100186 (CL-OLD); APT-100199 (CL-DEP)</t>
  </si>
  <si>
    <t xml:space="preserve">Clinic activity, DNA</t>
  </si>
  <si>
    <t xml:space="preserve">Activity booked to clinics that no longer exist.</t>
  </si>
  <si>
    <t xml:space="preserve">Legacy codes still selectable in PAS</t>
  </si>
  <si>
    <t xml:space="preserve">Open — confirm</t>
  </si>
  <si>
    <t xml:space="preserve">OP-08</t>
  </si>
  <si>
    <t xml:space="preserve">Consultant_Code</t>
  </si>
  <si>
    <t xml:space="preserve">Consultant code blank.</t>
  </si>
  <si>
    <t xml:space="preserve">Report as 'Unknown'; register locums.</t>
  </si>
  <si>
    <t xml:space="preserve">APT-100156, APT-100169, APT-100191, APT-100199, APT-100201</t>
  </si>
  <si>
    <t xml:space="preserve">Consultant-level reporting</t>
  </si>
  <si>
    <t xml:space="preserve">Cannot attribute activity; possible unregistered locums.</t>
  </si>
  <si>
    <t xml:space="preserve">Locum consultants not registered in PAS</t>
  </si>
  <si>
    <t xml:space="preserve">Medical Staffing</t>
  </si>
  <si>
    <t xml:space="preserve">OP-09</t>
  </si>
  <si>
    <t xml:space="preserve">RTT_Status / RTT_Weeks</t>
  </si>
  <si>
    <t xml:space="preserve">RTT status blank.</t>
  </si>
  <si>
    <t xml:space="preserve">Validate pathway status.</t>
  </si>
  <si>
    <t xml:space="preserve">1 row</t>
  </si>
  <si>
    <t xml:space="preserve">RTT compliance</t>
  </si>
  <si>
    <t xml:space="preserve">Pathway cannot be counted as open or closed.</t>
  </si>
  <si>
    <t xml:space="preserve">Pathway not validated</t>
  </si>
  <si>
    <t xml:space="preserve">OP-10</t>
  </si>
  <si>
    <t xml:space="preserve">Referral_Source</t>
  </si>
  <si>
    <t xml:space="preserve">Non-standard value 'Other'.</t>
  </si>
  <si>
    <t xml:space="preserve">Map to reference list.</t>
  </si>
  <si>
    <t xml:space="preserve">Referral analysis</t>
  </si>
  <si>
    <t xml:space="preserve">Minor — not in reference list.</t>
  </si>
  <si>
    <t xml:space="preserve">Free text</t>
  </si>
  <si>
    <t xml:space="preserve">OP-11</t>
  </si>
  <si>
    <t xml:space="preserve">Postcode</t>
  </si>
  <si>
    <t xml:space="preserve">Postcode blank.</t>
  </si>
  <si>
    <t xml:space="preserve">Back-fill from PDS.</t>
  </si>
  <si>
    <t xml:space="preserve">2 rows</t>
  </si>
  <si>
    <t xml:space="preserve">Population / health-inequality analysis</t>
  </si>
  <si>
    <t xml:space="preserve">Minor.</t>
  </si>
  <si>
    <t xml:space="preserve">Not captured</t>
  </si>
  <si>
    <t xml:space="preserve">OP-12</t>
  </si>
  <si>
    <t xml:space="preserve">Attendance_Status (by month)</t>
  </si>
  <si>
    <t xml:space="preserve">Impossible value (implausible pattern)</t>
  </si>
  <si>
    <t xml:space="preserve">DNA rate swings from 25.8% (Jan) to 10.9% (Feb) to 3.7% (Mar) — DNA outcomes appear to be recorded late or bulk-updated.</t>
  </si>
  <si>
    <t xml:space="preserve">Report DNA quarterly; set a 48-hour outcome-recording standard for clinics; re-run once March outcomes are complete.</t>
  </si>
  <si>
    <t xml:space="preserve">49 of 76 DNAs fall in January</t>
  </si>
  <si>
    <t xml:space="preserve">A calendar-month DNA rate (PAS report method) is unreliable; a quarterly figure is more stable. Explains part of the 3-figure dispute.</t>
  </si>
  <si>
    <t xml:space="preserve">Outcome recording lag in clinics</t>
  </si>
  <si>
    <t xml:space="preserve">Outpatient Manager / Sarah Okafor</t>
  </si>
  <si>
    <t xml:space="preserve">Open — investigate</t>
  </si>
  <si>
    <t xml:space="preserve">OP-13</t>
  </si>
  <si>
    <t xml:space="preserve">T4</t>
  </si>
  <si>
    <t xml:space="preserve">Appointment_Time</t>
  </si>
  <si>
    <t xml:space="preserve">Placeholder 'TBC' instead of a time.</t>
  </si>
  <si>
    <t xml:space="preserve">Confirm slot or exclude.</t>
  </si>
  <si>
    <t xml:space="preserve">Clinic utilisation</t>
  </si>
  <si>
    <t xml:space="preserve">Time arithmetic fails for this row.</t>
  </si>
  <si>
    <t xml:space="preserve">Booking without a confirmed slot</t>
  </si>
  <si>
    <t xml:space="preserve">OP-14</t>
  </si>
  <si>
    <t xml:space="preserve">T5</t>
  </si>
  <si>
    <t xml:space="preserve">Appointment_ID</t>
  </si>
  <si>
    <t xml:space="preserve">Duplicate</t>
  </si>
  <si>
    <t xml:space="preserve">Duplicate check: no exact duplicate IDs and no near-duplicates (tested NHS Number + date; + clinic; + time; Surname + DOB + date). All IDs are valid APT-XXXXXX (no 5-digit truncation).</t>
  </si>
  <si>
    <t xml:space="preserve">None found</t>
  </si>
  <si>
    <t xml:space="preserve">No action; keep the check in the weekly pipeline.</t>
  </si>
  <si>
    <t xml:space="preserve">None</t>
  </si>
  <si>
    <t xml:space="preserve">Activity counts, DNA</t>
  </si>
  <si>
    <t xml:space="preserve">None — appointment counts are not inflated by duplicates.</t>
  </si>
  <si>
    <t xml:space="preserve">n/a</t>
  </si>
  <si>
    <t xml:space="preserve">Analyst</t>
  </si>
  <si>
    <t xml:space="preserve">Closed — none found</t>
  </si>
  <si>
    <t xml:space="preserve">IP-01</t>
  </si>
  <si>
    <t xml:space="preserve">Inpatients</t>
  </si>
  <si>
    <t xml:space="preserve">EHR</t>
  </si>
  <si>
    <t xml:space="preserve">Episode_ID</t>
  </si>
  <si>
    <t xml:space="preserve">Duplicate Episode_IDs (6 IDs appear twice; 2 exact copies, 4 differ only by Ward_Code).</t>
  </si>
  <si>
    <t xml:space="preserve">Keep one row per Episode_ID (first ward); record transfers separately.</t>
  </si>
  <si>
    <t xml:space="preserve">EP-10000057, EP-10000091, EP-10000198, EP-10000254, EP-10000264, EP-10000553</t>
  </si>
  <si>
    <t xml:space="preserve">Activity, ALOS, HRG income, bed days</t>
  </si>
  <si>
    <t xml:space="preserve">Activity and income double-counted; ward transfers recorded as new episodes.</t>
  </si>
  <si>
    <t xml:space="preserve">Ward transfer creates a second record in the EHR export</t>
  </si>
  <si>
    <t xml:space="preserve">IP-02</t>
  </si>
  <si>
    <t xml:space="preserve">T3</t>
  </si>
  <si>
    <t xml:space="preserve">HRG_Code</t>
  </si>
  <si>
    <t xml:space="preserve">HRG code blank — episode cannot be grouped or paid.</t>
  </si>
  <si>
    <t xml:space="preserve">Critical</t>
  </si>
  <si>
    <t xml:space="preserve">Send Episode_ID list to Clinical Coding before SUS deadline.</t>
  </si>
  <si>
    <t xml:space="preserve">28 episodes (all discharged)</t>
  </si>
  <si>
    <t xml:space="preserve">HRG coding completeness, income</t>
  </si>
  <si>
    <t xml:space="preserve">£51,800 income at risk (28 × £1,850). NB: across 6 months, not per month as the company brief assumed.</t>
  </si>
  <si>
    <t xml:space="preserve">Clinical coding backlog</t>
  </si>
  <si>
    <t xml:space="preserve">Marcus Reid (Clinical Coding)</t>
  </si>
  <si>
    <t xml:space="preserve">IP-03</t>
  </si>
  <si>
    <t xml:space="preserve">Readmission_Flag</t>
  </si>
  <si>
    <t xml:space="preserve">Readmission flag blank (handover notes said 41; extract has 44).</t>
  </si>
  <si>
    <t xml:space="preserve">Back-fill using admission-date logic (NHS Number + admission within 30 days of a previous discharge).</t>
  </si>
  <si>
    <t xml:space="preserve">44 rows</t>
  </si>
  <si>
    <t xml:space="preserve">30-day readmission rate</t>
  </si>
  <si>
    <t xml:space="preserve">Rate ranges 9.0% (blanks excluded) to 12.3% (blanks = Y) — straddles the 10% target.</t>
  </si>
  <si>
    <t xml:space="preserve">EHR not populating flag; ownership disputed</t>
  </si>
  <si>
    <t xml:space="preserve">Analyst (per Nov governance decision)</t>
  </si>
  <si>
    <t xml:space="preserve">IP-04</t>
  </si>
  <si>
    <t xml:space="preserve">Discharge_Date / Method / LOS</t>
  </si>
  <si>
    <t xml:space="preserve">Open episodes — no discharge date, method, LOS or bed days. Some admitted in October 2024.</t>
  </si>
  <si>
    <t xml:space="preserve">Validate each open episode &gt;30 days with ward clerks.</t>
  </si>
  <si>
    <t xml:space="preserve">31 rows (admitted 01/10/2024–08/03/2025)</t>
  </si>
  <si>
    <t xml:space="preserve">ALOS, bed occupancy</t>
  </si>
  <si>
    <t xml:space="preserve">Excluded from ALOS; very old open episodes are almost certainly missing discharges, which understates bed availability.</t>
  </si>
  <si>
    <t xml:space="preserve">Discharge not recorded in EHR</t>
  </si>
  <si>
    <t xml:space="preserve">Ward administration</t>
  </si>
  <si>
    <t xml:space="preserve">IP-05</t>
  </si>
  <si>
    <t xml:space="preserve">Discharge_Date</t>
  </si>
  <si>
    <t xml:space="preserve">Dates stored as text ('October 9 2024').</t>
  </si>
  <si>
    <t xml:space="preserve">Convert with Power Query (Date.FromText, locale en-GB).</t>
  </si>
  <si>
    <t xml:space="preserve">October 9 2024; November 20 2024; December 19 2024</t>
  </si>
  <si>
    <t xml:space="preserve">ALOS, readmissions</t>
  </si>
  <si>
    <t xml:space="preserve">Date arithmetic fails; rows silently drop out.</t>
  </si>
  <si>
    <t xml:space="preserve">Manual entry / different source format</t>
  </si>
  <si>
    <t xml:space="preserve">IP-06</t>
  </si>
  <si>
    <t xml:space="preserve">Admission_Type</t>
  </si>
  <si>
    <t xml:space="preserve">Non-standard values 'Elective' (9) and 'emergency' (4). Valid: ELEC, EMER, TRANSFER.</t>
  </si>
  <si>
    <t xml:space="preserve">Map Elective → ELEC; emergency → EMER.</t>
  </si>
  <si>
    <t xml:space="preserve">13 rows</t>
  </si>
  <si>
    <t xml:space="preserve">Elective activity, readmissions, cancelled ops</t>
  </si>
  <si>
    <t xml:space="preserve">Elective/emergency counts understated when filtering on code.</t>
  </si>
  <si>
    <t xml:space="preserve">Free text entry</t>
  </si>
  <si>
    <t xml:space="preserve">IP-07</t>
  </si>
  <si>
    <t xml:space="preserve">Discharge_Method</t>
  </si>
  <si>
    <t xml:space="preserve">Non-standard value 'Discharged'.</t>
  </si>
  <si>
    <t xml:space="preserve">Map to HOME after validation.</t>
  </si>
  <si>
    <t xml:space="preserve">15 rows</t>
  </si>
  <si>
    <t xml:space="preserve">Discharge destination</t>
  </si>
  <si>
    <t xml:space="preserve">Cannot tell home vs transfer.</t>
  </si>
  <si>
    <t xml:space="preserve">IP-08</t>
  </si>
  <si>
    <t xml:space="preserve">Ward_Code</t>
  </si>
  <si>
    <t xml:space="preserve">Decommissioned ward W-08 (closed Feb 2024).</t>
  </si>
  <si>
    <t xml:space="preserve">Reassign to correct ward; disable code.</t>
  </si>
  <si>
    <t xml:space="preserve">Bed occupancy</t>
  </si>
  <si>
    <t xml:space="preserve">Activity on a ward with no beds inflates occupancy.</t>
  </si>
  <si>
    <t xml:space="preserve">Legacy code still selectable</t>
  </si>
  <si>
    <t xml:space="preserve">IP-09</t>
  </si>
  <si>
    <t xml:space="preserve">Retired code GEN.</t>
  </si>
  <si>
    <t xml:space="preserve">Map GEN → GM.</t>
  </si>
  <si>
    <t xml:space="preserve">10 rows</t>
  </si>
  <si>
    <t xml:space="preserve">Specialty activity</t>
  </si>
  <si>
    <t xml:space="preserve">General Medicine under-reported.</t>
  </si>
  <si>
    <t xml:space="preserve">Specialty code migration</t>
  </si>
  <si>
    <t xml:space="preserve">IP-10</t>
  </si>
  <si>
    <t xml:space="preserve">Length_of_Stay</t>
  </si>
  <si>
    <t xml:space="preserve">Negative length of stay (dates show positive stays).</t>
  </si>
  <si>
    <t xml:space="preserve">Recalculate LOS = Discharge_Date − Admission_Date.</t>
  </si>
  <si>
    <t xml:space="preserve">EP-10000154 (−3 vs 6 days)</t>
  </si>
  <si>
    <t xml:space="preserve">ALOS</t>
  </si>
  <si>
    <t xml:space="preserve">Pulls ALOS down.</t>
  </si>
  <si>
    <t xml:space="preserve">Calculated field error</t>
  </si>
  <si>
    <t xml:space="preserve">IP-11</t>
  </si>
  <si>
    <t xml:space="preserve">Bed_Days</t>
  </si>
  <si>
    <t xml:space="preserve">Bed_Days differs from Length_of_Stay.</t>
  </si>
  <si>
    <t xml:space="preserve">Agree one definition (midnight census).</t>
  </si>
  <si>
    <t xml:space="preserve">34 rows</t>
  </si>
  <si>
    <t xml:space="preserve">Bed occupancy, cost per episode</t>
  </si>
  <si>
    <t xml:space="preserve">Two 'stay' measures disagree; definition undocumented.</t>
  </si>
  <si>
    <t xml:space="preserve">Different counting rules (midnights vs days)</t>
  </si>
  <si>
    <t xml:space="preserve">Open — define</t>
  </si>
  <si>
    <t xml:space="preserve">IP-12</t>
  </si>
  <si>
    <t xml:space="preserve">Trace via PDS.</t>
  </si>
  <si>
    <t xml:space="preserve">20 rows</t>
  </si>
  <si>
    <t xml:space="preserve">Readmissions, linkage</t>
  </si>
  <si>
    <t xml:space="preserve">Readmissions cannot be detected for these patients.</t>
  </si>
  <si>
    <t xml:space="preserve">Not captured / unidentified patients</t>
  </si>
  <si>
    <t xml:space="preserve">IP-13</t>
  </si>
  <si>
    <t xml:space="preserve">NHS Numbers starting with 0 — truncation risk on import.</t>
  </si>
  <si>
    <t xml:space="preserve">Import as Text.</t>
  </si>
  <si>
    <t xml:space="preserve">EP rows with 0-leading NHS Number</t>
  </si>
  <si>
    <t xml:space="preserve">Truncated numbers break patient matching.</t>
  </si>
  <si>
    <t xml:space="preserve">INT casting</t>
  </si>
  <si>
    <t xml:space="preserve">IP-14</t>
  </si>
  <si>
    <t xml:space="preserve">Consultant / ICD10 / OPCS4</t>
  </si>
  <si>
    <t xml:space="preserve">Consultant (28), ICD-10 (27) and OPCS-4 (27) blank.</t>
  </si>
  <si>
    <t xml:space="preserve">Include in Clinical Coding work list.</t>
  </si>
  <si>
    <t xml:space="preserve">25 episodes have an HRG but no ICD-10 code</t>
  </si>
  <si>
    <t xml:space="preserve">HRG income, SUS</t>
  </si>
  <si>
    <t xml:space="preserve">Episodes with missing diagnosis/procedure codes may group incorrectly.</t>
  </si>
  <si>
    <t xml:space="preserve">Coding incomplete</t>
  </si>
  <si>
    <t xml:space="preserve">Marcus Reid</t>
  </si>
  <si>
    <t xml:space="preserve">ED-01</t>
  </si>
  <si>
    <t xml:space="preserve">ED</t>
  </si>
  <si>
    <t xml:space="preserve">EDIS</t>
  </si>
  <si>
    <t xml:space="preserve">Attendance_ID</t>
  </si>
  <si>
    <t xml:space="preserve">Duplicate attendance IDs (9 duplicated records).</t>
  </si>
  <si>
    <t xml:space="preserve">De-duplicate on Attendance_ID.</t>
  </si>
  <si>
    <t xml:space="preserve">ED-7000110, ED-7000114, ED-7000213 …</t>
  </si>
  <si>
    <t xml:space="preserve">ED 4-hour, attendances</t>
  </si>
  <si>
    <t xml:space="preserve">Attendances double-counted.</t>
  </si>
  <si>
    <t xml:space="preserve">Export duplication</t>
  </si>
  <si>
    <t xml:space="preserve">ED-02</t>
  </si>
  <si>
    <t xml:space="preserve">Departure_Time</t>
  </si>
  <si>
    <t xml:space="preserve">Departure time missing — so Total_ED_Time and Four_Hour_Breach are also blank.</t>
  </si>
  <si>
    <t xml:space="preserve">Report validated figure with blanks excluded and show the range; chase departures with ED.</t>
  </si>
  <si>
    <t xml:space="preserve">35 rows</t>
  </si>
  <si>
    <t xml:space="preserve">The root cause of the three ED figures: 79.9% (blanks = breach), 83.2% (blanks excluded), 83.9% (blanks = pass).</t>
  </si>
  <si>
    <t xml:space="preserve">Departure not recorded (incl. EDIS downtime)</t>
  </si>
  <si>
    <t xml:space="preserve">ED Manager</t>
  </si>
  <si>
    <t xml:space="preserve">ED-03</t>
  </si>
  <si>
    <t xml:space="preserve">Four_Hour_Breach</t>
  </si>
  <si>
    <t xml:space="preserve">Breach flag blank (35 missing departures + 4 negative times).</t>
  </si>
  <si>
    <t xml:space="preserve">Recalculate breach from times (helper column Q).</t>
  </si>
  <si>
    <t xml:space="preserve">39 rows</t>
  </si>
  <si>
    <t xml:space="preserve">As above.</t>
  </si>
  <si>
    <t xml:space="preserve">Flag derived from a missing/invalid time</t>
  </si>
  <si>
    <t xml:space="preserve">ED-04</t>
  </si>
  <si>
    <t xml:space="preserve">Total_ED_Time_Minutes</t>
  </si>
  <si>
    <t xml:space="preserve">Negative ED time — midnight / calculation error.</t>
  </si>
  <si>
    <t xml:space="preserve">Recalculate from Arrival/Departure times.</t>
  </si>
  <si>
    <t xml:space="preserve">ED-7000256 (−57; times give 166 min)</t>
  </si>
  <si>
    <t xml:space="preserve">4 attendances missing from the breach count; recalculation shows 1 is a breach (369 min).</t>
  </si>
  <si>
    <t xml:space="preserve">Derived field error</t>
  </si>
  <si>
    <t xml:space="preserve">ED-05</t>
  </si>
  <si>
    <t xml:space="preserve">Arrival_Time</t>
  </si>
  <si>
    <t xml:space="preserve">12-hour AM/PM format ('3:53 PM') instead of 24-hour HH:MM.</t>
  </si>
  <si>
    <t xml:space="preserve">Convert with TIMEVALUE / Power Query.</t>
  </si>
  <si>
    <t xml:space="preserve">17 rows</t>
  </si>
  <si>
    <t xml:space="preserve">Time arithmetic fails unless converted.</t>
  </si>
  <si>
    <t xml:space="preserve">Manual entry (EDIS downtime pattern)</t>
  </si>
  <si>
    <t xml:space="preserve">ED-06</t>
  </si>
  <si>
    <t xml:space="preserve">Triage_Category</t>
  </si>
  <si>
    <t xml:space="preserve">Invalid triage values 0 and 6 (valid 1–5).</t>
  </si>
  <si>
    <t xml:space="preserve">Review with ED; add 1–5 validation.</t>
  </si>
  <si>
    <t xml:space="preserve">ED-7000206, ED-7000228, ED-7000358 …</t>
  </si>
  <si>
    <t xml:space="preserve">Acuity / casemix</t>
  </si>
  <si>
    <t xml:space="preserve">Clinical prioritisation unknown for these patients.</t>
  </si>
  <si>
    <t xml:space="preserve">No validation in EDIS</t>
  </si>
  <si>
    <t xml:space="preserve">ED-07</t>
  </si>
  <si>
    <t xml:space="preserve">Seen_by_Clinician_Time</t>
  </si>
  <si>
    <t xml:space="preserve">Time seen by clinician blank.</t>
  </si>
  <si>
    <t xml:space="preserve">Chase with ED.</t>
  </si>
  <si>
    <t xml:space="preserve">28 rows</t>
  </si>
  <si>
    <t xml:space="preserve">Time to clinician, LWBS</t>
  </si>
  <si>
    <t xml:space="preserve">Cannot measure wait to be seen.</t>
  </si>
  <si>
    <t xml:space="preserve">Not recorded</t>
  </si>
  <si>
    <t xml:space="preserve">ED-08</t>
  </si>
  <si>
    <t xml:space="preserve">NHS Number blank (12.5% of attendances).</t>
  </si>
  <si>
    <t xml:space="preserve">Back-fill post-attendance via PDS.</t>
  </si>
  <si>
    <t xml:space="preserve">121 rows</t>
  </si>
  <si>
    <t xml:space="preserve">Linkage to admissions / readmissions</t>
  </si>
  <si>
    <t xml:space="preserve">Cannot link ED attendances to inpatient episodes.</t>
  </si>
  <si>
    <t xml:space="preserve">Unidentified patients at arrival</t>
  </si>
  <si>
    <t xml:space="preserve">ED reception</t>
  </si>
  <si>
    <t xml:space="preserve">ED-09</t>
  </si>
  <si>
    <t xml:space="preserve">Departure_Code</t>
  </si>
  <si>
    <t xml:space="preserve">Code 'LEFT' (120 rows) not in the glossary — ambiguous vs LWBS (23).</t>
  </si>
  <si>
    <t xml:space="preserve">Define LEFT with ED (left before or after being seen?) and map.</t>
  </si>
  <si>
    <t xml:space="preserve">120 rows</t>
  </si>
  <si>
    <t xml:space="preserve">LWBS is 2.4% (LWBS only) or 14.7% (LWBS + LEFT) — the difference between meeting and badly breaching the 5% standard.</t>
  </si>
  <si>
    <t xml:space="preserve">Code list not controlled</t>
  </si>
  <si>
    <t xml:space="preserve">ED Manager / Daniel Walsh</t>
  </si>
  <si>
    <t xml:space="preserve">ED-10</t>
  </si>
  <si>
    <t xml:space="preserve">'DIED' recorded for 14.6% of attendances — clinically implausible for an ED.</t>
  </si>
  <si>
    <t xml:space="preserve">Urgent validation with ED and Medical Director before any mortality reporting.</t>
  </si>
  <si>
    <t xml:space="preserve">141 rows</t>
  </si>
  <si>
    <t xml:space="preserve">Mortality, quality reporting</t>
  </si>
  <si>
    <t xml:space="preserve">Must not be quoted; likely miscoding.</t>
  </si>
  <si>
    <t xml:space="preserve">Wrong code mapping in EDIS export</t>
  </si>
  <si>
    <t xml:space="preserve">Medical Director / Daniel Walsh</t>
  </si>
  <si>
    <t xml:space="preserve">Open — urgent</t>
  </si>
  <si>
    <t xml:space="preserve">ED-11</t>
  </si>
  <si>
    <t xml:space="preserve">Chief_Complaint</t>
  </si>
  <si>
    <t xml:space="preserve">Inconsistent case ('STROKE', 'Chest Pain', 'laceration') — 48 variants of 21 complaints.</t>
  </si>
  <si>
    <t xml:space="preserve">Standardise with UPPER/TRIM in Power Query.</t>
  </si>
  <si>
    <t xml:space="preserve">'abdominal pain' vs 'ABDOMINAL PAIN'</t>
  </si>
  <si>
    <t xml:space="preserve">Casemix analysis</t>
  </si>
  <si>
    <t xml:space="preserve">Grouping splits the same complaint.</t>
  </si>
  <si>
    <t xml:space="preserve">ED-12</t>
  </si>
  <si>
    <t xml:space="preserve">Specialty_Referred</t>
  </si>
  <si>
    <t xml:space="preserve">'N/A' used alongside 'NONE'.</t>
  </si>
  <si>
    <t xml:space="preserve">Map N/A → NONE.</t>
  </si>
  <si>
    <t xml:space="preserve">TH-01</t>
  </si>
  <si>
    <t xml:space="preserve">TMS</t>
  </si>
  <si>
    <t xml:space="preserve">Sessions_Used</t>
  </si>
  <si>
    <t xml:space="preserve">Sessions used exceed sessions available (impossible).</t>
  </si>
  <si>
    <t xml:space="preserve">Cap at Sessions_Available for reporting; fix TMS update at source.</t>
  </si>
  <si>
    <t xml:space="preserve">T2 09/06/2024 (11 of 10); T3 10/11/2024 (10 of 8)</t>
  </si>
  <si>
    <t xml:space="preserve">Theatre utilisation</t>
  </si>
  <si>
    <t xml:space="preserve">Utilisation over 100%; the existing 'fudge' rule hides it.</t>
  </si>
  <si>
    <t xml:space="preserve">TMS not updating cancelled sessions (pipeline issue 5)</t>
  </si>
  <si>
    <t xml:space="preserve">Daniel Walsh / Theatres</t>
  </si>
  <si>
    <t xml:space="preserve">TH-02</t>
  </si>
  <si>
    <t xml:space="preserve">Utilisation_Pct</t>
  </si>
  <si>
    <t xml:space="preserve">Pre-calculated % does not equal Sessions_Used ÷ Sessions_Available.</t>
  </si>
  <si>
    <t xml:space="preserve">Never use Utilisation_Pct; calculate from sessions.</t>
  </si>
  <si>
    <t xml:space="preserve">T2 23/06/2024 shows 41.5% (should be 50.0%)</t>
  </si>
  <si>
    <t xml:space="preserve">Averages of this column are wrong; always recalculate.</t>
  </si>
  <si>
    <t xml:space="preserve">Manual overwrite of a calculated field</t>
  </si>
  <si>
    <t xml:space="preserve">TH-03</t>
  </si>
  <si>
    <t xml:space="preserve">Theatre_ID</t>
  </si>
  <si>
    <t xml:space="preserve">'Theatre One' — non-standard ID. 8 sessions = T3's pattern, and T3 is missing that week.</t>
  </si>
  <si>
    <t xml:space="preserve">Map to T3 (confirm with Theatres).</t>
  </si>
  <si>
    <t xml:space="preserve">12/05/2024</t>
  </si>
  <si>
    <t xml:space="preserve">Theatre utilisation by theatre</t>
  </si>
  <si>
    <t xml:space="preserve">T3 under-counted, phantom theatre created.</t>
  </si>
  <si>
    <t xml:space="preserve">Theatres Manager</t>
  </si>
  <si>
    <t xml:space="preserve">TH-04</t>
  </si>
  <si>
    <t xml:space="preserve">Sessions_Available</t>
  </si>
  <si>
    <t xml:space="preserve">Zero sessions available (T2 30/06/2024).</t>
  </si>
  <si>
    <t xml:space="preserve">Exclude from denominators; confirm closure.</t>
  </si>
  <si>
    <t xml:space="preserve">T2 30/06/2024</t>
  </si>
  <si>
    <t xml:space="preserve">Division by zero; likely planned closure.</t>
  </si>
  <si>
    <t xml:space="preserve">Theatre closed</t>
  </si>
  <si>
    <t xml:space="preserve">TH-05</t>
  </si>
  <si>
    <t xml:space="preserve">Week_Ending</t>
  </si>
  <si>
    <t xml:space="preserve">Week ending not a Sunday.</t>
  </si>
  <si>
    <t xml:space="preserve">Correct to 16/06/2024 and 30/03/2025.</t>
  </si>
  <si>
    <t xml:space="preserve">17/06/2024 (T1); 31/03/2025 (T4)</t>
  </si>
  <si>
    <t xml:space="preserve">Weekly trend</t>
  </si>
  <si>
    <t xml:space="preserve">Rows fall into the wrong week.</t>
  </si>
  <si>
    <t xml:space="preserve">Entry error</t>
  </si>
  <si>
    <t xml:space="preserve">TH-06</t>
  </si>
  <si>
    <t xml:space="preserve">Cancellations_Trust</t>
  </si>
  <si>
    <t xml:space="preserve">Trust cancellations blank.</t>
  </si>
  <si>
    <t xml:space="preserve">Report blanks separately; chase with Theatres.</t>
  </si>
  <si>
    <t xml:space="preserve">30 rows</t>
  </si>
  <si>
    <t xml:space="preserve">Cancelled operations rate</t>
  </si>
  <si>
    <t xml:space="preserve">Cancellation rate understated if blanks treated as zero.</t>
  </si>
  <si>
    <t xml:space="preserve">TH-07</t>
  </si>
  <si>
    <t xml:space="preserve">Cancellations_Patient</t>
  </si>
  <si>
    <t xml:space="preserve">Patient cancellations blank.</t>
  </si>
  <si>
    <t xml:space="preserve">23 rows</t>
  </si>
  <si>
    <t xml:space="preserve">TH-08</t>
  </si>
  <si>
    <t xml:space="preserve">Overrun_Minutes</t>
  </si>
  <si>
    <t xml:space="preserve">Negative overrun minutes — undefined (early finish?).</t>
  </si>
  <si>
    <t xml:space="preserve">Define field (early finish = negative).</t>
  </si>
  <si>
    <t xml:space="preserve">14 rows</t>
  </si>
  <si>
    <t xml:space="preserve">Time-based utilisation</t>
  </si>
  <si>
    <t xml:space="preserve">Hours-based figures shift depending on interpretation.</t>
  </si>
  <si>
    <t xml:space="preserve">Definition not documented</t>
  </si>
  <si>
    <t xml:space="preserve">TH-09</t>
  </si>
  <si>
    <t xml:space="preserve">Cases_Completed</t>
  </si>
  <si>
    <t xml:space="preserve">More cases completed than planned.</t>
  </si>
  <si>
    <t xml:space="preserve">Record add-ons separately.</t>
  </si>
  <si>
    <t xml:space="preserve">Cases-based utilisation</t>
  </si>
  <si>
    <t xml:space="preserve">Add-on cases not planned; the TMS cases method exceeds 100% in places.</t>
  </si>
  <si>
    <t xml:space="preserve">Add-on / emergency cases</t>
  </si>
  <si>
    <t xml:space="preserve">TH-10</t>
  </si>
  <si>
    <t xml:space="preserve">Specialty utilisation</t>
  </si>
  <si>
    <t xml:space="preserve">Code migration</t>
  </si>
  <si>
    <t xml:space="preserve">WF-01</t>
  </si>
  <si>
    <t xml:space="preserve">T8</t>
  </si>
  <si>
    <t xml:space="preserve">Workforce</t>
  </si>
  <si>
    <t xml:space="preserve">WRS</t>
  </si>
  <si>
    <t xml:space="preserve">Agency_Flag</t>
  </si>
  <si>
    <t xml:space="preserve">Agency flag blank.</t>
  </si>
  <si>
    <t xml:space="preserve">Classify with ward managers; make flag mandatory.</t>
  </si>
  <si>
    <t xml:space="preserve">15 rows (11 in Feb)</t>
  </si>
  <si>
    <t xml:space="preserve">Agency spend %</t>
  </si>
  <si>
    <t xml:space="preserve">Agency spend can only be given as a range (Task 8).</t>
  </si>
  <si>
    <t xml:space="preserve">Bank shifts booked outside agency module</t>
  </si>
  <si>
    <t xml:space="preserve">Adaeze Obi / Priya Chakrabarti</t>
  </si>
  <si>
    <t xml:space="preserve">WF-02</t>
  </si>
  <si>
    <t xml:space="preserve">Staff_ID</t>
  </si>
  <si>
    <t xml:space="preserve">Training-environment test records (ST-99xxx).</t>
  </si>
  <si>
    <t xml:space="preserve">Filter out; stop at source.</t>
  </si>
  <si>
    <t xml:space="preserve">24 rows (4 flagged agency)</t>
  </si>
  <si>
    <t xml:space="preserve">All workforce KPIs</t>
  </si>
  <si>
    <t xml:space="preserve">Inflates shifts and agency counts.</t>
  </si>
  <si>
    <t xml:space="preserve">Test data leaking from WRS training environment</t>
  </si>
  <si>
    <t xml:space="preserve">WF-03</t>
  </si>
  <si>
    <t xml:space="preserve">Staff ID blank.</t>
  </si>
  <si>
    <t xml:space="preserve">Validate with rostering.</t>
  </si>
  <si>
    <t xml:space="preserve">18 rows</t>
  </si>
  <si>
    <t xml:space="preserve">Vacancy, sickness</t>
  </si>
  <si>
    <t xml:space="preserve">Shifts cannot be attributed to a person.</t>
  </si>
  <si>
    <t xml:space="preserve">Unfilled / placeholder shifts</t>
  </si>
  <si>
    <t xml:space="preserve">Adaeze Obi</t>
  </si>
  <si>
    <t xml:space="preserve">WF-04</t>
  </si>
  <si>
    <t xml:space="preserve">Staff_Grade</t>
  </si>
  <si>
    <t xml:space="preserve">Non-standard grade 'Doctor'.</t>
  </si>
  <si>
    <t xml:space="preserve">Map via ESR.</t>
  </si>
  <si>
    <t xml:space="preserve">9 rows</t>
  </si>
  <si>
    <t xml:space="preserve">Workforce by staff group</t>
  </si>
  <si>
    <t xml:space="preserve">Cannot split CONS/REG/SHO.</t>
  </si>
  <si>
    <t xml:space="preserve">WF-05</t>
  </si>
  <si>
    <t xml:space="preserve">Shift_Type</t>
  </si>
  <si>
    <t xml:space="preserve">Abbreviated shift types D / N / L.</t>
  </si>
  <si>
    <t xml:space="preserve">Map D→DAY, N→NIGHT, L→LONG.</t>
  </si>
  <si>
    <t xml:space="preserve">5 rows</t>
  </si>
  <si>
    <t xml:space="preserve">Shift analysis</t>
  </si>
  <si>
    <t xml:space="preserve">WF-06</t>
  </si>
  <si>
    <t xml:space="preserve">Hours_Rostered</t>
  </si>
  <si>
    <t xml:space="preserve">Zero rostered hours but hours worked recorded.</t>
  </si>
  <si>
    <t xml:space="preserve">Validate with ward managers.</t>
  </si>
  <si>
    <t xml:space="preserve">Overtime, cost</t>
  </si>
  <si>
    <t xml:space="preserve">Unrostered work — cost not planned.</t>
  </si>
  <si>
    <t xml:space="preserve">Ad hoc shifts not rostered</t>
  </si>
  <si>
    <t xml:space="preserve">WF-07</t>
  </si>
  <si>
    <t xml:space="preserve">Hours_Worked</t>
  </si>
  <si>
    <t xml:space="preserve">Impossible value (WTR breach)</t>
  </si>
  <si>
    <t xml:space="preserve">Shifts over 13 hours — breach of Working Time Regulations rest rules.</t>
  </si>
  <si>
    <t xml:space="preserve">Report to Workforce and HR immediately.</t>
  </si>
  <si>
    <t xml:space="preserve">8 shifts (max 15.2 h)</t>
  </si>
  <si>
    <t xml:space="preserve">Staff safety, compliance</t>
  </si>
  <si>
    <t xml:space="preserve">A real operational risk, not just a data error — escalate.</t>
  </si>
  <si>
    <t xml:space="preserve">Over-runs / double shifts</t>
  </si>
  <si>
    <t xml:space="preserve">Adaeze Obi / HR</t>
  </si>
  <si>
    <t xml:space="preserve">Open — escalate</t>
  </si>
  <si>
    <t xml:space="preserve">WF-08</t>
  </si>
  <si>
    <t xml:space="preserve">Decommissioned ward W-08.</t>
  </si>
  <si>
    <t xml:space="preserve">Reassign.</t>
  </si>
  <si>
    <t xml:space="preserve">Ward staffing</t>
  </si>
  <si>
    <t xml:space="preserve">Shifts on a closed ward.</t>
  </si>
  <si>
    <t xml:space="preserve">Legacy code</t>
  </si>
  <si>
    <t xml:space="preserve">WF-09</t>
  </si>
  <si>
    <t xml:space="preserve">Absence_Flag</t>
  </si>
  <si>
    <t xml:space="preserve">Absence flag blank.</t>
  </si>
  <si>
    <t xml:space="preserve">Validate.</t>
  </si>
  <si>
    <t xml:space="preserve">Sickness absence</t>
  </si>
  <si>
    <t xml:space="preserve">Minor understatement.</t>
  </si>
  <si>
    <t xml:space="preserve">WF-10</t>
  </si>
  <si>
    <t xml:space="preserve">Workforce by specialty</t>
  </si>
  <si>
    <t xml:space="preserve">WF-11</t>
  </si>
  <si>
    <t xml:space="preserve">Shift_Date</t>
  </si>
  <si>
    <t xml:space="preserve">Blank (missing period)</t>
  </si>
  <si>
    <t xml:space="preserve">Export covers 06/01/2025–02/03/2025 only — March is almost empty.</t>
  </si>
  <si>
    <t xml:space="preserve">Re-run export after quarter end.</t>
  </si>
  <si>
    <t xml:space="preserve">33 shifts in March</t>
  </si>
  <si>
    <t xml:space="preserve">Quarterly workforce KPIs</t>
  </si>
  <si>
    <t xml:space="preserve">Q1 workforce figures are incomplete; use February as the latest full month.</t>
  </si>
  <si>
    <t xml:space="preserve">Export run on 3 March</t>
  </si>
  <si>
    <t xml:space="preserve">XS-01</t>
  </si>
  <si>
    <t xml:space="preserve">Cross-sheet</t>
  </si>
  <si>
    <t xml:space="preserve">PAS/EHR</t>
  </si>
  <si>
    <t xml:space="preserve">NHS_Number (Outpatients vs Inpatients)</t>
  </si>
  <si>
    <t xml:space="preserve">Blank / cross-sheet mismatch</t>
  </si>
  <si>
    <t xml:space="preserve">Outpatient NHS Numbers not found in the inpatient file — zero of 384 unique outpatient patients match an inpatient record.</t>
  </si>
  <si>
    <t xml:space="preserve">Confirm with Daniel Walsh whether the extracts cover the same patients; if so, investigate number format / PDS tracing.</t>
  </si>
  <si>
    <t xml:space="preserve">577 of 577 non-blank rows</t>
  </si>
  <si>
    <t xml:space="preserve">Patient pathway linkage, RTT → admission, readmissions</t>
  </si>
  <si>
    <t xml:space="preserve">PAS and EHR cannot be joined on NHS Number, so no cross-setting KPI (e.g. outpatient-to-admission conversion) can be calculated.</t>
  </si>
  <si>
    <t xml:space="preserve">Separate extracts / different patient cohorts, or NHS Number not consistently recorded across systems</t>
  </si>
  <si>
    <t xml:space="preserve">XS-02</t>
  </si>
  <si>
    <t xml:space="preserve">NHS_Number (ED vs Inpatients)</t>
  </si>
  <si>
    <t xml:space="preserve">ED NHS Numbers not found in the inpatient file.</t>
  </si>
  <si>
    <t xml:space="preserve">All 848 non-blank rows</t>
  </si>
  <si>
    <t xml:space="preserve">ED conversion, readmissions</t>
  </si>
  <si>
    <t xml:space="preserve">121 ADM departures cannot be matched to an admission episode.</t>
  </si>
  <si>
    <t xml:space="preserve">As above</t>
  </si>
  <si>
    <t xml:space="preserve">Data Quality Scores by dataset</t>
  </si>
  <si>
    <t xml:space="preserve">DQ score = share of rows with no issue from the DQ_Issue_Log. Rows with ≥1 issue counted by the Python audit (each row counted once, even with several issues).</t>
  </si>
  <si>
    <t xml:space="preserve">Dataset</t>
  </si>
  <si>
    <t xml:space="preserve">Raw sheet</t>
  </si>
  <si>
    <t xml:space="preserve">Total rows</t>
  </si>
  <si>
    <t xml:space="preserve">Rows with ≥1 issue</t>
  </si>
  <si>
    <t xml:space="preserve">DQ score</t>
  </si>
  <si>
    <t xml:space="preserve">Issues logged</t>
  </si>
  <si>
    <t xml:space="preserve">Critical / Major issues</t>
  </si>
  <si>
    <t xml:space="preserve">RAG</t>
  </si>
  <si>
    <t xml:space="preserve">Headline problem</t>
  </si>
  <si>
    <t xml:space="preserve">OP_Raw</t>
  </si>
  <si>
    <t xml:space="preserve">Small number of status/ID errors, but DNA outcomes recorded late (monthly DNA swings 25.8% → 3.7%).</t>
  </si>
  <si>
    <t xml:space="preserve">IP_Raw</t>
  </si>
  <si>
    <t xml:space="preserve">28 blank HRG codes (£51,800), 44 blank readmission flags, duplicates and 31 open episodes.</t>
  </si>
  <si>
    <t xml:space="preserve">ED_Raw</t>
  </si>
  <si>
    <t xml:space="preserve">35 missing departures cause the 3 ED figures; 'DIED' and 'LEFT' codes are not credible.</t>
  </si>
  <si>
    <t xml:space="preserve">TH_Raw</t>
  </si>
  <si>
    <t xml:space="preserve">7 wrong Utilisation_Pct values, 4 rows over 100%, no agreed definition.</t>
  </si>
  <si>
    <t xml:space="preserve">WF_Raw</t>
  </si>
  <si>
    <t xml:space="preserve">15 blank agency flags, 24 test records, 8 shifts breaching 13 hours.</t>
  </si>
  <si>
    <t xml:space="preserve">Overall</t>
  </si>
  <si>
    <t xml:space="preserve">RAG thresholds (Task 14 / IG standard): Green ≥95% · Amber 85–94% · Red &lt;85% of rows valid. Cross-sheet linkage issues (XS) are not counted in any one dataset. Note: NHS Numbers in this test extract do not pass the Modulus 11 check digit, so that check is excluded here — apply it to live data.</t>
  </si>
  <si>
    <t xml:space="preserve">Task 4 — Date and time format audit (Sheets 1–3)</t>
  </si>
  <si>
    <t xml:space="preserve">Standard: dates dd/mm/yyyy (stored as real Excel dates); times HH:MM (24-hour). Dates that Excel could not read are stored as text, so ISTEXT finds them.</t>
  </si>
  <si>
    <t xml:space="preserve">Sheet</t>
  </si>
  <si>
    <t xml:space="preserve">Column</t>
  </si>
  <si>
    <t xml:space="preserve">Expected format</t>
  </si>
  <si>
    <t xml:space="preserve">Non-standard values</t>
  </si>
  <si>
    <t xml:space="preserve">Examples</t>
  </si>
  <si>
    <t xml:space="preserve">Issue type</t>
  </si>
  <si>
    <t xml:space="preserve">Severity</t>
  </si>
  <si>
    <t xml:space="preserve">Recommended action</t>
  </si>
  <si>
    <t xml:space="preserve">Patient_DOB</t>
  </si>
  <si>
    <t xml:space="preserve">dd/mm/yyyy</t>
  </si>
  <si>
    <t xml:space="preserve">No action.</t>
  </si>
  <si>
    <t xml:space="preserve">Appointment_Date</t>
  </si>
  <si>
    <t xml:space="preserve">HH:MM</t>
  </si>
  <si>
    <t xml:space="preserve">'TBC'</t>
  </si>
  <si>
    <t xml:space="preserve">Confirm the slot or exclude from clinic-time analysis.</t>
  </si>
  <si>
    <t xml:space="preserve">Admission_Date</t>
  </si>
  <si>
    <t xml:space="preserve">'October 9 2024', 'November 20 2024', 'December 19 2024'</t>
  </si>
  <si>
    <t xml:space="preserve">Convert in Power Query (Date.FromText, en-GB); recalculate LOS; stop free-text entry.</t>
  </si>
  <si>
    <t xml:space="preserve">Arrival_Date</t>
  </si>
  <si>
    <t xml:space="preserve">'3:53 PM', '12:13 AM', '2:43 PM'</t>
  </si>
  <si>
    <t xml:space="preserve">Convert 12-hour to 24-hour (TIMEVALUE / Power Query Time.FromText); then recalculate ED minutes and breach flag.</t>
  </si>
  <si>
    <t xml:space="preserve">No action (28 blanks logged separately).</t>
  </si>
  <si>
    <t xml:space="preserve">No action (35 blanks logged separately).</t>
  </si>
  <si>
    <t xml:space="preserve">Also checked: no impossible dates (e.g. 31/02), no future dates beyond 31/03/2025, all DOBs between 1935 and 2007. Theatre Week_Ending has 2 non-Sunday dates (logged as TH issue).</t>
  </si>
  <si>
    <t xml:space="preserve">Task 7 — GEN → GM replacement audit trail</t>
  </si>
  <si>
    <t xml:space="preserve">Original columns are untouched; replacement is done in a Specialty_Code_Clean helper column on each raw sheet so every change is traceable.</t>
  </si>
  <si>
    <t xml:space="preserve">GEN before</t>
  </si>
  <si>
    <t xml:space="preserve">GM before</t>
  </si>
  <si>
    <t xml:space="preserve">GEN after</t>
  </si>
  <si>
    <t xml:space="preserve">GM after</t>
  </si>
  <si>
    <t xml:space="preserve">Check: GM after = GM before + GEN before</t>
  </si>
  <si>
    <t xml:space="preserve">Change date</t>
  </si>
  <si>
    <t xml:space="preserve">Changed by</t>
  </si>
  <si>
    <t xml:space="preserve">Authority</t>
  </si>
  <si>
    <t xml:space="preserve">Outpatients (OP_Raw)</t>
  </si>
  <si>
    <t xml:space="preserve">Week 1</t>
  </si>
  <si>
    <t xml:space="preserve">L. Ukeni</t>
  </si>
  <si>
    <t xml:space="preserve">Specialty_Code_Mapping.csv (Daniel Walsh)</t>
  </si>
  <si>
    <t xml:space="preserve">Inpatients (IP_Raw)</t>
  </si>
  <si>
    <t xml:space="preserve">ED (ED_Raw)</t>
  </si>
  <si>
    <t xml:space="preserve">Theatres (TH_Raw)</t>
  </si>
  <si>
    <t xml:space="preserve">Workforce (WF_Raw)</t>
  </si>
  <si>
    <t xml:space="preserve">Total</t>
  </si>
  <si>
    <t xml:space="preserve">Task workings — every figure is a live formula on the raw sheets</t>
  </si>
  <si>
    <t xml:space="preserve">TASK 1 — Attendance status check (Sarah Okafor)</t>
  </si>
  <si>
    <t xml:space="preserve">ATT (exact match)</t>
  </si>
  <si>
    <t xml:space="preserve">DNA (exact match)</t>
  </si>
  <si>
    <t xml:space="preserve">CAN (exact match)</t>
  </si>
  <si>
    <t xml:space="preserve">REF (exact match)</t>
  </si>
  <si>
    <t xml:space="preserve">'attended' — should be ATT</t>
  </si>
  <si>
    <t xml:space="preserve">APT-100154</t>
  </si>
  <si>
    <t xml:space="preserve">'N/A' — exclude</t>
  </si>
  <si>
    <t xml:space="preserve">APT-100199 — also CL-DEP clinic, GEN specialty, blank consultant: likely legacy/test record</t>
  </si>
  <si>
    <t xml:space="preserve">DNA rate reconciliation (for the Board conflict — Sarah vs Priya)</t>
  </si>
  <si>
    <t xml:space="preserve">Version A logic: COUNTIF(DNA) ÷ COUNTA(column incl. header)</t>
  </si>
  <si>
    <t xml:space="preserve">Header row and CAN rows in the denominator</t>
  </si>
  <si>
    <t xml:space="preserve">DNA ÷ all appointments (raw)</t>
  </si>
  <si>
    <t xml:space="preserve">Includes cancellations</t>
  </si>
  <si>
    <t xml:space="preserve">PAS-style: DNA ÷ (ATT + DNA)</t>
  </si>
  <si>
    <t xml:space="preserve">Reproduces the 14.1% PAS figure — but uncorrected statuses and excludes REF</t>
  </si>
  <si>
    <t xml:space="preserve">VALIDATED (recommended): DNA ÷ (ATT + 'attended' + DNA + REF)</t>
  </si>
  <si>
    <t xml:space="preserve">NHS England definition: denominator excludes cancellations; 'attended' corrected; 'N/A' excluded</t>
  </si>
  <si>
    <t xml:space="preserve">Trust target</t>
  </si>
  <si>
    <t xml:space="preserve">Company brief</t>
  </si>
  <si>
    <t xml:space="preserve">DNA rate — January 2025</t>
  </si>
  <si>
    <t xml:space="preserve">Monthly swing 25.8% → 3.7% indicates late outcome recording — report quarterly</t>
  </si>
  <si>
    <t xml:space="preserve">DNA rate — February 2025</t>
  </si>
  <si>
    <t xml:space="preserve">DNA rate — March 2025</t>
  </si>
  <si>
    <t xml:space="preserve">TASK 3 — HRG blanks (Priya Chakrabarti)</t>
  </si>
  <si>
    <t xml:space="preserve">Blank HRG_Code (rows)</t>
  </si>
  <si>
    <t xml:space="preserve">All 28 are on unique, discharged episodes — none sit in duplicate rows</t>
  </si>
  <si>
    <t xml:space="preserve">Unique episodes (duplicates removed)</t>
  </si>
  <si>
    <t xml:space="preserve">1,206 rows − 6 duplicate Episode_IDs</t>
  </si>
  <si>
    <t xml:space="preserve">% of episodes uncoded</t>
  </si>
  <si>
    <t xml:space="preserve">Target 98% coded → actual 97.7%</t>
  </si>
  <si>
    <t xml:space="preserve">Tariff per episode (£)</t>
  </si>
  <si>
    <t xml:space="preserve">Supplied by Priya</t>
  </si>
  <si>
    <t xml:space="preserve">Of which admitted in March 2025 (may still be in coding window)</t>
  </si>
  <si>
    <t xml:space="preserve">Best case — exclude March (coding backlog, recoverable)</t>
  </si>
  <si>
    <t xml:space="preserve">Central — all blanks unpaid</t>
  </si>
  <si>
    <t xml:space="preserve">Worst case — plus 25 episodes with HRG but no ICD-10 (may group wrongly)</t>
  </si>
  <si>
    <t xml:space="preserve">Upper bound; these may be paid at the wrong HRG rather than not at all</t>
  </si>
  <si>
    <t xml:space="preserve">Months covered by the extract</t>
  </si>
  <si>
    <t xml:space="preserve">Oct 2024 – Mar 2025</t>
  </si>
  <si>
    <t xml:space="preserve">Average per month (central)</t>
  </si>
  <si>
    <t xml:space="preserve">Brief assumed £51,800 PER MONTH — the extract shows £51,800 over SIX months (≈£8.6k/month)</t>
  </si>
  <si>
    <t xml:space="preserve">TASK 8 — Agency spend range, February 2025 (Priya Chakrabarti)</t>
  </si>
  <si>
    <t xml:space="preserve">Period start</t>
  </si>
  <si>
    <t xml:space="preserve">Latest complete month (export ends 02/03/2025)</t>
  </si>
  <si>
    <t xml:space="preserve">Period end</t>
  </si>
  <si>
    <t xml:space="preserve">Valid shifts (ST-99 test records excluded)</t>
  </si>
  <si>
    <t xml:space="preserve">Agency_Flag = Y</t>
  </si>
  <si>
    <t xml:space="preserve">Agency_Flag = N</t>
  </si>
  <si>
    <t xml:space="preserve">Agency_Flag blank</t>
  </si>
  <si>
    <t xml:space="preserve">Blank as % of shifts</t>
  </si>
  <si>
    <t xml:space="preserve">Cost per agency shift (£)</t>
  </si>
  <si>
    <t xml:space="preserve">BEST case — all blanks are bank</t>
  </si>
  <si>
    <t xml:space="preserve">Most likely: blanks arise from bank shifts booked outside the agency module</t>
  </si>
  <si>
    <t xml:space="preserve">CENTRAL — blanks agency at the flagged rate</t>
  </si>
  <si>
    <t xml:space="preserve">WORST case — all blanks are agency</t>
  </si>
  <si>
    <t xml:space="preserve">Cost of the data gap (worst − best)</t>
  </si>
  <si>
    <t xml:space="preserve">Reconcile against the Finance ledger agency cost centre — it should fall in this range</t>
  </si>
  <si>
    <t xml:space="preserve">ED 4-hour — why there are three figures</t>
  </si>
  <si>
    <t xml:space="preserve">Raw: N ÷ all rows (blanks = breach)</t>
  </si>
  <si>
    <t xml:space="preserve">Raw: N ÷ (Y + N) (blanks excluded)</t>
  </si>
  <si>
    <t xml:space="preserve">Raw: (N + blanks) ÷ all rows (blanks = pass)</t>
  </si>
  <si>
    <t xml:space="preserve">VALIDATED: duplicates removed, times recalculated, missing departures excluded</t>
  </si>
  <si>
    <t xml:space="preserve">Helper columns O–Q on ED_Raw</t>
  </si>
  <si>
    <t xml:space="preserve">Range if all 35 missing departures were breaches</t>
  </si>
  <si>
    <t xml:space="preserve">Range if all 35 missing departures were within 4 hours</t>
  </si>
  <si>
    <t xml:space="preserve">NHS standard / interim target</t>
  </si>
  <si>
    <t xml:space="preserve">95% / 78%</t>
  </si>
  <si>
    <t xml:space="preserve">Theatre utilisation — Finance vs Operations</t>
  </si>
  <si>
    <t xml:space="preserve">Session length (hours)</t>
  </si>
  <si>
    <t xml:space="preserve">Assumption: standard 4-hour session</t>
  </si>
  <si>
    <t xml:space="preserve">Sessions-based, all theatres incl. T4</t>
  </si>
  <si>
    <t xml:space="preserve">Sessions-based, elective T1–T3 only (Operations method)</t>
  </si>
  <si>
    <t xml:space="preserve">Closest to Operations' 64.2%</t>
  </si>
  <si>
    <t xml:space="preserve">Hours-based incl. overruns, all theatres (Finance method)</t>
  </si>
  <si>
    <t xml:space="preserve">Closest to Finance's 71.6% — overrun time is credited as 'used'</t>
  </si>
  <si>
    <t xml:space="preserve">Average of pre-calculated Utilisation_Pct (do not use)</t>
  </si>
  <si>
    <t xml:space="preserve">Contains 7 wrong values and averages percentages</t>
  </si>
  <si>
    <t xml:space="preserve">Gap explained by: including emergency theatre T4</t>
  </si>
  <si>
    <t xml:space="preserve">Gap explained by: crediting overrun minutes</t>
  </si>
  <si>
    <t xml:space="preserve">Patient_Surname</t>
  </si>
  <si>
    <t xml:space="preserve">RTT_Status</t>
  </si>
  <si>
    <t xml:space="preserve">RTT_Weeks</t>
  </si>
  <si>
    <t xml:space="preserve">Waiting_Days_Validated</t>
  </si>
  <si>
    <t xml:space="preserve">Waiting_Days_Check</t>
  </si>
  <si>
    <t xml:space="preserve">Specialty_Code_Clean</t>
  </si>
  <si>
    <t xml:space="preserve">APT-100001</t>
  </si>
  <si>
    <t xml:space="preserve">4823719056</t>
  </si>
  <si>
    <t xml:space="preserve">AHMED</t>
  </si>
  <si>
    <t xml:space="preserve">GM</t>
  </si>
  <si>
    <t xml:space="preserve">C-1042</t>
  </si>
  <si>
    <t xml:space="preserve">CL-101</t>
  </si>
  <si>
    <t xml:space="preserve">09:00</t>
  </si>
  <si>
    <t xml:space="preserve">ATT</t>
  </si>
  <si>
    <t xml:space="preserve">CLOSED</t>
  </si>
  <si>
    <t xml:space="preserve">GP</t>
  </si>
  <si>
    <t xml:space="preserve">NG1 2AB</t>
  </si>
  <si>
    <t xml:space="preserve">APT-100002</t>
  </si>
  <si>
    <t xml:space="preserve">7612384905</t>
  </si>
  <si>
    <t xml:space="preserve">PATEL</t>
  </si>
  <si>
    <t xml:space="preserve">CS</t>
  </si>
  <si>
    <t xml:space="preserve">C-1017</t>
  </si>
  <si>
    <t xml:space="preserve">CL-102</t>
  </si>
  <si>
    <t xml:space="preserve">09:30</t>
  </si>
  <si>
    <t xml:space="preserve">LE1 1AA</t>
  </si>
  <si>
    <t xml:space="preserve">APT-100003</t>
  </si>
  <si>
    <t xml:space="preserve">3394820174</t>
  </si>
  <si>
    <t xml:space="preserve">WILSON</t>
  </si>
  <si>
    <t xml:space="preserve">OR</t>
  </si>
  <si>
    <t xml:space="preserve">C-1033</t>
  </si>
  <si>
    <t xml:space="preserve">CL-103</t>
  </si>
  <si>
    <t xml:space="preserve">10:00</t>
  </si>
  <si>
    <t xml:space="preserve">DNA</t>
  </si>
  <si>
    <t xml:space="preserve">OPEN</t>
  </si>
  <si>
    <t xml:space="preserve">NG5 3CD</t>
  </si>
  <si>
    <t xml:space="preserve">APT-100004</t>
  </si>
  <si>
    <t xml:space="preserve">9182746350</t>
  </si>
  <si>
    <t xml:space="preserve">OKAFOR</t>
  </si>
  <si>
    <t xml:space="preserve">GS</t>
  </si>
  <si>
    <t xml:space="preserve">C-1028</t>
  </si>
  <si>
    <t xml:space="preserve">CL-104</t>
  </si>
  <si>
    <t xml:space="preserve">10:30</t>
  </si>
  <si>
    <t xml:space="preserve">CONS</t>
  </si>
  <si>
    <t xml:space="preserve">LE2 7GH</t>
  </si>
  <si>
    <t xml:space="preserve">APT-100005</t>
  </si>
  <si>
    <t xml:space="preserve">6547832901</t>
  </si>
  <si>
    <t xml:space="preserve">KHAN</t>
  </si>
  <si>
    <t xml:space="preserve">RS</t>
  </si>
  <si>
    <t xml:space="preserve">C-1051</t>
  </si>
  <si>
    <t xml:space="preserve">CL-105</t>
  </si>
  <si>
    <t xml:space="preserve">11:00</t>
  </si>
  <si>
    <t xml:space="preserve">NG7 4EF</t>
  </si>
  <si>
    <t xml:space="preserve">APT-100006</t>
  </si>
  <si>
    <t xml:space="preserve">2938475610</t>
  </si>
  <si>
    <t xml:space="preserve">SMITH</t>
  </si>
  <si>
    <t xml:space="preserve">EM</t>
  </si>
  <si>
    <t xml:space="preserve">C-1009</t>
  </si>
  <si>
    <t xml:space="preserve">CL-106</t>
  </si>
  <si>
    <t xml:space="preserve">11:30</t>
  </si>
  <si>
    <t xml:space="preserve">CAN</t>
  </si>
  <si>
    <t xml:space="preserve">NG1 5KL</t>
  </si>
  <si>
    <t xml:space="preserve">APT-100007</t>
  </si>
  <si>
    <t xml:space="preserve">8174629305</t>
  </si>
  <si>
    <t xml:space="preserve">JONES</t>
  </si>
  <si>
    <t xml:space="preserve">GYN</t>
  </si>
  <si>
    <t xml:space="preserve">C-1044</t>
  </si>
  <si>
    <t xml:space="preserve">CL-107</t>
  </si>
  <si>
    <t xml:space="preserve">13:00</t>
  </si>
  <si>
    <t xml:space="preserve">LE4 2MN</t>
  </si>
  <si>
    <t xml:space="preserve">APT-100008</t>
  </si>
  <si>
    <t xml:space="preserve">5063821749</t>
  </si>
  <si>
    <t xml:space="preserve">WILLIAMS</t>
  </si>
  <si>
    <t xml:space="preserve">URO</t>
  </si>
  <si>
    <t xml:space="preserve">C-1022</t>
  </si>
  <si>
    <t xml:space="preserve">CL-108</t>
  </si>
  <si>
    <t xml:space="preserve">13:30</t>
  </si>
  <si>
    <t xml:space="preserve">NG8 6PQ</t>
  </si>
  <si>
    <t xml:space="preserve">APT-100009</t>
  </si>
  <si>
    <t xml:space="preserve">1847362905</t>
  </si>
  <si>
    <t xml:space="preserve">BROWN</t>
  </si>
  <si>
    <t xml:space="preserve">OPH</t>
  </si>
  <si>
    <t xml:space="preserve">C-1037</t>
  </si>
  <si>
    <t xml:space="preserve">CL-109</t>
  </si>
  <si>
    <t xml:space="preserve">14:00</t>
  </si>
  <si>
    <t xml:space="preserve">LE5 0RS</t>
  </si>
  <si>
    <t xml:space="preserve">APT-100010</t>
  </si>
  <si>
    <t xml:space="preserve">4729183650</t>
  </si>
  <si>
    <t xml:space="preserve">TAYLOR</t>
  </si>
  <si>
    <t xml:space="preserve">RHE</t>
  </si>
  <si>
    <t xml:space="preserve">C-1015</t>
  </si>
  <si>
    <t xml:space="preserve">CL-110</t>
  </si>
  <si>
    <t xml:space="preserve">14:30</t>
  </si>
  <si>
    <t xml:space="preserve">NG2 1TU</t>
  </si>
  <si>
    <t xml:space="preserve">APT-100011</t>
  </si>
  <si>
    <t xml:space="preserve">3816294750</t>
  </si>
  <si>
    <t xml:space="preserve">DAVIES</t>
  </si>
  <si>
    <t xml:space="preserve">NG3 2VW</t>
  </si>
  <si>
    <t xml:space="preserve">APT-100012</t>
  </si>
  <si>
    <t xml:space="preserve">7294618305</t>
  </si>
  <si>
    <t xml:space="preserve">EVANS</t>
  </si>
  <si>
    <t xml:space="preserve">LE6 1XY</t>
  </si>
  <si>
    <t xml:space="preserve">APT-100013</t>
  </si>
  <si>
    <t xml:space="preserve">9083726415</t>
  </si>
  <si>
    <t xml:space="preserve">THOMAS</t>
  </si>
  <si>
    <t xml:space="preserve">NG4 3ZA</t>
  </si>
  <si>
    <t xml:space="preserve">APT-100014</t>
  </si>
  <si>
    <t xml:space="preserve">2947163850</t>
  </si>
  <si>
    <t xml:space="preserve">JACKSON</t>
  </si>
  <si>
    <t xml:space="preserve">LE7 2BC</t>
  </si>
  <si>
    <t xml:space="preserve">APT-100015</t>
  </si>
  <si>
    <t xml:space="preserve">6183924750</t>
  </si>
  <si>
    <t xml:space="preserve">WHITE</t>
  </si>
  <si>
    <t xml:space="preserve">NG5 4DE</t>
  </si>
  <si>
    <t xml:space="preserve">APT-100016</t>
  </si>
  <si>
    <t xml:space="preserve">8472916305</t>
  </si>
  <si>
    <t xml:space="preserve">HARRIS</t>
  </si>
  <si>
    <t xml:space="preserve">NG1 5FG</t>
  </si>
  <si>
    <t xml:space="preserve">APT-100017</t>
  </si>
  <si>
    <t xml:space="preserve">4918273650</t>
  </si>
  <si>
    <t xml:space="preserve">MARTIN</t>
  </si>
  <si>
    <t xml:space="preserve">REF</t>
  </si>
  <si>
    <t xml:space="preserve">LE8 3HI</t>
  </si>
  <si>
    <t xml:space="preserve">APT-100018</t>
  </si>
  <si>
    <t xml:space="preserve">3627481905</t>
  </si>
  <si>
    <t xml:space="preserve">GARCIA</t>
  </si>
  <si>
    <t xml:space="preserve">NG6 5JK</t>
  </si>
  <si>
    <t xml:space="preserve">APT-100019</t>
  </si>
  <si>
    <t xml:space="preserve">7183629450</t>
  </si>
  <si>
    <t xml:space="preserve">MARTINEZ</t>
  </si>
  <si>
    <t xml:space="preserve">LE9 4LM</t>
  </si>
  <si>
    <t xml:space="preserve">APT-100020</t>
  </si>
  <si>
    <t xml:space="preserve">5948271630</t>
  </si>
  <si>
    <t xml:space="preserve">ROBINSON</t>
  </si>
  <si>
    <t xml:space="preserve">NG7 6NO</t>
  </si>
  <si>
    <t xml:space="preserve">APT-100021</t>
  </si>
  <si>
    <t xml:space="preserve">1836492750</t>
  </si>
  <si>
    <t xml:space="preserve">CLARK</t>
  </si>
  <si>
    <t xml:space="preserve">NG1 1PQ</t>
  </si>
  <si>
    <t xml:space="preserve">APT-100022</t>
  </si>
  <si>
    <t xml:space="preserve">6294817350</t>
  </si>
  <si>
    <t xml:space="preserve">RODRIGUEZ</t>
  </si>
  <si>
    <t xml:space="preserve">LE1 2RS</t>
  </si>
  <si>
    <t xml:space="preserve">APT-100023</t>
  </si>
  <si>
    <t xml:space="preserve">4817362905</t>
  </si>
  <si>
    <t xml:space="preserve">LEWIS</t>
  </si>
  <si>
    <t xml:space="preserve">NG2 4TU</t>
  </si>
  <si>
    <t xml:space="preserve">APT-100024</t>
  </si>
  <si>
    <t xml:space="preserve">9273618450</t>
  </si>
  <si>
    <t xml:space="preserve">LEE</t>
  </si>
  <si>
    <t xml:space="preserve">LE2 5VW</t>
  </si>
  <si>
    <t xml:space="preserve">APT-100025</t>
  </si>
  <si>
    <t xml:space="preserve">2748193650</t>
  </si>
  <si>
    <t xml:space="preserve">WALKER</t>
  </si>
  <si>
    <t xml:space="preserve">NG3 7XY</t>
  </si>
  <si>
    <t xml:space="preserve">APT-100026</t>
  </si>
  <si>
    <t xml:space="preserve">7364829105</t>
  </si>
  <si>
    <t xml:space="preserve">HALL</t>
  </si>
  <si>
    <t xml:space="preserve">NG1 8ZA</t>
  </si>
  <si>
    <t xml:space="preserve">APT-100027</t>
  </si>
  <si>
    <t xml:space="preserve">5182937640</t>
  </si>
  <si>
    <t xml:space="preserve">ALLEN</t>
  </si>
  <si>
    <t xml:space="preserve">LE3 1BC</t>
  </si>
  <si>
    <t xml:space="preserve">APT-100028</t>
  </si>
  <si>
    <t xml:space="preserve">8364917250</t>
  </si>
  <si>
    <t xml:space="preserve">YOUNG</t>
  </si>
  <si>
    <t xml:space="preserve">NG4 2DE</t>
  </si>
  <si>
    <t xml:space="preserve">APT-100029</t>
  </si>
  <si>
    <t xml:space="preserve">3748291605</t>
  </si>
  <si>
    <t xml:space="preserve">HERNANDEZ</t>
  </si>
  <si>
    <t xml:space="preserve">LE4 6FG</t>
  </si>
  <si>
    <t xml:space="preserve">APT-100030</t>
  </si>
  <si>
    <t xml:space="preserve">6918273450</t>
  </si>
  <si>
    <t xml:space="preserve">KING</t>
  </si>
  <si>
    <t xml:space="preserve">NG5 3HI</t>
  </si>
  <si>
    <t xml:space="preserve">APT-100031</t>
  </si>
  <si>
    <t xml:space="preserve">4273819605</t>
  </si>
  <si>
    <t xml:space="preserve">WRIGHT</t>
  </si>
  <si>
    <t xml:space="preserve">LE5 7JK</t>
  </si>
  <si>
    <t xml:space="preserve">APT-100032</t>
  </si>
  <si>
    <t xml:space="preserve">8149273650</t>
  </si>
  <si>
    <t xml:space="preserve">SCOTT</t>
  </si>
  <si>
    <t xml:space="preserve">NG6 4LM</t>
  </si>
  <si>
    <t xml:space="preserve">APT-100033</t>
  </si>
  <si>
    <t xml:space="preserve">2637419805</t>
  </si>
  <si>
    <t xml:space="preserve">GREEN</t>
  </si>
  <si>
    <t xml:space="preserve">LE6 2NO</t>
  </si>
  <si>
    <t xml:space="preserve">APT-100034</t>
  </si>
  <si>
    <t xml:space="preserve">7491836250</t>
  </si>
  <si>
    <t xml:space="preserve">ADAMS</t>
  </si>
  <si>
    <t xml:space="preserve">NG7 5PQ</t>
  </si>
  <si>
    <t xml:space="preserve">APT-100035</t>
  </si>
  <si>
    <t xml:space="preserve">5837291640</t>
  </si>
  <si>
    <t xml:space="preserve">BAKER</t>
  </si>
  <si>
    <t xml:space="preserve">LE7 1RS</t>
  </si>
  <si>
    <t xml:space="preserve">APT-100036</t>
  </si>
  <si>
    <t xml:space="preserve">1948273650</t>
  </si>
  <si>
    <t xml:space="preserve">GONZALEZ</t>
  </si>
  <si>
    <t xml:space="preserve">NG1 6TU</t>
  </si>
  <si>
    <t xml:space="preserve">APT-100037</t>
  </si>
  <si>
    <t xml:space="preserve">6374819205</t>
  </si>
  <si>
    <t xml:space="preserve">NELSON</t>
  </si>
  <si>
    <t xml:space="preserve">LE8 4VW</t>
  </si>
  <si>
    <t xml:space="preserve">APT-100038</t>
  </si>
  <si>
    <t xml:space="preserve">4829173650</t>
  </si>
  <si>
    <t xml:space="preserve">CARTER</t>
  </si>
  <si>
    <t xml:space="preserve">NG8 7XY</t>
  </si>
  <si>
    <t xml:space="preserve">APT-100039</t>
  </si>
  <si>
    <t xml:space="preserve">9183726405</t>
  </si>
  <si>
    <t xml:space="preserve">MITCHELL</t>
  </si>
  <si>
    <t xml:space="preserve">LE9 5ZA</t>
  </si>
  <si>
    <t xml:space="preserve">APT-100040</t>
  </si>
  <si>
    <t xml:space="preserve">3647291805</t>
  </si>
  <si>
    <t xml:space="preserve">PEREZ</t>
  </si>
  <si>
    <t xml:space="preserve">NG2 3BC</t>
  </si>
  <si>
    <t xml:space="preserve">APT-100041</t>
  </si>
  <si>
    <t xml:space="preserve">7291836405</t>
  </si>
  <si>
    <t xml:space="preserve">ROBERTS</t>
  </si>
  <si>
    <t xml:space="preserve">NG1 4DE</t>
  </si>
  <si>
    <t xml:space="preserve">APT-100042</t>
  </si>
  <si>
    <t xml:space="preserve">5183627490</t>
  </si>
  <si>
    <t xml:space="preserve">TURNER</t>
  </si>
  <si>
    <t xml:space="preserve">LE1 6FG</t>
  </si>
  <si>
    <t xml:space="preserve">APT-100043</t>
  </si>
  <si>
    <t xml:space="preserve">2948371605</t>
  </si>
  <si>
    <t xml:space="preserve">PHILLIPS</t>
  </si>
  <si>
    <t xml:space="preserve">NG3 5HI</t>
  </si>
  <si>
    <t xml:space="preserve">APT-100044</t>
  </si>
  <si>
    <t xml:space="preserve">8374629105</t>
  </si>
  <si>
    <t xml:space="preserve">CAMPBELL</t>
  </si>
  <si>
    <t xml:space="preserve">LE2 3JK</t>
  </si>
  <si>
    <t xml:space="preserve">APT-100045</t>
  </si>
  <si>
    <t xml:space="preserve">4918273605</t>
  </si>
  <si>
    <t xml:space="preserve">PARKER</t>
  </si>
  <si>
    <t xml:space="preserve">NG4 7LM</t>
  </si>
  <si>
    <t xml:space="preserve">APT-100046</t>
  </si>
  <si>
    <t xml:space="preserve">1637294805</t>
  </si>
  <si>
    <t xml:space="preserve">NG1 2NO</t>
  </si>
  <si>
    <t xml:space="preserve">APT-100047</t>
  </si>
  <si>
    <t xml:space="preserve">6293817450</t>
  </si>
  <si>
    <t xml:space="preserve">EDWARDS</t>
  </si>
  <si>
    <t xml:space="preserve">LE3 4PQ</t>
  </si>
  <si>
    <t xml:space="preserve">APT-100048</t>
  </si>
  <si>
    <t xml:space="preserve">3849271605</t>
  </si>
  <si>
    <t xml:space="preserve">COLLINS</t>
  </si>
  <si>
    <t xml:space="preserve">NG5 6RS</t>
  </si>
  <si>
    <t xml:space="preserve">APT-100049</t>
  </si>
  <si>
    <t xml:space="preserve">7182936450</t>
  </si>
  <si>
    <t xml:space="preserve">STEWART</t>
  </si>
  <si>
    <t xml:space="preserve">LE4 1TU</t>
  </si>
  <si>
    <t xml:space="preserve">APT-100050</t>
  </si>
  <si>
    <t xml:space="preserve">4837291605</t>
  </si>
  <si>
    <t xml:space="preserve">SANCHEZ</t>
  </si>
  <si>
    <t xml:space="preserve">NG6 3VW</t>
  </si>
  <si>
    <t xml:space="preserve">APT-100051</t>
  </si>
  <si>
    <t xml:space="preserve">9274618305</t>
  </si>
  <si>
    <t xml:space="preserve">MORRIS</t>
  </si>
  <si>
    <t xml:space="preserve">LE5 2XY</t>
  </si>
  <si>
    <t xml:space="preserve">APT-100052</t>
  </si>
  <si>
    <t xml:space="preserve">2847193650</t>
  </si>
  <si>
    <t xml:space="preserve">ROGERS</t>
  </si>
  <si>
    <t xml:space="preserve">NG7 1ZA</t>
  </si>
  <si>
    <t xml:space="preserve">APT-100053</t>
  </si>
  <si>
    <t xml:space="preserve">6491837250</t>
  </si>
  <si>
    <t xml:space="preserve">REED</t>
  </si>
  <si>
    <t xml:space="preserve">LE6 5BC</t>
  </si>
  <si>
    <t xml:space="preserve">APT-100054</t>
  </si>
  <si>
    <t xml:space="preserve">8173629405</t>
  </si>
  <si>
    <t xml:space="preserve">COOK</t>
  </si>
  <si>
    <t xml:space="preserve">NG8 4DE</t>
  </si>
  <si>
    <t xml:space="preserve">APT-100055</t>
  </si>
  <si>
    <t xml:space="preserve">3628194705</t>
  </si>
  <si>
    <t xml:space="preserve">MORGAN</t>
  </si>
  <si>
    <t xml:space="preserve">LE7 6FG</t>
  </si>
  <si>
    <t xml:space="preserve">APT-100056</t>
  </si>
  <si>
    <t xml:space="preserve">7294183650</t>
  </si>
  <si>
    <t xml:space="preserve">BELL</t>
  </si>
  <si>
    <t xml:space="preserve">NG2 2HI</t>
  </si>
  <si>
    <t xml:space="preserve">APT-100057</t>
  </si>
  <si>
    <t xml:space="preserve">4817293605</t>
  </si>
  <si>
    <t xml:space="preserve">MURPHY</t>
  </si>
  <si>
    <t xml:space="preserve">LE8 1JK</t>
  </si>
  <si>
    <t xml:space="preserve">APT-100058</t>
  </si>
  <si>
    <t xml:space="preserve">1938274605</t>
  </si>
  <si>
    <t xml:space="preserve">BAILEY</t>
  </si>
  <si>
    <t xml:space="preserve">NG3 8LM</t>
  </si>
  <si>
    <t xml:space="preserve">APT-100059</t>
  </si>
  <si>
    <t xml:space="preserve">5374829160</t>
  </si>
  <si>
    <t xml:space="preserve">RIVERA</t>
  </si>
  <si>
    <t xml:space="preserve">LE9 3NO</t>
  </si>
  <si>
    <t xml:space="preserve">APT-100060</t>
  </si>
  <si>
    <t xml:space="preserve">9182637450</t>
  </si>
  <si>
    <t xml:space="preserve">COOPER</t>
  </si>
  <si>
    <t xml:space="preserve">NG4 5PQ</t>
  </si>
  <si>
    <t xml:space="preserve">APT-100061</t>
  </si>
  <si>
    <t xml:space="preserve">3847291605</t>
  </si>
  <si>
    <t xml:space="preserve">RICHARDSON</t>
  </si>
  <si>
    <t xml:space="preserve">LE1 7RS</t>
  </si>
  <si>
    <t xml:space="preserve">APT-100062</t>
  </si>
  <si>
    <t xml:space="preserve">6291847350</t>
  </si>
  <si>
    <t xml:space="preserve">COX</t>
  </si>
  <si>
    <t xml:space="preserve">NG5 2TU</t>
  </si>
  <si>
    <t xml:space="preserve">APT-100063</t>
  </si>
  <si>
    <t xml:space="preserve">4738291605</t>
  </si>
  <si>
    <t xml:space="preserve">HOWARD</t>
  </si>
  <si>
    <t xml:space="preserve">LE2 8VW</t>
  </si>
  <si>
    <t xml:space="preserve">APT-100064</t>
  </si>
  <si>
    <t xml:space="preserve">8293714605</t>
  </si>
  <si>
    <t xml:space="preserve">WARD</t>
  </si>
  <si>
    <t xml:space="preserve">NG6 7XY</t>
  </si>
  <si>
    <t xml:space="preserve">APT-100065</t>
  </si>
  <si>
    <t xml:space="preserve">2174839605</t>
  </si>
  <si>
    <t xml:space="preserve">TORRES</t>
  </si>
  <si>
    <t xml:space="preserve">LE3 5ZA</t>
  </si>
  <si>
    <t xml:space="preserve">APT-100066</t>
  </si>
  <si>
    <t xml:space="preserve">7483921605</t>
  </si>
  <si>
    <t xml:space="preserve">PETERSON</t>
  </si>
  <si>
    <t xml:space="preserve">NG1 9BC</t>
  </si>
  <si>
    <t xml:space="preserve">APT-100067</t>
  </si>
  <si>
    <t xml:space="preserve">5927384160</t>
  </si>
  <si>
    <t xml:space="preserve">GRAY</t>
  </si>
  <si>
    <t xml:space="preserve">LE4 4DE</t>
  </si>
  <si>
    <t xml:space="preserve">APT-100068</t>
  </si>
  <si>
    <t xml:space="preserve">1847293605</t>
  </si>
  <si>
    <t xml:space="preserve">RAMIREZ</t>
  </si>
  <si>
    <t xml:space="preserve">NG7 3FG</t>
  </si>
  <si>
    <t xml:space="preserve">APT-100069</t>
  </si>
  <si>
    <t xml:space="preserve">4293817605</t>
  </si>
  <si>
    <t xml:space="preserve">JAMES</t>
  </si>
  <si>
    <t xml:space="preserve">LE5 9HI</t>
  </si>
  <si>
    <t xml:space="preserve">APT-100070</t>
  </si>
  <si>
    <t xml:space="preserve">9374821605</t>
  </si>
  <si>
    <t xml:space="preserve">WATSON</t>
  </si>
  <si>
    <t xml:space="preserve">NG2 6JK</t>
  </si>
  <si>
    <t xml:space="preserve">APT-100071</t>
  </si>
  <si>
    <t xml:space="preserve">3829174605</t>
  </si>
  <si>
    <t xml:space="preserve">BROOKS</t>
  </si>
  <si>
    <t xml:space="preserve">LE6 3LM</t>
  </si>
  <si>
    <t xml:space="preserve">APT-100072</t>
  </si>
  <si>
    <t xml:space="preserve">6147293805</t>
  </si>
  <si>
    <t xml:space="preserve">KELLY</t>
  </si>
  <si>
    <t xml:space="preserve">NG3 4NO</t>
  </si>
  <si>
    <t xml:space="preserve">APT-100073</t>
  </si>
  <si>
    <t xml:space="preserve">4891273605</t>
  </si>
  <si>
    <t xml:space="preserve">SANDERS</t>
  </si>
  <si>
    <t xml:space="preserve">LE7 2PQ</t>
  </si>
  <si>
    <t xml:space="preserve">APT-100074</t>
  </si>
  <si>
    <t xml:space="preserve">2738491605</t>
  </si>
  <si>
    <t xml:space="preserve">PRICE</t>
  </si>
  <si>
    <t xml:space="preserve">NG4 8RS</t>
  </si>
  <si>
    <t xml:space="preserve">APT-100075</t>
  </si>
  <si>
    <t xml:space="preserve">7492813605</t>
  </si>
  <si>
    <t xml:space="preserve">BENNETT</t>
  </si>
  <si>
    <t xml:space="preserve">LE8 6TU</t>
  </si>
  <si>
    <t xml:space="preserve">APT-100076</t>
  </si>
  <si>
    <t xml:space="preserve">5183924760</t>
  </si>
  <si>
    <t xml:space="preserve">WOOD</t>
  </si>
  <si>
    <t xml:space="preserve">NG5 5VW</t>
  </si>
  <si>
    <t xml:space="preserve">APT-100077</t>
  </si>
  <si>
    <t xml:space="preserve">1847392605</t>
  </si>
  <si>
    <t xml:space="preserve">BARNES</t>
  </si>
  <si>
    <t xml:space="preserve">LE9 1XY</t>
  </si>
  <si>
    <t xml:space="preserve">APT-100078</t>
  </si>
  <si>
    <t xml:space="preserve">8374291605</t>
  </si>
  <si>
    <t xml:space="preserve">ROSS</t>
  </si>
  <si>
    <t xml:space="preserve">NG6 2ZA</t>
  </si>
  <si>
    <t xml:space="preserve">APT-100079</t>
  </si>
  <si>
    <t xml:space="preserve">3948271605</t>
  </si>
  <si>
    <t xml:space="preserve">HENDERSON</t>
  </si>
  <si>
    <t xml:space="preserve">LE1 4BC</t>
  </si>
  <si>
    <t xml:space="preserve">APT-100080</t>
  </si>
  <si>
    <t xml:space="preserve">6291374805</t>
  </si>
  <si>
    <t xml:space="preserve">COLEMAN</t>
  </si>
  <si>
    <t xml:space="preserve">NG7 8DE</t>
  </si>
  <si>
    <t xml:space="preserve">APT-100081</t>
  </si>
  <si>
    <t xml:space="preserve">4829137605</t>
  </si>
  <si>
    <t xml:space="preserve">JENKINS</t>
  </si>
  <si>
    <t xml:space="preserve">LE2 6FG</t>
  </si>
  <si>
    <t xml:space="preserve">APT-100082</t>
  </si>
  <si>
    <t xml:space="preserve">9273841605</t>
  </si>
  <si>
    <t xml:space="preserve">PERRY</t>
  </si>
  <si>
    <t xml:space="preserve">NG8 1HI</t>
  </si>
  <si>
    <t xml:space="preserve">APT-100083</t>
  </si>
  <si>
    <t xml:space="preserve">2748391605</t>
  </si>
  <si>
    <t xml:space="preserve">POWELL</t>
  </si>
  <si>
    <t xml:space="preserve">LE3 7JK</t>
  </si>
  <si>
    <t xml:space="preserve">APT-100084</t>
  </si>
  <si>
    <t xml:space="preserve">7193824605</t>
  </si>
  <si>
    <t xml:space="preserve">LONG</t>
  </si>
  <si>
    <t xml:space="preserve">NG2 4LM</t>
  </si>
  <si>
    <t xml:space="preserve">APT-100085</t>
  </si>
  <si>
    <t xml:space="preserve">5847291360</t>
  </si>
  <si>
    <t xml:space="preserve">PATTERSON</t>
  </si>
  <si>
    <t xml:space="preserve">LE4 5NO</t>
  </si>
  <si>
    <t xml:space="preserve">APT-100086</t>
  </si>
  <si>
    <t xml:space="preserve">1938472605</t>
  </si>
  <si>
    <t xml:space="preserve">HUGHES</t>
  </si>
  <si>
    <t xml:space="preserve">NG1 3PQ</t>
  </si>
  <si>
    <t xml:space="preserve">APT-100087</t>
  </si>
  <si>
    <t xml:space="preserve">6374829105</t>
  </si>
  <si>
    <t xml:space="preserve">FLORES</t>
  </si>
  <si>
    <t xml:space="preserve">LE5 3RS</t>
  </si>
  <si>
    <t xml:space="preserve">APT-100088</t>
  </si>
  <si>
    <t xml:space="preserve">4829371605</t>
  </si>
  <si>
    <t xml:space="preserve">WASHINGTON</t>
  </si>
  <si>
    <t xml:space="preserve">NG3 6TU</t>
  </si>
  <si>
    <t xml:space="preserve">APT-100089</t>
  </si>
  <si>
    <t xml:space="preserve">8273914605</t>
  </si>
  <si>
    <t xml:space="preserve">BUTLER</t>
  </si>
  <si>
    <t xml:space="preserve">LE6 8VW</t>
  </si>
  <si>
    <t xml:space="preserve">APT-100090</t>
  </si>
  <si>
    <t xml:space="preserve">3748291560</t>
  </si>
  <si>
    <t xml:space="preserve">SIMMONS</t>
  </si>
  <si>
    <t xml:space="preserve">NG4 2XY</t>
  </si>
  <si>
    <t xml:space="preserve">APT-100091</t>
  </si>
  <si>
    <t xml:space="preserve">7291384605</t>
  </si>
  <si>
    <t xml:space="preserve">FOSTER</t>
  </si>
  <si>
    <t xml:space="preserve">LE7 4ZA</t>
  </si>
  <si>
    <t xml:space="preserve">APT-100092</t>
  </si>
  <si>
    <t xml:space="preserve">4938271605</t>
  </si>
  <si>
    <t xml:space="preserve">GONZALES</t>
  </si>
  <si>
    <t xml:space="preserve">NG5 9BC</t>
  </si>
  <si>
    <t xml:space="preserve">APT-100093</t>
  </si>
  <si>
    <t xml:space="preserve">2847913605</t>
  </si>
  <si>
    <t xml:space="preserve">BRYANT</t>
  </si>
  <si>
    <t xml:space="preserve">LE8 2DE</t>
  </si>
  <si>
    <t xml:space="preserve">APT-100094</t>
  </si>
  <si>
    <t xml:space="preserve">6193847205</t>
  </si>
  <si>
    <t xml:space="preserve">ALEXANDER</t>
  </si>
  <si>
    <t xml:space="preserve">NG6 5FG</t>
  </si>
  <si>
    <t xml:space="preserve">APT-100095</t>
  </si>
  <si>
    <t xml:space="preserve">5374821960</t>
  </si>
  <si>
    <t xml:space="preserve">RUSSELL</t>
  </si>
  <si>
    <t xml:space="preserve">LE9 6HI</t>
  </si>
  <si>
    <t xml:space="preserve">APT-100096</t>
  </si>
  <si>
    <t xml:space="preserve">1847392560</t>
  </si>
  <si>
    <t xml:space="preserve">GRIFFIN</t>
  </si>
  <si>
    <t xml:space="preserve">NG2 7JK</t>
  </si>
  <si>
    <t xml:space="preserve">APT-100097</t>
  </si>
  <si>
    <t xml:space="preserve">8374291560</t>
  </si>
  <si>
    <t xml:space="preserve">DIAZ</t>
  </si>
  <si>
    <t xml:space="preserve">LE1 5LM</t>
  </si>
  <si>
    <t xml:space="preserve">APT-100098</t>
  </si>
  <si>
    <t xml:space="preserve">3948271560</t>
  </si>
  <si>
    <t xml:space="preserve">HAYES</t>
  </si>
  <si>
    <t xml:space="preserve">NG7 4NO</t>
  </si>
  <si>
    <t xml:space="preserve">APT-100099</t>
  </si>
  <si>
    <t xml:space="preserve">6291374560</t>
  </si>
  <si>
    <t xml:space="preserve">MYERS</t>
  </si>
  <si>
    <t xml:space="preserve">LE2 1PQ</t>
  </si>
  <si>
    <t xml:space="preserve">APT-100100</t>
  </si>
  <si>
    <t xml:space="preserve">4829137560</t>
  </si>
  <si>
    <t xml:space="preserve">FORD</t>
  </si>
  <si>
    <t xml:space="preserve">NG3 8RS</t>
  </si>
  <si>
    <t xml:space="preserve">APT-100101</t>
  </si>
  <si>
    <t xml:space="preserve">9273841560</t>
  </si>
  <si>
    <t xml:space="preserve">HAMILTON</t>
  </si>
  <si>
    <t xml:space="preserve">LE3 3TU</t>
  </si>
  <si>
    <t xml:space="preserve">APT-100102</t>
  </si>
  <si>
    <t xml:space="preserve">2748391560</t>
  </si>
  <si>
    <t xml:space="preserve">GRAHAM</t>
  </si>
  <si>
    <t xml:space="preserve">NG4 6VW</t>
  </si>
  <si>
    <t xml:space="preserve">APT-100103</t>
  </si>
  <si>
    <t xml:space="preserve">7193824560</t>
  </si>
  <si>
    <t xml:space="preserve">SULLIVAN</t>
  </si>
  <si>
    <t xml:space="preserve">LE4 8XY</t>
  </si>
  <si>
    <t xml:space="preserve">APT-100104</t>
  </si>
  <si>
    <t xml:space="preserve">5847291306</t>
  </si>
  <si>
    <t xml:space="preserve">WALLACE</t>
  </si>
  <si>
    <t xml:space="preserve">NG5 1ZA</t>
  </si>
  <si>
    <t xml:space="preserve">APT-100105</t>
  </si>
  <si>
    <t xml:space="preserve">1938472560</t>
  </si>
  <si>
    <t xml:space="preserve">WOODS</t>
  </si>
  <si>
    <t xml:space="preserve">LE5 4BC</t>
  </si>
  <si>
    <t xml:space="preserve">APT-100106</t>
  </si>
  <si>
    <t xml:space="preserve">6374829015</t>
  </si>
  <si>
    <t xml:space="preserve">WEST</t>
  </si>
  <si>
    <t xml:space="preserve">NG1 7DE</t>
  </si>
  <si>
    <t xml:space="preserve">APT-100107</t>
  </si>
  <si>
    <t xml:space="preserve">4829371560</t>
  </si>
  <si>
    <t xml:space="preserve">JORDAN</t>
  </si>
  <si>
    <t xml:space="preserve">LE6 6FG</t>
  </si>
  <si>
    <t xml:space="preserve">APT-100108</t>
  </si>
  <si>
    <t xml:space="preserve">8273914560</t>
  </si>
  <si>
    <t xml:space="preserve">OWENS</t>
  </si>
  <si>
    <t xml:space="preserve">NG6 3HI</t>
  </si>
  <si>
    <t xml:space="preserve">APT-100109</t>
  </si>
  <si>
    <t xml:space="preserve">3748291506</t>
  </si>
  <si>
    <t xml:space="preserve">REYNOLDS</t>
  </si>
  <si>
    <t xml:space="preserve">LE7 9JK</t>
  </si>
  <si>
    <t xml:space="preserve">APT-100110</t>
  </si>
  <si>
    <t xml:space="preserve">7291384560</t>
  </si>
  <si>
    <t xml:space="preserve">FISHER</t>
  </si>
  <si>
    <t xml:space="preserve">NG7 2LM</t>
  </si>
  <si>
    <t xml:space="preserve">APT-100111</t>
  </si>
  <si>
    <t xml:space="preserve">4938271560</t>
  </si>
  <si>
    <t xml:space="preserve">ELLIS</t>
  </si>
  <si>
    <t xml:space="preserve">LE8 4NO</t>
  </si>
  <si>
    <t xml:space="preserve">APT-100112</t>
  </si>
  <si>
    <t xml:space="preserve">2847913560</t>
  </si>
  <si>
    <t xml:space="preserve">HARRISON</t>
  </si>
  <si>
    <t xml:space="preserve">NG8 7PQ</t>
  </si>
  <si>
    <t xml:space="preserve">APT-100113</t>
  </si>
  <si>
    <t xml:space="preserve">6193847025</t>
  </si>
  <si>
    <t xml:space="preserve">GIBSON</t>
  </si>
  <si>
    <t xml:space="preserve">LE9 2RS</t>
  </si>
  <si>
    <t xml:space="preserve">APT-100114</t>
  </si>
  <si>
    <t xml:space="preserve">5374821096</t>
  </si>
  <si>
    <t xml:space="preserve">MCDONALD</t>
  </si>
  <si>
    <t xml:space="preserve">NG2 5TU</t>
  </si>
  <si>
    <t xml:space="preserve">APT-100115</t>
  </si>
  <si>
    <t xml:space="preserve">1847392506</t>
  </si>
  <si>
    <t xml:space="preserve">CRUZ</t>
  </si>
  <si>
    <t xml:space="preserve">LE1 3VW</t>
  </si>
  <si>
    <t xml:space="preserve">APT-100116</t>
  </si>
  <si>
    <t xml:space="preserve">8374291506</t>
  </si>
  <si>
    <t xml:space="preserve">MARSHALL</t>
  </si>
  <si>
    <t xml:space="preserve">NG3 4XY</t>
  </si>
  <si>
    <t xml:space="preserve">APT-100117</t>
  </si>
  <si>
    <t xml:space="preserve">3948271506</t>
  </si>
  <si>
    <t xml:space="preserve">ORTIZ</t>
  </si>
  <si>
    <t xml:space="preserve">LE2 7ZA</t>
  </si>
  <si>
    <t xml:space="preserve">APT-100118</t>
  </si>
  <si>
    <t xml:space="preserve">6291374506</t>
  </si>
  <si>
    <t xml:space="preserve">GOMEZ</t>
  </si>
  <si>
    <t xml:space="preserve">NG4 1BC</t>
  </si>
  <si>
    <t xml:space="preserve">APT-100119</t>
  </si>
  <si>
    <t xml:space="preserve">4829137506</t>
  </si>
  <si>
    <t xml:space="preserve">MURRAY</t>
  </si>
  <si>
    <t xml:space="preserve">LE3 6DE</t>
  </si>
  <si>
    <t xml:space="preserve">APT-100120</t>
  </si>
  <si>
    <t xml:space="preserve">9273841506</t>
  </si>
  <si>
    <t xml:space="preserve">FREEMAN</t>
  </si>
  <si>
    <t xml:space="preserve">NG5 8FG</t>
  </si>
  <si>
    <t xml:space="preserve">APT-100121</t>
  </si>
  <si>
    <t xml:space="preserve">2748391506</t>
  </si>
  <si>
    <t xml:space="preserve">WELLS</t>
  </si>
  <si>
    <t xml:space="preserve">LE4 3HI</t>
  </si>
  <si>
    <t xml:space="preserve">APT-100122</t>
  </si>
  <si>
    <t xml:space="preserve">7193824506</t>
  </si>
  <si>
    <t xml:space="preserve">WEBB</t>
  </si>
  <si>
    <t xml:space="preserve">NG6 6JK</t>
  </si>
  <si>
    <t xml:space="preserve">APT-100123</t>
  </si>
  <si>
    <t xml:space="preserve">5847291036</t>
  </si>
  <si>
    <t xml:space="preserve">SIMPSON</t>
  </si>
  <si>
    <t xml:space="preserve">LE5 1LM</t>
  </si>
  <si>
    <t xml:space="preserve">APT-100124</t>
  </si>
  <si>
    <t xml:space="preserve">1938472506</t>
  </si>
  <si>
    <t xml:space="preserve">STEVENS</t>
  </si>
  <si>
    <t xml:space="preserve">APT-100125</t>
  </si>
  <si>
    <t xml:space="preserve">6374829051</t>
  </si>
  <si>
    <t xml:space="preserve">TUCKER</t>
  </si>
  <si>
    <t xml:space="preserve">LE6 8PQ</t>
  </si>
  <si>
    <t xml:space="preserve">APT-100126</t>
  </si>
  <si>
    <t xml:space="preserve">4829371506</t>
  </si>
  <si>
    <t xml:space="preserve">PORTER</t>
  </si>
  <si>
    <t xml:space="preserve">NG1 5RS</t>
  </si>
  <si>
    <t xml:space="preserve">APT-100127</t>
  </si>
  <si>
    <t xml:space="preserve">8273914506</t>
  </si>
  <si>
    <t xml:space="preserve">HUNTER</t>
  </si>
  <si>
    <t xml:space="preserve">LE7 5TU</t>
  </si>
  <si>
    <t xml:space="preserve">APT-100128</t>
  </si>
  <si>
    <t xml:space="preserve">3748291056</t>
  </si>
  <si>
    <t xml:space="preserve">HICKS</t>
  </si>
  <si>
    <t xml:space="preserve">NG8 2VW</t>
  </si>
  <si>
    <t xml:space="preserve">APT-100129</t>
  </si>
  <si>
    <t xml:space="preserve">7291384506</t>
  </si>
  <si>
    <t xml:space="preserve">CRAWFORD</t>
  </si>
  <si>
    <t xml:space="preserve">LE8 7XY</t>
  </si>
  <si>
    <t xml:space="preserve">APT-100130</t>
  </si>
  <si>
    <t xml:space="preserve">4938271506</t>
  </si>
  <si>
    <t xml:space="preserve">HENRY</t>
  </si>
  <si>
    <t xml:space="preserve">NG2 9ZA</t>
  </si>
  <si>
    <t xml:space="preserve">APT-100131</t>
  </si>
  <si>
    <t xml:space="preserve">2847913506</t>
  </si>
  <si>
    <t xml:space="preserve">BOYD</t>
  </si>
  <si>
    <t xml:space="preserve">LE9 4BC</t>
  </si>
  <si>
    <t xml:space="preserve">APT-100132</t>
  </si>
  <si>
    <t xml:space="preserve">6193847052</t>
  </si>
  <si>
    <t xml:space="preserve">MASON</t>
  </si>
  <si>
    <t xml:space="preserve">NG3 7DE</t>
  </si>
  <si>
    <t xml:space="preserve">APT-100133</t>
  </si>
  <si>
    <t xml:space="preserve">5374821906</t>
  </si>
  <si>
    <t xml:space="preserve">KENNEDY</t>
  </si>
  <si>
    <t xml:space="preserve">LE1 2FG</t>
  </si>
  <si>
    <t xml:space="preserve">APT-100134</t>
  </si>
  <si>
    <t xml:space="preserve">1847392056</t>
  </si>
  <si>
    <t xml:space="preserve">BURNS</t>
  </si>
  <si>
    <t xml:space="preserve">NG4 5HI</t>
  </si>
  <si>
    <t xml:space="preserve">APT-100135</t>
  </si>
  <si>
    <t xml:space="preserve">8374291056</t>
  </si>
  <si>
    <t xml:space="preserve">SHAW</t>
  </si>
  <si>
    <t xml:space="preserve">LE2 4JK</t>
  </si>
  <si>
    <t xml:space="preserve">APT-100136</t>
  </si>
  <si>
    <t xml:space="preserve">3948271056</t>
  </si>
  <si>
    <t xml:space="preserve">HOLMES</t>
  </si>
  <si>
    <t xml:space="preserve">NG5 6LM</t>
  </si>
  <si>
    <t xml:space="preserve">APT-100137</t>
  </si>
  <si>
    <t xml:space="preserve">6291374056</t>
  </si>
  <si>
    <t xml:space="preserve">RICE</t>
  </si>
  <si>
    <t xml:space="preserve">LE3 1NO</t>
  </si>
  <si>
    <t xml:space="preserve">APT-100138</t>
  </si>
  <si>
    <t xml:space="preserve">4829137056</t>
  </si>
  <si>
    <t xml:space="preserve">ROBERTSON</t>
  </si>
  <si>
    <t xml:space="preserve">NG6 8PQ</t>
  </si>
  <si>
    <t xml:space="preserve">APT-100139</t>
  </si>
  <si>
    <t xml:space="preserve">9273841056</t>
  </si>
  <si>
    <t xml:space="preserve">HUNT</t>
  </si>
  <si>
    <t xml:space="preserve">LE4 6RS</t>
  </si>
  <si>
    <t xml:space="preserve">APT-100140</t>
  </si>
  <si>
    <t xml:space="preserve">2748391056</t>
  </si>
  <si>
    <t xml:space="preserve">BLACK</t>
  </si>
  <si>
    <t xml:space="preserve">NG7 3TU</t>
  </si>
  <si>
    <t xml:space="preserve">APT-100141</t>
  </si>
  <si>
    <t xml:space="preserve">7193824056</t>
  </si>
  <si>
    <t xml:space="preserve">DANIELS</t>
  </si>
  <si>
    <t xml:space="preserve">LE5 8VW</t>
  </si>
  <si>
    <t xml:space="preserve">APT-100142</t>
  </si>
  <si>
    <t xml:space="preserve">PALMER</t>
  </si>
  <si>
    <t xml:space="preserve">NG8 4XY</t>
  </si>
  <si>
    <t xml:space="preserve">APT-100143</t>
  </si>
  <si>
    <t xml:space="preserve">1938472056</t>
  </si>
  <si>
    <t xml:space="preserve">MILLS</t>
  </si>
  <si>
    <t xml:space="preserve">LE6 3ZA</t>
  </si>
  <si>
    <t xml:space="preserve">APT-100144</t>
  </si>
  <si>
    <t xml:space="preserve">NICHOLS</t>
  </si>
  <si>
    <t xml:space="preserve">NG2 1BC</t>
  </si>
  <si>
    <t xml:space="preserve">APT-100145</t>
  </si>
  <si>
    <t xml:space="preserve">4829371056</t>
  </si>
  <si>
    <t xml:space="preserve">GRANT</t>
  </si>
  <si>
    <t xml:space="preserve">LE7 7DE</t>
  </si>
  <si>
    <t xml:space="preserve">APT-100146</t>
  </si>
  <si>
    <t xml:space="preserve">8273914056</t>
  </si>
  <si>
    <t xml:space="preserve">KNIGHT</t>
  </si>
  <si>
    <t xml:space="preserve">NG1 4FG</t>
  </si>
  <si>
    <t xml:space="preserve">APT-100147</t>
  </si>
  <si>
    <t xml:space="preserve">ARMSTRONG</t>
  </si>
  <si>
    <t xml:space="preserve">LE8 2HI</t>
  </si>
  <si>
    <t xml:space="preserve">APT-100148</t>
  </si>
  <si>
    <t xml:space="preserve">7291384056</t>
  </si>
  <si>
    <t xml:space="preserve">STONE</t>
  </si>
  <si>
    <t xml:space="preserve">NG3 5JK</t>
  </si>
  <si>
    <t xml:space="preserve">APT-100149</t>
  </si>
  <si>
    <t xml:space="preserve">4938271056</t>
  </si>
  <si>
    <t xml:space="preserve">WATERS</t>
  </si>
  <si>
    <t xml:space="preserve">LE9 1LM</t>
  </si>
  <si>
    <t xml:space="preserve">APT-100150</t>
  </si>
  <si>
    <t xml:space="preserve">2847913056</t>
  </si>
  <si>
    <t xml:space="preserve">BURTON</t>
  </si>
  <si>
    <t xml:space="preserve">NG4 7NO</t>
  </si>
  <si>
    <t xml:space="preserve">APT-100151</t>
  </si>
  <si>
    <t xml:space="preserve">APT-100152</t>
  </si>
  <si>
    <t xml:space="preserve">APT-100153</t>
  </si>
  <si>
    <t xml:space="preserve">HASSAN</t>
  </si>
  <si>
    <t xml:space="preserve">GEN</t>
  </si>
  <si>
    <t xml:space="preserve">7184926350</t>
  </si>
  <si>
    <t xml:space="preserve">NGUYEN</t>
  </si>
  <si>
    <t xml:space="preserve">attended</t>
  </si>
  <si>
    <t xml:space="preserve">APT-100155</t>
  </si>
  <si>
    <t xml:space="preserve">APT-100156</t>
  </si>
  <si>
    <t xml:space="preserve">4819273650</t>
  </si>
  <si>
    <t xml:space="preserve">OSEI</t>
  </si>
  <si>
    <t xml:space="preserve">APT-100157</t>
  </si>
  <si>
    <t xml:space="preserve">APT-100158</t>
  </si>
  <si>
    <t xml:space="preserve">8163924750</t>
  </si>
  <si>
    <t xml:space="preserve">MENSAH</t>
  </si>
  <si>
    <t xml:space="preserve">NG7 5CD</t>
  </si>
  <si>
    <t xml:space="preserve">APT-100159</t>
  </si>
  <si>
    <t xml:space="preserve">APT-100160</t>
  </si>
  <si>
    <t xml:space="preserve">APT-100161</t>
  </si>
  <si>
    <t xml:space="preserve">APT-100162</t>
  </si>
  <si>
    <t xml:space="preserve">APT-100163</t>
  </si>
  <si>
    <t xml:space="preserve">APT-100164</t>
  </si>
  <si>
    <t xml:space="preserve">CHIRWA</t>
  </si>
  <si>
    <t xml:space="preserve">APT-100165</t>
  </si>
  <si>
    <t xml:space="preserve">APT-100166</t>
  </si>
  <si>
    <t xml:space="preserve">3947821605</t>
  </si>
  <si>
    <t xml:space="preserve">ADEYEMI</t>
  </si>
  <si>
    <t xml:space="preserve">APT-100167</t>
  </si>
  <si>
    <t xml:space="preserve">APT-100168</t>
  </si>
  <si>
    <t xml:space="preserve">APT-100169</t>
  </si>
  <si>
    <t xml:space="preserve">8291736450</t>
  </si>
  <si>
    <t xml:space="preserve">OKONKWO</t>
  </si>
  <si>
    <t xml:space="preserve">APT-100170</t>
  </si>
  <si>
    <t xml:space="preserve">APT-100171</t>
  </si>
  <si>
    <t xml:space="preserve">APT-100172</t>
  </si>
  <si>
    <t xml:space="preserve">APT-100173</t>
  </si>
  <si>
    <t xml:space="preserve">APT-100174</t>
  </si>
  <si>
    <t xml:space="preserve">APT-100175</t>
  </si>
  <si>
    <t xml:space="preserve">IHEJIRIKA</t>
  </si>
  <si>
    <t xml:space="preserve">APT-100176</t>
  </si>
  <si>
    <t xml:space="preserve">APT-100177</t>
  </si>
  <si>
    <t xml:space="preserve">APT-100178</t>
  </si>
  <si>
    <t xml:space="preserve">APT-100179</t>
  </si>
  <si>
    <t xml:space="preserve">APT-100180</t>
  </si>
  <si>
    <t xml:space="preserve">APT-100181</t>
  </si>
  <si>
    <t xml:space="preserve">APT-100182</t>
  </si>
  <si>
    <t xml:space="preserve">APT-100183</t>
  </si>
  <si>
    <t xml:space="preserve">APT-100184</t>
  </si>
  <si>
    <t xml:space="preserve">APT-100185</t>
  </si>
  <si>
    <t xml:space="preserve">APT-100186</t>
  </si>
  <si>
    <t xml:space="preserve">CL-OLD</t>
  </si>
  <si>
    <t xml:space="preserve">APT-100187</t>
  </si>
  <si>
    <t xml:space="preserve">APT-100188</t>
  </si>
  <si>
    <t xml:space="preserve">APT-100189</t>
  </si>
  <si>
    <t xml:space="preserve">APT-100190</t>
  </si>
  <si>
    <t xml:space="preserve">APT-100191</t>
  </si>
  <si>
    <t xml:space="preserve">APT-100192</t>
  </si>
  <si>
    <t xml:space="preserve">APT-100193</t>
  </si>
  <si>
    <t xml:space="preserve">APT-100194</t>
  </si>
  <si>
    <t xml:space="preserve">APT-100195</t>
  </si>
  <si>
    <t xml:space="preserve">APT-100196</t>
  </si>
  <si>
    <t xml:space="preserve">APT-100197</t>
  </si>
  <si>
    <t xml:space="preserve">APT-100198</t>
  </si>
  <si>
    <t xml:space="preserve">APT-100199</t>
  </si>
  <si>
    <t xml:space="preserve">6374821095</t>
  </si>
  <si>
    <t xml:space="preserve">ODUYA</t>
  </si>
  <si>
    <t xml:space="preserve">CL-DEP</t>
  </si>
  <si>
    <t xml:space="preserve">N/A</t>
  </si>
  <si>
    <t xml:space="preserve">Other</t>
  </si>
  <si>
    <t xml:space="preserve">XX1 1XX</t>
  </si>
  <si>
    <t xml:space="preserve">APT-100200</t>
  </si>
  <si>
    <t xml:space="preserve">4182739605</t>
  </si>
  <si>
    <t xml:space="preserve">IBRAHIM</t>
  </si>
  <si>
    <t xml:space="preserve">TBC</t>
  </si>
  <si>
    <t xml:space="preserve">APT-100201</t>
  </si>
  <si>
    <t xml:space="preserve">APT-100202</t>
  </si>
  <si>
    <t xml:space="preserve">APT-100203</t>
  </si>
  <si>
    <t xml:space="preserve">APT-100204</t>
  </si>
  <si>
    <t xml:space="preserve">APT-100205</t>
  </si>
  <si>
    <t xml:space="preserve">APT-100206</t>
  </si>
  <si>
    <t xml:space="preserve">APT-100207</t>
  </si>
  <si>
    <t xml:space="preserve">APT-100208</t>
  </si>
  <si>
    <t xml:space="preserve">APT-100209</t>
  </si>
  <si>
    <t xml:space="preserve">APT-100210</t>
  </si>
  <si>
    <t xml:space="preserve">APT-100211</t>
  </si>
  <si>
    <t xml:space="preserve">APT-100212</t>
  </si>
  <si>
    <t xml:space="preserve">APT-100213</t>
  </si>
  <si>
    <t xml:space="preserve">APT-100214</t>
  </si>
  <si>
    <t xml:space="preserve">APT-100215</t>
  </si>
  <si>
    <t xml:space="preserve">APT-100216</t>
  </si>
  <si>
    <t xml:space="preserve">APT-100217</t>
  </si>
  <si>
    <t xml:space="preserve">APT-100218</t>
  </si>
  <si>
    <t xml:space="preserve">APT-100219</t>
  </si>
  <si>
    <t xml:space="preserve">APT-100220</t>
  </si>
  <si>
    <t xml:space="preserve">APT-100221</t>
  </si>
  <si>
    <t xml:space="preserve">APT-100222</t>
  </si>
  <si>
    <t xml:space="preserve">APT-100223</t>
  </si>
  <si>
    <t xml:space="preserve">APT-100224</t>
  </si>
  <si>
    <t xml:space="preserve">APT-100225</t>
  </si>
  <si>
    <t xml:space="preserve">APT-100226</t>
  </si>
  <si>
    <t xml:space="preserve">APT-100227</t>
  </si>
  <si>
    <t xml:space="preserve">APT-100228</t>
  </si>
  <si>
    <t xml:space="preserve">APT-100229</t>
  </si>
  <si>
    <t xml:space="preserve">APT-100230</t>
  </si>
  <si>
    <t xml:space="preserve">APT-100231</t>
  </si>
  <si>
    <t xml:space="preserve">APT-100232</t>
  </si>
  <si>
    <t xml:space="preserve">APT-100233</t>
  </si>
  <si>
    <t xml:space="preserve">APT-100234</t>
  </si>
  <si>
    <t xml:space="preserve">APT-100235</t>
  </si>
  <si>
    <t xml:space="preserve">APT-100236</t>
  </si>
  <si>
    <t xml:space="preserve">APT-100237</t>
  </si>
  <si>
    <t xml:space="preserve">APT-100238</t>
  </si>
  <si>
    <t xml:space="preserve">APT-100239</t>
  </si>
  <si>
    <t xml:space="preserve">APT-100240</t>
  </si>
  <si>
    <t xml:space="preserve">APT-100241</t>
  </si>
  <si>
    <t xml:space="preserve">APT-100242</t>
  </si>
  <si>
    <t xml:space="preserve">APT-100243</t>
  </si>
  <si>
    <t xml:space="preserve">APT-100244</t>
  </si>
  <si>
    <t xml:space="preserve">APT-100245</t>
  </si>
  <si>
    <t xml:space="preserve">APT-100246</t>
  </si>
  <si>
    <t xml:space="preserve">APT-100247</t>
  </si>
  <si>
    <t xml:space="preserve">APT-100248</t>
  </si>
  <si>
    <t xml:space="preserve">APT-100249</t>
  </si>
  <si>
    <t xml:space="preserve">APT-100250</t>
  </si>
  <si>
    <t xml:space="preserve">APT-100251</t>
  </si>
  <si>
    <t xml:space="preserve">APT-100252</t>
  </si>
  <si>
    <t xml:space="preserve">APT-100253</t>
  </si>
  <si>
    <t xml:space="preserve">APT-100254</t>
  </si>
  <si>
    <t xml:space="preserve">APT-100255</t>
  </si>
  <si>
    <t xml:space="preserve">APT-100256</t>
  </si>
  <si>
    <t xml:space="preserve">APT-100257</t>
  </si>
  <si>
    <t xml:space="preserve">APT-100258</t>
  </si>
  <si>
    <t xml:space="preserve">APT-100259</t>
  </si>
  <si>
    <t xml:space="preserve">APT-100260</t>
  </si>
  <si>
    <t xml:space="preserve">APT-100261</t>
  </si>
  <si>
    <t xml:space="preserve">APT-100262</t>
  </si>
  <si>
    <t xml:space="preserve">APT-100263</t>
  </si>
  <si>
    <t xml:space="preserve">APT-100264</t>
  </si>
  <si>
    <t xml:space="preserve">APT-100265</t>
  </si>
  <si>
    <t xml:space="preserve">APT-100266</t>
  </si>
  <si>
    <t xml:space="preserve">APT-100267</t>
  </si>
  <si>
    <t xml:space="preserve">APT-100268</t>
  </si>
  <si>
    <t xml:space="preserve">APT-100269</t>
  </si>
  <si>
    <t xml:space="preserve">APT-100270</t>
  </si>
  <si>
    <t xml:space="preserve">APT-100271</t>
  </si>
  <si>
    <t xml:space="preserve">APT-100272</t>
  </si>
  <si>
    <t xml:space="preserve">APT-100273</t>
  </si>
  <si>
    <t xml:space="preserve">APT-100274</t>
  </si>
  <si>
    <t xml:space="preserve">APT-100275</t>
  </si>
  <si>
    <t xml:space="preserve">APT-100276</t>
  </si>
  <si>
    <t xml:space="preserve">APT-100277</t>
  </si>
  <si>
    <t xml:space="preserve">APT-100278</t>
  </si>
  <si>
    <t xml:space="preserve">APT-100279</t>
  </si>
  <si>
    <t xml:space="preserve">APT-100280</t>
  </si>
  <si>
    <t xml:space="preserve">APT-100281</t>
  </si>
  <si>
    <t xml:space="preserve">APT-100282</t>
  </si>
  <si>
    <t xml:space="preserve">APT-100283</t>
  </si>
  <si>
    <t xml:space="preserve">APT-100284</t>
  </si>
  <si>
    <t xml:space="preserve">APT-100285</t>
  </si>
  <si>
    <t xml:space="preserve">APT-100286</t>
  </si>
  <si>
    <t xml:space="preserve">APT-100287</t>
  </si>
  <si>
    <t xml:space="preserve">APT-100288</t>
  </si>
  <si>
    <t xml:space="preserve">APT-100289</t>
  </si>
  <si>
    <t xml:space="preserve">APT-100290</t>
  </si>
  <si>
    <t xml:space="preserve">APT-100291</t>
  </si>
  <si>
    <t xml:space="preserve">APT-100292</t>
  </si>
  <si>
    <t xml:space="preserve">APT-100293</t>
  </si>
  <si>
    <t xml:space="preserve">APT-100294</t>
  </si>
  <si>
    <t xml:space="preserve">APT-100295</t>
  </si>
  <si>
    <t xml:space="preserve">APT-100296</t>
  </si>
  <si>
    <t xml:space="preserve">APT-100297</t>
  </si>
  <si>
    <t xml:space="preserve">APT-100298</t>
  </si>
  <si>
    <t xml:space="preserve">APT-100299</t>
  </si>
  <si>
    <t xml:space="preserve">APT-100300</t>
  </si>
  <si>
    <t xml:space="preserve">APT-100301</t>
  </si>
  <si>
    <t xml:space="preserve">APT-100302</t>
  </si>
  <si>
    <t xml:space="preserve">APT-100303</t>
  </si>
  <si>
    <t xml:space="preserve">APT-100304</t>
  </si>
  <si>
    <t xml:space="preserve">APT-100305</t>
  </si>
  <si>
    <t xml:space="preserve">APT-100306</t>
  </si>
  <si>
    <t xml:space="preserve">APT-100307</t>
  </si>
  <si>
    <t xml:space="preserve">APT-100308</t>
  </si>
  <si>
    <t xml:space="preserve">APT-100309</t>
  </si>
  <si>
    <t xml:space="preserve">APT-100310</t>
  </si>
  <si>
    <t xml:space="preserve">APT-100311</t>
  </si>
  <si>
    <t xml:space="preserve">APT-100312</t>
  </si>
  <si>
    <t xml:space="preserve">APT-100313</t>
  </si>
  <si>
    <t xml:space="preserve">APT-100314</t>
  </si>
  <si>
    <t xml:space="preserve">APT-100315</t>
  </si>
  <si>
    <t xml:space="preserve">APT-100316</t>
  </si>
  <si>
    <t xml:space="preserve">APT-100317</t>
  </si>
  <si>
    <t xml:space="preserve">APT-100318</t>
  </si>
  <si>
    <t xml:space="preserve">APT-100319</t>
  </si>
  <si>
    <t xml:space="preserve">APT-100320</t>
  </si>
  <si>
    <t xml:space="preserve">APT-100321</t>
  </si>
  <si>
    <t xml:space="preserve">APT-100322</t>
  </si>
  <si>
    <t xml:space="preserve">APT-100323</t>
  </si>
  <si>
    <t xml:space="preserve">APT-100324</t>
  </si>
  <si>
    <t xml:space="preserve">APT-100325</t>
  </si>
  <si>
    <t xml:space="preserve">APT-100326</t>
  </si>
  <si>
    <t xml:space="preserve">APT-100327</t>
  </si>
  <si>
    <t xml:space="preserve">APT-100328</t>
  </si>
  <si>
    <t xml:space="preserve">APT-100329</t>
  </si>
  <si>
    <t xml:space="preserve">APT-100330</t>
  </si>
  <si>
    <t xml:space="preserve">APT-100331</t>
  </si>
  <si>
    <t xml:space="preserve">APT-100332</t>
  </si>
  <si>
    <t xml:space="preserve">APT-100333</t>
  </si>
  <si>
    <t xml:space="preserve">APT-100334</t>
  </si>
  <si>
    <t xml:space="preserve">APT-100335</t>
  </si>
  <si>
    <t xml:space="preserve">APT-100336</t>
  </si>
  <si>
    <t xml:space="preserve">APT-100337</t>
  </si>
  <si>
    <t xml:space="preserve">APT-100338</t>
  </si>
  <si>
    <t xml:space="preserve">APT-100339</t>
  </si>
  <si>
    <t xml:space="preserve">APT-100340</t>
  </si>
  <si>
    <t xml:space="preserve">APT-100341</t>
  </si>
  <si>
    <t xml:space="preserve">APT-100342</t>
  </si>
  <si>
    <t xml:space="preserve">APT-100343</t>
  </si>
  <si>
    <t xml:space="preserve">APT-100344</t>
  </si>
  <si>
    <t xml:space="preserve">APT-100345</t>
  </si>
  <si>
    <t xml:space="preserve">APT-100346</t>
  </si>
  <si>
    <t xml:space="preserve">APT-100347</t>
  </si>
  <si>
    <t xml:space="preserve">APT-100348</t>
  </si>
  <si>
    <t xml:space="preserve">APT-100349</t>
  </si>
  <si>
    <t xml:space="preserve">APT-100350</t>
  </si>
  <si>
    <t xml:space="preserve">APT-100351</t>
  </si>
  <si>
    <t xml:space="preserve">4034038718</t>
  </si>
  <si>
    <t xml:space="preserve">APT-100352</t>
  </si>
  <si>
    <t xml:space="preserve">3433904350</t>
  </si>
  <si>
    <t xml:space="preserve">APT-100353</t>
  </si>
  <si>
    <t xml:space="preserve">4641183680</t>
  </si>
  <si>
    <t xml:space="preserve">APT-100354</t>
  </si>
  <si>
    <t xml:space="preserve">6992893412</t>
  </si>
  <si>
    <t xml:space="preserve">APT-100355</t>
  </si>
  <si>
    <t xml:space="preserve">1788364053</t>
  </si>
  <si>
    <t xml:space="preserve">APT-100356</t>
  </si>
  <si>
    <t xml:space="preserve">1301834413</t>
  </si>
  <si>
    <t xml:space="preserve">APT-100357</t>
  </si>
  <si>
    <t xml:space="preserve">2328110657</t>
  </si>
  <si>
    <t xml:space="preserve">APT-100358</t>
  </si>
  <si>
    <t xml:space="preserve">4579349866</t>
  </si>
  <si>
    <t xml:space="preserve">APT-100359</t>
  </si>
  <si>
    <t xml:space="preserve">8175937991</t>
  </si>
  <si>
    <t xml:space="preserve">SELF</t>
  </si>
  <si>
    <t xml:space="preserve">APT-100360</t>
  </si>
  <si>
    <t xml:space="preserve">7913218171</t>
  </si>
  <si>
    <t xml:space="preserve">APT-100361</t>
  </si>
  <si>
    <t xml:space="preserve">3248153249</t>
  </si>
  <si>
    <t xml:space="preserve">APT-100362</t>
  </si>
  <si>
    <t xml:space="preserve">0721302594</t>
  </si>
  <si>
    <t xml:space="preserve">APT-100363</t>
  </si>
  <si>
    <t xml:space="preserve">9750998642</t>
  </si>
  <si>
    <t xml:space="preserve">APT-100364</t>
  </si>
  <si>
    <t xml:space="preserve">6250508717</t>
  </si>
  <si>
    <t xml:space="preserve">APT-100365</t>
  </si>
  <si>
    <t xml:space="preserve">8363207002</t>
  </si>
  <si>
    <t xml:space="preserve">APT-100366</t>
  </si>
  <si>
    <t xml:space="preserve">5626794051</t>
  </si>
  <si>
    <t xml:space="preserve">APT-100367</t>
  </si>
  <si>
    <t xml:space="preserve">6758287448</t>
  </si>
  <si>
    <t xml:space="preserve">APT-100368</t>
  </si>
  <si>
    <t xml:space="preserve">6986102946</t>
  </si>
  <si>
    <t xml:space="preserve">APT-100369</t>
  </si>
  <si>
    <t xml:space="preserve">1312841340</t>
  </si>
  <si>
    <t xml:space="preserve">APT-100370</t>
  </si>
  <si>
    <t xml:space="preserve">6350521955</t>
  </si>
  <si>
    <t xml:space="preserve">APT-100371</t>
  </si>
  <si>
    <t xml:space="preserve">3134797032</t>
  </si>
  <si>
    <t xml:space="preserve">APT-100372</t>
  </si>
  <si>
    <t xml:space="preserve">4684168512</t>
  </si>
  <si>
    <t xml:space="preserve">APT-100373</t>
  </si>
  <si>
    <t xml:space="preserve">0955310018</t>
  </si>
  <si>
    <t xml:space="preserve">APT-100374</t>
  </si>
  <si>
    <t xml:space="preserve">7913278731</t>
  </si>
  <si>
    <t xml:space="preserve">APT-100375</t>
  </si>
  <si>
    <t xml:space="preserve">3961559484</t>
  </si>
  <si>
    <t xml:space="preserve">APT-100376</t>
  </si>
  <si>
    <t xml:space="preserve">5754483554</t>
  </si>
  <si>
    <t xml:space="preserve">APT-100377</t>
  </si>
  <si>
    <t xml:space="preserve">4781076894</t>
  </si>
  <si>
    <t xml:space="preserve">APT-100378</t>
  </si>
  <si>
    <t xml:space="preserve">1010984224</t>
  </si>
  <si>
    <t xml:space="preserve">APT-100379</t>
  </si>
  <si>
    <t xml:space="preserve">0834716663</t>
  </si>
  <si>
    <t xml:space="preserve">APT-100380</t>
  </si>
  <si>
    <t xml:space="preserve">0991392069</t>
  </si>
  <si>
    <t xml:space="preserve">APT-100381</t>
  </si>
  <si>
    <t xml:space="preserve">9863138258</t>
  </si>
  <si>
    <t xml:space="preserve">APT-100382</t>
  </si>
  <si>
    <t xml:space="preserve">8522555809</t>
  </si>
  <si>
    <t xml:space="preserve">APT-100383</t>
  </si>
  <si>
    <t xml:space="preserve">7747198282</t>
  </si>
  <si>
    <t xml:space="preserve">APT-100384</t>
  </si>
  <si>
    <t xml:space="preserve">9350491322</t>
  </si>
  <si>
    <t xml:space="preserve">APT-100385</t>
  </si>
  <si>
    <t xml:space="preserve">1696910696</t>
  </si>
  <si>
    <t xml:space="preserve">LE1 3RS</t>
  </si>
  <si>
    <t xml:space="preserve">APT-100386</t>
  </si>
  <si>
    <t xml:space="preserve">5597606837</t>
  </si>
  <si>
    <t xml:space="preserve">APT-100387</t>
  </si>
  <si>
    <t xml:space="preserve">7617528613</t>
  </si>
  <si>
    <t xml:space="preserve">APT-100388</t>
  </si>
  <si>
    <t xml:space="preserve">8857184138</t>
  </si>
  <si>
    <t xml:space="preserve">APT-100389</t>
  </si>
  <si>
    <t xml:space="preserve">9056871298</t>
  </si>
  <si>
    <t xml:space="preserve">APT-100390</t>
  </si>
  <si>
    <t xml:space="preserve">7244215915</t>
  </si>
  <si>
    <t xml:space="preserve">APT-100391</t>
  </si>
  <si>
    <t xml:space="preserve">4113449439</t>
  </si>
  <si>
    <t xml:space="preserve">APT-100392</t>
  </si>
  <si>
    <t xml:space="preserve">7484977053</t>
  </si>
  <si>
    <t xml:space="preserve">APT-100393</t>
  </si>
  <si>
    <t xml:space="preserve">7888911850</t>
  </si>
  <si>
    <t xml:space="preserve">APT-100394</t>
  </si>
  <si>
    <t xml:space="preserve">2602218607</t>
  </si>
  <si>
    <t xml:space="preserve">APT-100395</t>
  </si>
  <si>
    <t xml:space="preserve">8759621286</t>
  </si>
  <si>
    <t xml:space="preserve">APT-100396</t>
  </si>
  <si>
    <t xml:space="preserve">1561400733</t>
  </si>
  <si>
    <t xml:space="preserve">APT-100397</t>
  </si>
  <si>
    <t xml:space="preserve">1617948103</t>
  </si>
  <si>
    <t xml:space="preserve">APT-100398</t>
  </si>
  <si>
    <t xml:space="preserve">9760927539</t>
  </si>
  <si>
    <t xml:space="preserve">APT-100399</t>
  </si>
  <si>
    <t xml:space="preserve">0204142621</t>
  </si>
  <si>
    <t xml:space="preserve">APT-100400</t>
  </si>
  <si>
    <t xml:space="preserve">6182110556</t>
  </si>
  <si>
    <t xml:space="preserve">APT-100401</t>
  </si>
  <si>
    <t xml:space="preserve">2057831345</t>
  </si>
  <si>
    <t xml:space="preserve">APT-100402</t>
  </si>
  <si>
    <t xml:space="preserve">7770141198</t>
  </si>
  <si>
    <t xml:space="preserve">APT-100403</t>
  </si>
  <si>
    <t xml:space="preserve">4841899333</t>
  </si>
  <si>
    <t xml:space="preserve">APT-100404</t>
  </si>
  <si>
    <t xml:space="preserve">0435226474</t>
  </si>
  <si>
    <t xml:space="preserve">APT-100405</t>
  </si>
  <si>
    <t xml:space="preserve">3597904378</t>
  </si>
  <si>
    <t xml:space="preserve">APT-100406</t>
  </si>
  <si>
    <t xml:space="preserve">9392077935</t>
  </si>
  <si>
    <t xml:space="preserve">APT-100407</t>
  </si>
  <si>
    <t xml:space="preserve">1064732458</t>
  </si>
  <si>
    <t xml:space="preserve">APT-100408</t>
  </si>
  <si>
    <t xml:space="preserve">3990365914</t>
  </si>
  <si>
    <t xml:space="preserve">APT-100409</t>
  </si>
  <si>
    <t xml:space="preserve">6929643047</t>
  </si>
  <si>
    <t xml:space="preserve">APT-100410</t>
  </si>
  <si>
    <t xml:space="preserve">5782861518</t>
  </si>
  <si>
    <t xml:space="preserve">APT-100411</t>
  </si>
  <si>
    <t xml:space="preserve">1084113362</t>
  </si>
  <si>
    <t xml:space="preserve">APT-100412</t>
  </si>
  <si>
    <t xml:space="preserve">4758534381</t>
  </si>
  <si>
    <t xml:space="preserve">APT-100413</t>
  </si>
  <si>
    <t xml:space="preserve">5997926106</t>
  </si>
  <si>
    <t xml:space="preserve">APT-100414</t>
  </si>
  <si>
    <t xml:space="preserve">3937008741</t>
  </si>
  <si>
    <t xml:space="preserve">APT-100415</t>
  </si>
  <si>
    <t xml:space="preserve">5841907771</t>
  </si>
  <si>
    <t xml:space="preserve">APT-100416</t>
  </si>
  <si>
    <t xml:space="preserve">3227388059</t>
  </si>
  <si>
    <t xml:space="preserve">APT-100417</t>
  </si>
  <si>
    <t xml:space="preserve">3059161805</t>
  </si>
  <si>
    <t xml:space="preserve">APT-100418</t>
  </si>
  <si>
    <t xml:space="preserve">8073471163</t>
  </si>
  <si>
    <t xml:space="preserve">APT-100419</t>
  </si>
  <si>
    <t xml:space="preserve">5090398090</t>
  </si>
  <si>
    <t xml:space="preserve">APT-100420</t>
  </si>
  <si>
    <t xml:space="preserve">0847624428</t>
  </si>
  <si>
    <t xml:space="preserve">APT-100421</t>
  </si>
  <si>
    <t xml:space="preserve">5318481316</t>
  </si>
  <si>
    <t xml:space="preserve">APT-100422</t>
  </si>
  <si>
    <t xml:space="preserve">0782126851</t>
  </si>
  <si>
    <t xml:space="preserve">APT-100423</t>
  </si>
  <si>
    <t xml:space="preserve">8105357903</t>
  </si>
  <si>
    <t xml:space="preserve">APT-100424</t>
  </si>
  <si>
    <t xml:space="preserve">3921851232</t>
  </si>
  <si>
    <t xml:space="preserve">APT-100425</t>
  </si>
  <si>
    <t xml:space="preserve">9511961272</t>
  </si>
  <si>
    <t xml:space="preserve">APT-100426</t>
  </si>
  <si>
    <t xml:space="preserve">3668020215</t>
  </si>
  <si>
    <t xml:space="preserve">APT-100427</t>
  </si>
  <si>
    <t xml:space="preserve">8768876051</t>
  </si>
  <si>
    <t xml:space="preserve">APT-100428</t>
  </si>
  <si>
    <t xml:space="preserve">7604434932</t>
  </si>
  <si>
    <t xml:space="preserve">APT-100429</t>
  </si>
  <si>
    <t xml:space="preserve">0889380780</t>
  </si>
  <si>
    <t xml:space="preserve">APT-100430</t>
  </si>
  <si>
    <t xml:space="preserve">6729940550</t>
  </si>
  <si>
    <t xml:space="preserve">APT-100431</t>
  </si>
  <si>
    <t xml:space="preserve">7568404912</t>
  </si>
  <si>
    <t xml:space="preserve">APT-100432</t>
  </si>
  <si>
    <t xml:space="preserve">0607257857</t>
  </si>
  <si>
    <t xml:space="preserve">APT-100433</t>
  </si>
  <si>
    <t xml:space="preserve">2843536894</t>
  </si>
  <si>
    <t xml:space="preserve">APT-100434</t>
  </si>
  <si>
    <t xml:space="preserve">4114092442</t>
  </si>
  <si>
    <t xml:space="preserve">APT-100435</t>
  </si>
  <si>
    <t xml:space="preserve">3000653409</t>
  </si>
  <si>
    <t xml:space="preserve">APT-100436</t>
  </si>
  <si>
    <t xml:space="preserve">9635763189</t>
  </si>
  <si>
    <t xml:space="preserve">APT-100437</t>
  </si>
  <si>
    <t xml:space="preserve">4103069095</t>
  </si>
  <si>
    <t xml:space="preserve">APT-100438</t>
  </si>
  <si>
    <t xml:space="preserve">2940282098</t>
  </si>
  <si>
    <t xml:space="preserve">APT-100439</t>
  </si>
  <si>
    <t xml:space="preserve">3126967559</t>
  </si>
  <si>
    <t xml:space="preserve">APT-100440</t>
  </si>
  <si>
    <t xml:space="preserve">7211287350</t>
  </si>
  <si>
    <t xml:space="preserve">APT-100441</t>
  </si>
  <si>
    <t xml:space="preserve">3692723540</t>
  </si>
  <si>
    <t xml:space="preserve">APT-100442</t>
  </si>
  <si>
    <t xml:space="preserve">4429602100</t>
  </si>
  <si>
    <t xml:space="preserve">APT-100443</t>
  </si>
  <si>
    <t xml:space="preserve">5888326574</t>
  </si>
  <si>
    <t xml:space="preserve">APT-100444</t>
  </si>
  <si>
    <t xml:space="preserve">0656922902</t>
  </si>
  <si>
    <t xml:space="preserve">APT-100445</t>
  </si>
  <si>
    <t xml:space="preserve">5097743660</t>
  </si>
  <si>
    <t xml:space="preserve">APT-100446</t>
  </si>
  <si>
    <t xml:space="preserve">0978810568</t>
  </si>
  <si>
    <t xml:space="preserve">APT-100447</t>
  </si>
  <si>
    <t xml:space="preserve">8007934948</t>
  </si>
  <si>
    <t xml:space="preserve">APT-100448</t>
  </si>
  <si>
    <t xml:space="preserve">9620822616</t>
  </si>
  <si>
    <t xml:space="preserve">APT-100449</t>
  </si>
  <si>
    <t xml:space="preserve">9059669012</t>
  </si>
  <si>
    <t xml:space="preserve">APT-100450</t>
  </si>
  <si>
    <t xml:space="preserve">4640691677</t>
  </si>
  <si>
    <t xml:space="preserve">APT-100451</t>
  </si>
  <si>
    <t xml:space="preserve">6780456237</t>
  </si>
  <si>
    <t xml:space="preserve">APT-100452</t>
  </si>
  <si>
    <t xml:space="preserve">0577415125</t>
  </si>
  <si>
    <t xml:space="preserve">APT-100453</t>
  </si>
  <si>
    <t xml:space="preserve">5744421196</t>
  </si>
  <si>
    <t xml:space="preserve">APT-100454</t>
  </si>
  <si>
    <t xml:space="preserve">2208403833</t>
  </si>
  <si>
    <t xml:space="preserve">APT-100455</t>
  </si>
  <si>
    <t xml:space="preserve">5673967108</t>
  </si>
  <si>
    <t xml:space="preserve">APT-100456</t>
  </si>
  <si>
    <t xml:space="preserve">3247264852</t>
  </si>
  <si>
    <t xml:space="preserve">APT-100457</t>
  </si>
  <si>
    <t xml:space="preserve">6200897895</t>
  </si>
  <si>
    <t xml:space="preserve">APT-100458</t>
  </si>
  <si>
    <t xml:space="preserve">5481358847</t>
  </si>
  <si>
    <t xml:space="preserve">APT-100459</t>
  </si>
  <si>
    <t xml:space="preserve">1336247361</t>
  </si>
  <si>
    <t xml:space="preserve">APT-100460</t>
  </si>
  <si>
    <t xml:space="preserve">5836481029</t>
  </si>
  <si>
    <t xml:space="preserve">APT-100461</t>
  </si>
  <si>
    <t xml:space="preserve">2175886735</t>
  </si>
  <si>
    <t xml:space="preserve">APT-100462</t>
  </si>
  <si>
    <t xml:space="preserve">1001699562</t>
  </si>
  <si>
    <t xml:space="preserve">APT-100463</t>
  </si>
  <si>
    <t xml:space="preserve">6138627172</t>
  </si>
  <si>
    <t xml:space="preserve">APT-100464</t>
  </si>
  <si>
    <t xml:space="preserve">1325764519</t>
  </si>
  <si>
    <t xml:space="preserve">APT-100465</t>
  </si>
  <si>
    <t xml:space="preserve">1414327128</t>
  </si>
  <si>
    <t xml:space="preserve">APT-100466</t>
  </si>
  <si>
    <t xml:space="preserve">1934433845</t>
  </si>
  <si>
    <t xml:space="preserve">APT-100467</t>
  </si>
  <si>
    <t xml:space="preserve">0438285672</t>
  </si>
  <si>
    <t xml:space="preserve">APT-100468</t>
  </si>
  <si>
    <t xml:space="preserve">7853071263</t>
  </si>
  <si>
    <t xml:space="preserve">APT-100469</t>
  </si>
  <si>
    <t xml:space="preserve">2398626052</t>
  </si>
  <si>
    <t xml:space="preserve">APT-100470</t>
  </si>
  <si>
    <t xml:space="preserve">3267041362</t>
  </si>
  <si>
    <t xml:space="preserve">APT-100471</t>
  </si>
  <si>
    <t xml:space="preserve">2016082798</t>
  </si>
  <si>
    <t xml:space="preserve">APT-100472</t>
  </si>
  <si>
    <t xml:space="preserve">1803451069</t>
  </si>
  <si>
    <t xml:space="preserve">APT-100473</t>
  </si>
  <si>
    <t xml:space="preserve">9017260796</t>
  </si>
  <si>
    <t xml:space="preserve">APT-100474</t>
  </si>
  <si>
    <t xml:space="preserve">6286559761</t>
  </si>
  <si>
    <t xml:space="preserve">APT-100475</t>
  </si>
  <si>
    <t xml:space="preserve">3821840961</t>
  </si>
  <si>
    <t xml:space="preserve">APT-100476</t>
  </si>
  <si>
    <t xml:space="preserve">6467182735</t>
  </si>
  <si>
    <t xml:space="preserve">APT-100477</t>
  </si>
  <si>
    <t xml:space="preserve">5414785777</t>
  </si>
  <si>
    <t xml:space="preserve">APT-100478</t>
  </si>
  <si>
    <t xml:space="preserve">0983521995</t>
  </si>
  <si>
    <t xml:space="preserve">APT-100479</t>
  </si>
  <si>
    <t xml:space="preserve">1858119361</t>
  </si>
  <si>
    <t xml:space="preserve">APT-100480</t>
  </si>
  <si>
    <t xml:space="preserve">3109882777</t>
  </si>
  <si>
    <t xml:space="preserve">APT-100481</t>
  </si>
  <si>
    <t xml:space="preserve">7705503167</t>
  </si>
  <si>
    <t xml:space="preserve">APT-100482</t>
  </si>
  <si>
    <t xml:space="preserve">8578747426</t>
  </si>
  <si>
    <t xml:space="preserve">APT-100483</t>
  </si>
  <si>
    <t xml:space="preserve">7603133013</t>
  </si>
  <si>
    <t xml:space="preserve">APT-100484</t>
  </si>
  <si>
    <t xml:space="preserve">7873029380</t>
  </si>
  <si>
    <t xml:space="preserve">APT-100485</t>
  </si>
  <si>
    <t xml:space="preserve">0085385122</t>
  </si>
  <si>
    <t xml:space="preserve">APT-100486</t>
  </si>
  <si>
    <t xml:space="preserve">5737092034</t>
  </si>
  <si>
    <t xml:space="preserve">APT-100487</t>
  </si>
  <si>
    <t xml:space="preserve">0374745011</t>
  </si>
  <si>
    <t xml:space="preserve">APT-100488</t>
  </si>
  <si>
    <t xml:space="preserve">0941396400</t>
  </si>
  <si>
    <t xml:space="preserve">APT-100489</t>
  </si>
  <si>
    <t xml:space="preserve">3409120115</t>
  </si>
  <si>
    <t xml:space="preserve">APT-100490</t>
  </si>
  <si>
    <t xml:space="preserve">0555580675</t>
  </si>
  <si>
    <t xml:space="preserve">APT-100491</t>
  </si>
  <si>
    <t xml:space="preserve">1118104450</t>
  </si>
  <si>
    <t xml:space="preserve">APT-100492</t>
  </si>
  <si>
    <t xml:space="preserve">6910814045</t>
  </si>
  <si>
    <t xml:space="preserve">APT-100493</t>
  </si>
  <si>
    <t xml:space="preserve">4899279190</t>
  </si>
  <si>
    <t xml:space="preserve">APT-100494</t>
  </si>
  <si>
    <t xml:space="preserve">2614764538</t>
  </si>
  <si>
    <t xml:space="preserve">APT-100495</t>
  </si>
  <si>
    <t xml:space="preserve">1709775111</t>
  </si>
  <si>
    <t xml:space="preserve">APT-100496</t>
  </si>
  <si>
    <t xml:space="preserve">9544378045</t>
  </si>
  <si>
    <t xml:space="preserve">APT-100497</t>
  </si>
  <si>
    <t xml:space="preserve">1751022494</t>
  </si>
  <si>
    <t xml:space="preserve">APT-100498</t>
  </si>
  <si>
    <t xml:space="preserve">7092965269</t>
  </si>
  <si>
    <t xml:space="preserve">APT-100499</t>
  </si>
  <si>
    <t xml:space="preserve">8178004296</t>
  </si>
  <si>
    <t xml:space="preserve">APT-100500</t>
  </si>
  <si>
    <t xml:space="preserve">4273233029</t>
  </si>
  <si>
    <t xml:space="preserve">APT-100501</t>
  </si>
  <si>
    <t xml:space="preserve">0232249246</t>
  </si>
  <si>
    <t xml:space="preserve">APT-100502</t>
  </si>
  <si>
    <t xml:space="preserve">6030509503</t>
  </si>
  <si>
    <t xml:space="preserve">APT-100503</t>
  </si>
  <si>
    <t xml:space="preserve">0347603235</t>
  </si>
  <si>
    <t xml:space="preserve">APT-100504</t>
  </si>
  <si>
    <t xml:space="preserve">1854162793</t>
  </si>
  <si>
    <t xml:space="preserve">APT-100505</t>
  </si>
  <si>
    <t xml:space="preserve">0811848658</t>
  </si>
  <si>
    <t xml:space="preserve">APT-100506</t>
  </si>
  <si>
    <t xml:space="preserve">9174763324</t>
  </si>
  <si>
    <t xml:space="preserve">APT-100507</t>
  </si>
  <si>
    <t xml:space="preserve">5953847724</t>
  </si>
  <si>
    <t xml:space="preserve">APT-100508</t>
  </si>
  <si>
    <t xml:space="preserve">9331537441</t>
  </si>
  <si>
    <t xml:space="preserve">APT-100509</t>
  </si>
  <si>
    <t xml:space="preserve">2975838989</t>
  </si>
  <si>
    <t xml:space="preserve">APT-100510</t>
  </si>
  <si>
    <t xml:space="preserve">2354018372</t>
  </si>
  <si>
    <t xml:space="preserve">APT-100511</t>
  </si>
  <si>
    <t xml:space="preserve">5375098393</t>
  </si>
  <si>
    <t xml:space="preserve">APT-100512</t>
  </si>
  <si>
    <t xml:space="preserve">1829312469</t>
  </si>
  <si>
    <t xml:space="preserve">APT-100513</t>
  </si>
  <si>
    <t xml:space="preserve">7100368408</t>
  </si>
  <si>
    <t xml:space="preserve">APT-100514</t>
  </si>
  <si>
    <t xml:space="preserve">4784120016</t>
  </si>
  <si>
    <t xml:space="preserve">APT-100515</t>
  </si>
  <si>
    <t xml:space="preserve">4485748550</t>
  </si>
  <si>
    <t xml:space="preserve">APT-100516</t>
  </si>
  <si>
    <t xml:space="preserve">1463206367</t>
  </si>
  <si>
    <t xml:space="preserve">APT-100517</t>
  </si>
  <si>
    <t xml:space="preserve">8911622755</t>
  </si>
  <si>
    <t xml:space="preserve">APT-100518</t>
  </si>
  <si>
    <t xml:space="preserve">8676227526</t>
  </si>
  <si>
    <t xml:space="preserve">APT-100519</t>
  </si>
  <si>
    <t xml:space="preserve">3308370743</t>
  </si>
  <si>
    <t xml:space="preserve">APT-100520</t>
  </si>
  <si>
    <t xml:space="preserve">6403238586</t>
  </si>
  <si>
    <t xml:space="preserve">APT-100521</t>
  </si>
  <si>
    <t xml:space="preserve">7782506608</t>
  </si>
  <si>
    <t xml:space="preserve">APT-100522</t>
  </si>
  <si>
    <t xml:space="preserve">2785227377</t>
  </si>
  <si>
    <t xml:space="preserve">APT-100523</t>
  </si>
  <si>
    <t xml:space="preserve">3612132288</t>
  </si>
  <si>
    <t xml:space="preserve">APT-100524</t>
  </si>
  <si>
    <t xml:space="preserve">6150650029</t>
  </si>
  <si>
    <t xml:space="preserve">APT-100525</t>
  </si>
  <si>
    <t xml:space="preserve">3737675401</t>
  </si>
  <si>
    <t xml:space="preserve">APT-100526</t>
  </si>
  <si>
    <t xml:space="preserve">0191788418</t>
  </si>
  <si>
    <t xml:space="preserve">APT-100527</t>
  </si>
  <si>
    <t xml:space="preserve">0509862773</t>
  </si>
  <si>
    <t xml:space="preserve">APT-100528</t>
  </si>
  <si>
    <t xml:space="preserve">7921017975</t>
  </si>
  <si>
    <t xml:space="preserve">APT-100529</t>
  </si>
  <si>
    <t xml:space="preserve">6561751489</t>
  </si>
  <si>
    <t xml:space="preserve">APT-100530</t>
  </si>
  <si>
    <t xml:space="preserve">3401304991</t>
  </si>
  <si>
    <t xml:space="preserve">APT-100531</t>
  </si>
  <si>
    <t xml:space="preserve">9572108148</t>
  </si>
  <si>
    <t xml:space="preserve">APT-100532</t>
  </si>
  <si>
    <t xml:space="preserve">7292466473</t>
  </si>
  <si>
    <t xml:space="preserve">APT-100533</t>
  </si>
  <si>
    <t xml:space="preserve">5206894978</t>
  </si>
  <si>
    <t xml:space="preserve">APT-100534</t>
  </si>
  <si>
    <t xml:space="preserve">7490124166</t>
  </si>
  <si>
    <t xml:space="preserve">APT-100535</t>
  </si>
  <si>
    <t xml:space="preserve">4482650360</t>
  </si>
  <si>
    <t xml:space="preserve">APT-100536</t>
  </si>
  <si>
    <t xml:space="preserve">6237476219</t>
  </si>
  <si>
    <t xml:space="preserve">APT-100537</t>
  </si>
  <si>
    <t xml:space="preserve">8261552384</t>
  </si>
  <si>
    <t xml:space="preserve">APT-100538</t>
  </si>
  <si>
    <t xml:space="preserve">8394522446</t>
  </si>
  <si>
    <t xml:space="preserve">APT-100539</t>
  </si>
  <si>
    <t xml:space="preserve">3723927106</t>
  </si>
  <si>
    <t xml:space="preserve">APT-100540</t>
  </si>
  <si>
    <t xml:space="preserve">3072620804</t>
  </si>
  <si>
    <t xml:space="preserve">APT-100541</t>
  </si>
  <si>
    <t xml:space="preserve">5459700138</t>
  </si>
  <si>
    <t xml:space="preserve">APT-100542</t>
  </si>
  <si>
    <t xml:space="preserve">8777023873</t>
  </si>
  <si>
    <t xml:space="preserve">APT-100543</t>
  </si>
  <si>
    <t xml:space="preserve">3491662954</t>
  </si>
  <si>
    <t xml:space="preserve">APT-100544</t>
  </si>
  <si>
    <t xml:space="preserve">5457561810</t>
  </si>
  <si>
    <t xml:space="preserve">APT-100545</t>
  </si>
  <si>
    <t xml:space="preserve">2136014575</t>
  </si>
  <si>
    <t xml:space="preserve">APT-100546</t>
  </si>
  <si>
    <t xml:space="preserve">9496353207</t>
  </si>
  <si>
    <t xml:space="preserve">APT-100547</t>
  </si>
  <si>
    <t xml:space="preserve">4380919070</t>
  </si>
  <si>
    <t xml:space="preserve">APT-100548</t>
  </si>
  <si>
    <t xml:space="preserve">3063754216</t>
  </si>
  <si>
    <t xml:space="preserve">APT-100549</t>
  </si>
  <si>
    <t xml:space="preserve">4479357547</t>
  </si>
  <si>
    <t xml:space="preserve">APT-100550</t>
  </si>
  <si>
    <t xml:space="preserve">7373906132</t>
  </si>
  <si>
    <t xml:space="preserve">APT-100551</t>
  </si>
  <si>
    <t xml:space="preserve">2330459411</t>
  </si>
  <si>
    <t xml:space="preserve">APT-100552</t>
  </si>
  <si>
    <t xml:space="preserve">3099183469</t>
  </si>
  <si>
    <t xml:space="preserve">APT-100553</t>
  </si>
  <si>
    <t xml:space="preserve">5573119962</t>
  </si>
  <si>
    <t xml:space="preserve">APT-100554</t>
  </si>
  <si>
    <t xml:space="preserve">1482026991</t>
  </si>
  <si>
    <t xml:space="preserve">APT-100555</t>
  </si>
  <si>
    <t xml:space="preserve">4830047548</t>
  </si>
  <si>
    <t xml:space="preserve">APT-100556</t>
  </si>
  <si>
    <t xml:space="preserve">2267855133</t>
  </si>
  <si>
    <t xml:space="preserve">APT-100557</t>
  </si>
  <si>
    <t xml:space="preserve">9869534500</t>
  </si>
  <si>
    <t xml:space="preserve">APT-100558</t>
  </si>
  <si>
    <t xml:space="preserve">5588589850</t>
  </si>
  <si>
    <t xml:space="preserve">APT-100559</t>
  </si>
  <si>
    <t xml:space="preserve">7697769913</t>
  </si>
  <si>
    <t xml:space="preserve">APT-100560</t>
  </si>
  <si>
    <t xml:space="preserve">9445349214</t>
  </si>
  <si>
    <t xml:space="preserve">APT-100561</t>
  </si>
  <si>
    <t xml:space="preserve">8831053917</t>
  </si>
  <si>
    <t xml:space="preserve">APT-100562</t>
  </si>
  <si>
    <t xml:space="preserve">5811340012</t>
  </si>
  <si>
    <t xml:space="preserve">APT-100563</t>
  </si>
  <si>
    <t xml:space="preserve">8207708289</t>
  </si>
  <si>
    <t xml:space="preserve">APT-100564</t>
  </si>
  <si>
    <t xml:space="preserve">5229835999</t>
  </si>
  <si>
    <t xml:space="preserve">APT-100565</t>
  </si>
  <si>
    <t xml:space="preserve">7308886097</t>
  </si>
  <si>
    <t xml:space="preserve">APT-100566</t>
  </si>
  <si>
    <t xml:space="preserve">4109752882</t>
  </si>
  <si>
    <t xml:space="preserve">APT-100567</t>
  </si>
  <si>
    <t xml:space="preserve">5754242218</t>
  </si>
  <si>
    <t xml:space="preserve">APT-100568</t>
  </si>
  <si>
    <t xml:space="preserve">5034004257</t>
  </si>
  <si>
    <t xml:space="preserve">APT-100569</t>
  </si>
  <si>
    <t xml:space="preserve">7959101961</t>
  </si>
  <si>
    <t xml:space="preserve">APT-100570</t>
  </si>
  <si>
    <t xml:space="preserve">8270921065</t>
  </si>
  <si>
    <t xml:space="preserve">APT-100571</t>
  </si>
  <si>
    <t xml:space="preserve">9102316225</t>
  </si>
  <si>
    <t xml:space="preserve">APT-100572</t>
  </si>
  <si>
    <t xml:space="preserve">2295753847</t>
  </si>
  <si>
    <t xml:space="preserve">APT-100573</t>
  </si>
  <si>
    <t xml:space="preserve">5889269883</t>
  </si>
  <si>
    <t xml:space="preserve">APT-100574</t>
  </si>
  <si>
    <t xml:space="preserve">6651016779</t>
  </si>
  <si>
    <t xml:space="preserve">APT-100575</t>
  </si>
  <si>
    <t xml:space="preserve">6571109006</t>
  </si>
  <si>
    <t xml:space="preserve">APT-100576</t>
  </si>
  <si>
    <t xml:space="preserve">7343064581</t>
  </si>
  <si>
    <t xml:space="preserve">APT-100577</t>
  </si>
  <si>
    <t xml:space="preserve">1353908478</t>
  </si>
  <si>
    <t xml:space="preserve">APT-100578</t>
  </si>
  <si>
    <t xml:space="preserve">0356029114</t>
  </si>
  <si>
    <t xml:space="preserve">APT-100579</t>
  </si>
  <si>
    <t xml:space="preserve">0778275854</t>
  </si>
  <si>
    <t xml:space="preserve">APT-100580</t>
  </si>
  <si>
    <t xml:space="preserve">6550965923</t>
  </si>
  <si>
    <t xml:space="preserve">ICD10_Code</t>
  </si>
  <si>
    <t xml:space="preserve">OPCS4_Code</t>
  </si>
  <si>
    <t xml:space="preserve">EP-10000001</t>
  </si>
  <si>
    <t xml:space="preserve">8079359782</t>
  </si>
  <si>
    <t xml:space="preserve">ELEC</t>
  </si>
  <si>
    <t xml:space="preserve">W-02</t>
  </si>
  <si>
    <t xml:space="preserve">HOME</t>
  </si>
  <si>
    <t xml:space="preserve">N</t>
  </si>
  <si>
    <t xml:space="preserve">DD44D</t>
  </si>
  <si>
    <t xml:space="preserve">J45</t>
  </si>
  <si>
    <t xml:space="preserve">W41</t>
  </si>
  <si>
    <t xml:space="preserve">EP-10000002</t>
  </si>
  <si>
    <t xml:space="preserve">8705932525</t>
  </si>
  <si>
    <t xml:space="preserve">EMER</t>
  </si>
  <si>
    <t xml:space="preserve">W-01</t>
  </si>
  <si>
    <t xml:space="preserve">GG77G</t>
  </si>
  <si>
    <t xml:space="preserve">K57</t>
  </si>
  <si>
    <t xml:space="preserve">J21</t>
  </si>
  <si>
    <t xml:space="preserve">EP-10000003</t>
  </si>
  <si>
    <t xml:space="preserve">4161692845</t>
  </si>
  <si>
    <t xml:space="preserve">KK11K</t>
  </si>
  <si>
    <t xml:space="preserve">M79</t>
  </si>
  <si>
    <t xml:space="preserve">M02</t>
  </si>
  <si>
    <t xml:space="preserve">EP-10000004</t>
  </si>
  <si>
    <t xml:space="preserve">2341389994</t>
  </si>
  <si>
    <t xml:space="preserve">W-03</t>
  </si>
  <si>
    <t xml:space="preserve">QQ66Q</t>
  </si>
  <si>
    <t xml:space="preserve">J44</t>
  </si>
  <si>
    <t xml:space="preserve">EP-10000005</t>
  </si>
  <si>
    <t xml:space="preserve">4679970246</t>
  </si>
  <si>
    <t xml:space="preserve">W-06</t>
  </si>
  <si>
    <t xml:space="preserve">ABSENT</t>
  </si>
  <si>
    <t xml:space="preserve">Y</t>
  </si>
  <si>
    <t xml:space="preserve">J19</t>
  </si>
  <si>
    <t xml:space="preserve">EP-10000006</t>
  </si>
  <si>
    <t xml:space="preserve">2268018242</t>
  </si>
  <si>
    <t xml:space="preserve">EE55E</t>
  </si>
  <si>
    <t xml:space="preserve">I21</t>
  </si>
  <si>
    <t xml:space="preserve">W43</t>
  </si>
  <si>
    <t xml:space="preserve">EP-10000007</t>
  </si>
  <si>
    <t xml:space="preserve">3150983930</t>
  </si>
  <si>
    <t xml:space="preserve">W-04</t>
  </si>
  <si>
    <t xml:space="preserve">RR77R</t>
  </si>
  <si>
    <t xml:space="preserve">N13</t>
  </si>
  <si>
    <t xml:space="preserve">M01</t>
  </si>
  <si>
    <t xml:space="preserve">EP-10000008</t>
  </si>
  <si>
    <t xml:space="preserve">0170127706</t>
  </si>
  <si>
    <t xml:space="preserve">M16</t>
  </si>
  <si>
    <t xml:space="preserve">EP-10000009</t>
  </si>
  <si>
    <t xml:space="preserve">8728080100</t>
  </si>
  <si>
    <t xml:space="preserve">W-05</t>
  </si>
  <si>
    <t xml:space="preserve">K42</t>
  </si>
  <si>
    <t xml:space="preserve">EP-10000010</t>
  </si>
  <si>
    <t xml:space="preserve">7062962015</t>
  </si>
  <si>
    <t xml:space="preserve">TT99T</t>
  </si>
  <si>
    <t xml:space="preserve">M03</t>
  </si>
  <si>
    <t xml:space="preserve">EP-10000011</t>
  </si>
  <si>
    <t xml:space="preserve">8281489325</t>
  </si>
  <si>
    <t xml:space="preserve">HH88H</t>
  </si>
  <si>
    <t xml:space="preserve">K92</t>
  </si>
  <si>
    <t xml:space="preserve">EP-10000012</t>
  </si>
  <si>
    <t xml:space="preserve">7234309805</t>
  </si>
  <si>
    <t xml:space="preserve">PP55P</t>
  </si>
  <si>
    <t xml:space="preserve">C34</t>
  </si>
  <si>
    <t xml:space="preserve">K40</t>
  </si>
  <si>
    <t xml:space="preserve">EP-10000013</t>
  </si>
  <si>
    <t xml:space="preserve">1043321819</t>
  </si>
  <si>
    <t xml:space="preserve">AA11A</t>
  </si>
  <si>
    <t xml:space="preserve">N20</t>
  </si>
  <si>
    <t xml:space="preserve">EP-10000014</t>
  </si>
  <si>
    <t xml:space="preserve">9091334123</t>
  </si>
  <si>
    <t xml:space="preserve">E89</t>
  </si>
  <si>
    <t xml:space="preserve">EP-10000015</t>
  </si>
  <si>
    <t xml:space="preserve">6247317810</t>
  </si>
  <si>
    <t xml:space="preserve">NDLOVU</t>
  </si>
  <si>
    <t xml:space="preserve">N39</t>
  </si>
  <si>
    <t xml:space="preserve">EP-10000016</t>
  </si>
  <si>
    <t xml:space="preserve">6231203875</t>
  </si>
  <si>
    <t xml:space="preserve">SS88S</t>
  </si>
  <si>
    <t xml:space="preserve">W42</t>
  </si>
  <si>
    <t xml:space="preserve">EP-10000017</t>
  </si>
  <si>
    <t xml:space="preserve">3097289623</t>
  </si>
  <si>
    <t xml:space="preserve">K85</t>
  </si>
  <si>
    <t xml:space="preserve">J20</t>
  </si>
  <si>
    <t xml:space="preserve">EP-10000018</t>
  </si>
  <si>
    <t xml:space="preserve">0607159696</t>
  </si>
  <si>
    <t xml:space="preserve">TRANSFER</t>
  </si>
  <si>
    <t xml:space="preserve">UU00U</t>
  </si>
  <si>
    <t xml:space="preserve">I50</t>
  </si>
  <si>
    <t xml:space="preserve">EP-10000019</t>
  </si>
  <si>
    <t xml:space="preserve">4994717464</t>
  </si>
  <si>
    <t xml:space="preserve">E88</t>
  </si>
  <si>
    <t xml:space="preserve">EP-10000020</t>
  </si>
  <si>
    <t xml:space="preserve">6808760385</t>
  </si>
  <si>
    <t xml:space="preserve">EP-10000021</t>
  </si>
  <si>
    <t xml:space="preserve">1031051834</t>
  </si>
  <si>
    <t xml:space="preserve">E87</t>
  </si>
  <si>
    <t xml:space="preserve">EP-10000022</t>
  </si>
  <si>
    <t xml:space="preserve">4262655110</t>
  </si>
  <si>
    <t xml:space="preserve">EP-10000023</t>
  </si>
  <si>
    <t xml:space="preserve">1557924991</t>
  </si>
  <si>
    <t xml:space="preserve">I10</t>
  </si>
  <si>
    <t xml:space="preserve">EP-10000024</t>
  </si>
  <si>
    <t xml:space="preserve">3863794026</t>
  </si>
  <si>
    <t xml:space="preserve">ASANTE</t>
  </si>
  <si>
    <t xml:space="preserve">J18</t>
  </si>
  <si>
    <t xml:space="preserve">EP-10000025</t>
  </si>
  <si>
    <t xml:space="preserve">1541006762</t>
  </si>
  <si>
    <t xml:space="preserve">M54</t>
  </si>
  <si>
    <t xml:space="preserve">EP-10000026</t>
  </si>
  <si>
    <t xml:space="preserve">5243106903</t>
  </si>
  <si>
    <t xml:space="preserve">EP-10000027</t>
  </si>
  <si>
    <t xml:space="preserve">3657661565</t>
  </si>
  <si>
    <t xml:space="preserve">EP-10000028</t>
  </si>
  <si>
    <t xml:space="preserve">3368844431</t>
  </si>
  <si>
    <t xml:space="preserve">II99I</t>
  </si>
  <si>
    <t xml:space="preserve">K41</t>
  </si>
  <si>
    <t xml:space="preserve">EP-10000029</t>
  </si>
  <si>
    <t xml:space="preserve">5053315869</t>
  </si>
  <si>
    <t xml:space="preserve">EP-10000030</t>
  </si>
  <si>
    <t xml:space="preserve">0504556238</t>
  </si>
  <si>
    <t xml:space="preserve">JJ00J</t>
  </si>
  <si>
    <t xml:space="preserve">EP-10000031</t>
  </si>
  <si>
    <t xml:space="preserve">9440640909</t>
  </si>
  <si>
    <t xml:space="preserve">M04</t>
  </si>
  <si>
    <t xml:space="preserve">EP-10000032</t>
  </si>
  <si>
    <t xml:space="preserve">2061632945</t>
  </si>
  <si>
    <t xml:space="preserve">N18</t>
  </si>
  <si>
    <t xml:space="preserve">EP-10000033</t>
  </si>
  <si>
    <t xml:space="preserve">4324451076</t>
  </si>
  <si>
    <t xml:space="preserve">EP-10000034</t>
  </si>
  <si>
    <t xml:space="preserve">3102786814</t>
  </si>
  <si>
    <t xml:space="preserve">MWANGI</t>
  </si>
  <si>
    <t xml:space="preserve">FF66F</t>
  </si>
  <si>
    <t xml:space="preserve">EP-10000035</t>
  </si>
  <si>
    <t xml:space="preserve">1693406088</t>
  </si>
  <si>
    <t xml:space="preserve">EP-10000036</t>
  </si>
  <si>
    <t xml:space="preserve">1826199062</t>
  </si>
  <si>
    <t xml:space="preserve">LL22L</t>
  </si>
  <si>
    <t xml:space="preserve">M17</t>
  </si>
  <si>
    <t xml:space="preserve">EP-10000037</t>
  </si>
  <si>
    <t xml:space="preserve">1051238282</t>
  </si>
  <si>
    <t xml:space="preserve">EP-10000038</t>
  </si>
  <si>
    <t xml:space="preserve">EP-10000039</t>
  </si>
  <si>
    <t xml:space="preserve">3950240268</t>
  </si>
  <si>
    <t xml:space="preserve">EP-10000040</t>
  </si>
  <si>
    <t xml:space="preserve">4754121267</t>
  </si>
  <si>
    <t xml:space="preserve">EP-10000041</t>
  </si>
  <si>
    <t xml:space="preserve">I63</t>
  </si>
  <si>
    <t xml:space="preserve">EP-10000042</t>
  </si>
  <si>
    <t xml:space="preserve">6617979688</t>
  </si>
  <si>
    <t xml:space="preserve">KOFI</t>
  </si>
  <si>
    <t xml:space="preserve">EP-10000043</t>
  </si>
  <si>
    <t xml:space="preserve">MM33M</t>
  </si>
  <si>
    <t xml:space="preserve">EP-10000044</t>
  </si>
  <si>
    <t xml:space="preserve">2812067974</t>
  </si>
  <si>
    <t xml:space="preserve">EP-10000045</t>
  </si>
  <si>
    <t xml:space="preserve">6183242102</t>
  </si>
  <si>
    <t xml:space="preserve">EP-10000046</t>
  </si>
  <si>
    <t xml:space="preserve">5852398680</t>
  </si>
  <si>
    <t xml:space="preserve">EP-10000047</t>
  </si>
  <si>
    <t xml:space="preserve">2299590010</t>
  </si>
  <si>
    <t xml:space="preserve">EP-10000048</t>
  </si>
  <si>
    <t xml:space="preserve">9367632016</t>
  </si>
  <si>
    <t xml:space="preserve">K80</t>
  </si>
  <si>
    <t xml:space="preserve">EP-10000049</t>
  </si>
  <si>
    <t xml:space="preserve">2517785289</t>
  </si>
  <si>
    <t xml:space="preserve">K43</t>
  </si>
  <si>
    <t xml:space="preserve">EP-10000050</t>
  </si>
  <si>
    <t xml:space="preserve">4937597383</t>
  </si>
  <si>
    <t xml:space="preserve">E85</t>
  </si>
  <si>
    <t xml:space="preserve">EP-10000051</t>
  </si>
  <si>
    <t xml:space="preserve">7889579868</t>
  </si>
  <si>
    <t xml:space="preserve">EP-10000052</t>
  </si>
  <si>
    <t xml:space="preserve">9245937526</t>
  </si>
  <si>
    <t xml:space="preserve">EP-10000053</t>
  </si>
  <si>
    <t xml:space="preserve">0592962229</t>
  </si>
  <si>
    <t xml:space="preserve">EP-10000054</t>
  </si>
  <si>
    <t xml:space="preserve">7072867908</t>
  </si>
  <si>
    <t xml:space="preserve">EP-10000055</t>
  </si>
  <si>
    <t xml:space="preserve">3761379180</t>
  </si>
  <si>
    <t xml:space="preserve">NN44N</t>
  </si>
  <si>
    <t xml:space="preserve">EP-10000056</t>
  </si>
  <si>
    <t xml:space="preserve">5437993712</t>
  </si>
  <si>
    <t xml:space="preserve">Elective</t>
  </si>
  <si>
    <t xml:space="preserve">W40</t>
  </si>
  <si>
    <t xml:space="preserve">EP-10000057</t>
  </si>
  <si>
    <t xml:space="preserve">3556909275</t>
  </si>
  <si>
    <t xml:space="preserve">EP-10000058</t>
  </si>
  <si>
    <t xml:space="preserve">2729806990</t>
  </si>
  <si>
    <t xml:space="preserve">EP-10000059</t>
  </si>
  <si>
    <t xml:space="preserve">4527111161</t>
  </si>
  <si>
    <t xml:space="preserve">EP-10000060</t>
  </si>
  <si>
    <t xml:space="preserve">EP-10000061</t>
  </si>
  <si>
    <t xml:space="preserve">EP-10000062</t>
  </si>
  <si>
    <t xml:space="preserve">1799042102</t>
  </si>
  <si>
    <t xml:space="preserve">EP-10000063</t>
  </si>
  <si>
    <t xml:space="preserve">3854678544</t>
  </si>
  <si>
    <t xml:space="preserve">EP-10000064</t>
  </si>
  <si>
    <t xml:space="preserve">2849877694</t>
  </si>
  <si>
    <t xml:space="preserve">EP-10000065</t>
  </si>
  <si>
    <t xml:space="preserve">EP-10000066</t>
  </si>
  <si>
    <t xml:space="preserve">0983584168</t>
  </si>
  <si>
    <t xml:space="preserve">EP-10000067</t>
  </si>
  <si>
    <t xml:space="preserve">EP-10000068</t>
  </si>
  <si>
    <t xml:space="preserve">3561595148</t>
  </si>
  <si>
    <t xml:space="preserve">EP-10000069</t>
  </si>
  <si>
    <t xml:space="preserve">EP-10000070</t>
  </si>
  <si>
    <t xml:space="preserve">4033173936</t>
  </si>
  <si>
    <t xml:space="preserve">BB22B</t>
  </si>
  <si>
    <t xml:space="preserve">EP-10000071</t>
  </si>
  <si>
    <t xml:space="preserve">8013267736</t>
  </si>
  <si>
    <t xml:space="preserve">CC33C</t>
  </si>
  <si>
    <t xml:space="preserve">EP-10000072</t>
  </si>
  <si>
    <t xml:space="preserve">2176591803</t>
  </si>
  <si>
    <t xml:space="preserve">EP-10000073</t>
  </si>
  <si>
    <t xml:space="preserve">6416052975</t>
  </si>
  <si>
    <t xml:space="preserve">EP-10000074</t>
  </si>
  <si>
    <t xml:space="preserve">5458929750</t>
  </si>
  <si>
    <t xml:space="preserve">EP-10000075</t>
  </si>
  <si>
    <t xml:space="preserve">4034505415</t>
  </si>
  <si>
    <t xml:space="preserve">EP-10000076</t>
  </si>
  <si>
    <t xml:space="preserve">EP-10000077</t>
  </si>
  <si>
    <t xml:space="preserve">6767721903</t>
  </si>
  <si>
    <t xml:space="preserve">EP-10000078</t>
  </si>
  <si>
    <t xml:space="preserve">9368998094</t>
  </si>
  <si>
    <t xml:space="preserve">EP-10000079</t>
  </si>
  <si>
    <t xml:space="preserve">6504773586</t>
  </si>
  <si>
    <t xml:space="preserve">EP-10000080</t>
  </si>
  <si>
    <t xml:space="preserve">EP-10000081</t>
  </si>
  <si>
    <t xml:space="preserve">9324609539</t>
  </si>
  <si>
    <t xml:space="preserve">EP-10000082</t>
  </si>
  <si>
    <t xml:space="preserve">1168685487</t>
  </si>
  <si>
    <t xml:space="preserve">DIED</t>
  </si>
  <si>
    <t xml:space="preserve">EP-10000083</t>
  </si>
  <si>
    <t xml:space="preserve">EP-10000084</t>
  </si>
  <si>
    <t xml:space="preserve">6440892687</t>
  </si>
  <si>
    <t xml:space="preserve">EP-10000085</t>
  </si>
  <si>
    <t xml:space="preserve">5932133480</t>
  </si>
  <si>
    <t xml:space="preserve">EP-10000086</t>
  </si>
  <si>
    <t xml:space="preserve">7406403910</t>
  </si>
  <si>
    <t xml:space="preserve">EP-10000087</t>
  </si>
  <si>
    <t xml:space="preserve">4966319314</t>
  </si>
  <si>
    <t xml:space="preserve">EP-10000088</t>
  </si>
  <si>
    <t xml:space="preserve">EP-10000089</t>
  </si>
  <si>
    <t xml:space="preserve">4437575844</t>
  </si>
  <si>
    <t xml:space="preserve">EP-10000090</t>
  </si>
  <si>
    <t xml:space="preserve">2278248963</t>
  </si>
  <si>
    <t xml:space="preserve">EP-10000091</t>
  </si>
  <si>
    <t xml:space="preserve">2499856984</t>
  </si>
  <si>
    <t xml:space="preserve">EP-10000092</t>
  </si>
  <si>
    <t xml:space="preserve">2400499154</t>
  </si>
  <si>
    <t xml:space="preserve">EP-10000093</t>
  </si>
  <si>
    <t xml:space="preserve">1124903521</t>
  </si>
  <si>
    <t xml:space="preserve">EP-10000094</t>
  </si>
  <si>
    <t xml:space="preserve">5314737996</t>
  </si>
  <si>
    <t xml:space="preserve">EP-10000095</t>
  </si>
  <si>
    <t xml:space="preserve">1714677418</t>
  </si>
  <si>
    <t xml:space="preserve">EP-10000096</t>
  </si>
  <si>
    <t xml:space="preserve">0698720506</t>
  </si>
  <si>
    <t xml:space="preserve">EP-10000097</t>
  </si>
  <si>
    <t xml:space="preserve">EP-10000098</t>
  </si>
  <si>
    <t xml:space="preserve">EP-10000099</t>
  </si>
  <si>
    <t xml:space="preserve">6705466889</t>
  </si>
  <si>
    <t xml:space="preserve">EP-10000100</t>
  </si>
  <si>
    <t xml:space="preserve">EP-10000101</t>
  </si>
  <si>
    <t xml:space="preserve">2710405411</t>
  </si>
  <si>
    <t xml:space="preserve">EP-10000102</t>
  </si>
  <si>
    <t xml:space="preserve">7436713695</t>
  </si>
  <si>
    <t xml:space="preserve">EP-10000103</t>
  </si>
  <si>
    <t xml:space="preserve">EP-10000104</t>
  </si>
  <si>
    <t xml:space="preserve">EP-10000105</t>
  </si>
  <si>
    <t xml:space="preserve">7029667066</t>
  </si>
  <si>
    <t xml:space="preserve">EP-10000106</t>
  </si>
  <si>
    <t xml:space="preserve">2871012269</t>
  </si>
  <si>
    <t xml:space="preserve">EP-10000107</t>
  </si>
  <si>
    <t xml:space="preserve">6296194311</t>
  </si>
  <si>
    <t xml:space="preserve">EP-10000108</t>
  </si>
  <si>
    <t xml:space="preserve">7426841459</t>
  </si>
  <si>
    <t xml:space="preserve">EP-10000109</t>
  </si>
  <si>
    <t xml:space="preserve">0097882081</t>
  </si>
  <si>
    <t xml:space="preserve">EP-10000110</t>
  </si>
  <si>
    <t xml:space="preserve">EP-10000111</t>
  </si>
  <si>
    <t xml:space="preserve">5479356465</t>
  </si>
  <si>
    <t xml:space="preserve">EP-10000112</t>
  </si>
  <si>
    <t xml:space="preserve">9808412411</t>
  </si>
  <si>
    <t xml:space="preserve">EP-10000113</t>
  </si>
  <si>
    <t xml:space="preserve">5542622189</t>
  </si>
  <si>
    <t xml:space="preserve">EP-10000114</t>
  </si>
  <si>
    <t xml:space="preserve">7416724342</t>
  </si>
  <si>
    <t xml:space="preserve">EP-10000115</t>
  </si>
  <si>
    <t xml:space="preserve">0715182037</t>
  </si>
  <si>
    <t xml:space="preserve">EP-10000116</t>
  </si>
  <si>
    <t xml:space="preserve">5277221704</t>
  </si>
  <si>
    <t xml:space="preserve">Discharged</t>
  </si>
  <si>
    <t xml:space="preserve">EP-10000117</t>
  </si>
  <si>
    <t xml:space="preserve">4626383806</t>
  </si>
  <si>
    <t xml:space="preserve">EP-10000118</t>
  </si>
  <si>
    <t xml:space="preserve">9380262067</t>
  </si>
  <si>
    <t xml:space="preserve">EP-10000119</t>
  </si>
  <si>
    <t xml:space="preserve">7470168733</t>
  </si>
  <si>
    <t xml:space="preserve">EP-10000120</t>
  </si>
  <si>
    <t xml:space="preserve">1329121277</t>
  </si>
  <si>
    <t xml:space="preserve">EP-10000121</t>
  </si>
  <si>
    <t xml:space="preserve">8346578713</t>
  </si>
  <si>
    <t xml:space="preserve">EP-10000122</t>
  </si>
  <si>
    <t xml:space="preserve">EP-10000123</t>
  </si>
  <si>
    <t xml:space="preserve">2419138000</t>
  </si>
  <si>
    <t xml:space="preserve">EP-10000124</t>
  </si>
  <si>
    <t xml:space="preserve">7571775140</t>
  </si>
  <si>
    <t xml:space="preserve">EP-10000125</t>
  </si>
  <si>
    <t xml:space="preserve">7565512567</t>
  </si>
  <si>
    <t xml:space="preserve">EP-10000126</t>
  </si>
  <si>
    <t xml:space="preserve">EP-10000127</t>
  </si>
  <si>
    <t xml:space="preserve">9599534283</t>
  </si>
  <si>
    <t xml:space="preserve">EP-10000128</t>
  </si>
  <si>
    <t xml:space="preserve">EP-10000129</t>
  </si>
  <si>
    <t xml:space="preserve">1497310324</t>
  </si>
  <si>
    <t xml:space="preserve">EP-10000130</t>
  </si>
  <si>
    <t xml:space="preserve">0162456506</t>
  </si>
  <si>
    <t xml:space="preserve">EP-10000131</t>
  </si>
  <si>
    <t xml:space="preserve">EP-10000132</t>
  </si>
  <si>
    <t xml:space="preserve">6845775901</t>
  </si>
  <si>
    <t xml:space="preserve">EP-10000133</t>
  </si>
  <si>
    <t xml:space="preserve">5865780913</t>
  </si>
  <si>
    <t xml:space="preserve">EP-10000134</t>
  </si>
  <si>
    <t xml:space="preserve">6068536153</t>
  </si>
  <si>
    <t xml:space="preserve">EP-10000135</t>
  </si>
  <si>
    <t xml:space="preserve">9232719374</t>
  </si>
  <si>
    <t xml:space="preserve">EP-10000136</t>
  </si>
  <si>
    <t xml:space="preserve">EP-10000137</t>
  </si>
  <si>
    <t xml:space="preserve">2284210205</t>
  </si>
  <si>
    <t xml:space="preserve">EP-10000138</t>
  </si>
  <si>
    <t xml:space="preserve">6798250714</t>
  </si>
  <si>
    <t xml:space="preserve">EP-10000139</t>
  </si>
  <si>
    <t xml:space="preserve">5171339596</t>
  </si>
  <si>
    <t xml:space="preserve">EP-10000140</t>
  </si>
  <si>
    <t xml:space="preserve">0478686337</t>
  </si>
  <si>
    <t xml:space="preserve">EP-10000141</t>
  </si>
  <si>
    <t xml:space="preserve">2595269495</t>
  </si>
  <si>
    <t xml:space="preserve">EP-10000142</t>
  </si>
  <si>
    <t xml:space="preserve">EP-10000143</t>
  </si>
  <si>
    <t xml:space="preserve">9413435240</t>
  </si>
  <si>
    <t xml:space="preserve">EP-10000144</t>
  </si>
  <si>
    <t xml:space="preserve">EP-10000145</t>
  </si>
  <si>
    <t xml:space="preserve">4535218188</t>
  </si>
  <si>
    <t xml:space="preserve">EP-10000146</t>
  </si>
  <si>
    <t xml:space="preserve">5877175355</t>
  </si>
  <si>
    <t xml:space="preserve">EP-10000147</t>
  </si>
  <si>
    <t xml:space="preserve">6729466711</t>
  </si>
  <si>
    <t xml:space="preserve">EP-10000148</t>
  </si>
  <si>
    <t xml:space="preserve">EP-10000149</t>
  </si>
  <si>
    <t xml:space="preserve">EP-10000150</t>
  </si>
  <si>
    <t xml:space="preserve">EP-10000151</t>
  </si>
  <si>
    <t xml:space="preserve">5850643171</t>
  </si>
  <si>
    <t xml:space="preserve">EP-10000152</t>
  </si>
  <si>
    <t xml:space="preserve">EP-10000153</t>
  </si>
  <si>
    <t xml:space="preserve">0438983640</t>
  </si>
  <si>
    <t xml:space="preserve">EP-10000154</t>
  </si>
  <si>
    <t xml:space="preserve">EP-10000155</t>
  </si>
  <si>
    <t xml:space="preserve">9825449481</t>
  </si>
  <si>
    <t xml:space="preserve">EP-10000156</t>
  </si>
  <si>
    <t xml:space="preserve">EP-10000157</t>
  </si>
  <si>
    <t xml:space="preserve">6850542357</t>
  </si>
  <si>
    <t xml:space="preserve">EP-10000158</t>
  </si>
  <si>
    <t xml:space="preserve">2895171870</t>
  </si>
  <si>
    <t xml:space="preserve">EP-10000159</t>
  </si>
  <si>
    <t xml:space="preserve">5075273545</t>
  </si>
  <si>
    <t xml:space="preserve">EP-10000160</t>
  </si>
  <si>
    <t xml:space="preserve">EP-10000161</t>
  </si>
  <si>
    <t xml:space="preserve">6001338908</t>
  </si>
  <si>
    <t xml:space="preserve">EP-10000162</t>
  </si>
  <si>
    <t xml:space="preserve">7439533942</t>
  </si>
  <si>
    <t xml:space="preserve">EP-10000163</t>
  </si>
  <si>
    <t xml:space="preserve">EP-10000164</t>
  </si>
  <si>
    <t xml:space="preserve">5618537474</t>
  </si>
  <si>
    <t xml:space="preserve">EP-10000165</t>
  </si>
  <si>
    <t xml:space="preserve">1669784801</t>
  </si>
  <si>
    <t xml:space="preserve">EP-10000166</t>
  </si>
  <si>
    <t xml:space="preserve">EP-10000167</t>
  </si>
  <si>
    <t xml:space="preserve">9821465840</t>
  </si>
  <si>
    <t xml:space="preserve">EP-10000168</t>
  </si>
  <si>
    <t xml:space="preserve">7837770143</t>
  </si>
  <si>
    <t xml:space="preserve">EP-10000169</t>
  </si>
  <si>
    <t xml:space="preserve">1751830469</t>
  </si>
  <si>
    <t xml:space="preserve">EP-10000170</t>
  </si>
  <si>
    <t xml:space="preserve">8877190659</t>
  </si>
  <si>
    <t xml:space="preserve">EP-10000171</t>
  </si>
  <si>
    <t xml:space="preserve">3536541951</t>
  </si>
  <si>
    <t xml:space="preserve">EP-10000172</t>
  </si>
  <si>
    <t xml:space="preserve">0568566246</t>
  </si>
  <si>
    <t xml:space="preserve">EP-10000173</t>
  </si>
  <si>
    <t xml:space="preserve">7058957829</t>
  </si>
  <si>
    <t xml:space="preserve">EP-10000174</t>
  </si>
  <si>
    <t xml:space="preserve">3982622444</t>
  </si>
  <si>
    <t xml:space="preserve">EP-10000175</t>
  </si>
  <si>
    <t xml:space="preserve">9500479748</t>
  </si>
  <si>
    <t xml:space="preserve">EP-10000176</t>
  </si>
  <si>
    <t xml:space="preserve">EP-10000177</t>
  </si>
  <si>
    <t xml:space="preserve">7109324808</t>
  </si>
  <si>
    <t xml:space="preserve">EP-10000178</t>
  </si>
  <si>
    <t xml:space="preserve">7849912165</t>
  </si>
  <si>
    <t xml:space="preserve">EP-10000179</t>
  </si>
  <si>
    <t xml:space="preserve">2873342708</t>
  </si>
  <si>
    <t xml:space="preserve">EP-10000180</t>
  </si>
  <si>
    <t xml:space="preserve">EP-10000181</t>
  </si>
  <si>
    <t xml:space="preserve">5067165726</t>
  </si>
  <si>
    <t xml:space="preserve">EP-10000182</t>
  </si>
  <si>
    <t xml:space="preserve">EP-10000183</t>
  </si>
  <si>
    <t xml:space="preserve">6995777387</t>
  </si>
  <si>
    <t xml:space="preserve">EP-10000184</t>
  </si>
  <si>
    <t xml:space="preserve">9058147700</t>
  </si>
  <si>
    <t xml:space="preserve">EP-10000185</t>
  </si>
  <si>
    <t xml:space="preserve">EP-10000186</t>
  </si>
  <si>
    <t xml:space="preserve">EP-10000187</t>
  </si>
  <si>
    <t xml:space="preserve">2621745961</t>
  </si>
  <si>
    <t xml:space="preserve">EP-10000188</t>
  </si>
  <si>
    <t xml:space="preserve">EP-10000189</t>
  </si>
  <si>
    <t xml:space="preserve">6256527047</t>
  </si>
  <si>
    <t xml:space="preserve">EP-10000190</t>
  </si>
  <si>
    <t xml:space="preserve">3965223955</t>
  </si>
  <si>
    <t xml:space="preserve">EP-10000191</t>
  </si>
  <si>
    <t xml:space="preserve">3075622086</t>
  </si>
  <si>
    <t xml:space="preserve">EP-10000192</t>
  </si>
  <si>
    <t xml:space="preserve">5886753396</t>
  </si>
  <si>
    <t xml:space="preserve">EP-10000193</t>
  </si>
  <si>
    <t xml:space="preserve">EP-10000194</t>
  </si>
  <si>
    <t xml:space="preserve">EP-10000195</t>
  </si>
  <si>
    <t xml:space="preserve">1531952058</t>
  </si>
  <si>
    <t xml:space="preserve">EP-10000196</t>
  </si>
  <si>
    <t xml:space="preserve">EP-10000197</t>
  </si>
  <si>
    <t xml:space="preserve">EP-10000198</t>
  </si>
  <si>
    <t xml:space="preserve">8053100330</t>
  </si>
  <si>
    <t xml:space="preserve">EP-10000199</t>
  </si>
  <si>
    <t xml:space="preserve">4225831323</t>
  </si>
  <si>
    <t xml:space="preserve">EP-10000200</t>
  </si>
  <si>
    <t xml:space="preserve">9934768701</t>
  </si>
  <si>
    <t xml:space="preserve">EP-10000201</t>
  </si>
  <si>
    <t xml:space="preserve">3689702838</t>
  </si>
  <si>
    <t xml:space="preserve">EP-10000202</t>
  </si>
  <si>
    <t xml:space="preserve">4105648149</t>
  </si>
  <si>
    <t xml:space="preserve">EP-10000203</t>
  </si>
  <si>
    <t xml:space="preserve">EP-10000204</t>
  </si>
  <si>
    <t xml:space="preserve">9956046618</t>
  </si>
  <si>
    <t xml:space="preserve">EP-10000205</t>
  </si>
  <si>
    <t xml:space="preserve">EP-10000206</t>
  </si>
  <si>
    <t xml:space="preserve">3867749649</t>
  </si>
  <si>
    <t xml:space="preserve">EP-10000207</t>
  </si>
  <si>
    <t xml:space="preserve">3974014890</t>
  </si>
  <si>
    <t xml:space="preserve">EP-10000208</t>
  </si>
  <si>
    <t xml:space="preserve">4948083136</t>
  </si>
  <si>
    <t xml:space="preserve">EP-10000209</t>
  </si>
  <si>
    <t xml:space="preserve">6405377351</t>
  </si>
  <si>
    <t xml:space="preserve">EP-10000210</t>
  </si>
  <si>
    <t xml:space="preserve">EP-10000211</t>
  </si>
  <si>
    <t xml:space="preserve">EP-10000212</t>
  </si>
  <si>
    <t xml:space="preserve">5423511615</t>
  </si>
  <si>
    <t xml:space="preserve">EP-10000213</t>
  </si>
  <si>
    <t xml:space="preserve">EP-10000214</t>
  </si>
  <si>
    <t xml:space="preserve">EP-10000215</t>
  </si>
  <si>
    <t xml:space="preserve">EP-10000216</t>
  </si>
  <si>
    <t xml:space="preserve">8887947055</t>
  </si>
  <si>
    <t xml:space="preserve">EP-10000217</t>
  </si>
  <si>
    <t xml:space="preserve">EP-10000218</t>
  </si>
  <si>
    <t xml:space="preserve">1574733848</t>
  </si>
  <si>
    <t xml:space="preserve">EP-10000219</t>
  </si>
  <si>
    <t xml:space="preserve">EP-10000220</t>
  </si>
  <si>
    <t xml:space="preserve">EP-10000221</t>
  </si>
  <si>
    <t xml:space="preserve">EP-10000222</t>
  </si>
  <si>
    <t xml:space="preserve">EP-10000223</t>
  </si>
  <si>
    <t xml:space="preserve">EP-10000224</t>
  </si>
  <si>
    <t xml:space="preserve">6915452267</t>
  </si>
  <si>
    <t xml:space="preserve">EP-10000225</t>
  </si>
  <si>
    <t xml:space="preserve">5719285654</t>
  </si>
  <si>
    <t xml:space="preserve">EP-10000226</t>
  </si>
  <si>
    <t xml:space="preserve">EP-10000227</t>
  </si>
  <si>
    <t xml:space="preserve">0293333468</t>
  </si>
  <si>
    <t xml:space="preserve">EP-10000228</t>
  </si>
  <si>
    <t xml:space="preserve">EP-10000229</t>
  </si>
  <si>
    <t xml:space="preserve">EP-10000230</t>
  </si>
  <si>
    <t xml:space="preserve">EP-10000231</t>
  </si>
  <si>
    <t xml:space="preserve">EP-10000232</t>
  </si>
  <si>
    <t xml:space="preserve">3678508214</t>
  </si>
  <si>
    <t xml:space="preserve">EP-10000233</t>
  </si>
  <si>
    <t xml:space="preserve">7212646471</t>
  </si>
  <si>
    <t xml:space="preserve">EP-10000234</t>
  </si>
  <si>
    <t xml:space="preserve">3242415415</t>
  </si>
  <si>
    <t xml:space="preserve">EP-10000235</t>
  </si>
  <si>
    <t xml:space="preserve">EP-10000236</t>
  </si>
  <si>
    <t xml:space="preserve">5705964016</t>
  </si>
  <si>
    <t xml:space="preserve">EP-10000237</t>
  </si>
  <si>
    <t xml:space="preserve">EP-10000238</t>
  </si>
  <si>
    <t xml:space="preserve">EP-10000239</t>
  </si>
  <si>
    <t xml:space="preserve">7556464170</t>
  </si>
  <si>
    <t xml:space="preserve">EP-10000240</t>
  </si>
  <si>
    <t xml:space="preserve">EP-10000241</t>
  </si>
  <si>
    <t xml:space="preserve">3273158514</t>
  </si>
  <si>
    <t xml:space="preserve">EP-10000242</t>
  </si>
  <si>
    <t xml:space="preserve">6765861793</t>
  </si>
  <si>
    <t xml:space="preserve">EP-10000243</t>
  </si>
  <si>
    <t xml:space="preserve">EP-10000244</t>
  </si>
  <si>
    <t xml:space="preserve">4656482366</t>
  </si>
  <si>
    <t xml:space="preserve">EP-10000245</t>
  </si>
  <si>
    <t xml:space="preserve">7518636374</t>
  </si>
  <si>
    <t xml:space="preserve">EP-10000246</t>
  </si>
  <si>
    <t xml:space="preserve">4732104696</t>
  </si>
  <si>
    <t xml:space="preserve">EP-10000247</t>
  </si>
  <si>
    <t xml:space="preserve">5274205493</t>
  </si>
  <si>
    <t xml:space="preserve">EP-10000248</t>
  </si>
  <si>
    <t xml:space="preserve">EP-10000249</t>
  </si>
  <si>
    <t xml:space="preserve">5867362266</t>
  </si>
  <si>
    <t xml:space="preserve">emergency</t>
  </si>
  <si>
    <t xml:space="preserve">EP-10000250</t>
  </si>
  <si>
    <t xml:space="preserve">4736471027</t>
  </si>
  <si>
    <t xml:space="preserve">EP-10000251</t>
  </si>
  <si>
    <t xml:space="preserve">5411998679</t>
  </si>
  <si>
    <t xml:space="preserve">EP-10000252</t>
  </si>
  <si>
    <t xml:space="preserve">5280988516</t>
  </si>
  <si>
    <t xml:space="preserve">EP-10000253</t>
  </si>
  <si>
    <t xml:space="preserve">4925192546</t>
  </si>
  <si>
    <t xml:space="preserve">EP-10000254</t>
  </si>
  <si>
    <t xml:space="preserve">EP-10000255</t>
  </si>
  <si>
    <t xml:space="preserve">2414183285</t>
  </si>
  <si>
    <t xml:space="preserve">EP-10000256</t>
  </si>
  <si>
    <t xml:space="preserve">5787598564</t>
  </si>
  <si>
    <t xml:space="preserve">EP-10000257</t>
  </si>
  <si>
    <t xml:space="preserve">0651333872</t>
  </si>
  <si>
    <t xml:space="preserve">EP-10000258</t>
  </si>
  <si>
    <t xml:space="preserve">3884969653</t>
  </si>
  <si>
    <t xml:space="preserve">EP-10000259</t>
  </si>
  <si>
    <t xml:space="preserve">7889255466</t>
  </si>
  <si>
    <t xml:space="preserve">EP-10000260</t>
  </si>
  <si>
    <t xml:space="preserve">0507236887</t>
  </si>
  <si>
    <t xml:space="preserve">EP-10000261</t>
  </si>
  <si>
    <t xml:space="preserve">EP-10000262</t>
  </si>
  <si>
    <t xml:space="preserve">EP-10000263</t>
  </si>
  <si>
    <t xml:space="preserve">EP-10000264</t>
  </si>
  <si>
    <t xml:space="preserve">EP-10000265</t>
  </si>
  <si>
    <t xml:space="preserve">EP-10000266</t>
  </si>
  <si>
    <t xml:space="preserve">0275884252</t>
  </si>
  <si>
    <t xml:space="preserve">EP-10000267</t>
  </si>
  <si>
    <t xml:space="preserve">6518017046</t>
  </si>
  <si>
    <t xml:space="preserve">EP-10000268</t>
  </si>
  <si>
    <t xml:space="preserve">EP-10000269</t>
  </si>
  <si>
    <t xml:space="preserve">4677378263</t>
  </si>
  <si>
    <t xml:space="preserve">EP-10000270</t>
  </si>
  <si>
    <t xml:space="preserve">4219933083</t>
  </si>
  <si>
    <t xml:space="preserve">EP-10000271</t>
  </si>
  <si>
    <t xml:space="preserve">EP-10000272</t>
  </si>
  <si>
    <t xml:space="preserve">EP-10000273</t>
  </si>
  <si>
    <t xml:space="preserve">EP-10000274</t>
  </si>
  <si>
    <t xml:space="preserve">EP-10000275</t>
  </si>
  <si>
    <t xml:space="preserve">EP-10000276</t>
  </si>
  <si>
    <t xml:space="preserve">EP-10000277</t>
  </si>
  <si>
    <t xml:space="preserve">1986652404</t>
  </si>
  <si>
    <t xml:space="preserve">EP-10000278</t>
  </si>
  <si>
    <t xml:space="preserve">6112545738</t>
  </si>
  <si>
    <t xml:space="preserve">EP-10000279</t>
  </si>
  <si>
    <t xml:space="preserve">0799118384</t>
  </si>
  <si>
    <t xml:space="preserve">EP-10000280</t>
  </si>
  <si>
    <t xml:space="preserve">7277434873</t>
  </si>
  <si>
    <t xml:space="preserve">EP-10000281</t>
  </si>
  <si>
    <t xml:space="preserve">8451462704</t>
  </si>
  <si>
    <t xml:space="preserve">EP-10000282</t>
  </si>
  <si>
    <t xml:space="preserve">0260647468</t>
  </si>
  <si>
    <t xml:space="preserve">EP-10000283</t>
  </si>
  <si>
    <t xml:space="preserve">7887287431</t>
  </si>
  <si>
    <t xml:space="preserve">EP-10000284</t>
  </si>
  <si>
    <t xml:space="preserve">EP-10000285</t>
  </si>
  <si>
    <t xml:space="preserve">EP-10000286</t>
  </si>
  <si>
    <t xml:space="preserve">EP-10000287</t>
  </si>
  <si>
    <t xml:space="preserve">6120183667</t>
  </si>
  <si>
    <t xml:space="preserve">EP-10000288</t>
  </si>
  <si>
    <t xml:space="preserve">EP-10000289</t>
  </si>
  <si>
    <t xml:space="preserve">EP-10000290</t>
  </si>
  <si>
    <t xml:space="preserve">5521570433</t>
  </si>
  <si>
    <t xml:space="preserve">EP-10000291</t>
  </si>
  <si>
    <t xml:space="preserve">EP-10000292</t>
  </si>
  <si>
    <t xml:space="preserve">EP-10000293</t>
  </si>
  <si>
    <t xml:space="preserve">2475469137</t>
  </si>
  <si>
    <t xml:space="preserve">EP-10000294</t>
  </si>
  <si>
    <t xml:space="preserve">3112196565</t>
  </si>
  <si>
    <t xml:space="preserve">EP-10000295</t>
  </si>
  <si>
    <t xml:space="preserve">0913075626</t>
  </si>
  <si>
    <t xml:space="preserve">EP-10000296</t>
  </si>
  <si>
    <t xml:space="preserve">5496513709</t>
  </si>
  <si>
    <t xml:space="preserve">EP-10000297</t>
  </si>
  <si>
    <t xml:space="preserve">EP-10000298</t>
  </si>
  <si>
    <t xml:space="preserve">EP-10000299</t>
  </si>
  <si>
    <t xml:space="preserve">4782613750</t>
  </si>
  <si>
    <t xml:space="preserve">EP-10000300</t>
  </si>
  <si>
    <t xml:space="preserve">EP-10000301</t>
  </si>
  <si>
    <t xml:space="preserve">4821759464</t>
  </si>
  <si>
    <t xml:space="preserve">EP-10000302</t>
  </si>
  <si>
    <t xml:space="preserve">EP-10000303</t>
  </si>
  <si>
    <t xml:space="preserve">2513412528</t>
  </si>
  <si>
    <t xml:space="preserve">EP-10000304</t>
  </si>
  <si>
    <t xml:space="preserve">EP-10000305</t>
  </si>
  <si>
    <t xml:space="preserve">0084840862</t>
  </si>
  <si>
    <t xml:space="preserve">EP-10000306</t>
  </si>
  <si>
    <t xml:space="preserve">EP-10000307</t>
  </si>
  <si>
    <t xml:space="preserve">EP-10000308</t>
  </si>
  <si>
    <t xml:space="preserve">EP-10000309</t>
  </si>
  <si>
    <t xml:space="preserve">3200379176</t>
  </si>
  <si>
    <t xml:space="preserve">EP-10000310</t>
  </si>
  <si>
    <t xml:space="preserve">3259532787</t>
  </si>
  <si>
    <t xml:space="preserve">EP-10000311</t>
  </si>
  <si>
    <t xml:space="preserve">EP-10000312</t>
  </si>
  <si>
    <t xml:space="preserve">EP-10000313</t>
  </si>
  <si>
    <t xml:space="preserve">5182337498</t>
  </si>
  <si>
    <t xml:space="preserve">EP-10000314</t>
  </si>
  <si>
    <t xml:space="preserve">8628902330</t>
  </si>
  <si>
    <t xml:space="preserve">EP-10000315</t>
  </si>
  <si>
    <t xml:space="preserve">2753046374</t>
  </si>
  <si>
    <t xml:space="preserve">EP-10000316</t>
  </si>
  <si>
    <t xml:space="preserve">EP-10000317</t>
  </si>
  <si>
    <t xml:space="preserve">5939172513</t>
  </si>
  <si>
    <t xml:space="preserve">EP-10000318</t>
  </si>
  <si>
    <t xml:space="preserve">EP-10000319</t>
  </si>
  <si>
    <t xml:space="preserve">EP-10000320</t>
  </si>
  <si>
    <t xml:space="preserve">EP-10000321</t>
  </si>
  <si>
    <t xml:space="preserve">EP-10000322</t>
  </si>
  <si>
    <t xml:space="preserve">EP-10000323</t>
  </si>
  <si>
    <t xml:space="preserve">EP-10000324</t>
  </si>
  <si>
    <t xml:space="preserve">4615679334</t>
  </si>
  <si>
    <t xml:space="preserve">EP-10000325</t>
  </si>
  <si>
    <t xml:space="preserve">EP-10000326</t>
  </si>
  <si>
    <t xml:space="preserve">EP-10000327</t>
  </si>
  <si>
    <t xml:space="preserve">EP-10000328</t>
  </si>
  <si>
    <t xml:space="preserve">EP-10000329</t>
  </si>
  <si>
    <t xml:space="preserve">EP-10000330</t>
  </si>
  <si>
    <t xml:space="preserve">EP-10000331</t>
  </si>
  <si>
    <t xml:space="preserve">EP-10000332</t>
  </si>
  <si>
    <t xml:space="preserve">9396856218</t>
  </si>
  <si>
    <t xml:space="preserve">EP-10000333</t>
  </si>
  <si>
    <t xml:space="preserve">7434902115</t>
  </si>
  <si>
    <t xml:space="preserve">EP-10000334</t>
  </si>
  <si>
    <t xml:space="preserve">EP-10000335</t>
  </si>
  <si>
    <t xml:space="preserve">7937416089</t>
  </si>
  <si>
    <t xml:space="preserve">EP-10000336</t>
  </si>
  <si>
    <t xml:space="preserve">2474517123</t>
  </si>
  <si>
    <t xml:space="preserve">EP-10000337</t>
  </si>
  <si>
    <t xml:space="preserve">2909656101</t>
  </si>
  <si>
    <t xml:space="preserve">EP-10000338</t>
  </si>
  <si>
    <t xml:space="preserve">EP-10000339</t>
  </si>
  <si>
    <t xml:space="preserve">EP-10000340</t>
  </si>
  <si>
    <t xml:space="preserve">EP-10000341</t>
  </si>
  <si>
    <t xml:space="preserve">EP-10000342</t>
  </si>
  <si>
    <t xml:space="preserve">EP-10000343</t>
  </si>
  <si>
    <t xml:space="preserve">0947775204</t>
  </si>
  <si>
    <t xml:space="preserve">EP-10000344</t>
  </si>
  <si>
    <t xml:space="preserve">4499727875</t>
  </si>
  <si>
    <t xml:space="preserve">EP-10000345</t>
  </si>
  <si>
    <t xml:space="preserve">EP-10000346</t>
  </si>
  <si>
    <t xml:space="preserve">6177115921</t>
  </si>
  <si>
    <t xml:space="preserve">EP-10000347</t>
  </si>
  <si>
    <t xml:space="preserve">EP-10000348</t>
  </si>
  <si>
    <t xml:space="preserve">2901476797</t>
  </si>
  <si>
    <t xml:space="preserve">EP-10000349</t>
  </si>
  <si>
    <t xml:space="preserve">3900532931</t>
  </si>
  <si>
    <t xml:space="preserve">EP-10000350</t>
  </si>
  <si>
    <t xml:space="preserve">EP-10000351</t>
  </si>
  <si>
    <t xml:space="preserve">4518705349</t>
  </si>
  <si>
    <t xml:space="preserve">EP-10000352</t>
  </si>
  <si>
    <t xml:space="preserve">EP-10000353</t>
  </si>
  <si>
    <t xml:space="preserve">2060385050</t>
  </si>
  <si>
    <t xml:space="preserve">EP-10000354</t>
  </si>
  <si>
    <t xml:space="preserve">EP-10000355</t>
  </si>
  <si>
    <t xml:space="preserve">2236231665</t>
  </si>
  <si>
    <t xml:space="preserve">EP-10000356</t>
  </si>
  <si>
    <t xml:space="preserve">2677345401</t>
  </si>
  <si>
    <t xml:space="preserve">EP-10000357</t>
  </si>
  <si>
    <t xml:space="preserve">4249818299</t>
  </si>
  <si>
    <t xml:space="preserve">EP-10000358</t>
  </si>
  <si>
    <t xml:space="preserve">EP-10000359</t>
  </si>
  <si>
    <t xml:space="preserve">EP-10000360</t>
  </si>
  <si>
    <t xml:space="preserve">EP-10000361</t>
  </si>
  <si>
    <t xml:space="preserve">9861434103</t>
  </si>
  <si>
    <t xml:space="preserve">EP-10000362</t>
  </si>
  <si>
    <t xml:space="preserve">EP-10000363</t>
  </si>
  <si>
    <t xml:space="preserve">8240084271</t>
  </si>
  <si>
    <t xml:space="preserve">EP-10000364</t>
  </si>
  <si>
    <t xml:space="preserve">EP-10000365</t>
  </si>
  <si>
    <t xml:space="preserve">EP-10000366</t>
  </si>
  <si>
    <t xml:space="preserve">EP-10000367</t>
  </si>
  <si>
    <t xml:space="preserve">EP-10000368</t>
  </si>
  <si>
    <t xml:space="preserve">2532447209</t>
  </si>
  <si>
    <t xml:space="preserve">EP-10000369</t>
  </si>
  <si>
    <t xml:space="preserve">EP-10000370</t>
  </si>
  <si>
    <t xml:space="preserve">2503926142</t>
  </si>
  <si>
    <t xml:space="preserve">EP-10000371</t>
  </si>
  <si>
    <t xml:space="preserve">6805891135</t>
  </si>
  <si>
    <t xml:space="preserve">EP-10000372</t>
  </si>
  <si>
    <t xml:space="preserve">9413186999</t>
  </si>
  <si>
    <t xml:space="preserve">EP-10000373</t>
  </si>
  <si>
    <t xml:space="preserve">EP-10000374</t>
  </si>
  <si>
    <t xml:space="preserve">EP-10000375</t>
  </si>
  <si>
    <t xml:space="preserve">EP-10000376</t>
  </si>
  <si>
    <t xml:space="preserve">6438156149</t>
  </si>
  <si>
    <t xml:space="preserve">EP-10000377</t>
  </si>
  <si>
    <t xml:space="preserve">9552717744</t>
  </si>
  <si>
    <t xml:space="preserve">EP-10000378</t>
  </si>
  <si>
    <t xml:space="preserve">EP-10000379</t>
  </si>
  <si>
    <t xml:space="preserve">EP-10000380</t>
  </si>
  <si>
    <t xml:space="preserve">EP-10000381</t>
  </si>
  <si>
    <t xml:space="preserve">EP-10000382</t>
  </si>
  <si>
    <t xml:space="preserve">EP-10000383</t>
  </si>
  <si>
    <t xml:space="preserve">EP-10000384</t>
  </si>
  <si>
    <t xml:space="preserve">EP-10000385</t>
  </si>
  <si>
    <t xml:space="preserve">EP-10000386</t>
  </si>
  <si>
    <t xml:space="preserve">2265676618</t>
  </si>
  <si>
    <t xml:space="preserve">EP-10000387</t>
  </si>
  <si>
    <t xml:space="preserve">EP-10000388</t>
  </si>
  <si>
    <t xml:space="preserve">EP-10000389</t>
  </si>
  <si>
    <t xml:space="preserve">2322602563</t>
  </si>
  <si>
    <t xml:space="preserve">EP-10000390</t>
  </si>
  <si>
    <t xml:space="preserve">2787429671</t>
  </si>
  <si>
    <t xml:space="preserve">EP-10000391</t>
  </si>
  <si>
    <t xml:space="preserve">6773592555</t>
  </si>
  <si>
    <t xml:space="preserve">EP-10000392</t>
  </si>
  <si>
    <t xml:space="preserve">4505444713</t>
  </si>
  <si>
    <t xml:space="preserve">EP-10000393</t>
  </si>
  <si>
    <t xml:space="preserve">EP-10000394</t>
  </si>
  <si>
    <t xml:space="preserve">1627136111</t>
  </si>
  <si>
    <t xml:space="preserve">EP-10000395</t>
  </si>
  <si>
    <t xml:space="preserve">EP-10000396</t>
  </si>
  <si>
    <t xml:space="preserve">5499045301</t>
  </si>
  <si>
    <t xml:space="preserve">EP-10000397</t>
  </si>
  <si>
    <t xml:space="preserve">EP-10000398</t>
  </si>
  <si>
    <t xml:space="preserve">8067065405</t>
  </si>
  <si>
    <t xml:space="preserve">EP-10000399</t>
  </si>
  <si>
    <t xml:space="preserve">EP-10000400</t>
  </si>
  <si>
    <t xml:space="preserve">EP-10000401</t>
  </si>
  <si>
    <t xml:space="preserve">2966851612</t>
  </si>
  <si>
    <t xml:space="preserve">EP-10000402</t>
  </si>
  <si>
    <t xml:space="preserve">EP-10000403</t>
  </si>
  <si>
    <t xml:space="preserve">EP-10000404</t>
  </si>
  <si>
    <t xml:space="preserve">EP-10000405</t>
  </si>
  <si>
    <t xml:space="preserve">1939828073</t>
  </si>
  <si>
    <t xml:space="preserve">EP-10000406</t>
  </si>
  <si>
    <t xml:space="preserve">6349578856</t>
  </si>
  <si>
    <t xml:space="preserve">EP-10000407</t>
  </si>
  <si>
    <t xml:space="preserve">7401640052</t>
  </si>
  <si>
    <t xml:space="preserve">EP-10000408</t>
  </si>
  <si>
    <t xml:space="preserve">8547772522</t>
  </si>
  <si>
    <t xml:space="preserve">EP-10000409</t>
  </si>
  <si>
    <t xml:space="preserve">0323651994</t>
  </si>
  <si>
    <t xml:space="preserve">EP-10000410</t>
  </si>
  <si>
    <t xml:space="preserve">EP-10000411</t>
  </si>
  <si>
    <t xml:space="preserve">6971179808</t>
  </si>
  <si>
    <t xml:space="preserve">EP-10000412</t>
  </si>
  <si>
    <t xml:space="preserve">EP-10000413</t>
  </si>
  <si>
    <t xml:space="preserve">8992172233</t>
  </si>
  <si>
    <t xml:space="preserve">EP-10000414</t>
  </si>
  <si>
    <t xml:space="preserve">EP-10000415</t>
  </si>
  <si>
    <t xml:space="preserve">EP-10000416</t>
  </si>
  <si>
    <t xml:space="preserve">EP-10000417</t>
  </si>
  <si>
    <t xml:space="preserve">7116719022</t>
  </si>
  <si>
    <t xml:space="preserve">EP-10000418</t>
  </si>
  <si>
    <t xml:space="preserve">EP-10000419</t>
  </si>
  <si>
    <t xml:space="preserve">2604223253</t>
  </si>
  <si>
    <t xml:space="preserve">EP-10000420</t>
  </si>
  <si>
    <t xml:space="preserve">EP-10000421</t>
  </si>
  <si>
    <t xml:space="preserve">8350305641</t>
  </si>
  <si>
    <t xml:space="preserve">EP-10000422</t>
  </si>
  <si>
    <t xml:space="preserve">EP-10000423</t>
  </si>
  <si>
    <t xml:space="preserve">2996065307</t>
  </si>
  <si>
    <t xml:space="preserve">EP-10000424</t>
  </si>
  <si>
    <t xml:space="preserve">EP-10000425</t>
  </si>
  <si>
    <t xml:space="preserve">EP-10000426</t>
  </si>
  <si>
    <t xml:space="preserve">EP-10000427</t>
  </si>
  <si>
    <t xml:space="preserve">EP-10000428</t>
  </si>
  <si>
    <t xml:space="preserve">EP-10000429</t>
  </si>
  <si>
    <t xml:space="preserve">1613696816</t>
  </si>
  <si>
    <t xml:space="preserve">EP-10000430</t>
  </si>
  <si>
    <t xml:space="preserve">EP-10000431</t>
  </si>
  <si>
    <t xml:space="preserve">1778507925</t>
  </si>
  <si>
    <t xml:space="preserve">EP-10000432</t>
  </si>
  <si>
    <t xml:space="preserve">EP-10000433</t>
  </si>
  <si>
    <t xml:space="preserve">6922219693</t>
  </si>
  <si>
    <t xml:space="preserve">EP-10000434</t>
  </si>
  <si>
    <t xml:space="preserve">EP-10000435</t>
  </si>
  <si>
    <t xml:space="preserve">EP-10000436</t>
  </si>
  <si>
    <t xml:space="preserve">EP-10000437</t>
  </si>
  <si>
    <t xml:space="preserve">EP-10000438</t>
  </si>
  <si>
    <t xml:space="preserve">1013721510</t>
  </si>
  <si>
    <t xml:space="preserve">EP-10000439</t>
  </si>
  <si>
    <t xml:space="preserve">EP-10000440</t>
  </si>
  <si>
    <t xml:space="preserve">EP-10000441</t>
  </si>
  <si>
    <t xml:space="preserve">EP-10000442</t>
  </si>
  <si>
    <t xml:space="preserve">EP-10000443</t>
  </si>
  <si>
    <t xml:space="preserve">EP-10000444</t>
  </si>
  <si>
    <t xml:space="preserve">EP-10000445</t>
  </si>
  <si>
    <t xml:space="preserve">EP-10000446</t>
  </si>
  <si>
    <t xml:space="preserve">EP-10000447</t>
  </si>
  <si>
    <t xml:space="preserve">EP-10000448</t>
  </si>
  <si>
    <t xml:space="preserve">EP-10000449</t>
  </si>
  <si>
    <t xml:space="preserve">EP-10000450</t>
  </si>
  <si>
    <t xml:space="preserve">EP-10000451</t>
  </si>
  <si>
    <t xml:space="preserve">EP-10000452</t>
  </si>
  <si>
    <t xml:space="preserve">EP-10000453</t>
  </si>
  <si>
    <t xml:space="preserve">1694097499</t>
  </si>
  <si>
    <t xml:space="preserve">EP-10000454</t>
  </si>
  <si>
    <t xml:space="preserve">EP-10000455</t>
  </si>
  <si>
    <t xml:space="preserve">EP-10000456</t>
  </si>
  <si>
    <t xml:space="preserve">EP-10000457</t>
  </si>
  <si>
    <t xml:space="preserve">0927532697</t>
  </si>
  <si>
    <t xml:space="preserve">EP-10000458</t>
  </si>
  <si>
    <t xml:space="preserve">EP-10000459</t>
  </si>
  <si>
    <t xml:space="preserve">EP-10000460</t>
  </si>
  <si>
    <t xml:space="preserve">EP-10000461</t>
  </si>
  <si>
    <t xml:space="preserve">EP-10000462</t>
  </si>
  <si>
    <t xml:space="preserve">EP-10000463</t>
  </si>
  <si>
    <t xml:space="preserve">EP-10000464</t>
  </si>
  <si>
    <t xml:space="preserve">EP-10000465</t>
  </si>
  <si>
    <t xml:space="preserve">EP-10000466</t>
  </si>
  <si>
    <t xml:space="preserve">EP-10000467</t>
  </si>
  <si>
    <t xml:space="preserve">EP-10000468</t>
  </si>
  <si>
    <t xml:space="preserve">EP-10000469</t>
  </si>
  <si>
    <t xml:space="preserve">EP-10000470</t>
  </si>
  <si>
    <t xml:space="preserve">6423536937</t>
  </si>
  <si>
    <t xml:space="preserve">EP-10000471</t>
  </si>
  <si>
    <t xml:space="preserve">EP-10000472</t>
  </si>
  <si>
    <t xml:space="preserve">EP-10000473</t>
  </si>
  <si>
    <t xml:space="preserve">6218518888</t>
  </si>
  <si>
    <t xml:space="preserve">EP-10000474</t>
  </si>
  <si>
    <t xml:space="preserve">6131712748</t>
  </si>
  <si>
    <t xml:space="preserve">EP-10000475</t>
  </si>
  <si>
    <t xml:space="preserve">EP-10000476</t>
  </si>
  <si>
    <t xml:space="preserve">1016668700</t>
  </si>
  <si>
    <t xml:space="preserve">EP-10000477</t>
  </si>
  <si>
    <t xml:space="preserve">EP-10000478</t>
  </si>
  <si>
    <t xml:space="preserve">EP-10000479</t>
  </si>
  <si>
    <t xml:space="preserve">2706537947</t>
  </si>
  <si>
    <t xml:space="preserve">EP-10000480</t>
  </si>
  <si>
    <t xml:space="preserve">6692966278</t>
  </si>
  <si>
    <t xml:space="preserve">EP-10000481</t>
  </si>
  <si>
    <t xml:space="preserve">EP-10000482</t>
  </si>
  <si>
    <t xml:space="preserve">EP-10000483</t>
  </si>
  <si>
    <t xml:space="preserve">7129387005</t>
  </si>
  <si>
    <t xml:space="preserve">EP-10000484</t>
  </si>
  <si>
    <t xml:space="preserve">EP-10000485</t>
  </si>
  <si>
    <t xml:space="preserve">EP-10000486</t>
  </si>
  <si>
    <t xml:space="preserve">1154479627</t>
  </si>
  <si>
    <t xml:space="preserve">EP-10000487</t>
  </si>
  <si>
    <t xml:space="preserve">9439690784</t>
  </si>
  <si>
    <t xml:space="preserve">EP-10000488</t>
  </si>
  <si>
    <t xml:space="preserve">1047095214</t>
  </si>
  <si>
    <t xml:space="preserve">EP-10000489</t>
  </si>
  <si>
    <t xml:space="preserve">8819148580</t>
  </si>
  <si>
    <t xml:space="preserve">EP-10000490</t>
  </si>
  <si>
    <t xml:space="preserve">EP-10000491</t>
  </si>
  <si>
    <t xml:space="preserve">EP-10000492</t>
  </si>
  <si>
    <t xml:space="preserve">EP-10000493</t>
  </si>
  <si>
    <t xml:space="preserve">4278680112</t>
  </si>
  <si>
    <t xml:space="preserve">EP-10000494</t>
  </si>
  <si>
    <t xml:space="preserve">EP-10000495</t>
  </si>
  <si>
    <t xml:space="preserve">EP-10000496</t>
  </si>
  <si>
    <t xml:space="preserve">EP-10000497</t>
  </si>
  <si>
    <t xml:space="preserve">EP-10000498</t>
  </si>
  <si>
    <t xml:space="preserve">EP-10000499</t>
  </si>
  <si>
    <t xml:space="preserve">9770348247</t>
  </si>
  <si>
    <t xml:space="preserve">EP-10000500</t>
  </si>
  <si>
    <t xml:space="preserve">EP-10000501</t>
  </si>
  <si>
    <t xml:space="preserve">EP-10000502</t>
  </si>
  <si>
    <t xml:space="preserve">EP-10000503</t>
  </si>
  <si>
    <t xml:space="preserve">EP-10000504</t>
  </si>
  <si>
    <t xml:space="preserve">EP-10000505</t>
  </si>
  <si>
    <t xml:space="preserve">EP-10000506</t>
  </si>
  <si>
    <t xml:space="preserve">EP-10000507</t>
  </si>
  <si>
    <t xml:space="preserve">EP-10000508</t>
  </si>
  <si>
    <t xml:space="preserve">EP-10000509</t>
  </si>
  <si>
    <t xml:space="preserve">EP-10000510</t>
  </si>
  <si>
    <t xml:space="preserve">EP-10000511</t>
  </si>
  <si>
    <t xml:space="preserve">EP-10000512</t>
  </si>
  <si>
    <t xml:space="preserve">3908470076</t>
  </si>
  <si>
    <t xml:space="preserve">EP-10000513</t>
  </si>
  <si>
    <t xml:space="preserve">EP-10000514</t>
  </si>
  <si>
    <t xml:space="preserve">0997700886</t>
  </si>
  <si>
    <t xml:space="preserve">EP-10000515</t>
  </si>
  <si>
    <t xml:space="preserve">4330365414</t>
  </si>
  <si>
    <t xml:space="preserve">EP-10000516</t>
  </si>
  <si>
    <t xml:space="preserve">EP-10000517</t>
  </si>
  <si>
    <t xml:space="preserve">EP-10000518</t>
  </si>
  <si>
    <t xml:space="preserve">4065965756</t>
  </si>
  <si>
    <t xml:space="preserve">EP-10000519</t>
  </si>
  <si>
    <t xml:space="preserve">EP-10000520</t>
  </si>
  <si>
    <t xml:space="preserve">EP-10000521</t>
  </si>
  <si>
    <t xml:space="preserve">4220969029</t>
  </si>
  <si>
    <t xml:space="preserve">EP-10000522</t>
  </si>
  <si>
    <t xml:space="preserve">EP-10000523</t>
  </si>
  <si>
    <t xml:space="preserve">3287083172</t>
  </si>
  <si>
    <t xml:space="preserve">EP-10000524</t>
  </si>
  <si>
    <t xml:space="preserve">EP-10000525</t>
  </si>
  <si>
    <t xml:space="preserve">EP-10000526</t>
  </si>
  <si>
    <t xml:space="preserve">4192832764</t>
  </si>
  <si>
    <t xml:space="preserve">EP-10000527</t>
  </si>
  <si>
    <t xml:space="preserve">EP-10000528</t>
  </si>
  <si>
    <t xml:space="preserve">EP-10000529</t>
  </si>
  <si>
    <t xml:space="preserve">EP-10000530</t>
  </si>
  <si>
    <t xml:space="preserve">5016315999</t>
  </si>
  <si>
    <t xml:space="preserve">EP-10000531</t>
  </si>
  <si>
    <t xml:space="preserve">EP-10000532</t>
  </si>
  <si>
    <t xml:space="preserve">0344713493</t>
  </si>
  <si>
    <t xml:space="preserve">EP-10000533</t>
  </si>
  <si>
    <t xml:space="preserve">EP-10000534</t>
  </si>
  <si>
    <t xml:space="preserve">EP-10000535</t>
  </si>
  <si>
    <t xml:space="preserve">EP-10000536</t>
  </si>
  <si>
    <t xml:space="preserve">4388899375</t>
  </si>
  <si>
    <t xml:space="preserve">EP-10000537</t>
  </si>
  <si>
    <t xml:space="preserve">1627204653</t>
  </si>
  <si>
    <t xml:space="preserve">EP-10000538</t>
  </si>
  <si>
    <t xml:space="preserve">3445655743</t>
  </si>
  <si>
    <t xml:space="preserve">EP-10000539</t>
  </si>
  <si>
    <t xml:space="preserve">EP-10000540</t>
  </si>
  <si>
    <t xml:space="preserve">2064361103</t>
  </si>
  <si>
    <t xml:space="preserve">EP-10000541</t>
  </si>
  <si>
    <t xml:space="preserve">7586926179</t>
  </si>
  <si>
    <t xml:space="preserve">EP-10000542</t>
  </si>
  <si>
    <t xml:space="preserve">3734670656</t>
  </si>
  <si>
    <t xml:space="preserve">EP-10000543</t>
  </si>
  <si>
    <t xml:space="preserve">9059929378</t>
  </si>
  <si>
    <t xml:space="preserve">EP-10000544</t>
  </si>
  <si>
    <t xml:space="preserve">EP-10000545</t>
  </si>
  <si>
    <t xml:space="preserve">EP-10000546</t>
  </si>
  <si>
    <t xml:space="preserve">EP-10000547</t>
  </si>
  <si>
    <t xml:space="preserve">7923747407</t>
  </si>
  <si>
    <t xml:space="preserve">EP-10000548</t>
  </si>
  <si>
    <t xml:space="preserve">EP-10000549</t>
  </si>
  <si>
    <t xml:space="preserve">4013990490</t>
  </si>
  <si>
    <t xml:space="preserve">EP-10000550</t>
  </si>
  <si>
    <t xml:space="preserve">3834735977</t>
  </si>
  <si>
    <t xml:space="preserve">EP-10000551</t>
  </si>
  <si>
    <t xml:space="preserve">EP-10000552</t>
  </si>
  <si>
    <t xml:space="preserve">7883171210</t>
  </si>
  <si>
    <t xml:space="preserve">EP-10000553</t>
  </si>
  <si>
    <t xml:space="preserve">3070534578</t>
  </si>
  <si>
    <t xml:space="preserve">EP-10000554</t>
  </si>
  <si>
    <t xml:space="preserve">EP-10000555</t>
  </si>
  <si>
    <t xml:space="preserve">EP-10000556</t>
  </si>
  <si>
    <t xml:space="preserve">3327279568</t>
  </si>
  <si>
    <t xml:space="preserve">EP-10000557</t>
  </si>
  <si>
    <t xml:space="preserve">EP-10000558</t>
  </si>
  <si>
    <t xml:space="preserve">EP-10000559</t>
  </si>
  <si>
    <t xml:space="preserve">2148951343</t>
  </si>
  <si>
    <t xml:space="preserve">EP-10000560</t>
  </si>
  <si>
    <t xml:space="preserve">EP-10000561</t>
  </si>
  <si>
    <t xml:space="preserve">EP-10000562</t>
  </si>
  <si>
    <t xml:space="preserve">EP-10000563</t>
  </si>
  <si>
    <t xml:space="preserve">2191361939</t>
  </si>
  <si>
    <t xml:space="preserve">EP-10000564</t>
  </si>
  <si>
    <t xml:space="preserve">EP-10000565</t>
  </si>
  <si>
    <t xml:space="preserve">EP-10000566</t>
  </si>
  <si>
    <t xml:space="preserve">EP-10000567</t>
  </si>
  <si>
    <t xml:space="preserve">EP-10000568</t>
  </si>
  <si>
    <t xml:space="preserve">EP-10000569</t>
  </si>
  <si>
    <t xml:space="preserve">EP-10000570</t>
  </si>
  <si>
    <t xml:space="preserve">4739473121</t>
  </si>
  <si>
    <t xml:space="preserve">EP-10000571</t>
  </si>
  <si>
    <t xml:space="preserve">EP-10000572</t>
  </si>
  <si>
    <t xml:space="preserve">EP-10000573</t>
  </si>
  <si>
    <t xml:space="preserve">W-07</t>
  </si>
  <si>
    <t xml:space="preserve">EP-10000574</t>
  </si>
  <si>
    <t xml:space="preserve">EP-10000575</t>
  </si>
  <si>
    <t xml:space="preserve">EP-10000576</t>
  </si>
  <si>
    <t xml:space="preserve">EP-10000577</t>
  </si>
  <si>
    <t xml:space="preserve">EP-10000578</t>
  </si>
  <si>
    <t xml:space="preserve">EP-10000579</t>
  </si>
  <si>
    <t xml:space="preserve">EP-10000580</t>
  </si>
  <si>
    <t xml:space="preserve">6103579727</t>
  </si>
  <si>
    <t xml:space="preserve">EP-10000581</t>
  </si>
  <si>
    <t xml:space="preserve">EP-10000582</t>
  </si>
  <si>
    <t xml:space="preserve">EP-10000583</t>
  </si>
  <si>
    <t xml:space="preserve">EP-10000584</t>
  </si>
  <si>
    <t xml:space="preserve">EP-10000585</t>
  </si>
  <si>
    <t xml:space="preserve">EP-10000586</t>
  </si>
  <si>
    <t xml:space="preserve">EP-10000587</t>
  </si>
  <si>
    <t xml:space="preserve">EP-10000588</t>
  </si>
  <si>
    <t xml:space="preserve">EP-10000589</t>
  </si>
  <si>
    <t xml:space="preserve">EP-10000590</t>
  </si>
  <si>
    <t xml:space="preserve">EP-10000591</t>
  </si>
  <si>
    <t xml:space="preserve">EP-10000592</t>
  </si>
  <si>
    <t xml:space="preserve">EP-10000593</t>
  </si>
  <si>
    <t xml:space="preserve">2268388516</t>
  </si>
  <si>
    <t xml:space="preserve">EP-10000594</t>
  </si>
  <si>
    <t xml:space="preserve">EP-10000595</t>
  </si>
  <si>
    <t xml:space="preserve">1091043006</t>
  </si>
  <si>
    <t xml:space="preserve">EP-10000596</t>
  </si>
  <si>
    <t xml:space="preserve">EP-10000597</t>
  </si>
  <si>
    <t xml:space="preserve">EP-10000598</t>
  </si>
  <si>
    <t xml:space="preserve">EP-10000599</t>
  </si>
  <si>
    <t xml:space="preserve">EP-10000600</t>
  </si>
  <si>
    <t xml:space="preserve">2827422579</t>
  </si>
  <si>
    <t xml:space="preserve">EP-10000601</t>
  </si>
  <si>
    <t xml:space="preserve">EP-10000602</t>
  </si>
  <si>
    <t xml:space="preserve">EP-10000603</t>
  </si>
  <si>
    <t xml:space="preserve">7382997376</t>
  </si>
  <si>
    <t xml:space="preserve">EP-10000604</t>
  </si>
  <si>
    <t xml:space="preserve">EP-10000605</t>
  </si>
  <si>
    <t xml:space="preserve">4103865719</t>
  </si>
  <si>
    <t xml:space="preserve">EP-10000606</t>
  </si>
  <si>
    <t xml:space="preserve">EP-10000607</t>
  </si>
  <si>
    <t xml:space="preserve">EP-10000608</t>
  </si>
  <si>
    <t xml:space="preserve">4688623924</t>
  </si>
  <si>
    <t xml:space="preserve">EP-10000609</t>
  </si>
  <si>
    <t xml:space="preserve">EP-10000610</t>
  </si>
  <si>
    <t xml:space="preserve">EP-10000611</t>
  </si>
  <si>
    <t xml:space="preserve">EP-10000612</t>
  </si>
  <si>
    <t xml:space="preserve">EP-10000613</t>
  </si>
  <si>
    <t xml:space="preserve">EP-10000614</t>
  </si>
  <si>
    <t xml:space="preserve">7833918785</t>
  </si>
  <si>
    <t xml:space="preserve">EP-10000615</t>
  </si>
  <si>
    <t xml:space="preserve">EP-10000616</t>
  </si>
  <si>
    <t xml:space="preserve">EP-10000617</t>
  </si>
  <si>
    <t xml:space="preserve">EP-10000618</t>
  </si>
  <si>
    <t xml:space="preserve">EP-10000619</t>
  </si>
  <si>
    <t xml:space="preserve">5940781618</t>
  </si>
  <si>
    <t xml:space="preserve">EP-10000620</t>
  </si>
  <si>
    <t xml:space="preserve">EP-10000621</t>
  </si>
  <si>
    <t xml:space="preserve">EP-10000622</t>
  </si>
  <si>
    <t xml:space="preserve">6851604817</t>
  </si>
  <si>
    <t xml:space="preserve">EP-10000623</t>
  </si>
  <si>
    <t xml:space="preserve">EP-10000624</t>
  </si>
  <si>
    <t xml:space="preserve">EP-10000625</t>
  </si>
  <si>
    <t xml:space="preserve">EP-10000626</t>
  </si>
  <si>
    <t xml:space="preserve">8023806174</t>
  </si>
  <si>
    <t xml:space="preserve">EP-10000627</t>
  </si>
  <si>
    <t xml:space="preserve">EP-10000628</t>
  </si>
  <si>
    <t xml:space="preserve">EP-10000629</t>
  </si>
  <si>
    <t xml:space="preserve">EP-10000630</t>
  </si>
  <si>
    <t xml:space="preserve">EP-10000631</t>
  </si>
  <si>
    <t xml:space="preserve">8244935348</t>
  </si>
  <si>
    <t xml:space="preserve">EP-10000632</t>
  </si>
  <si>
    <t xml:space="preserve">EP-10000633</t>
  </si>
  <si>
    <t xml:space="preserve">EP-10000634</t>
  </si>
  <si>
    <t xml:space="preserve">EP-10000635</t>
  </si>
  <si>
    <t xml:space="preserve">EP-10000636</t>
  </si>
  <si>
    <t xml:space="preserve">EP-10000637</t>
  </si>
  <si>
    <t xml:space="preserve">2923309584</t>
  </si>
  <si>
    <t xml:space="preserve">EP-10000638</t>
  </si>
  <si>
    <t xml:space="preserve">EP-10000639</t>
  </si>
  <si>
    <t xml:space="preserve">EP-10000640</t>
  </si>
  <si>
    <t xml:space="preserve">EP-10000641</t>
  </si>
  <si>
    <t xml:space="preserve">EP-10000642</t>
  </si>
  <si>
    <t xml:space="preserve">EP-10000643</t>
  </si>
  <si>
    <t xml:space="preserve">EP-10000644</t>
  </si>
  <si>
    <t xml:space="preserve">EP-10000645</t>
  </si>
  <si>
    <t xml:space="preserve">EP-10000646</t>
  </si>
  <si>
    <t xml:space="preserve">EP-10000647</t>
  </si>
  <si>
    <t xml:space="preserve">3534624751</t>
  </si>
  <si>
    <t xml:space="preserve">EP-10000648</t>
  </si>
  <si>
    <t xml:space="preserve">EP-10000649</t>
  </si>
  <si>
    <t xml:space="preserve">EP-10000650</t>
  </si>
  <si>
    <t xml:space="preserve">EP-10000651</t>
  </si>
  <si>
    <t xml:space="preserve">EP-10000652</t>
  </si>
  <si>
    <t xml:space="preserve">EP-10000653</t>
  </si>
  <si>
    <t xml:space="preserve">EP-10000654</t>
  </si>
  <si>
    <t xml:space="preserve">EP-10000655</t>
  </si>
  <si>
    <t xml:space="preserve">EP-10000656</t>
  </si>
  <si>
    <t xml:space="preserve">EP-10000657</t>
  </si>
  <si>
    <t xml:space="preserve">EP-10000658</t>
  </si>
  <si>
    <t xml:space="preserve">EP-10000659</t>
  </si>
  <si>
    <t xml:space="preserve">4680715451</t>
  </si>
  <si>
    <t xml:space="preserve">EP-10000660</t>
  </si>
  <si>
    <t xml:space="preserve">EP-10000661</t>
  </si>
  <si>
    <t xml:space="preserve">EP-10000662</t>
  </si>
  <si>
    <t xml:space="preserve">EP-10000663</t>
  </si>
  <si>
    <t xml:space="preserve">EP-10000664</t>
  </si>
  <si>
    <t xml:space="preserve">EP-10000665</t>
  </si>
  <si>
    <t xml:space="preserve">EP-10000666</t>
  </si>
  <si>
    <t xml:space="preserve">8059826204</t>
  </si>
  <si>
    <t xml:space="preserve">EP-10000667</t>
  </si>
  <si>
    <t xml:space="preserve">EP-10000668</t>
  </si>
  <si>
    <t xml:space="preserve">EP-10000669</t>
  </si>
  <si>
    <t xml:space="preserve">EP-10000670</t>
  </si>
  <si>
    <t xml:space="preserve">EP-10000671</t>
  </si>
  <si>
    <t xml:space="preserve">EP-10000672</t>
  </si>
  <si>
    <t xml:space="preserve">EP-10000673</t>
  </si>
  <si>
    <t xml:space="preserve">EP-10000674</t>
  </si>
  <si>
    <t xml:space="preserve">EP-10000675</t>
  </si>
  <si>
    <t xml:space="preserve">EP-10000676</t>
  </si>
  <si>
    <t xml:space="preserve">EP-10000677</t>
  </si>
  <si>
    <t xml:space="preserve">EP-10000678</t>
  </si>
  <si>
    <t xml:space="preserve">EP-10000679</t>
  </si>
  <si>
    <t xml:space="preserve">EP-10000680</t>
  </si>
  <si>
    <t xml:space="preserve">EP-10000681</t>
  </si>
  <si>
    <t xml:space="preserve">EP-10000682</t>
  </si>
  <si>
    <t xml:space="preserve">EP-10000683</t>
  </si>
  <si>
    <t xml:space="preserve">EP-10000684</t>
  </si>
  <si>
    <t xml:space="preserve">EP-10000685</t>
  </si>
  <si>
    <t xml:space="preserve">EP-10000686</t>
  </si>
  <si>
    <t xml:space="preserve">EP-10000687</t>
  </si>
  <si>
    <t xml:space="preserve">EP-10000688</t>
  </si>
  <si>
    <t xml:space="preserve">EP-10000689</t>
  </si>
  <si>
    <t xml:space="preserve">EP-10000690</t>
  </si>
  <si>
    <t xml:space="preserve">EP-10000691</t>
  </si>
  <si>
    <t xml:space="preserve">EP-10000692</t>
  </si>
  <si>
    <t xml:space="preserve">EP-10000693</t>
  </si>
  <si>
    <t xml:space="preserve">EP-10000694</t>
  </si>
  <si>
    <t xml:space="preserve">EP-10000695</t>
  </si>
  <si>
    <t xml:space="preserve">EP-10000696</t>
  </si>
  <si>
    <t xml:space="preserve">EP-10000697</t>
  </si>
  <si>
    <t xml:space="preserve">EP-10000698</t>
  </si>
  <si>
    <t xml:space="preserve">EP-10000699</t>
  </si>
  <si>
    <t xml:space="preserve">EP-10000700</t>
  </si>
  <si>
    <t xml:space="preserve">EP-10000701</t>
  </si>
  <si>
    <t xml:space="preserve">EP-10000702</t>
  </si>
  <si>
    <t xml:space="preserve">EP-10000703</t>
  </si>
  <si>
    <t xml:space="preserve">EP-10000704</t>
  </si>
  <si>
    <t xml:space="preserve">EP-10000705</t>
  </si>
  <si>
    <t xml:space="preserve">EP-10000706</t>
  </si>
  <si>
    <t xml:space="preserve">3953767242</t>
  </si>
  <si>
    <t xml:space="preserve">EP-10000707</t>
  </si>
  <si>
    <t xml:space="preserve">EP-10000708</t>
  </si>
  <si>
    <t xml:space="preserve">5786527858</t>
  </si>
  <si>
    <t xml:space="preserve">EP-10000709</t>
  </si>
  <si>
    <t xml:space="preserve">EP-10000710</t>
  </si>
  <si>
    <t xml:space="preserve">EP-10000711</t>
  </si>
  <si>
    <t xml:space="preserve">2587139718</t>
  </si>
  <si>
    <t xml:space="preserve">EP-10000712</t>
  </si>
  <si>
    <t xml:space="preserve">EP-10000713</t>
  </si>
  <si>
    <t xml:space="preserve">EP-10000714</t>
  </si>
  <si>
    <t xml:space="preserve">EP-10000715</t>
  </si>
  <si>
    <t xml:space="preserve">EP-10000716</t>
  </si>
  <si>
    <t xml:space="preserve">EP-10000717</t>
  </si>
  <si>
    <t xml:space="preserve">EP-10000718</t>
  </si>
  <si>
    <t xml:space="preserve">EP-10000719</t>
  </si>
  <si>
    <t xml:space="preserve">EP-10000720</t>
  </si>
  <si>
    <t xml:space="preserve">EP-10000721</t>
  </si>
  <si>
    <t xml:space="preserve">EP-10000722</t>
  </si>
  <si>
    <t xml:space="preserve">EP-10000723</t>
  </si>
  <si>
    <t xml:space="preserve">EP-10000724</t>
  </si>
  <si>
    <t xml:space="preserve">EP-10000725</t>
  </si>
  <si>
    <t xml:space="preserve">6688263435</t>
  </si>
  <si>
    <t xml:space="preserve">EP-10000726</t>
  </si>
  <si>
    <t xml:space="preserve">7840369003</t>
  </si>
  <si>
    <t xml:space="preserve">EP-10000727</t>
  </si>
  <si>
    <t xml:space="preserve">3030548687</t>
  </si>
  <si>
    <t xml:space="preserve">EP-10000728</t>
  </si>
  <si>
    <t xml:space="preserve">EP-10000729</t>
  </si>
  <si>
    <t xml:space="preserve">5289539264</t>
  </si>
  <si>
    <t xml:space="preserve">EP-10000730</t>
  </si>
  <si>
    <t xml:space="preserve">EP-10000731</t>
  </si>
  <si>
    <t xml:space="preserve">EP-10000732</t>
  </si>
  <si>
    <t xml:space="preserve">EP-10000733</t>
  </si>
  <si>
    <t xml:space="preserve">EP-10000734</t>
  </si>
  <si>
    <t xml:space="preserve">EP-10000735</t>
  </si>
  <si>
    <t xml:space="preserve">EP-10000736</t>
  </si>
  <si>
    <t xml:space="preserve">EP-10000737</t>
  </si>
  <si>
    <t xml:space="preserve">EP-10000738</t>
  </si>
  <si>
    <t xml:space="preserve">EP-10000739</t>
  </si>
  <si>
    <t xml:space="preserve">5262181599</t>
  </si>
  <si>
    <t xml:space="preserve">EP-10000740</t>
  </si>
  <si>
    <t xml:space="preserve">EP-10000741</t>
  </si>
  <si>
    <t xml:space="preserve">EP-10000742</t>
  </si>
  <si>
    <t xml:space="preserve">EP-10000743</t>
  </si>
  <si>
    <t xml:space="preserve">EP-10000744</t>
  </si>
  <si>
    <t xml:space="preserve">EP-10000745</t>
  </si>
  <si>
    <t xml:space="preserve">3116566701</t>
  </si>
  <si>
    <t xml:space="preserve">EP-10000746</t>
  </si>
  <si>
    <t xml:space="preserve">EP-10000747</t>
  </si>
  <si>
    <t xml:space="preserve">3119079030</t>
  </si>
  <si>
    <t xml:space="preserve">EP-10000748</t>
  </si>
  <si>
    <t xml:space="preserve">0025787298</t>
  </si>
  <si>
    <t xml:space="preserve">EP-10000749</t>
  </si>
  <si>
    <t xml:space="preserve">EP-10000750</t>
  </si>
  <si>
    <t xml:space="preserve">EP-10000751</t>
  </si>
  <si>
    <t xml:space="preserve">EP-10000752</t>
  </si>
  <si>
    <t xml:space="preserve">EP-10000753</t>
  </si>
  <si>
    <t xml:space="preserve">EP-10000754</t>
  </si>
  <si>
    <t xml:space="preserve">EP-10000755</t>
  </si>
  <si>
    <t xml:space="preserve">EP-10000756</t>
  </si>
  <si>
    <t xml:space="preserve">EP-10000757</t>
  </si>
  <si>
    <t xml:space="preserve">EP-10000758</t>
  </si>
  <si>
    <t xml:space="preserve">EP-10000759</t>
  </si>
  <si>
    <t xml:space="preserve">EP-10000760</t>
  </si>
  <si>
    <t xml:space="preserve">EP-10000761</t>
  </si>
  <si>
    <t xml:space="preserve">8557444313</t>
  </si>
  <si>
    <t xml:space="preserve">EP-10000762</t>
  </si>
  <si>
    <t xml:space="preserve">6676527758</t>
  </si>
  <si>
    <t xml:space="preserve">EP-10000763</t>
  </si>
  <si>
    <t xml:space="preserve">EP-10000764</t>
  </si>
  <si>
    <t xml:space="preserve">EP-10000765</t>
  </si>
  <si>
    <t xml:space="preserve">EP-10000766</t>
  </si>
  <si>
    <t xml:space="preserve">EP-10000767</t>
  </si>
  <si>
    <t xml:space="preserve">EP-10000768</t>
  </si>
  <si>
    <t xml:space="preserve">EP-10000769</t>
  </si>
  <si>
    <t xml:space="preserve">EP-10000770</t>
  </si>
  <si>
    <t xml:space="preserve">EP-10000771</t>
  </si>
  <si>
    <t xml:space="preserve">EP-10000772</t>
  </si>
  <si>
    <t xml:space="preserve">EP-10000773</t>
  </si>
  <si>
    <t xml:space="preserve">EP-10000774</t>
  </si>
  <si>
    <t xml:space="preserve">EP-10000775</t>
  </si>
  <si>
    <t xml:space="preserve">EP-10000776</t>
  </si>
  <si>
    <t xml:space="preserve">0758181412</t>
  </si>
  <si>
    <t xml:space="preserve">EP-10000777</t>
  </si>
  <si>
    <t xml:space="preserve">EP-10000778</t>
  </si>
  <si>
    <t xml:space="preserve">EP-10000779</t>
  </si>
  <si>
    <t xml:space="preserve">EP-10000780</t>
  </si>
  <si>
    <t xml:space="preserve">EP-10000781</t>
  </si>
  <si>
    <t xml:space="preserve">EP-10000782</t>
  </si>
  <si>
    <t xml:space="preserve">EP-10000783</t>
  </si>
  <si>
    <t xml:space="preserve">EP-10000784</t>
  </si>
  <si>
    <t xml:space="preserve">EP-10000785</t>
  </si>
  <si>
    <t xml:space="preserve">EP-10000786</t>
  </si>
  <si>
    <t xml:space="preserve">EP-10000787</t>
  </si>
  <si>
    <t xml:space="preserve">EP-10000788</t>
  </si>
  <si>
    <t xml:space="preserve">EP-10000789</t>
  </si>
  <si>
    <t xml:space="preserve">EP-10000790</t>
  </si>
  <si>
    <t xml:space="preserve">0998616229</t>
  </si>
  <si>
    <t xml:space="preserve">EP-10000791</t>
  </si>
  <si>
    <t xml:space="preserve">EP-10000792</t>
  </si>
  <si>
    <t xml:space="preserve">EP-10000793</t>
  </si>
  <si>
    <t xml:space="preserve">EP-10000794</t>
  </si>
  <si>
    <t xml:space="preserve">EP-10000795</t>
  </si>
  <si>
    <t xml:space="preserve">7271551884</t>
  </si>
  <si>
    <t xml:space="preserve">EP-10000796</t>
  </si>
  <si>
    <t xml:space="preserve">EP-10000797</t>
  </si>
  <si>
    <t xml:space="preserve">EP-10000798</t>
  </si>
  <si>
    <t xml:space="preserve">EP-10000799</t>
  </si>
  <si>
    <t xml:space="preserve">EP-10000800</t>
  </si>
  <si>
    <t xml:space="preserve">EP-10000801</t>
  </si>
  <si>
    <t xml:space="preserve">EP-10000802</t>
  </si>
  <si>
    <t xml:space="preserve">EP-10000803</t>
  </si>
  <si>
    <t xml:space="preserve">EP-10000804</t>
  </si>
  <si>
    <t xml:space="preserve">EP-10000805</t>
  </si>
  <si>
    <t xml:space="preserve">EP-10000806</t>
  </si>
  <si>
    <t xml:space="preserve">EP-10000807</t>
  </si>
  <si>
    <t xml:space="preserve">EP-10000808</t>
  </si>
  <si>
    <t xml:space="preserve">EP-10000809</t>
  </si>
  <si>
    <t xml:space="preserve">EP-10000810</t>
  </si>
  <si>
    <t xml:space="preserve">EP-10000811</t>
  </si>
  <si>
    <t xml:space="preserve">EP-10000812</t>
  </si>
  <si>
    <t xml:space="preserve">October 9 2024</t>
  </si>
  <si>
    <t xml:space="preserve">EP-10000813</t>
  </si>
  <si>
    <t xml:space="preserve">4270103930</t>
  </si>
  <si>
    <t xml:space="preserve">EP-10000814</t>
  </si>
  <si>
    <t xml:space="preserve">November 20 2024</t>
  </si>
  <si>
    <t xml:space="preserve">EP-10000815</t>
  </si>
  <si>
    <t xml:space="preserve">EP-10000816</t>
  </si>
  <si>
    <t xml:space="preserve">EP-10000817</t>
  </si>
  <si>
    <t xml:space="preserve">0515220472</t>
  </si>
  <si>
    <t xml:space="preserve">EP-10000818</t>
  </si>
  <si>
    <t xml:space="preserve">EP-10000819</t>
  </si>
  <si>
    <t xml:space="preserve">5820297021</t>
  </si>
  <si>
    <t xml:space="preserve">EP-10000820</t>
  </si>
  <si>
    <t xml:space="preserve">EP-10000821</t>
  </si>
  <si>
    <t xml:space="preserve">2513542784</t>
  </si>
  <si>
    <t xml:space="preserve">EP-10000822</t>
  </si>
  <si>
    <t xml:space="preserve">EP-10000823</t>
  </si>
  <si>
    <t xml:space="preserve">EP-10000824</t>
  </si>
  <si>
    <t xml:space="preserve">EP-10000825</t>
  </si>
  <si>
    <t xml:space="preserve">EP-10000826</t>
  </si>
  <si>
    <t xml:space="preserve">EP-10000827</t>
  </si>
  <si>
    <t xml:space="preserve">EP-10000828</t>
  </si>
  <si>
    <t xml:space="preserve">EP-10000829</t>
  </si>
  <si>
    <t xml:space="preserve">EP-10000830</t>
  </si>
  <si>
    <t xml:space="preserve">EP-10000831</t>
  </si>
  <si>
    <t xml:space="preserve">EP-10000832</t>
  </si>
  <si>
    <t xml:space="preserve">EP-10000833</t>
  </si>
  <si>
    <t xml:space="preserve">EP-10000834</t>
  </si>
  <si>
    <t xml:space="preserve">4714345581</t>
  </si>
  <si>
    <t xml:space="preserve">EP-10000835</t>
  </si>
  <si>
    <t xml:space="preserve">EP-10000836</t>
  </si>
  <si>
    <t xml:space="preserve">4216073375</t>
  </si>
  <si>
    <t xml:space="preserve">EP-10000837</t>
  </si>
  <si>
    <t xml:space="preserve">2994680443</t>
  </si>
  <si>
    <t xml:space="preserve">EP-10000838</t>
  </si>
  <si>
    <t xml:space="preserve">0047113826</t>
  </si>
  <si>
    <t xml:space="preserve">EP-10000839</t>
  </si>
  <si>
    <t xml:space="preserve">EP-10000840</t>
  </si>
  <si>
    <t xml:space="preserve">EP-10000841</t>
  </si>
  <si>
    <t xml:space="preserve">EP-10000842</t>
  </si>
  <si>
    <t xml:space="preserve">EP-10000843</t>
  </si>
  <si>
    <t xml:space="preserve">EP-10000844</t>
  </si>
  <si>
    <t xml:space="preserve">EP-10000845</t>
  </si>
  <si>
    <t xml:space="preserve">EP-10000846</t>
  </si>
  <si>
    <t xml:space="preserve">EP-10000847</t>
  </si>
  <si>
    <t xml:space="preserve">EP-10000848</t>
  </si>
  <si>
    <t xml:space="preserve">9855241406</t>
  </si>
  <si>
    <t xml:space="preserve">EP-10000849</t>
  </si>
  <si>
    <t xml:space="preserve">EP-10000850</t>
  </si>
  <si>
    <t xml:space="preserve">W-08</t>
  </si>
  <si>
    <t xml:space="preserve">EP-10000851</t>
  </si>
  <si>
    <t xml:space="preserve">EP-10000852</t>
  </si>
  <si>
    <t xml:space="preserve">EP-10000853</t>
  </si>
  <si>
    <t xml:space="preserve">EP-10000854</t>
  </si>
  <si>
    <t xml:space="preserve">EP-10000855</t>
  </si>
  <si>
    <t xml:space="preserve">EP-10000856</t>
  </si>
  <si>
    <t xml:space="preserve">EP-10000857</t>
  </si>
  <si>
    <t xml:space="preserve">4316117240</t>
  </si>
  <si>
    <t xml:space="preserve">EP-10000858</t>
  </si>
  <si>
    <t xml:space="preserve">EP-10000859</t>
  </si>
  <si>
    <t xml:space="preserve">EP-10000860</t>
  </si>
  <si>
    <t xml:space="preserve">EP-10000861</t>
  </si>
  <si>
    <t xml:space="preserve">EP-10000862</t>
  </si>
  <si>
    <t xml:space="preserve">EP-10000863</t>
  </si>
  <si>
    <t xml:space="preserve">EP-10000864</t>
  </si>
  <si>
    <t xml:space="preserve">EP-10000865</t>
  </si>
  <si>
    <t xml:space="preserve">EP-10000866</t>
  </si>
  <si>
    <t xml:space="preserve">EP-10000867</t>
  </si>
  <si>
    <t xml:space="preserve">EP-10000868</t>
  </si>
  <si>
    <t xml:space="preserve">EP-10000869</t>
  </si>
  <si>
    <t xml:space="preserve">EP-10000870</t>
  </si>
  <si>
    <t xml:space="preserve">EP-10000871</t>
  </si>
  <si>
    <t xml:space="preserve">EP-10000872</t>
  </si>
  <si>
    <t xml:space="preserve">EP-10000873</t>
  </si>
  <si>
    <t xml:space="preserve">EP-10000874</t>
  </si>
  <si>
    <t xml:space="preserve">EP-10000875</t>
  </si>
  <si>
    <t xml:space="preserve">EP-10000876</t>
  </si>
  <si>
    <t xml:space="preserve">EP-10000877</t>
  </si>
  <si>
    <t xml:space="preserve">EP-10000878</t>
  </si>
  <si>
    <t xml:space="preserve">EP-10000879</t>
  </si>
  <si>
    <t xml:space="preserve">EP-10000880</t>
  </si>
  <si>
    <t xml:space="preserve">EP-10000881</t>
  </si>
  <si>
    <t xml:space="preserve">EP-10000882</t>
  </si>
  <si>
    <t xml:space="preserve">EP-10000883</t>
  </si>
  <si>
    <t xml:space="preserve">EP-10000884</t>
  </si>
  <si>
    <t xml:space="preserve">EP-10000885</t>
  </si>
  <si>
    <t xml:space="preserve">EP-10000886</t>
  </si>
  <si>
    <t xml:space="preserve">EP-10000887</t>
  </si>
  <si>
    <t xml:space="preserve">EP-10000888</t>
  </si>
  <si>
    <t xml:space="preserve">1146786691</t>
  </si>
  <si>
    <t xml:space="preserve">EP-10000889</t>
  </si>
  <si>
    <t xml:space="preserve">7896118367</t>
  </si>
  <si>
    <t xml:space="preserve">EP-10000890</t>
  </si>
  <si>
    <t xml:space="preserve">EP-10000891</t>
  </si>
  <si>
    <t xml:space="preserve">EP-10000892</t>
  </si>
  <si>
    <t xml:space="preserve">EP-10000893</t>
  </si>
  <si>
    <t xml:space="preserve">EP-10000894</t>
  </si>
  <si>
    <t xml:space="preserve">EP-10000895</t>
  </si>
  <si>
    <t xml:space="preserve">EP-10000896</t>
  </si>
  <si>
    <t xml:space="preserve">EP-10000897</t>
  </si>
  <si>
    <t xml:space="preserve">EP-10000898</t>
  </si>
  <si>
    <t xml:space="preserve">5604945198</t>
  </si>
  <si>
    <t xml:space="preserve">EP-10000899</t>
  </si>
  <si>
    <t xml:space="preserve">EP-10000900</t>
  </si>
  <si>
    <t xml:space="preserve">EP-10000901</t>
  </si>
  <si>
    <t xml:space="preserve">EP-10000902</t>
  </si>
  <si>
    <t xml:space="preserve">EP-10000903</t>
  </si>
  <si>
    <t xml:space="preserve">EP-10000904</t>
  </si>
  <si>
    <t xml:space="preserve">EP-10000905</t>
  </si>
  <si>
    <t xml:space="preserve">EP-10000906</t>
  </si>
  <si>
    <t xml:space="preserve">EP-10000907</t>
  </si>
  <si>
    <t xml:space="preserve">EP-10000908</t>
  </si>
  <si>
    <t xml:space="preserve">EP-10000909</t>
  </si>
  <si>
    <t xml:space="preserve">EP-10000910</t>
  </si>
  <si>
    <t xml:space="preserve">EP-10000911</t>
  </si>
  <si>
    <t xml:space="preserve">EP-10000912</t>
  </si>
  <si>
    <t xml:space="preserve">EP-10000913</t>
  </si>
  <si>
    <t xml:space="preserve">6738302843</t>
  </si>
  <si>
    <t xml:space="preserve">EP-10000914</t>
  </si>
  <si>
    <t xml:space="preserve">EP-10000915</t>
  </si>
  <si>
    <t xml:space="preserve">EP-10000916</t>
  </si>
  <si>
    <t xml:space="preserve">EP-10000917</t>
  </si>
  <si>
    <t xml:space="preserve">EP-10000918</t>
  </si>
  <si>
    <t xml:space="preserve">EP-10000919</t>
  </si>
  <si>
    <t xml:space="preserve">EP-10000920</t>
  </si>
  <si>
    <t xml:space="preserve">EP-10000921</t>
  </si>
  <si>
    <t xml:space="preserve">EP-10000922</t>
  </si>
  <si>
    <t xml:space="preserve">EP-10000923</t>
  </si>
  <si>
    <t xml:space="preserve">EP-10000924</t>
  </si>
  <si>
    <t xml:space="preserve">EP-10000925</t>
  </si>
  <si>
    <t xml:space="preserve">EP-10000926</t>
  </si>
  <si>
    <t xml:space="preserve">EP-10000927</t>
  </si>
  <si>
    <t xml:space="preserve">EP-10000928</t>
  </si>
  <si>
    <t xml:space="preserve">EP-10000929</t>
  </si>
  <si>
    <t xml:space="preserve">EP-10000930</t>
  </si>
  <si>
    <t xml:space="preserve">5254599102</t>
  </si>
  <si>
    <t xml:space="preserve">EP-10000931</t>
  </si>
  <si>
    <t xml:space="preserve">9190586518</t>
  </si>
  <si>
    <t xml:space="preserve">EP-10000932</t>
  </si>
  <si>
    <t xml:space="preserve">EP-10000933</t>
  </si>
  <si>
    <t xml:space="preserve">EP-10000934</t>
  </si>
  <si>
    <t xml:space="preserve">EP-10000935</t>
  </si>
  <si>
    <t xml:space="preserve">5623285884</t>
  </si>
  <si>
    <t xml:space="preserve">EP-10000936</t>
  </si>
  <si>
    <t xml:space="preserve">EP-10000937</t>
  </si>
  <si>
    <t xml:space="preserve">EP-10000938</t>
  </si>
  <si>
    <t xml:space="preserve">EP-10000939</t>
  </si>
  <si>
    <t xml:space="preserve">EP-10000940</t>
  </si>
  <si>
    <t xml:space="preserve">EP-10000941</t>
  </si>
  <si>
    <t xml:space="preserve">EP-10000942</t>
  </si>
  <si>
    <t xml:space="preserve">EP-10000943</t>
  </si>
  <si>
    <t xml:space="preserve">EP-10000944</t>
  </si>
  <si>
    <t xml:space="preserve">EP-10000945</t>
  </si>
  <si>
    <t xml:space="preserve">EP-10000946</t>
  </si>
  <si>
    <t xml:space="preserve">EP-10000947</t>
  </si>
  <si>
    <t xml:space="preserve">EP-10000948</t>
  </si>
  <si>
    <t xml:space="preserve">EP-10000949</t>
  </si>
  <si>
    <t xml:space="preserve">EP-10000950</t>
  </si>
  <si>
    <t xml:space="preserve">EP-10000951</t>
  </si>
  <si>
    <t xml:space="preserve">EP-10000952</t>
  </si>
  <si>
    <t xml:space="preserve">8486661889</t>
  </si>
  <si>
    <t xml:space="preserve">EP-10000953</t>
  </si>
  <si>
    <t xml:space="preserve">EP-10000954</t>
  </si>
  <si>
    <t xml:space="preserve">EP-10000955</t>
  </si>
  <si>
    <t xml:space="preserve">EP-10000956</t>
  </si>
  <si>
    <t xml:space="preserve">EP-10000957</t>
  </si>
  <si>
    <t xml:space="preserve">EP-10000958</t>
  </si>
  <si>
    <t xml:space="preserve">EP-10000959</t>
  </si>
  <si>
    <t xml:space="preserve">EP-10000960</t>
  </si>
  <si>
    <t xml:space="preserve">EP-10000961</t>
  </si>
  <si>
    <t xml:space="preserve">EP-10000962</t>
  </si>
  <si>
    <t xml:space="preserve">EP-10000963</t>
  </si>
  <si>
    <t xml:space="preserve">EP-10000964</t>
  </si>
  <si>
    <t xml:space="preserve">EP-10000965</t>
  </si>
  <si>
    <t xml:space="preserve">3322141888</t>
  </si>
  <si>
    <t xml:space="preserve">EP-10000966</t>
  </si>
  <si>
    <t xml:space="preserve">EP-10000967</t>
  </si>
  <si>
    <t xml:space="preserve">EP-10000968</t>
  </si>
  <si>
    <t xml:space="preserve">EP-10000969</t>
  </si>
  <si>
    <t xml:space="preserve">EP-10000970</t>
  </si>
  <si>
    <t xml:space="preserve">EP-10000971</t>
  </si>
  <si>
    <t xml:space="preserve">EP-10000972</t>
  </si>
  <si>
    <t xml:space="preserve">EP-10000973</t>
  </si>
  <si>
    <t xml:space="preserve">EP-10000974</t>
  </si>
  <si>
    <t xml:space="preserve">EP-10000975</t>
  </si>
  <si>
    <t xml:space="preserve">EP-10000976</t>
  </si>
  <si>
    <t xml:space="preserve">EP-10000977</t>
  </si>
  <si>
    <t xml:space="preserve">EP-10000978</t>
  </si>
  <si>
    <t xml:space="preserve">EP-10000979</t>
  </si>
  <si>
    <t xml:space="preserve">EP-10000980</t>
  </si>
  <si>
    <t xml:space="preserve">EP-10000981</t>
  </si>
  <si>
    <t xml:space="preserve">EP-10000982</t>
  </si>
  <si>
    <t xml:space="preserve">EP-10000983</t>
  </si>
  <si>
    <t xml:space="preserve">2059304078</t>
  </si>
  <si>
    <t xml:space="preserve">EP-10000984</t>
  </si>
  <si>
    <t xml:space="preserve">EP-10000985</t>
  </si>
  <si>
    <t xml:space="preserve">5299124190</t>
  </si>
  <si>
    <t xml:space="preserve">EP-10000986</t>
  </si>
  <si>
    <t xml:space="preserve">1182339845</t>
  </si>
  <si>
    <t xml:space="preserve">EP-10000987</t>
  </si>
  <si>
    <t xml:space="preserve">EP-10000988</t>
  </si>
  <si>
    <t xml:space="preserve">EP-10000989</t>
  </si>
  <si>
    <t xml:space="preserve">EP-10000990</t>
  </si>
  <si>
    <t xml:space="preserve">EP-10000991</t>
  </si>
  <si>
    <t xml:space="preserve">EP-10000992</t>
  </si>
  <si>
    <t xml:space="preserve">EP-10000993</t>
  </si>
  <si>
    <t xml:space="preserve">EP-10000994</t>
  </si>
  <si>
    <t xml:space="preserve">EP-10000995</t>
  </si>
  <si>
    <t xml:space="preserve">EP-10000996</t>
  </si>
  <si>
    <t xml:space="preserve">EP-10000997</t>
  </si>
  <si>
    <t xml:space="preserve">EP-10000998</t>
  </si>
  <si>
    <t xml:space="preserve">EP-10000999</t>
  </si>
  <si>
    <t xml:space="preserve">EP-10001000</t>
  </si>
  <si>
    <t xml:space="preserve">EP-10001001</t>
  </si>
  <si>
    <t xml:space="preserve">EP-10001002</t>
  </si>
  <si>
    <t xml:space="preserve">EP-10001003</t>
  </si>
  <si>
    <t xml:space="preserve">EP-10001004</t>
  </si>
  <si>
    <t xml:space="preserve">EP-10001005</t>
  </si>
  <si>
    <t xml:space="preserve">EP-10001006</t>
  </si>
  <si>
    <t xml:space="preserve">EP-10001007</t>
  </si>
  <si>
    <t xml:space="preserve">EP-10001008</t>
  </si>
  <si>
    <t xml:space="preserve">4043842797</t>
  </si>
  <si>
    <t xml:space="preserve">EP-10001009</t>
  </si>
  <si>
    <t xml:space="preserve">EP-10001010</t>
  </si>
  <si>
    <t xml:space="preserve">EP-10001011</t>
  </si>
  <si>
    <t xml:space="preserve">EP-10001012</t>
  </si>
  <si>
    <t xml:space="preserve">EP-10001013</t>
  </si>
  <si>
    <t xml:space="preserve">EP-10001014</t>
  </si>
  <si>
    <t xml:space="preserve">EP-10001015</t>
  </si>
  <si>
    <t xml:space="preserve">EP-10001016</t>
  </si>
  <si>
    <t xml:space="preserve">EP-10001017</t>
  </si>
  <si>
    <t xml:space="preserve">EP-10001018</t>
  </si>
  <si>
    <t xml:space="preserve">EP-10001019</t>
  </si>
  <si>
    <t xml:space="preserve">EP-10001020</t>
  </si>
  <si>
    <t xml:space="preserve">EP-10001021</t>
  </si>
  <si>
    <t xml:space="preserve">EP-10001022</t>
  </si>
  <si>
    <t xml:space="preserve">9911914856</t>
  </si>
  <si>
    <t xml:space="preserve">EP-10001023</t>
  </si>
  <si>
    <t xml:space="preserve">EP-10001024</t>
  </si>
  <si>
    <t xml:space="preserve">EP-10001025</t>
  </si>
  <si>
    <t xml:space="preserve">EP-10001026</t>
  </si>
  <si>
    <t xml:space="preserve">EP-10001027</t>
  </si>
  <si>
    <t xml:space="preserve">EP-10001028</t>
  </si>
  <si>
    <t xml:space="preserve">EP-10001029</t>
  </si>
  <si>
    <t xml:space="preserve">EP-10001030</t>
  </si>
  <si>
    <t xml:space="preserve">EP-10001031</t>
  </si>
  <si>
    <t xml:space="preserve">EP-10001032</t>
  </si>
  <si>
    <t xml:space="preserve">EP-10001033</t>
  </si>
  <si>
    <t xml:space="preserve">EP-10001034</t>
  </si>
  <si>
    <t xml:space="preserve">EP-10001035</t>
  </si>
  <si>
    <t xml:space="preserve">EP-10001036</t>
  </si>
  <si>
    <t xml:space="preserve">EP-10001037</t>
  </si>
  <si>
    <t xml:space="preserve">EP-10001038</t>
  </si>
  <si>
    <t xml:space="preserve">6258815371</t>
  </si>
  <si>
    <t xml:space="preserve">EP-10001039</t>
  </si>
  <si>
    <t xml:space="preserve">7836134074</t>
  </si>
  <si>
    <t xml:space="preserve">EP-10001040</t>
  </si>
  <si>
    <t xml:space="preserve">EP-10001041</t>
  </si>
  <si>
    <t xml:space="preserve">EP-10001042</t>
  </si>
  <si>
    <t xml:space="preserve">EP-10001043</t>
  </si>
  <si>
    <t xml:space="preserve">EP-10001044</t>
  </si>
  <si>
    <t xml:space="preserve">EP-10001045</t>
  </si>
  <si>
    <t xml:space="preserve">EP-10001046</t>
  </si>
  <si>
    <t xml:space="preserve">EP-10001047</t>
  </si>
  <si>
    <t xml:space="preserve">EP-10001048</t>
  </si>
  <si>
    <t xml:space="preserve">EP-10001049</t>
  </si>
  <si>
    <t xml:space="preserve">EP-10001050</t>
  </si>
  <si>
    <t xml:space="preserve">EP-10001051</t>
  </si>
  <si>
    <t xml:space="preserve">EP-10001052</t>
  </si>
  <si>
    <t xml:space="preserve">EP-10001053</t>
  </si>
  <si>
    <t xml:space="preserve">EP-10001054</t>
  </si>
  <si>
    <t xml:space="preserve">EP-10001055</t>
  </si>
  <si>
    <t xml:space="preserve">EP-10001056</t>
  </si>
  <si>
    <t xml:space="preserve">EP-10001057</t>
  </si>
  <si>
    <t xml:space="preserve">4959310341</t>
  </si>
  <si>
    <t xml:space="preserve">EP-10001058</t>
  </si>
  <si>
    <t xml:space="preserve">EP-10001059</t>
  </si>
  <si>
    <t xml:space="preserve">EP-10001060</t>
  </si>
  <si>
    <t xml:space="preserve">EP-10001061</t>
  </si>
  <si>
    <t xml:space="preserve">EP-10001062</t>
  </si>
  <si>
    <t xml:space="preserve">EP-10001063</t>
  </si>
  <si>
    <t xml:space="preserve">EP-10001064</t>
  </si>
  <si>
    <t xml:space="preserve">EP-10001065</t>
  </si>
  <si>
    <t xml:space="preserve">EP-10001066</t>
  </si>
  <si>
    <t xml:space="preserve">EP-10001067</t>
  </si>
  <si>
    <t xml:space="preserve">EP-10001068</t>
  </si>
  <si>
    <t xml:space="preserve">EP-10001069</t>
  </si>
  <si>
    <t xml:space="preserve">EP-10001070</t>
  </si>
  <si>
    <t xml:space="preserve">EP-10001071</t>
  </si>
  <si>
    <t xml:space="preserve">EP-10001072</t>
  </si>
  <si>
    <t xml:space="preserve">EP-10001073</t>
  </si>
  <si>
    <t xml:space="preserve">EP-10001074</t>
  </si>
  <si>
    <t xml:space="preserve">EP-10001075</t>
  </si>
  <si>
    <t xml:space="preserve">EP-10001076</t>
  </si>
  <si>
    <t xml:space="preserve">EP-10001077</t>
  </si>
  <si>
    <t xml:space="preserve">9013983735</t>
  </si>
  <si>
    <t xml:space="preserve">EP-10001078</t>
  </si>
  <si>
    <t xml:space="preserve">EP-10001079</t>
  </si>
  <si>
    <t xml:space="preserve">0937966033</t>
  </si>
  <si>
    <t xml:space="preserve">EP-10001080</t>
  </si>
  <si>
    <t xml:space="preserve">EP-10001081</t>
  </si>
  <si>
    <t xml:space="preserve">EP-10001082</t>
  </si>
  <si>
    <t xml:space="preserve">EP-10001083</t>
  </si>
  <si>
    <t xml:space="preserve">EP-10001084</t>
  </si>
  <si>
    <t xml:space="preserve">EP-10001085</t>
  </si>
  <si>
    <t xml:space="preserve">EP-10001086</t>
  </si>
  <si>
    <t xml:space="preserve">EP-10001087</t>
  </si>
  <si>
    <t xml:space="preserve">EP-10001088</t>
  </si>
  <si>
    <t xml:space="preserve">EP-10001089</t>
  </si>
  <si>
    <t xml:space="preserve">EP-10001090</t>
  </si>
  <si>
    <t xml:space="preserve">EP-10001091</t>
  </si>
  <si>
    <t xml:space="preserve">EP-10001092</t>
  </si>
  <si>
    <t xml:space="preserve">EP-10001093</t>
  </si>
  <si>
    <t xml:space="preserve">EP-10001094</t>
  </si>
  <si>
    <t xml:space="preserve">EP-10001095</t>
  </si>
  <si>
    <t xml:space="preserve">EP-10001096</t>
  </si>
  <si>
    <t xml:space="preserve">EP-10001097</t>
  </si>
  <si>
    <t xml:space="preserve">EP-10001098</t>
  </si>
  <si>
    <t xml:space="preserve">EP-10001099</t>
  </si>
  <si>
    <t xml:space="preserve">2512868230</t>
  </si>
  <si>
    <t xml:space="preserve">EP-10001100</t>
  </si>
  <si>
    <t xml:space="preserve">EP-10001101</t>
  </si>
  <si>
    <t xml:space="preserve">EP-10001102</t>
  </si>
  <si>
    <t xml:space="preserve">EP-10001103</t>
  </si>
  <si>
    <t xml:space="preserve">EP-10001104</t>
  </si>
  <si>
    <t xml:space="preserve">EP-10001105</t>
  </si>
  <si>
    <t xml:space="preserve">EP-10001106</t>
  </si>
  <si>
    <t xml:space="preserve">EP-10001107</t>
  </si>
  <si>
    <t xml:space="preserve">EP-10001108</t>
  </si>
  <si>
    <t xml:space="preserve">EP-10001109</t>
  </si>
  <si>
    <t xml:space="preserve">EP-10001110</t>
  </si>
  <si>
    <t xml:space="preserve">EP-10001111</t>
  </si>
  <si>
    <t xml:space="preserve">EP-10001112</t>
  </si>
  <si>
    <t xml:space="preserve">EP-10001113</t>
  </si>
  <si>
    <t xml:space="preserve">EP-10001114</t>
  </si>
  <si>
    <t xml:space="preserve">EP-10001115</t>
  </si>
  <si>
    <t xml:space="preserve">EP-10001116</t>
  </si>
  <si>
    <t xml:space="preserve">EP-10001117</t>
  </si>
  <si>
    <t xml:space="preserve">EP-10001118</t>
  </si>
  <si>
    <t xml:space="preserve">EP-10001119</t>
  </si>
  <si>
    <t xml:space="preserve">EP-10001120</t>
  </si>
  <si>
    <t xml:space="preserve">EP-10001121</t>
  </si>
  <si>
    <t xml:space="preserve">EP-10001122</t>
  </si>
  <si>
    <t xml:space="preserve">EP-10001123</t>
  </si>
  <si>
    <t xml:space="preserve">EP-10001124</t>
  </si>
  <si>
    <t xml:space="preserve">3568044206</t>
  </si>
  <si>
    <t xml:space="preserve">EP-10001125</t>
  </si>
  <si>
    <t xml:space="preserve">EP-10001126</t>
  </si>
  <si>
    <t xml:space="preserve">EP-10001127</t>
  </si>
  <si>
    <t xml:space="preserve">EP-10001128</t>
  </si>
  <si>
    <t xml:space="preserve">EP-10001129</t>
  </si>
  <si>
    <t xml:space="preserve">EP-10001130</t>
  </si>
  <si>
    <t xml:space="preserve">EP-10001131</t>
  </si>
  <si>
    <t xml:space="preserve">2914865281</t>
  </si>
  <si>
    <t xml:space="preserve">EP-10001132</t>
  </si>
  <si>
    <t xml:space="preserve">EP-10001133</t>
  </si>
  <si>
    <t xml:space="preserve">EP-10001134</t>
  </si>
  <si>
    <t xml:space="preserve">EP-10001135</t>
  </si>
  <si>
    <t xml:space="preserve">EP-10001136</t>
  </si>
  <si>
    <t xml:space="preserve">EP-10001137</t>
  </si>
  <si>
    <t xml:space="preserve">EP-10001138</t>
  </si>
  <si>
    <t xml:space="preserve">EP-10001139</t>
  </si>
  <si>
    <t xml:space="preserve">EP-10001140</t>
  </si>
  <si>
    <t xml:space="preserve">EP-10001141</t>
  </si>
  <si>
    <t xml:space="preserve">6093204899</t>
  </si>
  <si>
    <t xml:space="preserve">EP-10001142</t>
  </si>
  <si>
    <t xml:space="preserve">EP-10001143</t>
  </si>
  <si>
    <t xml:space="preserve">0244550229</t>
  </si>
  <si>
    <t xml:space="preserve">EP-10001144</t>
  </si>
  <si>
    <t xml:space="preserve">EP-10001145</t>
  </si>
  <si>
    <t xml:space="preserve">EP-10001146</t>
  </si>
  <si>
    <t xml:space="preserve">EP-10001147</t>
  </si>
  <si>
    <t xml:space="preserve">EP-10001148</t>
  </si>
  <si>
    <t xml:space="preserve">EP-10001149</t>
  </si>
  <si>
    <t xml:space="preserve">EP-10001150</t>
  </si>
  <si>
    <t xml:space="preserve">EP-10001151</t>
  </si>
  <si>
    <t xml:space="preserve">EP-10001152</t>
  </si>
  <si>
    <t xml:space="preserve">EP-10001153</t>
  </si>
  <si>
    <t xml:space="preserve">EP-10001154</t>
  </si>
  <si>
    <t xml:space="preserve">EP-10001155</t>
  </si>
  <si>
    <t xml:space="preserve">8593174612</t>
  </si>
  <si>
    <t xml:space="preserve">EP-10001156</t>
  </si>
  <si>
    <t xml:space="preserve">EP-10001157</t>
  </si>
  <si>
    <t xml:space="preserve">9212779979</t>
  </si>
  <si>
    <t xml:space="preserve">EP-10001158</t>
  </si>
  <si>
    <t xml:space="preserve">EP-10001159</t>
  </si>
  <si>
    <t xml:space="preserve">1177589178</t>
  </si>
  <si>
    <t xml:space="preserve">EP-10001160</t>
  </si>
  <si>
    <t xml:space="preserve">EP-10001161</t>
  </si>
  <si>
    <t xml:space="preserve">EP-10001162</t>
  </si>
  <si>
    <t xml:space="preserve">EP-10001163</t>
  </si>
  <si>
    <t xml:space="preserve">EP-10001164</t>
  </si>
  <si>
    <t xml:space="preserve">EP-10001165</t>
  </si>
  <si>
    <t xml:space="preserve">EP-10001166</t>
  </si>
  <si>
    <t xml:space="preserve">2880957015</t>
  </si>
  <si>
    <t xml:space="preserve">EP-10001167</t>
  </si>
  <si>
    <t xml:space="preserve">EP-10001168</t>
  </si>
  <si>
    <t xml:space="preserve">EP-10001169</t>
  </si>
  <si>
    <t xml:space="preserve">EP-10001170</t>
  </si>
  <si>
    <t xml:space="preserve">EP-10001171</t>
  </si>
  <si>
    <t xml:space="preserve">5526965827</t>
  </si>
  <si>
    <t xml:space="preserve">EP-10001172</t>
  </si>
  <si>
    <t xml:space="preserve">EP-10001173</t>
  </si>
  <si>
    <t xml:space="preserve">6413836702</t>
  </si>
  <si>
    <t xml:space="preserve">EP-10001174</t>
  </si>
  <si>
    <t xml:space="preserve">EP-10001175</t>
  </si>
  <si>
    <t xml:space="preserve">EP-10001176</t>
  </si>
  <si>
    <t xml:space="preserve">EP-10001177</t>
  </si>
  <si>
    <t xml:space="preserve">December 19 2024</t>
  </si>
  <si>
    <t xml:space="preserve">EP-10001178</t>
  </si>
  <si>
    <t xml:space="preserve">EP-10001179</t>
  </si>
  <si>
    <t xml:space="preserve">EP-10001180</t>
  </si>
  <si>
    <t xml:space="preserve">EP-10001181</t>
  </si>
  <si>
    <t xml:space="preserve">EP-10001182</t>
  </si>
  <si>
    <t xml:space="preserve">EP-10001183</t>
  </si>
  <si>
    <t xml:space="preserve">EP-10001184</t>
  </si>
  <si>
    <t xml:space="preserve">EP-10001185</t>
  </si>
  <si>
    <t xml:space="preserve">EP-10001186</t>
  </si>
  <si>
    <t xml:space="preserve">EP-10001187</t>
  </si>
  <si>
    <t xml:space="preserve">EP-10001188</t>
  </si>
  <si>
    <t xml:space="preserve">EP-10001189</t>
  </si>
  <si>
    <t xml:space="preserve">EP-10001190</t>
  </si>
  <si>
    <t xml:space="preserve">EP-10001191</t>
  </si>
  <si>
    <t xml:space="preserve">EP-10001192</t>
  </si>
  <si>
    <t xml:space="preserve">EP-10001193</t>
  </si>
  <si>
    <t xml:space="preserve">EP-10001194</t>
  </si>
  <si>
    <t xml:space="preserve">8393352904</t>
  </si>
  <si>
    <t xml:space="preserve">EP-10001195</t>
  </si>
  <si>
    <t xml:space="preserve">EP-10001196</t>
  </si>
  <si>
    <t xml:space="preserve">EP-10001197</t>
  </si>
  <si>
    <t xml:space="preserve">0029218515</t>
  </si>
  <si>
    <t xml:space="preserve">EP-10001198</t>
  </si>
  <si>
    <t xml:space="preserve">EP-10001199</t>
  </si>
  <si>
    <t xml:space="preserve">EP-10001200</t>
  </si>
  <si>
    <t xml:space="preserve">Calc_ED_Minutes</t>
  </si>
  <si>
    <t xml:space="preserve">Duplicate_Flag</t>
  </si>
  <si>
    <t xml:space="preserve">Calc_Breach</t>
  </si>
  <si>
    <t xml:space="preserve">ED-7000001</t>
  </si>
  <si>
    <t xml:space="preserve">2961112422</t>
  </si>
  <si>
    <t xml:space="preserve">11:47</t>
  </si>
  <si>
    <t xml:space="preserve">12:37</t>
  </si>
  <si>
    <t xml:space="preserve">15:14</t>
  </si>
  <si>
    <t xml:space="preserve">DISC</t>
  </si>
  <si>
    <t xml:space="preserve">Fall</t>
  </si>
  <si>
    <t xml:space="preserve">NONE</t>
  </si>
  <si>
    <t xml:space="preserve">ED-7000002</t>
  </si>
  <si>
    <t xml:space="preserve">6881973699</t>
  </si>
  <si>
    <t xml:space="preserve">23:07</t>
  </si>
  <si>
    <t xml:space="preserve">01:32</t>
  </si>
  <si>
    <t xml:space="preserve">02:29</t>
  </si>
  <si>
    <t xml:space="preserve">abdominal pain</t>
  </si>
  <si>
    <t xml:space="preserve">ED-7000003</t>
  </si>
  <si>
    <t xml:space="preserve">5801030738</t>
  </si>
  <si>
    <t xml:space="preserve">16:29</t>
  </si>
  <si>
    <t xml:space="preserve">19:13</t>
  </si>
  <si>
    <t xml:space="preserve">17:03</t>
  </si>
  <si>
    <t xml:space="preserve">LEFT</t>
  </si>
  <si>
    <t xml:space="preserve">CHEST PAIN</t>
  </si>
  <si>
    <t xml:space="preserve">ED-7000004</t>
  </si>
  <si>
    <t xml:space="preserve">5054324636</t>
  </si>
  <si>
    <t xml:space="preserve">02:19</t>
  </si>
  <si>
    <t xml:space="preserve">04:01</t>
  </si>
  <si>
    <t xml:space="preserve">03:33</t>
  </si>
  <si>
    <t xml:space="preserve">Overdose</t>
  </si>
  <si>
    <t xml:space="preserve">ED-7000005</t>
  </si>
  <si>
    <t xml:space="preserve">7657963974</t>
  </si>
  <si>
    <t xml:space="preserve">22:21</t>
  </si>
  <si>
    <t xml:space="preserve">23:37</t>
  </si>
  <si>
    <t xml:space="preserve">01:21</t>
  </si>
  <si>
    <t xml:space="preserve">Vomiting</t>
  </si>
  <si>
    <t xml:space="preserve">ED-7000006</t>
  </si>
  <si>
    <t xml:space="preserve">6519803788</t>
  </si>
  <si>
    <t xml:space="preserve">00:22</t>
  </si>
  <si>
    <t xml:space="preserve">02:15</t>
  </si>
  <si>
    <t xml:space="preserve">02:26</t>
  </si>
  <si>
    <t xml:space="preserve">SEIZURE</t>
  </si>
  <si>
    <t xml:space="preserve">ED-7000007</t>
  </si>
  <si>
    <t xml:space="preserve">11:43</t>
  </si>
  <si>
    <t xml:space="preserve">13:07</t>
  </si>
  <si>
    <t xml:space="preserve">14:06</t>
  </si>
  <si>
    <t xml:space="preserve">overdose</t>
  </si>
  <si>
    <t xml:space="preserve">ED-7000008</t>
  </si>
  <si>
    <t xml:space="preserve">3368746373</t>
  </si>
  <si>
    <t xml:space="preserve">03:10</t>
  </si>
  <si>
    <t xml:space="preserve">03:56</t>
  </si>
  <si>
    <t xml:space="preserve">04:39</t>
  </si>
  <si>
    <t xml:space="preserve">ADM</t>
  </si>
  <si>
    <t xml:space="preserve">vomiting</t>
  </si>
  <si>
    <t xml:space="preserve">ED-7000009</t>
  </si>
  <si>
    <t xml:space="preserve">22:27</t>
  </si>
  <si>
    <t xml:space="preserve">23:19</t>
  </si>
  <si>
    <t xml:space="preserve">23:09</t>
  </si>
  <si>
    <t xml:space="preserve">Back Pain</t>
  </si>
  <si>
    <t xml:space="preserve">ED-7000010</t>
  </si>
  <si>
    <t xml:space="preserve">6745287732</t>
  </si>
  <si>
    <t xml:space="preserve">06:24</t>
  </si>
  <si>
    <t xml:space="preserve">07:02</t>
  </si>
  <si>
    <t xml:space="preserve">07:20</t>
  </si>
  <si>
    <t xml:space="preserve">ED-7000011</t>
  </si>
  <si>
    <t xml:space="preserve">8020572130</t>
  </si>
  <si>
    <t xml:space="preserve">00:42</t>
  </si>
  <si>
    <t xml:space="preserve">01:11</t>
  </si>
  <si>
    <t xml:space="preserve">01:31</t>
  </si>
  <si>
    <t xml:space="preserve">ED-7000012</t>
  </si>
  <si>
    <t xml:space="preserve">3566844537</t>
  </si>
  <si>
    <t xml:space="preserve">11:02</t>
  </si>
  <si>
    <t xml:space="preserve">14:33</t>
  </si>
  <si>
    <t xml:space="preserve">20:40</t>
  </si>
  <si>
    <t xml:space="preserve">COLLAPSE</t>
  </si>
  <si>
    <t xml:space="preserve">ED-7000013</t>
  </si>
  <si>
    <t xml:space="preserve">5802869654</t>
  </si>
  <si>
    <t xml:space="preserve">22:23</t>
  </si>
  <si>
    <t xml:space="preserve">23:16</t>
  </si>
  <si>
    <t xml:space="preserve">02:05</t>
  </si>
  <si>
    <t xml:space="preserve">shortness of breath</t>
  </si>
  <si>
    <t xml:space="preserve">ED-7000014</t>
  </si>
  <si>
    <t xml:space="preserve">6502459662</t>
  </si>
  <si>
    <t xml:space="preserve">19:08</t>
  </si>
  <si>
    <t xml:space="preserve">19:28</t>
  </si>
  <si>
    <t xml:space="preserve">02:32</t>
  </si>
  <si>
    <t xml:space="preserve">seizure</t>
  </si>
  <si>
    <t xml:space="preserve">ED-7000015</t>
  </si>
  <si>
    <t xml:space="preserve">3830288835</t>
  </si>
  <si>
    <t xml:space="preserve">01:46</t>
  </si>
  <si>
    <t xml:space="preserve">02:28</t>
  </si>
  <si>
    <t xml:space="preserve">03:52</t>
  </si>
  <si>
    <t xml:space="preserve">ED-7000016</t>
  </si>
  <si>
    <t xml:space="preserve">3647176418</t>
  </si>
  <si>
    <t xml:space="preserve">10:35</t>
  </si>
  <si>
    <t xml:space="preserve">13:29</t>
  </si>
  <si>
    <t xml:space="preserve">15:25</t>
  </si>
  <si>
    <t xml:space="preserve">ED-7000017</t>
  </si>
  <si>
    <t xml:space="preserve">0817196486</t>
  </si>
  <si>
    <t xml:space="preserve">18:58</t>
  </si>
  <si>
    <t xml:space="preserve">21:10</t>
  </si>
  <si>
    <t xml:space="preserve">20:34</t>
  </si>
  <si>
    <t xml:space="preserve">back pain</t>
  </si>
  <si>
    <t xml:space="preserve">ED-7000018</t>
  </si>
  <si>
    <t xml:space="preserve">1200176347</t>
  </si>
  <si>
    <t xml:space="preserve">3:53 PM</t>
  </si>
  <si>
    <t xml:space="preserve">17:32</t>
  </si>
  <si>
    <t xml:space="preserve">18:01</t>
  </si>
  <si>
    <t xml:space="preserve">Head Injury</t>
  </si>
  <si>
    <t xml:space="preserve">ED-7000019</t>
  </si>
  <si>
    <t xml:space="preserve">5331064224</t>
  </si>
  <si>
    <t xml:space="preserve">21:33</t>
  </si>
  <si>
    <t xml:space="preserve">22:20</t>
  </si>
  <si>
    <t xml:space="preserve">22:33</t>
  </si>
  <si>
    <t xml:space="preserve">Abdominal Pain</t>
  </si>
  <si>
    <t xml:space="preserve">ED-7000020</t>
  </si>
  <si>
    <t xml:space="preserve">0512833004</t>
  </si>
  <si>
    <t xml:space="preserve">12:13 AM</t>
  </si>
  <si>
    <t xml:space="preserve">02:10</t>
  </si>
  <si>
    <t xml:space="preserve">00:43</t>
  </si>
  <si>
    <t xml:space="preserve">ED-7000021</t>
  </si>
  <si>
    <t xml:space="preserve">1782327517</t>
  </si>
  <si>
    <t xml:space="preserve">04:47</t>
  </si>
  <si>
    <t xml:space="preserve">04:49</t>
  </si>
  <si>
    <t xml:space="preserve">05:30</t>
  </si>
  <si>
    <t xml:space="preserve">head injury</t>
  </si>
  <si>
    <t xml:space="preserve">ED-7000022</t>
  </si>
  <si>
    <t xml:space="preserve">6247522766</t>
  </si>
  <si>
    <t xml:space="preserve">21:54</t>
  </si>
  <si>
    <t xml:space="preserve">01:38</t>
  </si>
  <si>
    <t xml:space="preserve">FALL</t>
  </si>
  <si>
    <t xml:space="preserve">ED-7000023</t>
  </si>
  <si>
    <t xml:space="preserve">6862058534</t>
  </si>
  <si>
    <t xml:space="preserve">22:15</t>
  </si>
  <si>
    <t xml:space="preserve">00:27</t>
  </si>
  <si>
    <t xml:space="preserve">01:28</t>
  </si>
  <si>
    <t xml:space="preserve">STROKE</t>
  </si>
  <si>
    <t xml:space="preserve">ED-7000024</t>
  </si>
  <si>
    <t xml:space="preserve">7854933496</t>
  </si>
  <si>
    <t xml:space="preserve">05:03</t>
  </si>
  <si>
    <t xml:space="preserve">07:10</t>
  </si>
  <si>
    <t xml:space="preserve">fever</t>
  </si>
  <si>
    <t xml:space="preserve">ED-7000025</t>
  </si>
  <si>
    <t xml:space="preserve">04:42</t>
  </si>
  <si>
    <t xml:space="preserve">08:35</t>
  </si>
  <si>
    <t xml:space="preserve">05:50</t>
  </si>
  <si>
    <t xml:space="preserve">PALPITATIONS</t>
  </si>
  <si>
    <t xml:space="preserve">ED-7000026</t>
  </si>
  <si>
    <t xml:space="preserve">1671103134</t>
  </si>
  <si>
    <t xml:space="preserve">21:26</t>
  </si>
  <si>
    <t xml:space="preserve">22:14</t>
  </si>
  <si>
    <t xml:space="preserve">06:55</t>
  </si>
  <si>
    <t xml:space="preserve">ED-7000027</t>
  </si>
  <si>
    <t xml:space="preserve">1192742786</t>
  </si>
  <si>
    <t xml:space="preserve">02:22</t>
  </si>
  <si>
    <t xml:space="preserve">02:24</t>
  </si>
  <si>
    <t xml:space="preserve">03:05</t>
  </si>
  <si>
    <t xml:space="preserve">ED-7000028</t>
  </si>
  <si>
    <t xml:space="preserve">1062069153</t>
  </si>
  <si>
    <t xml:space="preserve">09:35</t>
  </si>
  <si>
    <t xml:space="preserve">10:52</t>
  </si>
  <si>
    <t xml:space="preserve">FRACTURE</t>
  </si>
  <si>
    <t xml:space="preserve">ED-7000029</t>
  </si>
  <si>
    <t xml:space="preserve">6312789138</t>
  </si>
  <si>
    <t xml:space="preserve">12:53</t>
  </si>
  <si>
    <t xml:space="preserve">14:43</t>
  </si>
  <si>
    <t xml:space="preserve">20:41</t>
  </si>
  <si>
    <t xml:space="preserve">ED-7000030</t>
  </si>
  <si>
    <t xml:space="preserve">04:24</t>
  </si>
  <si>
    <t xml:space="preserve">04:15</t>
  </si>
  <si>
    <t xml:space="preserve">ED-7000031</t>
  </si>
  <si>
    <t xml:space="preserve">3250026805</t>
  </si>
  <si>
    <t xml:space="preserve">05:05</t>
  </si>
  <si>
    <t xml:space="preserve">04:50</t>
  </si>
  <si>
    <t xml:space="preserve">ED-7000032</t>
  </si>
  <si>
    <t xml:space="preserve">5259077982</t>
  </si>
  <si>
    <t xml:space="preserve">03:25</t>
  </si>
  <si>
    <t xml:space="preserve">03:47</t>
  </si>
  <si>
    <t xml:space="preserve">05:29</t>
  </si>
  <si>
    <t xml:space="preserve">ED-7000033</t>
  </si>
  <si>
    <t xml:space="preserve">9687897192</t>
  </si>
  <si>
    <t xml:space="preserve">23:00</t>
  </si>
  <si>
    <t xml:space="preserve">00:24</t>
  </si>
  <si>
    <t xml:space="preserve">01:45</t>
  </si>
  <si>
    <t xml:space="preserve">Stroke Symptoms</t>
  </si>
  <si>
    <t xml:space="preserve">ED-7000034</t>
  </si>
  <si>
    <t xml:space="preserve">6649561827</t>
  </si>
  <si>
    <t xml:space="preserve">05:42</t>
  </si>
  <si>
    <t xml:space="preserve">06:40</t>
  </si>
  <si>
    <t xml:space="preserve">09:07</t>
  </si>
  <si>
    <t xml:space="preserve">ED-7000035</t>
  </si>
  <si>
    <t xml:space="preserve">2469973653</t>
  </si>
  <si>
    <t xml:space="preserve">13:47</t>
  </si>
  <si>
    <t xml:space="preserve">14:21</t>
  </si>
  <si>
    <t xml:space="preserve">14:49</t>
  </si>
  <si>
    <t xml:space="preserve">ED-7000036</t>
  </si>
  <si>
    <t xml:space="preserve">9370642122</t>
  </si>
  <si>
    <t xml:space="preserve">23:40</t>
  </si>
  <si>
    <t xml:space="preserve">02:12</t>
  </si>
  <si>
    <t xml:space="preserve">01:15</t>
  </si>
  <si>
    <t xml:space="preserve">ED-7000037</t>
  </si>
  <si>
    <t xml:space="preserve">7310060530</t>
  </si>
  <si>
    <t xml:space="preserve">13:13</t>
  </si>
  <si>
    <t xml:space="preserve">17:47</t>
  </si>
  <si>
    <t xml:space="preserve">14:45</t>
  </si>
  <si>
    <t xml:space="preserve">Chest Pain</t>
  </si>
  <si>
    <t xml:space="preserve">ED-7000038</t>
  </si>
  <si>
    <t xml:space="preserve">7972183780</t>
  </si>
  <si>
    <t xml:space="preserve">11:35</t>
  </si>
  <si>
    <t xml:space="preserve">11:56</t>
  </si>
  <si>
    <t xml:space="preserve">13:28</t>
  </si>
  <si>
    <t xml:space="preserve">fall</t>
  </si>
  <si>
    <t xml:space="preserve">ED-7000039</t>
  </si>
  <si>
    <t xml:space="preserve">2108560544</t>
  </si>
  <si>
    <t xml:space="preserve">15:23</t>
  </si>
  <si>
    <t xml:space="preserve">20:07</t>
  </si>
  <si>
    <t xml:space="preserve">16:25</t>
  </si>
  <si>
    <t xml:space="preserve">ED-7000040</t>
  </si>
  <si>
    <t xml:space="preserve">06:49</t>
  </si>
  <si>
    <t xml:space="preserve">08:17</t>
  </si>
  <si>
    <t xml:space="preserve">ED-7000041</t>
  </si>
  <si>
    <t xml:space="preserve">6688134595</t>
  </si>
  <si>
    <t xml:space="preserve">05:02</t>
  </si>
  <si>
    <t xml:space="preserve">06:35</t>
  </si>
  <si>
    <t xml:space="preserve">06:15</t>
  </si>
  <si>
    <t xml:space="preserve">VOMITING</t>
  </si>
  <si>
    <t xml:space="preserve">ED-7000042</t>
  </si>
  <si>
    <t xml:space="preserve">10:14</t>
  </si>
  <si>
    <t xml:space="preserve">14:03</t>
  </si>
  <si>
    <t xml:space="preserve">10:48</t>
  </si>
  <si>
    <t xml:space="preserve">ED-7000043</t>
  </si>
  <si>
    <t xml:space="preserve">0274755553</t>
  </si>
  <si>
    <t xml:space="preserve">13:22</t>
  </si>
  <si>
    <t xml:space="preserve">17:18</t>
  </si>
  <si>
    <t xml:space="preserve">laceration</t>
  </si>
  <si>
    <t xml:space="preserve">ED-7000044</t>
  </si>
  <si>
    <t xml:space="preserve">10:29</t>
  </si>
  <si>
    <t xml:space="preserve">11:37</t>
  </si>
  <si>
    <t xml:space="preserve">14:27</t>
  </si>
  <si>
    <t xml:space="preserve">ED-7000045</t>
  </si>
  <si>
    <t xml:space="preserve">9416104776</t>
  </si>
  <si>
    <t xml:space="preserve">08:16</t>
  </si>
  <si>
    <t xml:space="preserve">10:57</t>
  </si>
  <si>
    <t xml:space="preserve">14:37</t>
  </si>
  <si>
    <t xml:space="preserve">ED-7000046</t>
  </si>
  <si>
    <t xml:space="preserve">20:35</t>
  </si>
  <si>
    <t xml:space="preserve">21:52</t>
  </si>
  <si>
    <t xml:space="preserve">ED-7000047</t>
  </si>
  <si>
    <t xml:space="preserve">5768684551</t>
  </si>
  <si>
    <t xml:space="preserve">04:51</t>
  </si>
  <si>
    <t xml:space="preserve">06:42</t>
  </si>
  <si>
    <t xml:space="preserve">06:26</t>
  </si>
  <si>
    <t xml:space="preserve">cut</t>
  </si>
  <si>
    <t xml:space="preserve">ED-7000048</t>
  </si>
  <si>
    <t xml:space="preserve">3816568553</t>
  </si>
  <si>
    <t xml:space="preserve">20:27</t>
  </si>
  <si>
    <t xml:space="preserve">00:01</t>
  </si>
  <si>
    <t xml:space="preserve">ED-7000049</t>
  </si>
  <si>
    <t xml:space="preserve">9065286303</t>
  </si>
  <si>
    <t xml:space="preserve">17:21</t>
  </si>
  <si>
    <t xml:space="preserve">19:56</t>
  </si>
  <si>
    <t xml:space="preserve">ED-7000050</t>
  </si>
  <si>
    <t xml:space="preserve">1211925595</t>
  </si>
  <si>
    <t xml:space="preserve">14:59</t>
  </si>
  <si>
    <t xml:space="preserve">17:49</t>
  </si>
  <si>
    <t xml:space="preserve">15:58</t>
  </si>
  <si>
    <t xml:space="preserve">ED-7000051</t>
  </si>
  <si>
    <t xml:space="preserve">6937162617</t>
  </si>
  <si>
    <t xml:space="preserve">21:36</t>
  </si>
  <si>
    <t xml:space="preserve">00:18</t>
  </si>
  <si>
    <t xml:space="preserve">01:06</t>
  </si>
  <si>
    <t xml:space="preserve">ED-7000052</t>
  </si>
  <si>
    <t xml:space="preserve">6650321868</t>
  </si>
  <si>
    <t xml:space="preserve">16:28</t>
  </si>
  <si>
    <t xml:space="preserve">20:17</t>
  </si>
  <si>
    <t xml:space="preserve">19:55</t>
  </si>
  <si>
    <t xml:space="preserve">ED-7000053</t>
  </si>
  <si>
    <t xml:space="preserve">2261941338</t>
  </si>
  <si>
    <t xml:space="preserve">06:56</t>
  </si>
  <si>
    <t xml:space="preserve">07:39</t>
  </si>
  <si>
    <t xml:space="preserve">ED-7000054</t>
  </si>
  <si>
    <t xml:space="preserve">0867129356</t>
  </si>
  <si>
    <t xml:space="preserve">05:01</t>
  </si>
  <si>
    <t xml:space="preserve">06:44</t>
  </si>
  <si>
    <t xml:space="preserve">08:37</t>
  </si>
  <si>
    <t xml:space="preserve">ED-7000055</t>
  </si>
  <si>
    <t xml:space="preserve">2737340942</t>
  </si>
  <si>
    <t xml:space="preserve">00:56</t>
  </si>
  <si>
    <t xml:space="preserve">03:23</t>
  </si>
  <si>
    <t xml:space="preserve">02:56</t>
  </si>
  <si>
    <t xml:space="preserve">UTI symptoms</t>
  </si>
  <si>
    <t xml:space="preserve">ED-7000056</t>
  </si>
  <si>
    <t xml:space="preserve">5210884334</t>
  </si>
  <si>
    <t xml:space="preserve">00:20</t>
  </si>
  <si>
    <t xml:space="preserve">01:05</t>
  </si>
  <si>
    <t xml:space="preserve">04:03</t>
  </si>
  <si>
    <t xml:space="preserve">fracture</t>
  </si>
  <si>
    <t xml:space="preserve">ED-7000057</t>
  </si>
  <si>
    <t xml:space="preserve">4831034591</t>
  </si>
  <si>
    <t xml:space="preserve">12:39</t>
  </si>
  <si>
    <t xml:space="preserve">13:38</t>
  </si>
  <si>
    <t xml:space="preserve">ED-7000058</t>
  </si>
  <si>
    <t xml:space="preserve">3537217004</t>
  </si>
  <si>
    <t xml:space="preserve">15:52</t>
  </si>
  <si>
    <t xml:space="preserve">17:33</t>
  </si>
  <si>
    <t xml:space="preserve">20:51</t>
  </si>
  <si>
    <t xml:space="preserve">urinary symptoms</t>
  </si>
  <si>
    <t xml:space="preserve">ED-7000059</t>
  </si>
  <si>
    <t xml:space="preserve">1736971111</t>
  </si>
  <si>
    <t xml:space="preserve">10:44</t>
  </si>
  <si>
    <t xml:space="preserve">12:18</t>
  </si>
  <si>
    <t xml:space="preserve">ED-7000060</t>
  </si>
  <si>
    <t xml:space="preserve">DIALLO</t>
  </si>
  <si>
    <t xml:space="preserve">14:46</t>
  </si>
  <si>
    <t xml:space="preserve">18:55</t>
  </si>
  <si>
    <t xml:space="preserve">ED-7000061</t>
  </si>
  <si>
    <t xml:space="preserve">06:27</t>
  </si>
  <si>
    <t xml:space="preserve">06:36</t>
  </si>
  <si>
    <t xml:space="preserve">10:07</t>
  </si>
  <si>
    <t xml:space="preserve">palpitations</t>
  </si>
  <si>
    <t xml:space="preserve">ED-7000062</t>
  </si>
  <si>
    <t xml:space="preserve">6530453042</t>
  </si>
  <si>
    <t xml:space="preserve">12:25</t>
  </si>
  <si>
    <t xml:space="preserve">13:26</t>
  </si>
  <si>
    <t xml:space="preserve">ED-7000063</t>
  </si>
  <si>
    <t xml:space="preserve">03:03</t>
  </si>
  <si>
    <t xml:space="preserve">04:57</t>
  </si>
  <si>
    <t xml:space="preserve">11:40</t>
  </si>
  <si>
    <t xml:space="preserve">ED-7000064</t>
  </si>
  <si>
    <t xml:space="preserve">2093576529</t>
  </si>
  <si>
    <t xml:space="preserve">03:02</t>
  </si>
  <si>
    <t xml:space="preserve">02:31</t>
  </si>
  <si>
    <t xml:space="preserve">FEVER</t>
  </si>
  <si>
    <t xml:space="preserve">ED-7000065</t>
  </si>
  <si>
    <t xml:space="preserve">18:37</t>
  </si>
  <si>
    <t xml:space="preserve">19:04</t>
  </si>
  <si>
    <t xml:space="preserve">20:14</t>
  </si>
  <si>
    <t xml:space="preserve">ED-7000066</t>
  </si>
  <si>
    <t xml:space="preserve">4668328603</t>
  </si>
  <si>
    <t xml:space="preserve">20:13</t>
  </si>
  <si>
    <t xml:space="preserve">00:09</t>
  </si>
  <si>
    <t xml:space="preserve">ED-7000067</t>
  </si>
  <si>
    <t xml:space="preserve">07:57</t>
  </si>
  <si>
    <t xml:space="preserve">10:42</t>
  </si>
  <si>
    <t xml:space="preserve">09:59</t>
  </si>
  <si>
    <t xml:space="preserve">ED-7000068</t>
  </si>
  <si>
    <t xml:space="preserve">2260185845</t>
  </si>
  <si>
    <t xml:space="preserve">09:14</t>
  </si>
  <si>
    <t xml:space="preserve">11:17</t>
  </si>
  <si>
    <t xml:space="preserve">ED-7000069</t>
  </si>
  <si>
    <t xml:space="preserve">2034601120</t>
  </si>
  <si>
    <t xml:space="preserve">22:07</t>
  </si>
  <si>
    <t xml:space="preserve">00:28</t>
  </si>
  <si>
    <t xml:space="preserve">ED-7000070</t>
  </si>
  <si>
    <t xml:space="preserve">10:25</t>
  </si>
  <si>
    <t xml:space="preserve">12:16</t>
  </si>
  <si>
    <t xml:space="preserve">13:39</t>
  </si>
  <si>
    <t xml:space="preserve">ED-7000071</t>
  </si>
  <si>
    <t xml:space="preserve">06:18</t>
  </si>
  <si>
    <t xml:space="preserve">08:46</t>
  </si>
  <si>
    <t xml:space="preserve">ED-7000072</t>
  </si>
  <si>
    <t xml:space="preserve">4198254530</t>
  </si>
  <si>
    <t xml:space="preserve">20:20</t>
  </si>
  <si>
    <t xml:space="preserve">21:06</t>
  </si>
  <si>
    <t xml:space="preserve">21:15</t>
  </si>
  <si>
    <t xml:space="preserve">Seizure</t>
  </si>
  <si>
    <t xml:space="preserve">ED-7000073</t>
  </si>
  <si>
    <t xml:space="preserve">02:27</t>
  </si>
  <si>
    <t xml:space="preserve">03:48</t>
  </si>
  <si>
    <t xml:space="preserve">ED-7000074</t>
  </si>
  <si>
    <t xml:space="preserve">0030339338</t>
  </si>
  <si>
    <t xml:space="preserve">04:38</t>
  </si>
  <si>
    <t xml:space="preserve">11:29</t>
  </si>
  <si>
    <t xml:space="preserve">Fracture</t>
  </si>
  <si>
    <t xml:space="preserve">ED-7000075</t>
  </si>
  <si>
    <t xml:space="preserve">4842742358</t>
  </si>
  <si>
    <t xml:space="preserve">10:03</t>
  </si>
  <si>
    <t xml:space="preserve">16:23</t>
  </si>
  <si>
    <t xml:space="preserve">ED-7000076</t>
  </si>
  <si>
    <t xml:space="preserve">17:27</t>
  </si>
  <si>
    <t xml:space="preserve">21:07</t>
  </si>
  <si>
    <t xml:space="preserve">Laceration</t>
  </si>
  <si>
    <t xml:space="preserve">ED-7000077</t>
  </si>
  <si>
    <t xml:space="preserve">2787994879</t>
  </si>
  <si>
    <t xml:space="preserve">12:52</t>
  </si>
  <si>
    <t xml:space="preserve">14:42</t>
  </si>
  <si>
    <t xml:space="preserve">16:05</t>
  </si>
  <si>
    <t xml:space="preserve">ED-7000078</t>
  </si>
  <si>
    <t xml:space="preserve">5894719029</t>
  </si>
  <si>
    <t xml:space="preserve">02:51</t>
  </si>
  <si>
    <t xml:space="preserve">05:59</t>
  </si>
  <si>
    <t xml:space="preserve">04:26</t>
  </si>
  <si>
    <t xml:space="preserve">ED-7000079</t>
  </si>
  <si>
    <t xml:space="preserve">13:15</t>
  </si>
  <si>
    <t xml:space="preserve">14:51</t>
  </si>
  <si>
    <t xml:space="preserve">15:01</t>
  </si>
  <si>
    <t xml:space="preserve">ED-7000080</t>
  </si>
  <si>
    <t xml:space="preserve">2723267745</t>
  </si>
  <si>
    <t xml:space="preserve">15:49</t>
  </si>
  <si>
    <t xml:space="preserve">12:29</t>
  </si>
  <si>
    <t xml:space="preserve">Shortness of Breath</t>
  </si>
  <si>
    <t xml:space="preserve">ED-7000081</t>
  </si>
  <si>
    <t xml:space="preserve">11:32</t>
  </si>
  <si>
    <t xml:space="preserve">12:19</t>
  </si>
  <si>
    <t xml:space="preserve">15:02</t>
  </si>
  <si>
    <t xml:space="preserve">ED-7000082</t>
  </si>
  <si>
    <t xml:space="preserve">4462224088</t>
  </si>
  <si>
    <t xml:space="preserve">08:51</t>
  </si>
  <si>
    <t xml:space="preserve">Collapse</t>
  </si>
  <si>
    <t xml:space="preserve">ED-7000083</t>
  </si>
  <si>
    <t xml:space="preserve">15:26</t>
  </si>
  <si>
    <t xml:space="preserve">15:37</t>
  </si>
  <si>
    <t xml:space="preserve">19:02</t>
  </si>
  <si>
    <t xml:space="preserve">ED-7000084</t>
  </si>
  <si>
    <t xml:space="preserve">14:48</t>
  </si>
  <si>
    <t xml:space="preserve">15:44</t>
  </si>
  <si>
    <t xml:space="preserve">16:51</t>
  </si>
  <si>
    <t xml:space="preserve">ED-7000085</t>
  </si>
  <si>
    <t xml:space="preserve">16:08</t>
  </si>
  <si>
    <t xml:space="preserve">17:48</t>
  </si>
  <si>
    <t xml:space="preserve">16:43</t>
  </si>
  <si>
    <t xml:space="preserve">ED-7000086</t>
  </si>
  <si>
    <t xml:space="preserve">21:21</t>
  </si>
  <si>
    <t xml:space="preserve">21:24</t>
  </si>
  <si>
    <t xml:space="preserve">SOB</t>
  </si>
  <si>
    <t xml:space="preserve">ED-7000087</t>
  </si>
  <si>
    <t xml:space="preserve">15:27</t>
  </si>
  <si>
    <t xml:space="preserve">ED-7000088</t>
  </si>
  <si>
    <t xml:space="preserve">6518116296</t>
  </si>
  <si>
    <t xml:space="preserve">12:40</t>
  </si>
  <si>
    <t xml:space="preserve">14:16</t>
  </si>
  <si>
    <t xml:space="preserve">16:04</t>
  </si>
  <si>
    <t xml:space="preserve">ED-7000089</t>
  </si>
  <si>
    <t xml:space="preserve">1186953531</t>
  </si>
  <si>
    <t xml:space="preserve">07:26</t>
  </si>
  <si>
    <t xml:space="preserve">08:20</t>
  </si>
  <si>
    <t xml:space="preserve">09:24</t>
  </si>
  <si>
    <t xml:space="preserve">ED-7000090</t>
  </si>
  <si>
    <t xml:space="preserve">9870917999</t>
  </si>
  <si>
    <t xml:space="preserve">19:54</t>
  </si>
  <si>
    <t xml:space="preserve">03:50</t>
  </si>
  <si>
    <t xml:space="preserve">ED-7000091</t>
  </si>
  <si>
    <t xml:space="preserve">6566658120</t>
  </si>
  <si>
    <t xml:space="preserve">08:42</t>
  </si>
  <si>
    <t xml:space="preserve">09:57</t>
  </si>
  <si>
    <t xml:space="preserve">11:51</t>
  </si>
  <si>
    <t xml:space="preserve">ED-7000092</t>
  </si>
  <si>
    <t xml:space="preserve">1503465807</t>
  </si>
  <si>
    <t xml:space="preserve">17:11</t>
  </si>
  <si>
    <t xml:space="preserve">18:41</t>
  </si>
  <si>
    <t xml:space="preserve">ED-7000093</t>
  </si>
  <si>
    <t xml:space="preserve">7233589236</t>
  </si>
  <si>
    <t xml:space="preserve">01:37</t>
  </si>
  <si>
    <t xml:space="preserve">03:09</t>
  </si>
  <si>
    <t xml:space="preserve">ED-7000094</t>
  </si>
  <si>
    <t xml:space="preserve">2374884839</t>
  </si>
  <si>
    <t xml:space="preserve">08:52</t>
  </si>
  <si>
    <t xml:space="preserve">11:42</t>
  </si>
  <si>
    <t xml:space="preserve">ED-7000095</t>
  </si>
  <si>
    <t xml:space="preserve">4716649470</t>
  </si>
  <si>
    <t xml:space="preserve">12:51</t>
  </si>
  <si>
    <t xml:space="preserve">15:42</t>
  </si>
  <si>
    <t xml:space="preserve">14:22</t>
  </si>
  <si>
    <t xml:space="preserve">ED-7000096</t>
  </si>
  <si>
    <t xml:space="preserve">14:15</t>
  </si>
  <si>
    <t xml:space="preserve">collapse</t>
  </si>
  <si>
    <t xml:space="preserve">ED-7000097</t>
  </si>
  <si>
    <t xml:space="preserve">5638210023</t>
  </si>
  <si>
    <t xml:space="preserve">08:41</t>
  </si>
  <si>
    <t xml:space="preserve">ED-7000098</t>
  </si>
  <si>
    <t xml:space="preserve">19:33</t>
  </si>
  <si>
    <t xml:space="preserve">22:02</t>
  </si>
  <si>
    <t xml:space="preserve">ED-7000099</t>
  </si>
  <si>
    <t xml:space="preserve">8329951008</t>
  </si>
  <si>
    <t xml:space="preserve">07:49</t>
  </si>
  <si>
    <t xml:space="preserve">ED-7000100</t>
  </si>
  <si>
    <t xml:space="preserve">19:32</t>
  </si>
  <si>
    <t xml:space="preserve">21:32</t>
  </si>
  <si>
    <t xml:space="preserve">stroke symptoms</t>
  </si>
  <si>
    <t xml:space="preserve">ED-7000101</t>
  </si>
  <si>
    <t xml:space="preserve">21:25</t>
  </si>
  <si>
    <t xml:space="preserve">05:19</t>
  </si>
  <si>
    <t xml:space="preserve">ED-7000102</t>
  </si>
  <si>
    <t xml:space="preserve">1094001900</t>
  </si>
  <si>
    <t xml:space="preserve">06:09</t>
  </si>
  <si>
    <t xml:space="preserve">06:11</t>
  </si>
  <si>
    <t xml:space="preserve">ED-7000103</t>
  </si>
  <si>
    <t xml:space="preserve">ED-7000104</t>
  </si>
  <si>
    <t xml:space="preserve">9015959323</t>
  </si>
  <si>
    <t xml:space="preserve">04:45</t>
  </si>
  <si>
    <t xml:space="preserve">06:10</t>
  </si>
  <si>
    <t xml:space="preserve">ED-7000105</t>
  </si>
  <si>
    <t xml:space="preserve">02:50</t>
  </si>
  <si>
    <t xml:space="preserve">03:12</t>
  </si>
  <si>
    <t xml:space="preserve">ED-7000106</t>
  </si>
  <si>
    <t xml:space="preserve">04:13</t>
  </si>
  <si>
    <t xml:space="preserve">07:25</t>
  </si>
  <si>
    <t xml:space="preserve">06:39</t>
  </si>
  <si>
    <t xml:space="preserve">ED-7000107</t>
  </si>
  <si>
    <t xml:space="preserve">08:39</t>
  </si>
  <si>
    <t xml:space="preserve">10:26</t>
  </si>
  <si>
    <t xml:space="preserve">09:43</t>
  </si>
  <si>
    <t xml:space="preserve">ED-7000108</t>
  </si>
  <si>
    <t xml:space="preserve">3039538981</t>
  </si>
  <si>
    <t xml:space="preserve">19:17</t>
  </si>
  <si>
    <t xml:space="preserve">19:49</t>
  </si>
  <si>
    <t xml:space="preserve">22:24</t>
  </si>
  <si>
    <t xml:space="preserve">ED-7000109</t>
  </si>
  <si>
    <t xml:space="preserve">3581783970</t>
  </si>
  <si>
    <t xml:space="preserve">15:13</t>
  </si>
  <si>
    <t xml:space="preserve">16:26</t>
  </si>
  <si>
    <t xml:space="preserve">ED-7000110</t>
  </si>
  <si>
    <t xml:space="preserve">18:17</t>
  </si>
  <si>
    <t xml:space="preserve">20:09</t>
  </si>
  <si>
    <t xml:space="preserve">Urinary Symptoms</t>
  </si>
  <si>
    <t xml:space="preserve">ED-7000111</t>
  </si>
  <si>
    <t xml:space="preserve">10:47</t>
  </si>
  <si>
    <t xml:space="preserve">13:55</t>
  </si>
  <si>
    <t xml:space="preserve">16:20</t>
  </si>
  <si>
    <t xml:space="preserve">ED-7000112</t>
  </si>
  <si>
    <t xml:space="preserve">17:45</t>
  </si>
  <si>
    <t xml:space="preserve">17:31</t>
  </si>
  <si>
    <t xml:space="preserve">ED-7000113</t>
  </si>
  <si>
    <t xml:space="preserve">09:29</t>
  </si>
  <si>
    <t xml:space="preserve">09:56</t>
  </si>
  <si>
    <t xml:space="preserve">14:04</t>
  </si>
  <si>
    <t xml:space="preserve">Palpitations</t>
  </si>
  <si>
    <t xml:space="preserve">ED-7000114</t>
  </si>
  <si>
    <t xml:space="preserve">1961590781</t>
  </si>
  <si>
    <t xml:space="preserve">19:25</t>
  </si>
  <si>
    <t xml:space="preserve">21:09</t>
  </si>
  <si>
    <t xml:space="preserve">ED-7000115</t>
  </si>
  <si>
    <t xml:space="preserve">1649506965</t>
  </si>
  <si>
    <t xml:space="preserve">21:00</t>
  </si>
  <si>
    <t xml:space="preserve">02:43</t>
  </si>
  <si>
    <t xml:space="preserve">ED-7000116</t>
  </si>
  <si>
    <t xml:space="preserve">2927952777</t>
  </si>
  <si>
    <t xml:space="preserve">14:20</t>
  </si>
  <si>
    <t xml:space="preserve">18:15</t>
  </si>
  <si>
    <t xml:space="preserve">16:40</t>
  </si>
  <si>
    <t xml:space="preserve">ED-7000117</t>
  </si>
  <si>
    <t xml:space="preserve">16:17</t>
  </si>
  <si>
    <t xml:space="preserve">19:03</t>
  </si>
  <si>
    <t xml:space="preserve">17:12</t>
  </si>
  <si>
    <t xml:space="preserve">ABDOMINAL PAIN</t>
  </si>
  <si>
    <t xml:space="preserve">ED-7000118</t>
  </si>
  <si>
    <t xml:space="preserve">5644974351</t>
  </si>
  <si>
    <t xml:space="preserve">17:36</t>
  </si>
  <si>
    <t xml:space="preserve">21:12</t>
  </si>
  <si>
    <t xml:space="preserve">ED-7000119</t>
  </si>
  <si>
    <t xml:space="preserve">2328687982</t>
  </si>
  <si>
    <t xml:space="preserve">09:26</t>
  </si>
  <si>
    <t xml:space="preserve">10:38</t>
  </si>
  <si>
    <t xml:space="preserve">19:14</t>
  </si>
  <si>
    <t xml:space="preserve">OVERDOSE</t>
  </si>
  <si>
    <t xml:space="preserve">ED-7000120</t>
  </si>
  <si>
    <t xml:space="preserve">1571509840</t>
  </si>
  <si>
    <t xml:space="preserve">11:23</t>
  </si>
  <si>
    <t xml:space="preserve">13:59</t>
  </si>
  <si>
    <t xml:space="preserve">ED-7000121</t>
  </si>
  <si>
    <t xml:space="preserve">5997758073</t>
  </si>
  <si>
    <t xml:space="preserve">08:05</t>
  </si>
  <si>
    <t xml:space="preserve">13:31</t>
  </si>
  <si>
    <t xml:space="preserve">ED-7000122</t>
  </si>
  <si>
    <t xml:space="preserve">7237954710</t>
  </si>
  <si>
    <t xml:space="preserve">17:04</t>
  </si>
  <si>
    <t xml:space="preserve">18:21</t>
  </si>
  <si>
    <t xml:space="preserve">20:31</t>
  </si>
  <si>
    <t xml:space="preserve">ED-7000123</t>
  </si>
  <si>
    <t xml:space="preserve">0053291605</t>
  </si>
  <si>
    <t xml:space="preserve">22:43</t>
  </si>
  <si>
    <t xml:space="preserve">04:30</t>
  </si>
  <si>
    <t xml:space="preserve">head trauma</t>
  </si>
  <si>
    <t xml:space="preserve">ED-7000124</t>
  </si>
  <si>
    <t xml:space="preserve">7504316126</t>
  </si>
  <si>
    <t xml:space="preserve">16:12</t>
  </si>
  <si>
    <t xml:space="preserve">ED-7000125</t>
  </si>
  <si>
    <t xml:space="preserve">18:35</t>
  </si>
  <si>
    <t xml:space="preserve">21:50</t>
  </si>
  <si>
    <t xml:space="preserve">19:23</t>
  </si>
  <si>
    <t xml:space="preserve">ED-7000126</t>
  </si>
  <si>
    <t xml:space="preserve">7128741906</t>
  </si>
  <si>
    <t xml:space="preserve">22:46</t>
  </si>
  <si>
    <t xml:space="preserve">02:42</t>
  </si>
  <si>
    <t xml:space="preserve">23:56</t>
  </si>
  <si>
    <t xml:space="preserve">ED-7000127</t>
  </si>
  <si>
    <t xml:space="preserve">1263699001</t>
  </si>
  <si>
    <t xml:space="preserve">07:55</t>
  </si>
  <si>
    <t xml:space="preserve">13:02</t>
  </si>
  <si>
    <t xml:space="preserve">09:19</t>
  </si>
  <si>
    <t xml:space="preserve">ED-7000128</t>
  </si>
  <si>
    <t xml:space="preserve">11:44</t>
  </si>
  <si>
    <t xml:space="preserve">14:23</t>
  </si>
  <si>
    <t xml:space="preserve">14:18</t>
  </si>
  <si>
    <t xml:space="preserve">ED-7000129</t>
  </si>
  <si>
    <t xml:space="preserve">8631027123</t>
  </si>
  <si>
    <t xml:space="preserve">22:19</t>
  </si>
  <si>
    <t xml:space="preserve">00:03</t>
  </si>
  <si>
    <t xml:space="preserve">00:40</t>
  </si>
  <si>
    <t xml:space="preserve">ED-7000130</t>
  </si>
  <si>
    <t xml:space="preserve">5582342914</t>
  </si>
  <si>
    <t xml:space="preserve">00:41</t>
  </si>
  <si>
    <t xml:space="preserve">ED-7000131</t>
  </si>
  <si>
    <t xml:space="preserve">8108625399</t>
  </si>
  <si>
    <t xml:space="preserve">03:21</t>
  </si>
  <si>
    <t xml:space="preserve">05:25</t>
  </si>
  <si>
    <t xml:space="preserve">05:26</t>
  </si>
  <si>
    <t xml:space="preserve">ED-7000132</t>
  </si>
  <si>
    <t xml:space="preserve">7082948101</t>
  </si>
  <si>
    <t xml:space="preserve">04:54</t>
  </si>
  <si>
    <t xml:space="preserve">08:00</t>
  </si>
  <si>
    <t xml:space="preserve">ED-7000133</t>
  </si>
  <si>
    <t xml:space="preserve">5137475962</t>
  </si>
  <si>
    <t xml:space="preserve">21:05</t>
  </si>
  <si>
    <t xml:space="preserve">23:58</t>
  </si>
  <si>
    <t xml:space="preserve">ED-7000134</t>
  </si>
  <si>
    <t xml:space="preserve">1027616124</t>
  </si>
  <si>
    <t xml:space="preserve">05:39</t>
  </si>
  <si>
    <t xml:space="preserve">08:22</t>
  </si>
  <si>
    <t xml:space="preserve">13:04</t>
  </si>
  <si>
    <t xml:space="preserve">ED-7000135</t>
  </si>
  <si>
    <t xml:space="preserve">13:27</t>
  </si>
  <si>
    <t xml:space="preserve">17:19</t>
  </si>
  <si>
    <t xml:space="preserve">ED-7000136</t>
  </si>
  <si>
    <t xml:space="preserve">8546354648</t>
  </si>
  <si>
    <t xml:space="preserve">23:17</t>
  </si>
  <si>
    <t xml:space="preserve">00:23</t>
  </si>
  <si>
    <t xml:space="preserve">00:38</t>
  </si>
  <si>
    <t xml:space="preserve">ED-7000137</t>
  </si>
  <si>
    <t xml:space="preserve">16:00</t>
  </si>
  <si>
    <t xml:space="preserve">16:09</t>
  </si>
  <si>
    <t xml:space="preserve">19:16</t>
  </si>
  <si>
    <t xml:space="preserve">ED-7000138</t>
  </si>
  <si>
    <t xml:space="preserve">12:05</t>
  </si>
  <si>
    <t xml:space="preserve">13:24</t>
  </si>
  <si>
    <t xml:space="preserve">ED-7000139</t>
  </si>
  <si>
    <t xml:space="preserve">0133096676</t>
  </si>
  <si>
    <t xml:space="preserve">10:55</t>
  </si>
  <si>
    <t xml:space="preserve">12:04</t>
  </si>
  <si>
    <t xml:space="preserve">14:01</t>
  </si>
  <si>
    <t xml:space="preserve">ED-7000140</t>
  </si>
  <si>
    <t xml:space="preserve">0746702736</t>
  </si>
  <si>
    <t xml:space="preserve">16:46</t>
  </si>
  <si>
    <t xml:space="preserve">19:18</t>
  </si>
  <si>
    <t xml:space="preserve">18:04</t>
  </si>
  <si>
    <t xml:space="preserve">ED-7000141</t>
  </si>
  <si>
    <t xml:space="preserve">23:21</t>
  </si>
  <si>
    <t xml:space="preserve">01:07</t>
  </si>
  <si>
    <t xml:space="preserve">02:35</t>
  </si>
  <si>
    <t xml:space="preserve">ED-7000142</t>
  </si>
  <si>
    <t xml:space="preserve">03:06</t>
  </si>
  <si>
    <t xml:space="preserve">ED-7000143</t>
  </si>
  <si>
    <t xml:space="preserve">4722900204</t>
  </si>
  <si>
    <t xml:space="preserve">ED-7000144</t>
  </si>
  <si>
    <t xml:space="preserve">8554262992</t>
  </si>
  <si>
    <t xml:space="preserve">04:11</t>
  </si>
  <si>
    <t xml:space="preserve">04:16</t>
  </si>
  <si>
    <t xml:space="preserve">05:09</t>
  </si>
  <si>
    <t xml:space="preserve">ED-7000145</t>
  </si>
  <si>
    <t xml:space="preserve">5720245943</t>
  </si>
  <si>
    <t xml:space="preserve">15:16</t>
  </si>
  <si>
    <t xml:space="preserve">16:56</t>
  </si>
  <si>
    <t xml:space="preserve">17:54</t>
  </si>
  <si>
    <t xml:space="preserve">ED-7000146</t>
  </si>
  <si>
    <t xml:space="preserve">9471799436</t>
  </si>
  <si>
    <t xml:space="preserve">18:45</t>
  </si>
  <si>
    <t xml:space="preserve">20:38</t>
  </si>
  <si>
    <t xml:space="preserve">20:26</t>
  </si>
  <si>
    <t xml:space="preserve">chest pain</t>
  </si>
  <si>
    <t xml:space="preserve">ED-7000147</t>
  </si>
  <si>
    <t xml:space="preserve">01:40</t>
  </si>
  <si>
    <t xml:space="preserve">11:09</t>
  </si>
  <si>
    <t xml:space="preserve">ED-7000148</t>
  </si>
  <si>
    <t xml:space="preserve">01:42</t>
  </si>
  <si>
    <t xml:space="preserve">05:36</t>
  </si>
  <si>
    <t xml:space="preserve">03:00</t>
  </si>
  <si>
    <t xml:space="preserve">ED-7000149</t>
  </si>
  <si>
    <t xml:space="preserve">2858549902</t>
  </si>
  <si>
    <t xml:space="preserve">21:47</t>
  </si>
  <si>
    <t xml:space="preserve">00:32</t>
  </si>
  <si>
    <t xml:space="preserve">22:44</t>
  </si>
  <si>
    <t xml:space="preserve">ED-7000150</t>
  </si>
  <si>
    <t xml:space="preserve">9430141900</t>
  </si>
  <si>
    <t xml:space="preserve">02:47</t>
  </si>
  <si>
    <t xml:space="preserve">ED-7000151</t>
  </si>
  <si>
    <t xml:space="preserve">4578246469</t>
  </si>
  <si>
    <t xml:space="preserve">15:35</t>
  </si>
  <si>
    <t xml:space="preserve">15:56</t>
  </si>
  <si>
    <t xml:space="preserve">16:34</t>
  </si>
  <si>
    <t xml:space="preserve">ED-7000152</t>
  </si>
  <si>
    <t xml:space="preserve">7033138622</t>
  </si>
  <si>
    <t xml:space="preserve">18:08</t>
  </si>
  <si>
    <t xml:space="preserve">20:55</t>
  </si>
  <si>
    <t xml:space="preserve">23:08</t>
  </si>
  <si>
    <t xml:space="preserve">ED-7000153</t>
  </si>
  <si>
    <t xml:space="preserve">4456562452</t>
  </si>
  <si>
    <t xml:space="preserve">12:09</t>
  </si>
  <si>
    <t xml:space="preserve">14:53</t>
  </si>
  <si>
    <t xml:space="preserve">ED-7000154</t>
  </si>
  <si>
    <t xml:space="preserve">23:12</t>
  </si>
  <si>
    <t xml:space="preserve">23:33</t>
  </si>
  <si>
    <t xml:space="preserve">ED-7000155</t>
  </si>
  <si>
    <t xml:space="preserve">20:58</t>
  </si>
  <si>
    <t xml:space="preserve">21:43</t>
  </si>
  <si>
    <t xml:space="preserve">ED-7000156</t>
  </si>
  <si>
    <t xml:space="preserve">09:45</t>
  </si>
  <si>
    <t xml:space="preserve">12:28</t>
  </si>
  <si>
    <t xml:space="preserve">ED-7000157</t>
  </si>
  <si>
    <t xml:space="preserve">11:19</t>
  </si>
  <si>
    <t xml:space="preserve">14:35</t>
  </si>
  <si>
    <t xml:space="preserve">ED-7000158</t>
  </si>
  <si>
    <t xml:space="preserve">17:06</t>
  </si>
  <si>
    <t xml:space="preserve">18:02</t>
  </si>
  <si>
    <t xml:space="preserve">20:15</t>
  </si>
  <si>
    <t xml:space="preserve">ED-7000159</t>
  </si>
  <si>
    <t xml:space="preserve">07:12</t>
  </si>
  <si>
    <t xml:space="preserve">08:07</t>
  </si>
  <si>
    <t xml:space="preserve">ED-7000160</t>
  </si>
  <si>
    <t xml:space="preserve">23:10</t>
  </si>
  <si>
    <t xml:space="preserve">00:06</t>
  </si>
  <si>
    <t xml:space="preserve">01:53</t>
  </si>
  <si>
    <t xml:space="preserve">ED-7000161</t>
  </si>
  <si>
    <t xml:space="preserve">19:34</t>
  </si>
  <si>
    <t xml:space="preserve">22:03</t>
  </si>
  <si>
    <t xml:space="preserve">21:04</t>
  </si>
  <si>
    <t xml:space="preserve">ED-7000162</t>
  </si>
  <si>
    <t xml:space="preserve">6008962054</t>
  </si>
  <si>
    <t xml:space="preserve">08:08</t>
  </si>
  <si>
    <t xml:space="preserve">12:17</t>
  </si>
  <si>
    <t xml:space="preserve">ED-7000163</t>
  </si>
  <si>
    <t xml:space="preserve">6458994316</t>
  </si>
  <si>
    <t xml:space="preserve">ED-7000164</t>
  </si>
  <si>
    <t xml:space="preserve">01:10</t>
  </si>
  <si>
    <t xml:space="preserve">22:40</t>
  </si>
  <si>
    <t xml:space="preserve">ED-7000165</t>
  </si>
  <si>
    <t xml:space="preserve">3989179274</t>
  </si>
  <si>
    <t xml:space="preserve">17:25</t>
  </si>
  <si>
    <t xml:space="preserve">19:29</t>
  </si>
  <si>
    <t xml:space="preserve">ED-7000166</t>
  </si>
  <si>
    <t xml:space="preserve">6663124686</t>
  </si>
  <si>
    <t xml:space="preserve">07:53</t>
  </si>
  <si>
    <t xml:space="preserve">ED-7000167</t>
  </si>
  <si>
    <t xml:space="preserve">13:12</t>
  </si>
  <si>
    <t xml:space="preserve">15:11</t>
  </si>
  <si>
    <t xml:space="preserve">15:08</t>
  </si>
  <si>
    <t xml:space="preserve">ED-7000168</t>
  </si>
  <si>
    <t xml:space="preserve">3124428319</t>
  </si>
  <si>
    <t xml:space="preserve">14:08</t>
  </si>
  <si>
    <t xml:space="preserve">19:40</t>
  </si>
  <si>
    <t xml:space="preserve">17:40</t>
  </si>
  <si>
    <t xml:space="preserve">ED-7000169</t>
  </si>
  <si>
    <t xml:space="preserve">12:22</t>
  </si>
  <si>
    <t xml:space="preserve">10:45</t>
  </si>
  <si>
    <t xml:space="preserve">ED-7000170</t>
  </si>
  <si>
    <t xml:space="preserve">03:44</t>
  </si>
  <si>
    <t xml:space="preserve">07:19</t>
  </si>
  <si>
    <t xml:space="preserve">ED-7000171</t>
  </si>
  <si>
    <t xml:space="preserve">6923964111</t>
  </si>
  <si>
    <t xml:space="preserve">04:20</t>
  </si>
  <si>
    <t xml:space="preserve">ED-7000172</t>
  </si>
  <si>
    <t xml:space="preserve">10:51</t>
  </si>
  <si>
    <t xml:space="preserve">13:33</t>
  </si>
  <si>
    <t xml:space="preserve">ED-7000173</t>
  </si>
  <si>
    <t xml:space="preserve">16:13</t>
  </si>
  <si>
    <t xml:space="preserve">18:10</t>
  </si>
  <si>
    <t xml:space="preserve">19:24</t>
  </si>
  <si>
    <t xml:space="preserve">ED-7000174</t>
  </si>
  <si>
    <t xml:space="preserve">7610800736</t>
  </si>
  <si>
    <t xml:space="preserve">07:46</t>
  </si>
  <si>
    <t xml:space="preserve">ED-7000175</t>
  </si>
  <si>
    <t xml:space="preserve">6604506734</t>
  </si>
  <si>
    <t xml:space="preserve">03:26</t>
  </si>
  <si>
    <t xml:space="preserve">05:16</t>
  </si>
  <si>
    <t xml:space="preserve">ED-7000176</t>
  </si>
  <si>
    <t xml:space="preserve">6230900506</t>
  </si>
  <si>
    <t xml:space="preserve">ED-7000177</t>
  </si>
  <si>
    <t xml:space="preserve">18:06</t>
  </si>
  <si>
    <t xml:space="preserve">ED-7000178</t>
  </si>
  <si>
    <t xml:space="preserve">4244098435</t>
  </si>
  <si>
    <t xml:space="preserve">21:01</t>
  </si>
  <si>
    <t xml:space="preserve">22:35</t>
  </si>
  <si>
    <t xml:space="preserve">00:49</t>
  </si>
  <si>
    <t xml:space="preserve">ED-7000179</t>
  </si>
  <si>
    <t xml:space="preserve">18:47</t>
  </si>
  <si>
    <t xml:space="preserve">19:10</t>
  </si>
  <si>
    <t xml:space="preserve">ED-7000180</t>
  </si>
  <si>
    <t xml:space="preserve">2583410378</t>
  </si>
  <si>
    <t xml:space="preserve">08:43</t>
  </si>
  <si>
    <t xml:space="preserve">09:34</t>
  </si>
  <si>
    <t xml:space="preserve">10:22</t>
  </si>
  <si>
    <t xml:space="preserve">ED-7000181</t>
  </si>
  <si>
    <t xml:space="preserve">22:59</t>
  </si>
  <si>
    <t xml:space="preserve">02:48</t>
  </si>
  <si>
    <t xml:space="preserve">ED-7000182</t>
  </si>
  <si>
    <t xml:space="preserve">00:10</t>
  </si>
  <si>
    <t xml:space="preserve">ED-7000183</t>
  </si>
  <si>
    <t xml:space="preserve">ED-7000184</t>
  </si>
  <si>
    <t xml:space="preserve">10:12</t>
  </si>
  <si>
    <t xml:space="preserve">ED-7000185</t>
  </si>
  <si>
    <t xml:space="preserve">05:15</t>
  </si>
  <si>
    <t xml:space="preserve">ED-7000186</t>
  </si>
  <si>
    <t xml:space="preserve">1056593919</t>
  </si>
  <si>
    <t xml:space="preserve">06:13</t>
  </si>
  <si>
    <t xml:space="preserve">05:18</t>
  </si>
  <si>
    <t xml:space="preserve">ED-7000187</t>
  </si>
  <si>
    <t xml:space="preserve">9056434412</t>
  </si>
  <si>
    <t xml:space="preserve">10:31</t>
  </si>
  <si>
    <t xml:space="preserve">ED-7000188</t>
  </si>
  <si>
    <t xml:space="preserve">03:49</t>
  </si>
  <si>
    <t xml:space="preserve">04:21</t>
  </si>
  <si>
    <t xml:space="preserve">06:53</t>
  </si>
  <si>
    <t xml:space="preserve">ED-7000189</t>
  </si>
  <si>
    <t xml:space="preserve">4411581242</t>
  </si>
  <si>
    <t xml:space="preserve">16:48</t>
  </si>
  <si>
    <t xml:space="preserve">20:10</t>
  </si>
  <si>
    <t xml:space="preserve">ED-7000190</t>
  </si>
  <si>
    <t xml:space="preserve">09:13</t>
  </si>
  <si>
    <t xml:space="preserve">10:36</t>
  </si>
  <si>
    <t xml:space="preserve">11:03</t>
  </si>
  <si>
    <t xml:space="preserve">ED-7000191</t>
  </si>
  <si>
    <t xml:space="preserve">ED-7000192</t>
  </si>
  <si>
    <t xml:space="preserve">22:39</t>
  </si>
  <si>
    <t xml:space="preserve">00:39</t>
  </si>
  <si>
    <t xml:space="preserve">ED-7000193</t>
  </si>
  <si>
    <t xml:space="preserve">14:41</t>
  </si>
  <si>
    <t xml:space="preserve">12:58</t>
  </si>
  <si>
    <t xml:space="preserve">ED-7000194</t>
  </si>
  <si>
    <t xml:space="preserve">04:23</t>
  </si>
  <si>
    <t xml:space="preserve">06:12</t>
  </si>
  <si>
    <t xml:space="preserve">07:21</t>
  </si>
  <si>
    <t xml:space="preserve">ED-7000195</t>
  </si>
  <si>
    <t xml:space="preserve">21:57</t>
  </si>
  <si>
    <t xml:space="preserve">23:44</t>
  </si>
  <si>
    <t xml:space="preserve">23:43</t>
  </si>
  <si>
    <t xml:space="preserve">ED-7000196</t>
  </si>
  <si>
    <t xml:space="preserve">07:44</t>
  </si>
  <si>
    <t xml:space="preserve">11:06</t>
  </si>
  <si>
    <t xml:space="preserve">10:09</t>
  </si>
  <si>
    <t xml:space="preserve">ED-7000197</t>
  </si>
  <si>
    <t xml:space="preserve">05:31</t>
  </si>
  <si>
    <t xml:space="preserve">04:33</t>
  </si>
  <si>
    <t xml:space="preserve">Fever</t>
  </si>
  <si>
    <t xml:space="preserve">ED-7000198</t>
  </si>
  <si>
    <t xml:space="preserve">ED-7000199</t>
  </si>
  <si>
    <t xml:space="preserve">15:48</t>
  </si>
  <si>
    <t xml:space="preserve">16:53</t>
  </si>
  <si>
    <t xml:space="preserve">16:50</t>
  </si>
  <si>
    <t xml:space="preserve">ED-7000200</t>
  </si>
  <si>
    <t xml:space="preserve">04:08</t>
  </si>
  <si>
    <t xml:space="preserve">05:04</t>
  </si>
  <si>
    <t xml:space="preserve">ED-7000201</t>
  </si>
  <si>
    <t xml:space="preserve">3679418705</t>
  </si>
  <si>
    <t xml:space="preserve">00:05</t>
  </si>
  <si>
    <t xml:space="preserve">03:35</t>
  </si>
  <si>
    <t xml:space="preserve">03:30</t>
  </si>
  <si>
    <t xml:space="preserve">ED-7000202</t>
  </si>
  <si>
    <t xml:space="preserve">22:57</t>
  </si>
  <si>
    <t xml:space="preserve">00:12</t>
  </si>
  <si>
    <t xml:space="preserve">ED-7000203</t>
  </si>
  <si>
    <t xml:space="preserve">14:11</t>
  </si>
  <si>
    <t xml:space="preserve">16:02</t>
  </si>
  <si>
    <t xml:space="preserve">ED-7000204</t>
  </si>
  <si>
    <t xml:space="preserve">3429160903</t>
  </si>
  <si>
    <t xml:space="preserve">11:45</t>
  </si>
  <si>
    <t xml:space="preserve">14:24</t>
  </si>
  <si>
    <t xml:space="preserve">ED-7000205</t>
  </si>
  <si>
    <t xml:space="preserve">15:41</t>
  </si>
  <si>
    <t xml:space="preserve">17:22</t>
  </si>
  <si>
    <t xml:space="preserve">18:19</t>
  </si>
  <si>
    <t xml:space="preserve">ED-7000206</t>
  </si>
  <si>
    <t xml:space="preserve">10:53</t>
  </si>
  <si>
    <t xml:space="preserve">ED-7000207</t>
  </si>
  <si>
    <t xml:space="preserve">1376840837</t>
  </si>
  <si>
    <t xml:space="preserve">19:41</t>
  </si>
  <si>
    <t xml:space="preserve">22:25</t>
  </si>
  <si>
    <t xml:space="preserve">22:10</t>
  </si>
  <si>
    <t xml:space="preserve">ED-7000208</t>
  </si>
  <si>
    <t xml:space="preserve">20:56</t>
  </si>
  <si>
    <t xml:space="preserve">22:09</t>
  </si>
  <si>
    <t xml:space="preserve">00:45</t>
  </si>
  <si>
    <t xml:space="preserve">ED-7000209</t>
  </si>
  <si>
    <t xml:space="preserve">22:08</t>
  </si>
  <si>
    <t xml:space="preserve">23:22</t>
  </si>
  <si>
    <t xml:space="preserve">ED-7000210</t>
  </si>
  <si>
    <t xml:space="preserve">3965724952</t>
  </si>
  <si>
    <t xml:space="preserve">ED-7000211</t>
  </si>
  <si>
    <t xml:space="preserve">3088539714</t>
  </si>
  <si>
    <t xml:space="preserve">07:05</t>
  </si>
  <si>
    <t xml:space="preserve">08:06</t>
  </si>
  <si>
    <t xml:space="preserve">07:43</t>
  </si>
  <si>
    <t xml:space="preserve">ED-7000212</t>
  </si>
  <si>
    <t xml:space="preserve">12:36</t>
  </si>
  <si>
    <t xml:space="preserve">ED-7000213</t>
  </si>
  <si>
    <t xml:space="preserve">21:46</t>
  </si>
  <si>
    <t xml:space="preserve">ED-7000214</t>
  </si>
  <si>
    <t xml:space="preserve">05:17</t>
  </si>
  <si>
    <t xml:space="preserve">07:47</t>
  </si>
  <si>
    <t xml:space="preserve">ED-7000215</t>
  </si>
  <si>
    <t xml:space="preserve">06:45</t>
  </si>
  <si>
    <t xml:space="preserve">15:20</t>
  </si>
  <si>
    <t xml:space="preserve">ED-7000216</t>
  </si>
  <si>
    <t xml:space="preserve">07:58</t>
  </si>
  <si>
    <t xml:space="preserve">09:08</t>
  </si>
  <si>
    <t xml:space="preserve">11:55</t>
  </si>
  <si>
    <t xml:space="preserve">ED-7000217</t>
  </si>
  <si>
    <t xml:space="preserve">08:38</t>
  </si>
  <si>
    <t xml:space="preserve">17:44</t>
  </si>
  <si>
    <t xml:space="preserve">ED-7000218</t>
  </si>
  <si>
    <t xml:space="preserve">6293481171</t>
  </si>
  <si>
    <t xml:space="preserve">04:41</t>
  </si>
  <si>
    <t xml:space="preserve">05:58</t>
  </si>
  <si>
    <t xml:space="preserve">10:43</t>
  </si>
  <si>
    <t xml:space="preserve">ED-7000219</t>
  </si>
  <si>
    <t xml:space="preserve">11:34</t>
  </si>
  <si>
    <t xml:space="preserve">12:50</t>
  </si>
  <si>
    <t xml:space="preserve">15:09</t>
  </si>
  <si>
    <t xml:space="preserve">ED-7000220</t>
  </si>
  <si>
    <t xml:space="preserve">12:43</t>
  </si>
  <si>
    <t xml:space="preserve">16:37</t>
  </si>
  <si>
    <t xml:space="preserve">ED-7000221</t>
  </si>
  <si>
    <t xml:space="preserve">00:11</t>
  </si>
  <si>
    <t xml:space="preserve">ED-7000222</t>
  </si>
  <si>
    <t xml:space="preserve">0193845227</t>
  </si>
  <si>
    <t xml:space="preserve">07:37</t>
  </si>
  <si>
    <t xml:space="preserve">12:54</t>
  </si>
  <si>
    <t xml:space="preserve">08:44</t>
  </si>
  <si>
    <t xml:space="preserve">ED-7000223</t>
  </si>
  <si>
    <t xml:space="preserve">06:21</t>
  </si>
  <si>
    <t xml:space="preserve">07:56</t>
  </si>
  <si>
    <t xml:space="preserve">07:33</t>
  </si>
  <si>
    <t xml:space="preserve">ED-7000224</t>
  </si>
  <si>
    <t xml:space="preserve">0254425112</t>
  </si>
  <si>
    <t xml:space="preserve">2:43 PM</t>
  </si>
  <si>
    <t xml:space="preserve">19:36</t>
  </si>
  <si>
    <t xml:space="preserve">16:21</t>
  </si>
  <si>
    <t xml:space="preserve">ED-7000225</t>
  </si>
  <si>
    <t xml:space="preserve">00:13</t>
  </si>
  <si>
    <t xml:space="preserve">22:16</t>
  </si>
  <si>
    <t xml:space="preserve">ED-7000226</t>
  </si>
  <si>
    <t xml:space="preserve">23:02</t>
  </si>
  <si>
    <t xml:space="preserve">ED-7000227</t>
  </si>
  <si>
    <t xml:space="preserve">09:51</t>
  </si>
  <si>
    <t xml:space="preserve">ED-7000228</t>
  </si>
  <si>
    <t xml:space="preserve">6849674000</t>
  </si>
  <si>
    <t xml:space="preserve">15:18</t>
  </si>
  <si>
    <t xml:space="preserve">18:32</t>
  </si>
  <si>
    <t xml:space="preserve">16:41</t>
  </si>
  <si>
    <t xml:space="preserve">ED-7000229</t>
  </si>
  <si>
    <t xml:space="preserve">17:29</t>
  </si>
  <si>
    <t xml:space="preserve">18:31</t>
  </si>
  <si>
    <t xml:space="preserve">ED-7000230</t>
  </si>
  <si>
    <t xml:space="preserve">03:46</t>
  </si>
  <si>
    <t xml:space="preserve">ED-7000231</t>
  </si>
  <si>
    <t xml:space="preserve">5346373026</t>
  </si>
  <si>
    <t xml:space="preserve">02:07</t>
  </si>
  <si>
    <t xml:space="preserve">ED-7000232</t>
  </si>
  <si>
    <t xml:space="preserve">16:22</t>
  </si>
  <si>
    <t xml:space="preserve">18:14</t>
  </si>
  <si>
    <t xml:space="preserve">18:34</t>
  </si>
  <si>
    <t xml:space="preserve">ED-7000233</t>
  </si>
  <si>
    <t xml:space="preserve">5328048327</t>
  </si>
  <si>
    <t xml:space="preserve">12:59</t>
  </si>
  <si>
    <t xml:space="preserve">ED-7000234</t>
  </si>
  <si>
    <t xml:space="preserve">23:45</t>
  </si>
  <si>
    <t xml:space="preserve">01:12</t>
  </si>
  <si>
    <t xml:space="preserve">ED-7000235</t>
  </si>
  <si>
    <t xml:space="preserve">7170731570</t>
  </si>
  <si>
    <t xml:space="preserve">04:34</t>
  </si>
  <si>
    <t xml:space="preserve">07:11</t>
  </si>
  <si>
    <t xml:space="preserve">08:10</t>
  </si>
  <si>
    <t xml:space="preserve">ED-7000236</t>
  </si>
  <si>
    <t xml:space="preserve">06:37</t>
  </si>
  <si>
    <t xml:space="preserve">07:48</t>
  </si>
  <si>
    <t xml:space="preserve">ED-7000237</t>
  </si>
  <si>
    <t xml:space="preserve">0962298193</t>
  </si>
  <si>
    <t xml:space="preserve">23:46</t>
  </si>
  <si>
    <t xml:space="preserve">02:18</t>
  </si>
  <si>
    <t xml:space="preserve">ED-7000238</t>
  </si>
  <si>
    <t xml:space="preserve">07:31</t>
  </si>
  <si>
    <t xml:space="preserve">ED-7000239</t>
  </si>
  <si>
    <t xml:space="preserve">19:11</t>
  </si>
  <si>
    <t xml:space="preserve">21:55</t>
  </si>
  <si>
    <t xml:space="preserve">ED-7000240</t>
  </si>
  <si>
    <t xml:space="preserve">8288400995</t>
  </si>
  <si>
    <t xml:space="preserve">19:37</t>
  </si>
  <si>
    <t xml:space="preserve">ED-7000241</t>
  </si>
  <si>
    <t xml:space="preserve">5506493820</t>
  </si>
  <si>
    <t xml:space="preserve">00:16</t>
  </si>
  <si>
    <t xml:space="preserve">01:13</t>
  </si>
  <si>
    <t xml:space="preserve">06:20</t>
  </si>
  <si>
    <t xml:space="preserve">ED-7000242</t>
  </si>
  <si>
    <t xml:space="preserve">8:07 PM</t>
  </si>
  <si>
    <t xml:space="preserve">ED-7000243</t>
  </si>
  <si>
    <t xml:space="preserve">8423688244</t>
  </si>
  <si>
    <t xml:space="preserve">23:34</t>
  </si>
  <si>
    <t xml:space="preserve">01:22</t>
  </si>
  <si>
    <t xml:space="preserve">ED-7000244</t>
  </si>
  <si>
    <t xml:space="preserve">8665315929</t>
  </si>
  <si>
    <t xml:space="preserve">23:11</t>
  </si>
  <si>
    <t xml:space="preserve">00:50</t>
  </si>
  <si>
    <t xml:space="preserve">23:49</t>
  </si>
  <si>
    <t xml:space="preserve">ED-7000245</t>
  </si>
  <si>
    <t xml:space="preserve">09:32</t>
  </si>
  <si>
    <t xml:space="preserve">09:18</t>
  </si>
  <si>
    <t xml:space="preserve">ED-7000246</t>
  </si>
  <si>
    <t xml:space="preserve">22:52</t>
  </si>
  <si>
    <t xml:space="preserve">01:09</t>
  </si>
  <si>
    <t xml:space="preserve">ED-7000247</t>
  </si>
  <si>
    <t xml:space="preserve">8540776652</t>
  </si>
  <si>
    <t xml:space="preserve">10:05</t>
  </si>
  <si>
    <t xml:space="preserve">11:36</t>
  </si>
  <si>
    <t xml:space="preserve">ED-7000248</t>
  </si>
  <si>
    <t xml:space="preserve">03:57</t>
  </si>
  <si>
    <t xml:space="preserve">ED-7000249</t>
  </si>
  <si>
    <t xml:space="preserve">03:15</t>
  </si>
  <si>
    <t xml:space="preserve">ED-7000250</t>
  </si>
  <si>
    <t xml:space="preserve">09:44</t>
  </si>
  <si>
    <t xml:space="preserve">09:58</t>
  </si>
  <si>
    <t xml:space="preserve">13:05</t>
  </si>
  <si>
    <t xml:space="preserve">ED-7000251</t>
  </si>
  <si>
    <t xml:space="preserve">9555712021</t>
  </si>
  <si>
    <t xml:space="preserve">21:48</t>
  </si>
  <si>
    <t xml:space="preserve">05:13</t>
  </si>
  <si>
    <t xml:space="preserve">ED-7000252</t>
  </si>
  <si>
    <t xml:space="preserve">18:44</t>
  </si>
  <si>
    <t xml:space="preserve">18:51</t>
  </si>
  <si>
    <t xml:space="preserve">ED-7000253</t>
  </si>
  <si>
    <t xml:space="preserve">10:02</t>
  </si>
  <si>
    <t xml:space="preserve">ED-7000254</t>
  </si>
  <si>
    <t xml:space="preserve">2130418196</t>
  </si>
  <si>
    <t xml:space="preserve">06:17</t>
  </si>
  <si>
    <t xml:space="preserve">ED-7000255</t>
  </si>
  <si>
    <t xml:space="preserve">3671567285</t>
  </si>
  <si>
    <t xml:space="preserve">17:34</t>
  </si>
  <si>
    <t xml:space="preserve">ED-7000256</t>
  </si>
  <si>
    <t xml:space="preserve">2204741934</t>
  </si>
  <si>
    <t xml:space="preserve">06:00</t>
  </si>
  <si>
    <t xml:space="preserve">ED-7000257</t>
  </si>
  <si>
    <t xml:space="preserve">23:59</t>
  </si>
  <si>
    <t xml:space="preserve">00:58</t>
  </si>
  <si>
    <t xml:space="preserve">BACK PAIN</t>
  </si>
  <si>
    <t xml:space="preserve">ED-7000258</t>
  </si>
  <si>
    <t xml:space="preserve">1673207040</t>
  </si>
  <si>
    <t xml:space="preserve">00:51</t>
  </si>
  <si>
    <t xml:space="preserve">03:24</t>
  </si>
  <si>
    <t xml:space="preserve">02:49</t>
  </si>
  <si>
    <t xml:space="preserve">ED-7000259</t>
  </si>
  <si>
    <t xml:space="preserve">0072246503</t>
  </si>
  <si>
    <t xml:space="preserve">ED-7000260</t>
  </si>
  <si>
    <t xml:space="preserve">11:07</t>
  </si>
  <si>
    <t xml:space="preserve">11:31</t>
  </si>
  <si>
    <t xml:space="preserve">17:53</t>
  </si>
  <si>
    <t xml:space="preserve">ED-7000261</t>
  </si>
  <si>
    <t xml:space="preserve">22:38</t>
  </si>
  <si>
    <t xml:space="preserve">ED-7000262</t>
  </si>
  <si>
    <t xml:space="preserve">0506298481</t>
  </si>
  <si>
    <t xml:space="preserve">ED-7000263</t>
  </si>
  <si>
    <t xml:space="preserve">3111110455</t>
  </si>
  <si>
    <t xml:space="preserve">07:15</t>
  </si>
  <si>
    <t xml:space="preserve">15:59</t>
  </si>
  <si>
    <t xml:space="preserve">ED-7000264</t>
  </si>
  <si>
    <t xml:space="preserve">03:59</t>
  </si>
  <si>
    <t xml:space="preserve">ED-7000265</t>
  </si>
  <si>
    <t xml:space="preserve">3089136819</t>
  </si>
  <si>
    <t xml:space="preserve">08:53</t>
  </si>
  <si>
    <t xml:space="preserve">12:03</t>
  </si>
  <si>
    <t xml:space="preserve">11:38</t>
  </si>
  <si>
    <t xml:space="preserve">ED-7000266</t>
  </si>
  <si>
    <t xml:space="preserve">8254347962</t>
  </si>
  <si>
    <t xml:space="preserve">03:14</t>
  </si>
  <si>
    <t xml:space="preserve">07:07</t>
  </si>
  <si>
    <t xml:space="preserve">ED-7000267</t>
  </si>
  <si>
    <t xml:space="preserve">6073083000</t>
  </si>
  <si>
    <t xml:space="preserve">23:28</t>
  </si>
  <si>
    <t xml:space="preserve">23:55</t>
  </si>
  <si>
    <t xml:space="preserve">ED-7000268</t>
  </si>
  <si>
    <t xml:space="preserve">12:47</t>
  </si>
  <si>
    <t xml:space="preserve">16:36</t>
  </si>
  <si>
    <t xml:space="preserve">ED-7000269</t>
  </si>
  <si>
    <t xml:space="preserve">4979996039</t>
  </si>
  <si>
    <t xml:space="preserve">00:59</t>
  </si>
  <si>
    <t xml:space="preserve">02:55</t>
  </si>
  <si>
    <t xml:space="preserve">ED-7000270</t>
  </si>
  <si>
    <t xml:space="preserve">15:22</t>
  </si>
  <si>
    <t xml:space="preserve">ED-7000271</t>
  </si>
  <si>
    <t xml:space="preserve">8469179892</t>
  </si>
  <si>
    <t xml:space="preserve">21:45</t>
  </si>
  <si>
    <t xml:space="preserve">01:44</t>
  </si>
  <si>
    <t xml:space="preserve">23:32</t>
  </si>
  <si>
    <t xml:space="preserve">ED-7000272</t>
  </si>
  <si>
    <t xml:space="preserve">7600643315</t>
  </si>
  <si>
    <t xml:space="preserve">14:14</t>
  </si>
  <si>
    <t xml:space="preserve">ED-7000273</t>
  </si>
  <si>
    <t xml:space="preserve">6238919357</t>
  </si>
  <si>
    <t xml:space="preserve">02:38</t>
  </si>
  <si>
    <t xml:space="preserve">05:22</t>
  </si>
  <si>
    <t xml:space="preserve">ED-7000274</t>
  </si>
  <si>
    <t xml:space="preserve">22:47</t>
  </si>
  <si>
    <t xml:space="preserve">08:12</t>
  </si>
  <si>
    <t xml:space="preserve">ED-7000275</t>
  </si>
  <si>
    <t xml:space="preserve">04:10</t>
  </si>
  <si>
    <t xml:space="preserve">ED-7000276</t>
  </si>
  <si>
    <t xml:space="preserve">05:27</t>
  </si>
  <si>
    <t xml:space="preserve">ED-7000277</t>
  </si>
  <si>
    <t xml:space="preserve">9339704367</t>
  </si>
  <si>
    <t xml:space="preserve">05:44</t>
  </si>
  <si>
    <t xml:space="preserve">06:47</t>
  </si>
  <si>
    <t xml:space="preserve">ED-7000278</t>
  </si>
  <si>
    <t xml:space="preserve">ED-7000279</t>
  </si>
  <si>
    <t xml:space="preserve">16:49</t>
  </si>
  <si>
    <t xml:space="preserve">20:42</t>
  </si>
  <si>
    <t xml:space="preserve">18:27</t>
  </si>
  <si>
    <t xml:space="preserve">ED-7000280</t>
  </si>
  <si>
    <t xml:space="preserve">0468526172</t>
  </si>
  <si>
    <t xml:space="preserve">06:50</t>
  </si>
  <si>
    <t xml:space="preserve">07:13</t>
  </si>
  <si>
    <t xml:space="preserve">09:02</t>
  </si>
  <si>
    <t xml:space="preserve">ED-7000281</t>
  </si>
  <si>
    <t xml:space="preserve">19:30</t>
  </si>
  <si>
    <t xml:space="preserve">ED-7000282</t>
  </si>
  <si>
    <t xml:space="preserve">04:46</t>
  </si>
  <si>
    <t xml:space="preserve">05:34</t>
  </si>
  <si>
    <t xml:space="preserve">06:02</t>
  </si>
  <si>
    <t xml:space="preserve">ED-7000283</t>
  </si>
  <si>
    <t xml:space="preserve">8484889665</t>
  </si>
  <si>
    <t xml:space="preserve">23:35</t>
  </si>
  <si>
    <t xml:space="preserve">21:42</t>
  </si>
  <si>
    <t xml:space="preserve">ED-7000284</t>
  </si>
  <si>
    <t xml:space="preserve">12:55</t>
  </si>
  <si>
    <t xml:space="preserve">ED-7000285</t>
  </si>
  <si>
    <t xml:space="preserve">14:34</t>
  </si>
  <si>
    <t xml:space="preserve">12:33</t>
  </si>
  <si>
    <t xml:space="preserve">ED-7000286</t>
  </si>
  <si>
    <t xml:space="preserve">8264506828</t>
  </si>
  <si>
    <t xml:space="preserve">18:30</t>
  </si>
  <si>
    <t xml:space="preserve">ED-7000287</t>
  </si>
  <si>
    <t xml:space="preserve">08:56</t>
  </si>
  <si>
    <t xml:space="preserve">11:15</t>
  </si>
  <si>
    <t xml:space="preserve">ED-7000288</t>
  </si>
  <si>
    <t xml:space="preserve">8378456645</t>
  </si>
  <si>
    <t xml:space="preserve">15:40</t>
  </si>
  <si>
    <t xml:space="preserve">ED-7000289</t>
  </si>
  <si>
    <t xml:space="preserve">2614266114</t>
  </si>
  <si>
    <t xml:space="preserve">ED-7000290</t>
  </si>
  <si>
    <t xml:space="preserve">09:05</t>
  </si>
  <si>
    <t xml:space="preserve">12:00</t>
  </si>
  <si>
    <t xml:space="preserve">ED-7000291</t>
  </si>
  <si>
    <t xml:space="preserve">18:28</t>
  </si>
  <si>
    <t xml:space="preserve">ED-7000292</t>
  </si>
  <si>
    <t xml:space="preserve">14:55</t>
  </si>
  <si>
    <t xml:space="preserve">ED-7000293</t>
  </si>
  <si>
    <t xml:space="preserve">17:28</t>
  </si>
  <si>
    <t xml:space="preserve">ED-7000294</t>
  </si>
  <si>
    <t xml:space="preserve">6615073717</t>
  </si>
  <si>
    <t xml:space="preserve">15:53</t>
  </si>
  <si>
    <t xml:space="preserve">ED-7000295</t>
  </si>
  <si>
    <t xml:space="preserve">8442410914</t>
  </si>
  <si>
    <t xml:space="preserve">10:17</t>
  </si>
  <si>
    <t xml:space="preserve">13:37</t>
  </si>
  <si>
    <t xml:space="preserve">ED-7000296</t>
  </si>
  <si>
    <t xml:space="preserve">12:31</t>
  </si>
  <si>
    <t xml:space="preserve">ED-7000297</t>
  </si>
  <si>
    <t xml:space="preserve">3889987349</t>
  </si>
  <si>
    <t xml:space="preserve">17:58</t>
  </si>
  <si>
    <t xml:space="preserve">02:52</t>
  </si>
  <si>
    <t xml:space="preserve">ED-7000298</t>
  </si>
  <si>
    <t xml:space="preserve">ED-7000299</t>
  </si>
  <si>
    <t xml:space="preserve">15:36</t>
  </si>
  <si>
    <t xml:space="preserve">17:43</t>
  </si>
  <si>
    <t xml:space="preserve">ED-7000300</t>
  </si>
  <si>
    <t xml:space="preserve">14:17</t>
  </si>
  <si>
    <t xml:space="preserve">ED-7000301</t>
  </si>
  <si>
    <t xml:space="preserve">5303461918</t>
  </si>
  <si>
    <t xml:space="preserve">01:41</t>
  </si>
  <si>
    <t xml:space="preserve">04:22</t>
  </si>
  <si>
    <t xml:space="preserve">ED-7000302</t>
  </si>
  <si>
    <t xml:space="preserve">2769062738</t>
  </si>
  <si>
    <t xml:space="preserve">21:58</t>
  </si>
  <si>
    <t xml:space="preserve">01:14</t>
  </si>
  <si>
    <t xml:space="preserve">ED-7000303</t>
  </si>
  <si>
    <t xml:space="preserve">5355101234</t>
  </si>
  <si>
    <t xml:space="preserve">01:27</t>
  </si>
  <si>
    <t xml:space="preserve">ED-7000304</t>
  </si>
  <si>
    <t xml:space="preserve">7624973847</t>
  </si>
  <si>
    <t xml:space="preserve">14:13</t>
  </si>
  <si>
    <t xml:space="preserve">15:12</t>
  </si>
  <si>
    <t xml:space="preserve">ED-7000305</t>
  </si>
  <si>
    <t xml:space="preserve">ED-7000306</t>
  </si>
  <si>
    <t xml:space="preserve">05:33</t>
  </si>
  <si>
    <t xml:space="preserve">07:54</t>
  </si>
  <si>
    <t xml:space="preserve">ED-7000307</t>
  </si>
  <si>
    <t xml:space="preserve">21:03</t>
  </si>
  <si>
    <t xml:space="preserve">ED-7000308</t>
  </si>
  <si>
    <t xml:space="preserve">1799844745</t>
  </si>
  <si>
    <t xml:space="preserve">14:39</t>
  </si>
  <si>
    <t xml:space="preserve">ED-7000309</t>
  </si>
  <si>
    <t xml:space="preserve">03:51</t>
  </si>
  <si>
    <t xml:space="preserve">ED-7000310</t>
  </si>
  <si>
    <t xml:space="preserve">18:11</t>
  </si>
  <si>
    <t xml:space="preserve">19:15</t>
  </si>
  <si>
    <t xml:space="preserve">ED-7000311</t>
  </si>
  <si>
    <t xml:space="preserve">22:58</t>
  </si>
  <si>
    <t xml:space="preserve">ED-7000312</t>
  </si>
  <si>
    <t xml:space="preserve">4789535205</t>
  </si>
  <si>
    <t xml:space="preserve">05:14</t>
  </si>
  <si>
    <t xml:space="preserve">ED-7000313</t>
  </si>
  <si>
    <t xml:space="preserve">06:06</t>
  </si>
  <si>
    <t xml:space="preserve">ED-7000314</t>
  </si>
  <si>
    <t xml:space="preserve">2184090536</t>
  </si>
  <si>
    <t xml:space="preserve">09:36</t>
  </si>
  <si>
    <t xml:space="preserve">11:08</t>
  </si>
  <si>
    <t xml:space="preserve">19:21</t>
  </si>
  <si>
    <t xml:space="preserve">ED-7000315</t>
  </si>
  <si>
    <t xml:space="preserve">03:28</t>
  </si>
  <si>
    <t xml:space="preserve">08:23</t>
  </si>
  <si>
    <t xml:space="preserve">04:40</t>
  </si>
  <si>
    <t xml:space="preserve">ED-7000316</t>
  </si>
  <si>
    <t xml:space="preserve">1661217127</t>
  </si>
  <si>
    <t xml:space="preserve">ED-7000317</t>
  </si>
  <si>
    <t xml:space="preserve">7931576730</t>
  </si>
  <si>
    <t xml:space="preserve">16:54</t>
  </si>
  <si>
    <t xml:space="preserve">ED-7000318</t>
  </si>
  <si>
    <t xml:space="preserve">22:51</t>
  </si>
  <si>
    <t xml:space="preserve">04:48</t>
  </si>
  <si>
    <t xml:space="preserve">02:21</t>
  </si>
  <si>
    <t xml:space="preserve">ED-7000319</t>
  </si>
  <si>
    <t xml:space="preserve">03:58</t>
  </si>
  <si>
    <t xml:space="preserve">05:46</t>
  </si>
  <si>
    <t xml:space="preserve">ED-7000320</t>
  </si>
  <si>
    <t xml:space="preserve">11:39</t>
  </si>
  <si>
    <t xml:space="preserve">16:52</t>
  </si>
  <si>
    <t xml:space="preserve">ED-7000321</t>
  </si>
  <si>
    <t xml:space="preserve">3825811222</t>
  </si>
  <si>
    <t xml:space="preserve">17:02</t>
  </si>
  <si>
    <t xml:space="preserve">ED-7000322</t>
  </si>
  <si>
    <t xml:space="preserve">19:01</t>
  </si>
  <si>
    <t xml:space="preserve">ED-7000323</t>
  </si>
  <si>
    <t xml:space="preserve">1133623635</t>
  </si>
  <si>
    <t xml:space="preserve">ED-7000324</t>
  </si>
  <si>
    <t xml:space="preserve">0287747525</t>
  </si>
  <si>
    <t xml:space="preserve">15:28</t>
  </si>
  <si>
    <t xml:space="preserve">ED-7000325</t>
  </si>
  <si>
    <t xml:space="preserve">08:09</t>
  </si>
  <si>
    <t xml:space="preserve">10:37</t>
  </si>
  <si>
    <t xml:space="preserve">09:39</t>
  </si>
  <si>
    <t xml:space="preserve">ED-7000326</t>
  </si>
  <si>
    <t xml:space="preserve">17:00</t>
  </si>
  <si>
    <t xml:space="preserve">ED-7000327</t>
  </si>
  <si>
    <t xml:space="preserve">17:13</t>
  </si>
  <si>
    <t xml:space="preserve">20:23</t>
  </si>
  <si>
    <t xml:space="preserve">ED-7000328</t>
  </si>
  <si>
    <t xml:space="preserve">4089143225</t>
  </si>
  <si>
    <t xml:space="preserve">13:10</t>
  </si>
  <si>
    <t xml:space="preserve">11:41</t>
  </si>
  <si>
    <t xml:space="preserve">ED-7000329</t>
  </si>
  <si>
    <t xml:space="preserve">22:34</t>
  </si>
  <si>
    <t xml:space="preserve">ED-7000330</t>
  </si>
  <si>
    <t xml:space="preserve">11:20</t>
  </si>
  <si>
    <t xml:space="preserve">15:10</t>
  </si>
  <si>
    <t xml:space="preserve">ED-7000331</t>
  </si>
  <si>
    <t xml:space="preserve">13:53</t>
  </si>
  <si>
    <t xml:space="preserve">ED-7000332</t>
  </si>
  <si>
    <t xml:space="preserve">03:32</t>
  </si>
  <si>
    <t xml:space="preserve">06:41</t>
  </si>
  <si>
    <t xml:space="preserve">ED-7000333</t>
  </si>
  <si>
    <t xml:space="preserve">02:00</t>
  </si>
  <si>
    <t xml:space="preserve">ED-7000334</t>
  </si>
  <si>
    <t xml:space="preserve">5839814631</t>
  </si>
  <si>
    <t xml:space="preserve">09:31</t>
  </si>
  <si>
    <t xml:space="preserve">ED-7000335</t>
  </si>
  <si>
    <t xml:space="preserve">1818461958</t>
  </si>
  <si>
    <t xml:space="preserve">ED-7000336</t>
  </si>
  <si>
    <t xml:space="preserve">18:43</t>
  </si>
  <si>
    <t xml:space="preserve">ED-7000337</t>
  </si>
  <si>
    <t xml:space="preserve">2791582397</t>
  </si>
  <si>
    <t xml:space="preserve">19:46</t>
  </si>
  <si>
    <t xml:space="preserve">ED-7000338</t>
  </si>
  <si>
    <t xml:space="preserve">15:38</t>
  </si>
  <si>
    <t xml:space="preserve">16:27</t>
  </si>
  <si>
    <t xml:space="preserve">ED-7000339</t>
  </si>
  <si>
    <t xml:space="preserve">ED-7000340</t>
  </si>
  <si>
    <t xml:space="preserve">ED-7000341</t>
  </si>
  <si>
    <t xml:space="preserve">17:57</t>
  </si>
  <si>
    <t xml:space="preserve">ED-7000342</t>
  </si>
  <si>
    <t xml:space="preserve">ED-7000343</t>
  </si>
  <si>
    <t xml:space="preserve">03:39</t>
  </si>
  <si>
    <t xml:space="preserve">04:53</t>
  </si>
  <si>
    <t xml:space="preserve">ED-7000344</t>
  </si>
  <si>
    <t xml:space="preserve">06:58</t>
  </si>
  <si>
    <t xml:space="preserve">08:21</t>
  </si>
  <si>
    <t xml:space="preserve">07:42</t>
  </si>
  <si>
    <t xml:space="preserve">ED-7000345</t>
  </si>
  <si>
    <t xml:space="preserve">20:33</t>
  </si>
  <si>
    <t xml:space="preserve">01:24</t>
  </si>
  <si>
    <t xml:space="preserve">00:17</t>
  </si>
  <si>
    <t xml:space="preserve">ED-7000346</t>
  </si>
  <si>
    <t xml:space="preserve">18:29</t>
  </si>
  <si>
    <t xml:space="preserve">ED-7000347</t>
  </si>
  <si>
    <t xml:space="preserve">8894469000</t>
  </si>
  <si>
    <t xml:space="preserve">11:25</t>
  </si>
  <si>
    <t xml:space="preserve">14:29</t>
  </si>
  <si>
    <t xml:space="preserve">ED-7000348</t>
  </si>
  <si>
    <t xml:space="preserve">3150011990</t>
  </si>
  <si>
    <t xml:space="preserve">11:46</t>
  </si>
  <si>
    <t xml:space="preserve">12:10</t>
  </si>
  <si>
    <t xml:space="preserve">14:36</t>
  </si>
  <si>
    <t xml:space="preserve">ED-7000349</t>
  </si>
  <si>
    <t xml:space="preserve">13:17</t>
  </si>
  <si>
    <t xml:space="preserve">13:44</t>
  </si>
  <si>
    <t xml:space="preserve">15:33</t>
  </si>
  <si>
    <t xml:space="preserve">ED-7000350</t>
  </si>
  <si>
    <t xml:space="preserve">0198085847</t>
  </si>
  <si>
    <t xml:space="preserve">04:32</t>
  </si>
  <si>
    <t xml:space="preserve">07:00</t>
  </si>
  <si>
    <t xml:space="preserve">08:31</t>
  </si>
  <si>
    <t xml:space="preserve">ED-7000351</t>
  </si>
  <si>
    <t xml:space="preserve">7515244903</t>
  </si>
  <si>
    <t xml:space="preserve">ED-7000352</t>
  </si>
  <si>
    <t xml:space="preserve">3342204457</t>
  </si>
  <si>
    <t xml:space="preserve">10:18</t>
  </si>
  <si>
    <t xml:space="preserve">12:32</t>
  </si>
  <si>
    <t xml:space="preserve">ED-7000353</t>
  </si>
  <si>
    <t xml:space="preserve">16:42</t>
  </si>
  <si>
    <t xml:space="preserve">ED-7000354</t>
  </si>
  <si>
    <t xml:space="preserve">ED-7000355</t>
  </si>
  <si>
    <t xml:space="preserve">01:29</t>
  </si>
  <si>
    <t xml:space="preserve">ED-7000356</t>
  </si>
  <si>
    <t xml:space="preserve">14:25</t>
  </si>
  <si>
    <t xml:space="preserve">ED-7000357</t>
  </si>
  <si>
    <t xml:space="preserve">05:45</t>
  </si>
  <si>
    <t xml:space="preserve">ED-7000358</t>
  </si>
  <si>
    <t xml:space="preserve">2420554113</t>
  </si>
  <si>
    <t xml:space="preserve">02:36</t>
  </si>
  <si>
    <t xml:space="preserve">ED-7000359</t>
  </si>
  <si>
    <t xml:space="preserve">20:28</t>
  </si>
  <si>
    <t xml:space="preserve">17:41</t>
  </si>
  <si>
    <t xml:space="preserve">ED-7000360</t>
  </si>
  <si>
    <t xml:space="preserve">3594106161</t>
  </si>
  <si>
    <t xml:space="preserve">18:07</t>
  </si>
  <si>
    <t xml:space="preserve">22:00</t>
  </si>
  <si>
    <t xml:space="preserve">01:43</t>
  </si>
  <si>
    <t xml:space="preserve">ED-7000361</t>
  </si>
  <si>
    <t xml:space="preserve">20:16</t>
  </si>
  <si>
    <t xml:space="preserve">19:39</t>
  </si>
  <si>
    <t xml:space="preserve">ED-7000362</t>
  </si>
  <si>
    <t xml:space="preserve">13:21</t>
  </si>
  <si>
    <t xml:space="preserve">15:30</t>
  </si>
  <si>
    <t xml:space="preserve">ED-7000363</t>
  </si>
  <si>
    <t xml:space="preserve">12:08</t>
  </si>
  <si>
    <t xml:space="preserve">14:54</t>
  </si>
  <si>
    <t xml:space="preserve">13:19</t>
  </si>
  <si>
    <t xml:space="preserve">ED-7000364</t>
  </si>
  <si>
    <t xml:space="preserve">14:19</t>
  </si>
  <si>
    <t xml:space="preserve">ED-7000365</t>
  </si>
  <si>
    <t xml:space="preserve">06:52</t>
  </si>
  <si>
    <t xml:space="preserve">08:11</t>
  </si>
  <si>
    <t xml:space="preserve">ED-7000366</t>
  </si>
  <si>
    <t xml:space="preserve">4723940874</t>
  </si>
  <si>
    <t xml:space="preserve">13:50</t>
  </si>
  <si>
    <t xml:space="preserve">ED-7000367</t>
  </si>
  <si>
    <t xml:space="preserve">8097979494</t>
  </si>
  <si>
    <t xml:space="preserve">05:06</t>
  </si>
  <si>
    <t xml:space="preserve">ED-7000368</t>
  </si>
  <si>
    <t xml:space="preserve">09:49</t>
  </si>
  <si>
    <t xml:space="preserve">12:46</t>
  </si>
  <si>
    <t xml:space="preserve">12:57</t>
  </si>
  <si>
    <t xml:space="preserve">ED-7000369</t>
  </si>
  <si>
    <t xml:space="preserve">20:06</t>
  </si>
  <si>
    <t xml:space="preserve">23:27</t>
  </si>
  <si>
    <t xml:space="preserve">ED-7000370</t>
  </si>
  <si>
    <t xml:space="preserve">14:52</t>
  </si>
  <si>
    <t xml:space="preserve">ED-7000371</t>
  </si>
  <si>
    <t xml:space="preserve">17:59</t>
  </si>
  <si>
    <t xml:space="preserve">18:48</t>
  </si>
  <si>
    <t xml:space="preserve">ED-7000372</t>
  </si>
  <si>
    <t xml:space="preserve">3010578394</t>
  </si>
  <si>
    <t xml:space="preserve">22:56</t>
  </si>
  <si>
    <t xml:space="preserve">23:48</t>
  </si>
  <si>
    <t xml:space="preserve">ED-7000373</t>
  </si>
  <si>
    <t xml:space="preserve">2138716395</t>
  </si>
  <si>
    <t xml:space="preserve">ED-7000374</t>
  </si>
  <si>
    <t xml:space="preserve">00:08</t>
  </si>
  <si>
    <t xml:space="preserve">01:33</t>
  </si>
  <si>
    <t xml:space="preserve">ED-7000375</t>
  </si>
  <si>
    <t xml:space="preserve">10:56</t>
  </si>
  <si>
    <t xml:space="preserve">12:13</t>
  </si>
  <si>
    <t xml:space="preserve">ED-7000376</t>
  </si>
  <si>
    <t xml:space="preserve">20:47</t>
  </si>
  <si>
    <t xml:space="preserve">19:58</t>
  </si>
  <si>
    <t xml:space="preserve">ED-7000377</t>
  </si>
  <si>
    <t xml:space="preserve">13:09</t>
  </si>
  <si>
    <t xml:space="preserve">ED-7000378</t>
  </si>
  <si>
    <t xml:space="preserve">15:07</t>
  </si>
  <si>
    <t xml:space="preserve">ED-7000379</t>
  </si>
  <si>
    <t xml:space="preserve">02:04</t>
  </si>
  <si>
    <t xml:space="preserve">05:23</t>
  </si>
  <si>
    <t xml:space="preserve">ED-7000380</t>
  </si>
  <si>
    <t xml:space="preserve">12:24</t>
  </si>
  <si>
    <t xml:space="preserve">ED-7000381</t>
  </si>
  <si>
    <t xml:space="preserve">07:22</t>
  </si>
  <si>
    <t xml:space="preserve">ED-7000382</t>
  </si>
  <si>
    <t xml:space="preserve">12:20 PM</t>
  </si>
  <si>
    <t xml:space="preserve">13:57</t>
  </si>
  <si>
    <t xml:space="preserve">ED-7000383</t>
  </si>
  <si>
    <t xml:space="preserve">00:44</t>
  </si>
  <si>
    <t xml:space="preserve">ED-7000384</t>
  </si>
  <si>
    <t xml:space="preserve">6438347802</t>
  </si>
  <si>
    <t xml:space="preserve">06:08</t>
  </si>
  <si>
    <t xml:space="preserve">ED-7000385</t>
  </si>
  <si>
    <t xml:space="preserve">03:37</t>
  </si>
  <si>
    <t xml:space="preserve">ED-7000386</t>
  </si>
  <si>
    <t xml:space="preserve">01:04</t>
  </si>
  <si>
    <t xml:space="preserve">ED-7000387</t>
  </si>
  <si>
    <t xml:space="preserve">4288813383</t>
  </si>
  <si>
    <t xml:space="preserve">ED-7000388</t>
  </si>
  <si>
    <t xml:space="preserve">5711255077</t>
  </si>
  <si>
    <t xml:space="preserve">ED-7000389</t>
  </si>
  <si>
    <t xml:space="preserve">23:42</t>
  </si>
  <si>
    <t xml:space="preserve">02:02</t>
  </si>
  <si>
    <t xml:space="preserve">ED-7000390</t>
  </si>
  <si>
    <t xml:space="preserve">0587544160</t>
  </si>
  <si>
    <t xml:space="preserve">18:20</t>
  </si>
  <si>
    <t xml:space="preserve">ED-7000391</t>
  </si>
  <si>
    <t xml:space="preserve">2780361397</t>
  </si>
  <si>
    <t xml:space="preserve">22:05</t>
  </si>
  <si>
    <t xml:space="preserve">22:37</t>
  </si>
  <si>
    <t xml:space="preserve">ED-7000392</t>
  </si>
  <si>
    <t xml:space="preserve">3:59 AM</t>
  </si>
  <si>
    <t xml:space="preserve">05:11</t>
  </si>
  <si>
    <t xml:space="preserve">ED-7000393</t>
  </si>
  <si>
    <t xml:space="preserve">ED-7000394</t>
  </si>
  <si>
    <t xml:space="preserve">01:57</t>
  </si>
  <si>
    <t xml:space="preserve">02:46</t>
  </si>
  <si>
    <t xml:space="preserve">ED-7000395</t>
  </si>
  <si>
    <t xml:space="preserve">17:50</t>
  </si>
  <si>
    <t xml:space="preserve">ED-7000396</t>
  </si>
  <si>
    <t xml:space="preserve">13:52</t>
  </si>
  <si>
    <t xml:space="preserve">ED-7000397</t>
  </si>
  <si>
    <t xml:space="preserve">20:24</t>
  </si>
  <si>
    <t xml:space="preserve">ED-7000398</t>
  </si>
  <si>
    <t xml:space="preserve">19:27</t>
  </si>
  <si>
    <t xml:space="preserve">ED-7000399</t>
  </si>
  <si>
    <t xml:space="preserve">ED-7000400</t>
  </si>
  <si>
    <t xml:space="preserve">16:32</t>
  </si>
  <si>
    <t xml:space="preserve">19:59</t>
  </si>
  <si>
    <t xml:space="preserve">ED-7000401</t>
  </si>
  <si>
    <t xml:space="preserve">ED-7000402</t>
  </si>
  <si>
    <t xml:space="preserve">3674854746</t>
  </si>
  <si>
    <t xml:space="preserve">06:31</t>
  </si>
  <si>
    <t xml:space="preserve">08:45</t>
  </si>
  <si>
    <t xml:space="preserve">ED-7000403</t>
  </si>
  <si>
    <t xml:space="preserve">16:07</t>
  </si>
  <si>
    <t xml:space="preserve">17:35</t>
  </si>
  <si>
    <t xml:space="preserve">ED-7000404</t>
  </si>
  <si>
    <t xml:space="preserve">05:47</t>
  </si>
  <si>
    <t xml:space="preserve">ED-7000405</t>
  </si>
  <si>
    <t xml:space="preserve">18:26</t>
  </si>
  <si>
    <t xml:space="preserve">ED-7000406</t>
  </si>
  <si>
    <t xml:space="preserve">ED-7000407</t>
  </si>
  <si>
    <t xml:space="preserve">18:40</t>
  </si>
  <si>
    <t xml:space="preserve">16:24</t>
  </si>
  <si>
    <t xml:space="preserve">ED-7000408</t>
  </si>
  <si>
    <t xml:space="preserve">9730087989</t>
  </si>
  <si>
    <t xml:space="preserve">ED-7000409</t>
  </si>
  <si>
    <t xml:space="preserve">09:04</t>
  </si>
  <si>
    <t xml:space="preserve">12:45</t>
  </si>
  <si>
    <t xml:space="preserve">ED-7000410</t>
  </si>
  <si>
    <t xml:space="preserve">20:45</t>
  </si>
  <si>
    <t xml:space="preserve">21:39</t>
  </si>
  <si>
    <t xml:space="preserve">23:01</t>
  </si>
  <si>
    <t xml:space="preserve">ED-7000411</t>
  </si>
  <si>
    <t xml:space="preserve">2240429620</t>
  </si>
  <si>
    <t xml:space="preserve">07:40</t>
  </si>
  <si>
    <t xml:space="preserve">13:40</t>
  </si>
  <si>
    <t xml:space="preserve">10:28</t>
  </si>
  <si>
    <t xml:space="preserve">ED-7000412</t>
  </si>
  <si>
    <t xml:space="preserve">ED-7000413</t>
  </si>
  <si>
    <t xml:space="preserve">4803573180</t>
  </si>
  <si>
    <t xml:space="preserve">02:44</t>
  </si>
  <si>
    <t xml:space="preserve">ED-7000414</t>
  </si>
  <si>
    <t xml:space="preserve">ED-7000415</t>
  </si>
  <si>
    <t xml:space="preserve">21:11</t>
  </si>
  <si>
    <t xml:space="preserve">ED-7000416</t>
  </si>
  <si>
    <t xml:space="preserve">02:40</t>
  </si>
  <si>
    <t xml:space="preserve">06:19</t>
  </si>
  <si>
    <t xml:space="preserve">ED-7000417</t>
  </si>
  <si>
    <t xml:space="preserve">01:23</t>
  </si>
  <si>
    <t xml:space="preserve">ED-7000418</t>
  </si>
  <si>
    <t xml:space="preserve">4023911628</t>
  </si>
  <si>
    <t xml:space="preserve">12:23</t>
  </si>
  <si>
    <t xml:space="preserve">ED-7000419</t>
  </si>
  <si>
    <t xml:space="preserve">17:46</t>
  </si>
  <si>
    <t xml:space="preserve">ED-7000420</t>
  </si>
  <si>
    <t xml:space="preserve">22:04</t>
  </si>
  <si>
    <t xml:space="preserve">22:12</t>
  </si>
  <si>
    <t xml:space="preserve">ED-7000421</t>
  </si>
  <si>
    <t xml:space="preserve">5:37 PM</t>
  </si>
  <si>
    <t xml:space="preserve">20:22</t>
  </si>
  <si>
    <t xml:space="preserve">ED-7000422</t>
  </si>
  <si>
    <t xml:space="preserve">4534241404</t>
  </si>
  <si>
    <t xml:space="preserve">21:31</t>
  </si>
  <si>
    <t xml:space="preserve">22:49</t>
  </si>
  <si>
    <t xml:space="preserve">ED-7000423</t>
  </si>
  <si>
    <t xml:space="preserve">10:58</t>
  </si>
  <si>
    <t xml:space="preserve">ED-7000424</t>
  </si>
  <si>
    <t xml:space="preserve">00:37</t>
  </si>
  <si>
    <t xml:space="preserve">ED-7000425</t>
  </si>
  <si>
    <t xml:space="preserve">17:20</t>
  </si>
  <si>
    <t xml:space="preserve">ED-7000426</t>
  </si>
  <si>
    <t xml:space="preserve">03:31</t>
  </si>
  <si>
    <t xml:space="preserve">07:28</t>
  </si>
  <si>
    <t xml:space="preserve">07:14</t>
  </si>
  <si>
    <t xml:space="preserve">ED-7000427</t>
  </si>
  <si>
    <t xml:space="preserve">02:20</t>
  </si>
  <si>
    <t xml:space="preserve">ED-7000428</t>
  </si>
  <si>
    <t xml:space="preserve">08:28</t>
  </si>
  <si>
    <t xml:space="preserve">12:26</t>
  </si>
  <si>
    <t xml:space="preserve">ED-7000429</t>
  </si>
  <si>
    <t xml:space="preserve">5720209536</t>
  </si>
  <si>
    <t xml:space="preserve">22:17</t>
  </si>
  <si>
    <t xml:space="preserve">ED-7000430</t>
  </si>
  <si>
    <t xml:space="preserve">8204320283</t>
  </si>
  <si>
    <t xml:space="preserve">ED-7000431</t>
  </si>
  <si>
    <t xml:space="preserve">3969978608</t>
  </si>
  <si>
    <t xml:space="preserve">10:04</t>
  </si>
  <si>
    <t xml:space="preserve">ED-7000432</t>
  </si>
  <si>
    <t xml:space="preserve">4380271582</t>
  </si>
  <si>
    <t xml:space="preserve">18:23</t>
  </si>
  <si>
    <t xml:space="preserve">ED-7000433</t>
  </si>
  <si>
    <t xml:space="preserve">ED-7000434</t>
  </si>
  <si>
    <t xml:space="preserve">14:38</t>
  </si>
  <si>
    <t xml:space="preserve">ED-7000435</t>
  </si>
  <si>
    <t xml:space="preserve">0768031796</t>
  </si>
  <si>
    <t xml:space="preserve">22:42</t>
  </si>
  <si>
    <t xml:space="preserve">00:35</t>
  </si>
  <si>
    <t xml:space="preserve">ED-7000436</t>
  </si>
  <si>
    <t xml:space="preserve">5398647844</t>
  </si>
  <si>
    <t xml:space="preserve">11:22</t>
  </si>
  <si>
    <t xml:space="preserve">12:11</t>
  </si>
  <si>
    <t xml:space="preserve">ED-7000437</t>
  </si>
  <si>
    <t xml:space="preserve">20:49</t>
  </si>
  <si>
    <t xml:space="preserve">ED-7000438</t>
  </si>
  <si>
    <t xml:space="preserve">3459611172</t>
  </si>
  <si>
    <t xml:space="preserve">01:56</t>
  </si>
  <si>
    <t xml:space="preserve">04:25</t>
  </si>
  <si>
    <t xml:space="preserve">06:38</t>
  </si>
  <si>
    <t xml:space="preserve">ED-7000439</t>
  </si>
  <si>
    <t xml:space="preserve">ED-7000440</t>
  </si>
  <si>
    <t xml:space="preserve">16:39</t>
  </si>
  <si>
    <t xml:space="preserve">ED-7000441</t>
  </si>
  <si>
    <t xml:space="preserve">09:28</t>
  </si>
  <si>
    <t xml:space="preserve">10:27</t>
  </si>
  <si>
    <t xml:space="preserve">ED-7000442</t>
  </si>
  <si>
    <t xml:space="preserve">ED-7000443</t>
  </si>
  <si>
    <t xml:space="preserve">21:18</t>
  </si>
  <si>
    <t xml:space="preserve">ED-7000444</t>
  </si>
  <si>
    <t xml:space="preserve">04:12</t>
  </si>
  <si>
    <t xml:space="preserve">05:38</t>
  </si>
  <si>
    <t xml:space="preserve">ED-7000445</t>
  </si>
  <si>
    <t xml:space="preserve">03:45</t>
  </si>
  <si>
    <t xml:space="preserve">07:09</t>
  </si>
  <si>
    <t xml:space="preserve">05:53</t>
  </si>
  <si>
    <t xml:space="preserve">ED-7000446</t>
  </si>
  <si>
    <t xml:space="preserve">9477591009</t>
  </si>
  <si>
    <t xml:space="preserve">01:08</t>
  </si>
  <si>
    <t xml:space="preserve">ED-7000447</t>
  </si>
  <si>
    <t xml:space="preserve">ED-7000448</t>
  </si>
  <si>
    <t xml:space="preserve">05:48</t>
  </si>
  <si>
    <t xml:space="preserve">ED-7000449</t>
  </si>
  <si>
    <t xml:space="preserve">10:35 PM</t>
  </si>
  <si>
    <t xml:space="preserve">23:47</t>
  </si>
  <si>
    <t xml:space="preserve">ED-7000450</t>
  </si>
  <si>
    <t xml:space="preserve">ED-7000451</t>
  </si>
  <si>
    <t xml:space="preserve">16:16</t>
  </si>
  <si>
    <t xml:space="preserve">ED-7000452</t>
  </si>
  <si>
    <t xml:space="preserve">ED-7000453</t>
  </si>
  <si>
    <t xml:space="preserve">17:37</t>
  </si>
  <si>
    <t xml:space="preserve">ED-7000454</t>
  </si>
  <si>
    <t xml:space="preserve">07:35</t>
  </si>
  <si>
    <t xml:space="preserve">ED-7000455</t>
  </si>
  <si>
    <t xml:space="preserve">8338967295</t>
  </si>
  <si>
    <t xml:space="preserve">07:29</t>
  </si>
  <si>
    <t xml:space="preserve">ED-7000456</t>
  </si>
  <si>
    <t xml:space="preserve">00:26</t>
  </si>
  <si>
    <t xml:space="preserve">02:45</t>
  </si>
  <si>
    <t xml:space="preserve">ED-7000457</t>
  </si>
  <si>
    <t xml:space="preserve">9354724387</t>
  </si>
  <si>
    <t xml:space="preserve">05:57</t>
  </si>
  <si>
    <t xml:space="preserve">ED-7000458</t>
  </si>
  <si>
    <t xml:space="preserve">1256248437</t>
  </si>
  <si>
    <t xml:space="preserve">11:52</t>
  </si>
  <si>
    <t xml:space="preserve">ED-7000459</t>
  </si>
  <si>
    <t xml:space="preserve">15:46</t>
  </si>
  <si>
    <t xml:space="preserve">ED-7000460</t>
  </si>
  <si>
    <t xml:space="preserve">17:26</t>
  </si>
  <si>
    <t xml:space="preserve">21:16</t>
  </si>
  <si>
    <t xml:space="preserve">20:29</t>
  </si>
  <si>
    <t xml:space="preserve">ED-7000461</t>
  </si>
  <si>
    <t xml:space="preserve">13:41</t>
  </si>
  <si>
    <t xml:space="preserve">16:58</t>
  </si>
  <si>
    <t xml:space="preserve">ED-7000462</t>
  </si>
  <si>
    <t xml:space="preserve">16:33</t>
  </si>
  <si>
    <t xml:space="preserve">ED-7000463</t>
  </si>
  <si>
    <t xml:space="preserve">3263955798</t>
  </si>
  <si>
    <t xml:space="preserve">05:21</t>
  </si>
  <si>
    <t xml:space="preserve">09:46</t>
  </si>
  <si>
    <t xml:space="preserve">13:25</t>
  </si>
  <si>
    <t xml:space="preserve">ED-7000464</t>
  </si>
  <si>
    <t xml:space="preserve">ED-7000465</t>
  </si>
  <si>
    <t xml:space="preserve">ED-7000466</t>
  </si>
  <si>
    <t xml:space="preserve">9290868927</t>
  </si>
  <si>
    <t xml:space="preserve">20:54</t>
  </si>
  <si>
    <t xml:space="preserve">01:58</t>
  </si>
  <si>
    <t xml:space="preserve">22:01</t>
  </si>
  <si>
    <t xml:space="preserve">ED-7000467</t>
  </si>
  <si>
    <t xml:space="preserve">0595836428</t>
  </si>
  <si>
    <t xml:space="preserve">19:51</t>
  </si>
  <si>
    <t xml:space="preserve">ED-7000468</t>
  </si>
  <si>
    <t xml:space="preserve">ED-7000469</t>
  </si>
  <si>
    <t xml:space="preserve">3565199703</t>
  </si>
  <si>
    <t xml:space="preserve">ED-7000470</t>
  </si>
  <si>
    <t xml:space="preserve">19:19</t>
  </si>
  <si>
    <t xml:space="preserve">21:20</t>
  </si>
  <si>
    <t xml:space="preserve">ED-7000471</t>
  </si>
  <si>
    <t xml:space="preserve">0105921776</t>
  </si>
  <si>
    <t xml:space="preserve">ED-7000472</t>
  </si>
  <si>
    <t xml:space="preserve">23:04</t>
  </si>
  <si>
    <t xml:space="preserve">ED-7000473</t>
  </si>
  <si>
    <t xml:space="preserve">01:18</t>
  </si>
  <si>
    <t xml:space="preserve">01:19</t>
  </si>
  <si>
    <t xml:space="preserve">05:12</t>
  </si>
  <si>
    <t xml:space="preserve">ED-7000474</t>
  </si>
  <si>
    <t xml:space="preserve">8913560143</t>
  </si>
  <si>
    <t xml:space="preserve">13:06</t>
  </si>
  <si>
    <t xml:space="preserve">15:45</t>
  </si>
  <si>
    <t xml:space="preserve">ED-7000475</t>
  </si>
  <si>
    <t xml:space="preserve">0836317387</t>
  </si>
  <si>
    <t xml:space="preserve">19:43</t>
  </si>
  <si>
    <t xml:space="preserve">ED-7000476</t>
  </si>
  <si>
    <t xml:space="preserve">1375365863</t>
  </si>
  <si>
    <t xml:space="preserve">ED-7000477</t>
  </si>
  <si>
    <t xml:space="preserve">11:54</t>
  </si>
  <si>
    <t xml:space="preserve">ED-7000478</t>
  </si>
  <si>
    <t xml:space="preserve">08:55</t>
  </si>
  <si>
    <t xml:space="preserve">ED-7000479</t>
  </si>
  <si>
    <t xml:space="preserve">10:19</t>
  </si>
  <si>
    <t xml:space="preserve">ED-7000480</t>
  </si>
  <si>
    <t xml:space="preserve">12:12</t>
  </si>
  <si>
    <t xml:space="preserve">12:56</t>
  </si>
  <si>
    <t xml:space="preserve">ED-7000481</t>
  </si>
  <si>
    <t xml:space="preserve">ED-7000482</t>
  </si>
  <si>
    <t xml:space="preserve">4942028979</t>
  </si>
  <si>
    <t xml:space="preserve">22:18</t>
  </si>
  <si>
    <t xml:space="preserve">ED-7000483</t>
  </si>
  <si>
    <t xml:space="preserve">9564229060</t>
  </si>
  <si>
    <t xml:space="preserve">ED-7000484</t>
  </si>
  <si>
    <t xml:space="preserve">5226751627</t>
  </si>
  <si>
    <t xml:space="preserve">04:29</t>
  </si>
  <si>
    <t xml:space="preserve">ED-7000485</t>
  </si>
  <si>
    <t xml:space="preserve">12:41</t>
  </si>
  <si>
    <t xml:space="preserve">18:09</t>
  </si>
  <si>
    <t xml:space="preserve">ED-7000486</t>
  </si>
  <si>
    <t xml:space="preserve">13:51</t>
  </si>
  <si>
    <t xml:space="preserve">15:32</t>
  </si>
  <si>
    <t xml:space="preserve">16:55</t>
  </si>
  <si>
    <t xml:space="preserve">ED-7000487</t>
  </si>
  <si>
    <t xml:space="preserve">3:45 AM</t>
  </si>
  <si>
    <t xml:space="preserve">08:30</t>
  </si>
  <si>
    <t xml:space="preserve">ED-7000488</t>
  </si>
  <si>
    <t xml:space="preserve">01:25</t>
  </si>
  <si>
    <t xml:space="preserve">01:50</t>
  </si>
  <si>
    <t xml:space="preserve">ED-7000489</t>
  </si>
  <si>
    <t xml:space="preserve">ED-7000490</t>
  </si>
  <si>
    <t xml:space="preserve">07:24</t>
  </si>
  <si>
    <t xml:space="preserve">10:49</t>
  </si>
  <si>
    <t xml:space="preserve">ED-7000491</t>
  </si>
  <si>
    <t xml:space="preserve">0608146713</t>
  </si>
  <si>
    <t xml:space="preserve">22:53</t>
  </si>
  <si>
    <t xml:space="preserve">00:04</t>
  </si>
  <si>
    <t xml:space="preserve">ED-7000492</t>
  </si>
  <si>
    <t xml:space="preserve">21:14</t>
  </si>
  <si>
    <t xml:space="preserve">ED-7000493</t>
  </si>
  <si>
    <t xml:space="preserve">07:06</t>
  </si>
  <si>
    <t xml:space="preserve">08:18</t>
  </si>
  <si>
    <t xml:space="preserve">ED-7000494</t>
  </si>
  <si>
    <t xml:space="preserve">ED-7000495</t>
  </si>
  <si>
    <t xml:space="preserve">20:59</t>
  </si>
  <si>
    <t xml:space="preserve">ED-7000496</t>
  </si>
  <si>
    <t xml:space="preserve">08:33</t>
  </si>
  <si>
    <t xml:space="preserve">ED-7000497</t>
  </si>
  <si>
    <t xml:space="preserve">ED-7000498</t>
  </si>
  <si>
    <t xml:space="preserve">16:38</t>
  </si>
  <si>
    <t xml:space="preserve">17:30</t>
  </si>
  <si>
    <t xml:space="preserve">18:59</t>
  </si>
  <si>
    <t xml:space="preserve">ED-7000499</t>
  </si>
  <si>
    <t xml:space="preserve">10:03 AM</t>
  </si>
  <si>
    <t xml:space="preserve">ED-7000500</t>
  </si>
  <si>
    <t xml:space="preserve">ED-7000501</t>
  </si>
  <si>
    <t xml:space="preserve">11:13</t>
  </si>
  <si>
    <t xml:space="preserve">ED-7000502</t>
  </si>
  <si>
    <t xml:space="preserve">ED-7000503</t>
  </si>
  <si>
    <t xml:space="preserve">09:47</t>
  </si>
  <si>
    <t xml:space="preserve">11:53</t>
  </si>
  <si>
    <t xml:space="preserve">ED-7000504</t>
  </si>
  <si>
    <t xml:space="preserve">13:54</t>
  </si>
  <si>
    <t xml:space="preserve">ED-7000505</t>
  </si>
  <si>
    <t xml:space="preserve">5906096243</t>
  </si>
  <si>
    <t xml:space="preserve">05:10</t>
  </si>
  <si>
    <t xml:space="preserve">ED-7000506</t>
  </si>
  <si>
    <t xml:space="preserve">07:01</t>
  </si>
  <si>
    <t xml:space="preserve">07:41</t>
  </si>
  <si>
    <t xml:space="preserve">ED-7000507</t>
  </si>
  <si>
    <t xml:space="preserve">06:04</t>
  </si>
  <si>
    <t xml:space="preserve">ED-7000508</t>
  </si>
  <si>
    <t xml:space="preserve">04:56</t>
  </si>
  <si>
    <t xml:space="preserve">06:30</t>
  </si>
  <si>
    <t xml:space="preserve">ED-7000509</t>
  </si>
  <si>
    <t xml:space="preserve">03:36</t>
  </si>
  <si>
    <t xml:space="preserve">ED-7000510</t>
  </si>
  <si>
    <t xml:space="preserve">11:10</t>
  </si>
  <si>
    <t xml:space="preserve">ED-7000511</t>
  </si>
  <si>
    <t xml:space="preserve">04:36</t>
  </si>
  <si>
    <t xml:space="preserve">ED-7000512</t>
  </si>
  <si>
    <t xml:space="preserve">15:17</t>
  </si>
  <si>
    <t xml:space="preserve">15:57</t>
  </si>
  <si>
    <t xml:space="preserve">17:42</t>
  </si>
  <si>
    <t xml:space="preserve">ED-7000513</t>
  </si>
  <si>
    <t xml:space="preserve">10:16</t>
  </si>
  <si>
    <t xml:space="preserve">ED-7000514</t>
  </si>
  <si>
    <t xml:space="preserve">19:31</t>
  </si>
  <si>
    <t xml:space="preserve">ED-7000515</t>
  </si>
  <si>
    <t xml:space="preserve">10:21</t>
  </si>
  <si>
    <t xml:space="preserve">ED-7000516</t>
  </si>
  <si>
    <t xml:space="preserve">20:46</t>
  </si>
  <si>
    <t xml:space="preserve">19:57</t>
  </si>
  <si>
    <t xml:space="preserve">ED-7000517</t>
  </si>
  <si>
    <t xml:space="preserve">1584613972</t>
  </si>
  <si>
    <t xml:space="preserve">17:01</t>
  </si>
  <si>
    <t xml:space="preserve">ED-7000518</t>
  </si>
  <si>
    <t xml:space="preserve">09:23</t>
  </si>
  <si>
    <t xml:space="preserve">ED-7000519</t>
  </si>
  <si>
    <t xml:space="preserve">2911665420</t>
  </si>
  <si>
    <t xml:space="preserve">23:06</t>
  </si>
  <si>
    <t xml:space="preserve">ED-7000520</t>
  </si>
  <si>
    <t xml:space="preserve">ED-7000521</t>
  </si>
  <si>
    <t xml:space="preserve">ED-7000522</t>
  </si>
  <si>
    <t xml:space="preserve">ED-7000523</t>
  </si>
  <si>
    <t xml:space="preserve">ED-7000524</t>
  </si>
  <si>
    <t xml:space="preserve">18:22</t>
  </si>
  <si>
    <t xml:space="preserve">ED-7000525</t>
  </si>
  <si>
    <t xml:space="preserve">12:07</t>
  </si>
  <si>
    <t xml:space="preserve">ED-7000526</t>
  </si>
  <si>
    <t xml:space="preserve">18:13</t>
  </si>
  <si>
    <t xml:space="preserve">ED-7000527</t>
  </si>
  <si>
    <t xml:space="preserve">6697928691</t>
  </si>
  <si>
    <t xml:space="preserve">06:46</t>
  </si>
  <si>
    <t xml:space="preserve">ED-7000528</t>
  </si>
  <si>
    <t xml:space="preserve">15:54</t>
  </si>
  <si>
    <t xml:space="preserve">16:35</t>
  </si>
  <si>
    <t xml:space="preserve">ED-7000529</t>
  </si>
  <si>
    <t xml:space="preserve">06:05</t>
  </si>
  <si>
    <t xml:space="preserve">ED-7000530</t>
  </si>
  <si>
    <t xml:space="preserve">00:02</t>
  </si>
  <si>
    <t xml:space="preserve">ED-7000531</t>
  </si>
  <si>
    <t xml:space="preserve">09:22</t>
  </si>
  <si>
    <t xml:space="preserve">10:15</t>
  </si>
  <si>
    <t xml:space="preserve">ED-7000532</t>
  </si>
  <si>
    <t xml:space="preserve">00:53</t>
  </si>
  <si>
    <t xml:space="preserve">02:39</t>
  </si>
  <si>
    <t xml:space="preserve">ED-7000533</t>
  </si>
  <si>
    <t xml:space="preserve">8728785738</t>
  </si>
  <si>
    <t xml:space="preserve">21:08</t>
  </si>
  <si>
    <t xml:space="preserve">ED-7000534</t>
  </si>
  <si>
    <t xml:space="preserve">7903808215</t>
  </si>
  <si>
    <t xml:space="preserve">ED-7000535</t>
  </si>
  <si>
    <t xml:space="preserve">01:02</t>
  </si>
  <si>
    <t xml:space="preserve">ED-7000536</t>
  </si>
  <si>
    <t xml:space="preserve">2689928532</t>
  </si>
  <si>
    <t xml:space="preserve">ED-7000537</t>
  </si>
  <si>
    <t xml:space="preserve">05:56</t>
  </si>
  <si>
    <t xml:space="preserve">ED-7000538</t>
  </si>
  <si>
    <t xml:space="preserve">4031741620</t>
  </si>
  <si>
    <t xml:space="preserve">14:50</t>
  </si>
  <si>
    <t xml:space="preserve">ED-7000539</t>
  </si>
  <si>
    <t xml:space="preserve">03:20</t>
  </si>
  <si>
    <t xml:space="preserve">ED-7000540</t>
  </si>
  <si>
    <t xml:space="preserve">20:32</t>
  </si>
  <si>
    <t xml:space="preserve">22:13</t>
  </si>
  <si>
    <t xml:space="preserve">23:38</t>
  </si>
  <si>
    <t xml:space="preserve">ED-7000541</t>
  </si>
  <si>
    <t xml:space="preserve">15:15</t>
  </si>
  <si>
    <t xml:space="preserve">ED-7000542</t>
  </si>
  <si>
    <t xml:space="preserve">20:50</t>
  </si>
  <si>
    <t xml:space="preserve">21:37</t>
  </si>
  <si>
    <t xml:space="preserve">ED-7000543</t>
  </si>
  <si>
    <t xml:space="preserve">ED-7000544</t>
  </si>
  <si>
    <t xml:space="preserve">ED-7000545</t>
  </si>
  <si>
    <t xml:space="preserve">14:57</t>
  </si>
  <si>
    <t xml:space="preserve">21:30</t>
  </si>
  <si>
    <t xml:space="preserve">ED-7000546</t>
  </si>
  <si>
    <t xml:space="preserve">15:50</t>
  </si>
  <si>
    <t xml:space="preserve">ED-7000547</t>
  </si>
  <si>
    <t xml:space="preserve">08:24</t>
  </si>
  <si>
    <t xml:space="preserve">ED-7000548</t>
  </si>
  <si>
    <t xml:space="preserve">11:01</t>
  </si>
  <si>
    <t xml:space="preserve">15:51</t>
  </si>
  <si>
    <t xml:space="preserve">ED-7000549</t>
  </si>
  <si>
    <t xml:space="preserve">17:51</t>
  </si>
  <si>
    <t xml:space="preserve">20:43</t>
  </si>
  <si>
    <t xml:space="preserve">19:38</t>
  </si>
  <si>
    <t xml:space="preserve">ED-7000550</t>
  </si>
  <si>
    <t xml:space="preserve">4071290364</t>
  </si>
  <si>
    <t xml:space="preserve">16:31</t>
  </si>
  <si>
    <t xml:space="preserve">ED-7000551</t>
  </si>
  <si>
    <t xml:space="preserve">06:57</t>
  </si>
  <si>
    <t xml:space="preserve">08:36</t>
  </si>
  <si>
    <t xml:space="preserve">07:52</t>
  </si>
  <si>
    <t xml:space="preserve">ED-7000552</t>
  </si>
  <si>
    <t xml:space="preserve">9604220484</t>
  </si>
  <si>
    <t xml:space="preserve">11:16</t>
  </si>
  <si>
    <t xml:space="preserve">ED-7000553</t>
  </si>
  <si>
    <t xml:space="preserve">04:55</t>
  </si>
  <si>
    <t xml:space="preserve">ED-7000554</t>
  </si>
  <si>
    <t xml:space="preserve">8148173225</t>
  </si>
  <si>
    <t xml:space="preserve">04:35</t>
  </si>
  <si>
    <t xml:space="preserve">ED-7000555</t>
  </si>
  <si>
    <t xml:space="preserve">11:11</t>
  </si>
  <si>
    <t xml:space="preserve">ED-7000556</t>
  </si>
  <si>
    <t xml:space="preserve">22:54</t>
  </si>
  <si>
    <t xml:space="preserve">00:34</t>
  </si>
  <si>
    <t xml:space="preserve">07:34</t>
  </si>
  <si>
    <t xml:space="preserve">ED-7000557</t>
  </si>
  <si>
    <t xml:space="preserve">03:17</t>
  </si>
  <si>
    <t xml:space="preserve">ED-7000558</t>
  </si>
  <si>
    <t xml:space="preserve">4176105295</t>
  </si>
  <si>
    <t xml:space="preserve">03:27</t>
  </si>
  <si>
    <t xml:space="preserve">ED-7000559</t>
  </si>
  <si>
    <t xml:space="preserve">03:29</t>
  </si>
  <si>
    <t xml:space="preserve">ED-7000560</t>
  </si>
  <si>
    <t xml:space="preserve">21:19</t>
  </si>
  <si>
    <t xml:space="preserve">ED-7000561</t>
  </si>
  <si>
    <t xml:space="preserve">ED-7000562</t>
  </si>
  <si>
    <t xml:space="preserve">17:16</t>
  </si>
  <si>
    <t xml:space="preserve">ED-7000563</t>
  </si>
  <si>
    <t xml:space="preserve">02:34</t>
  </si>
  <si>
    <t xml:space="preserve">ED-7000564</t>
  </si>
  <si>
    <t xml:space="preserve">ED-7000565</t>
  </si>
  <si>
    <t xml:space="preserve">22:22</t>
  </si>
  <si>
    <t xml:space="preserve">ED-7000566</t>
  </si>
  <si>
    <t xml:space="preserve">ED-7000567</t>
  </si>
  <si>
    <t xml:space="preserve">ED-7000568</t>
  </si>
  <si>
    <t xml:space="preserve">3563272951</t>
  </si>
  <si>
    <t xml:space="preserve">03:42</t>
  </si>
  <si>
    <t xml:space="preserve">ED-7000569</t>
  </si>
  <si>
    <t xml:space="preserve">ED-7000570</t>
  </si>
  <si>
    <t xml:space="preserve">22:26</t>
  </si>
  <si>
    <t xml:space="preserve">ED-7000571</t>
  </si>
  <si>
    <t xml:space="preserve">18:54</t>
  </si>
  <si>
    <t xml:space="preserve">21:49</t>
  </si>
  <si>
    <t xml:space="preserve">23:18</t>
  </si>
  <si>
    <t xml:space="preserve">ED-7000572</t>
  </si>
  <si>
    <t xml:space="preserve">21:41</t>
  </si>
  <si>
    <t xml:space="preserve">ED-7000573</t>
  </si>
  <si>
    <t xml:space="preserve">22:31</t>
  </si>
  <si>
    <t xml:space="preserve">ED-7000574</t>
  </si>
  <si>
    <t xml:space="preserve">ED-7000575</t>
  </si>
  <si>
    <t xml:space="preserve">2839598138</t>
  </si>
  <si>
    <t xml:space="preserve">ED-7000576</t>
  </si>
  <si>
    <t xml:space="preserve">ED-7000577</t>
  </si>
  <si>
    <t xml:space="preserve">09:06</t>
  </si>
  <si>
    <t xml:space="preserve">ED-7000578</t>
  </si>
  <si>
    <t xml:space="preserve">3550243960</t>
  </si>
  <si>
    <t xml:space="preserve">ED-7000579</t>
  </si>
  <si>
    <t xml:space="preserve">12:14</t>
  </si>
  <si>
    <t xml:space="preserve">ED-7000580</t>
  </si>
  <si>
    <t xml:space="preserve">ED-7000581</t>
  </si>
  <si>
    <t xml:space="preserve">04:18</t>
  </si>
  <si>
    <t xml:space="preserve">ED-7000582</t>
  </si>
  <si>
    <t xml:space="preserve">9507845727</t>
  </si>
  <si>
    <t xml:space="preserve">02:57</t>
  </si>
  <si>
    <t xml:space="preserve">ED-7000583</t>
  </si>
  <si>
    <t xml:space="preserve">ED-7000584</t>
  </si>
  <si>
    <t xml:space="preserve">02:58</t>
  </si>
  <si>
    <t xml:space="preserve">03:55</t>
  </si>
  <si>
    <t xml:space="preserve">ED-7000585</t>
  </si>
  <si>
    <t xml:space="preserve">12:06</t>
  </si>
  <si>
    <t xml:space="preserve">ED-7000586</t>
  </si>
  <si>
    <t xml:space="preserve">19:05</t>
  </si>
  <si>
    <t xml:space="preserve">ED-7000587</t>
  </si>
  <si>
    <t xml:space="preserve">ED-7000588</t>
  </si>
  <si>
    <t xml:space="preserve">10:45 AM</t>
  </si>
  <si>
    <t xml:space="preserve">12:02</t>
  </si>
  <si>
    <t xml:space="preserve">13:34</t>
  </si>
  <si>
    <t xml:space="preserve">ED-7000589</t>
  </si>
  <si>
    <t xml:space="preserve">02:23</t>
  </si>
  <si>
    <t xml:space="preserve">ED-7000590</t>
  </si>
  <si>
    <t xml:space="preserve">20:00</t>
  </si>
  <si>
    <t xml:space="preserve">19:47</t>
  </si>
  <si>
    <t xml:space="preserve">ED-7000591</t>
  </si>
  <si>
    <t xml:space="preserve">11:04</t>
  </si>
  <si>
    <t xml:space="preserve">11:18</t>
  </si>
  <si>
    <t xml:space="preserve">ED-7000592</t>
  </si>
  <si>
    <t xml:space="preserve">5363766148</t>
  </si>
  <si>
    <t xml:space="preserve">ED-7000593</t>
  </si>
  <si>
    <t xml:space="preserve">03:53</t>
  </si>
  <si>
    <t xml:space="preserve">ED-7000594</t>
  </si>
  <si>
    <t xml:space="preserve">03:41</t>
  </si>
  <si>
    <t xml:space="preserve">06:01</t>
  </si>
  <si>
    <t xml:space="preserve">ED-7000595</t>
  </si>
  <si>
    <t xml:space="preserve">15:05</t>
  </si>
  <si>
    <t xml:space="preserve">19:00</t>
  </si>
  <si>
    <t xml:space="preserve">17:23</t>
  </si>
  <si>
    <t xml:space="preserve">ED-7000596</t>
  </si>
  <si>
    <t xml:space="preserve">6639233214</t>
  </si>
  <si>
    <t xml:space="preserve">23:53</t>
  </si>
  <si>
    <t xml:space="preserve">ED-7000597</t>
  </si>
  <si>
    <t xml:space="preserve">ED-7000598</t>
  </si>
  <si>
    <t xml:space="preserve">ED-7000599</t>
  </si>
  <si>
    <t xml:space="preserve">ED-7000600</t>
  </si>
  <si>
    <t xml:space="preserve">ED-7000601</t>
  </si>
  <si>
    <t xml:space="preserve">5601883084</t>
  </si>
  <si>
    <t xml:space="preserve">02:14</t>
  </si>
  <si>
    <t xml:space="preserve">ED-7000602</t>
  </si>
  <si>
    <t xml:space="preserve">ED-7000603</t>
  </si>
  <si>
    <t xml:space="preserve">ED-7000604</t>
  </si>
  <si>
    <t xml:space="preserve">04:28</t>
  </si>
  <si>
    <t xml:space="preserve">05:51</t>
  </si>
  <si>
    <t xml:space="preserve">ED-7000605</t>
  </si>
  <si>
    <t xml:space="preserve">09:41</t>
  </si>
  <si>
    <t xml:space="preserve">14:40</t>
  </si>
  <si>
    <t xml:space="preserve">ED-7000606</t>
  </si>
  <si>
    <t xml:space="preserve">05:52</t>
  </si>
  <si>
    <t xml:space="preserve">ED-7000607</t>
  </si>
  <si>
    <t xml:space="preserve">ED-7000608</t>
  </si>
  <si>
    <t xml:space="preserve">06:34</t>
  </si>
  <si>
    <t xml:space="preserve">ED-7000609</t>
  </si>
  <si>
    <t xml:space="preserve">8964046259</t>
  </si>
  <si>
    <t xml:space="preserve">11:58</t>
  </si>
  <si>
    <t xml:space="preserve">12:20</t>
  </si>
  <si>
    <t xml:space="preserve">12:42</t>
  </si>
  <si>
    <t xml:space="preserve">ED-7000610</t>
  </si>
  <si>
    <t xml:space="preserve">0583842706</t>
  </si>
  <si>
    <t xml:space="preserve">11:33</t>
  </si>
  <si>
    <t xml:space="preserve">15:06</t>
  </si>
  <si>
    <t xml:space="preserve">ED-7000611</t>
  </si>
  <si>
    <t xml:space="preserve">5232792820</t>
  </si>
  <si>
    <t xml:space="preserve">ED-7000612</t>
  </si>
  <si>
    <t xml:space="preserve">1315653302</t>
  </si>
  <si>
    <t xml:space="preserve">ED-7000613</t>
  </si>
  <si>
    <t xml:space="preserve">6:29 AM</t>
  </si>
  <si>
    <t xml:space="preserve">ED-7000614</t>
  </si>
  <si>
    <t xml:space="preserve">10:50</t>
  </si>
  <si>
    <t xml:space="preserve">ED-7000615</t>
  </si>
  <si>
    <t xml:space="preserve">09:33</t>
  </si>
  <si>
    <t xml:space="preserve">09:42</t>
  </si>
  <si>
    <t xml:space="preserve">ED-7000616</t>
  </si>
  <si>
    <t xml:space="preserve">02:06</t>
  </si>
  <si>
    <t xml:space="preserve">ED-7000617</t>
  </si>
  <si>
    <t xml:space="preserve">09:40</t>
  </si>
  <si>
    <t xml:space="preserve">09:15</t>
  </si>
  <si>
    <t xml:space="preserve">ED-7000618</t>
  </si>
  <si>
    <t xml:space="preserve">ED-7000619</t>
  </si>
  <si>
    <t xml:space="preserve">04:05</t>
  </si>
  <si>
    <t xml:space="preserve">05:08</t>
  </si>
  <si>
    <t xml:space="preserve">ED-7000620</t>
  </si>
  <si>
    <t xml:space="preserve">ED-7000621</t>
  </si>
  <si>
    <t xml:space="preserve">ED-7000622</t>
  </si>
  <si>
    <t xml:space="preserve">11:26</t>
  </si>
  <si>
    <t xml:space="preserve">ED-7000623</t>
  </si>
  <si>
    <t xml:space="preserve">20:30</t>
  </si>
  <si>
    <t xml:space="preserve">ED-7000624</t>
  </si>
  <si>
    <t xml:space="preserve">8795217282</t>
  </si>
  <si>
    <t xml:space="preserve">ED-7000625</t>
  </si>
  <si>
    <t xml:space="preserve">5993763935</t>
  </si>
  <si>
    <t xml:space="preserve">06:43</t>
  </si>
  <si>
    <t xml:space="preserve">08:48</t>
  </si>
  <si>
    <t xml:space="preserve">ED-7000626</t>
  </si>
  <si>
    <t xml:space="preserve">5199658458</t>
  </si>
  <si>
    <t xml:space="preserve">09:37</t>
  </si>
  <si>
    <t xml:space="preserve">13:14</t>
  </si>
  <si>
    <t xml:space="preserve">ED-7000627</t>
  </si>
  <si>
    <t xml:space="preserve">ED-7000628</t>
  </si>
  <si>
    <t xml:space="preserve">10:32</t>
  </si>
  <si>
    <t xml:space="preserve">ED-7000629</t>
  </si>
  <si>
    <t xml:space="preserve">6290569106</t>
  </si>
  <si>
    <t xml:space="preserve">08:02</t>
  </si>
  <si>
    <t xml:space="preserve">ED-7000630</t>
  </si>
  <si>
    <t xml:space="preserve">07:08</t>
  </si>
  <si>
    <t xml:space="preserve">07:32</t>
  </si>
  <si>
    <t xml:space="preserve">ED-7000631</t>
  </si>
  <si>
    <t xml:space="preserve">03:43</t>
  </si>
  <si>
    <t xml:space="preserve">06:25</t>
  </si>
  <si>
    <t xml:space="preserve">ED-7000632</t>
  </si>
  <si>
    <t xml:space="preserve">9:14 AM</t>
  </si>
  <si>
    <t xml:space="preserve">11:12</t>
  </si>
  <si>
    <t xml:space="preserve">ED-7000633</t>
  </si>
  <si>
    <t xml:space="preserve">23:24</t>
  </si>
  <si>
    <t xml:space="preserve">02:59</t>
  </si>
  <si>
    <t xml:space="preserve">ED-7000634</t>
  </si>
  <si>
    <t xml:space="preserve">2851840563</t>
  </si>
  <si>
    <t xml:space="preserve">20:03</t>
  </si>
  <si>
    <t xml:space="preserve">ED-7000635</t>
  </si>
  <si>
    <t xml:space="preserve">ED-7000636</t>
  </si>
  <si>
    <t xml:space="preserve">12:48</t>
  </si>
  <si>
    <t xml:space="preserve">ED-7000637</t>
  </si>
  <si>
    <t xml:space="preserve">ED-7000638</t>
  </si>
  <si>
    <t xml:space="preserve">00:31</t>
  </si>
  <si>
    <t xml:space="preserve">ED-7000639</t>
  </si>
  <si>
    <t xml:space="preserve">ED-7000640</t>
  </si>
  <si>
    <t xml:space="preserve">23:39</t>
  </si>
  <si>
    <t xml:space="preserve">ED-7000641</t>
  </si>
  <si>
    <t xml:space="preserve">ED-7000642</t>
  </si>
  <si>
    <t xml:space="preserve">11:14</t>
  </si>
  <si>
    <t xml:space="preserve">ED-7000643</t>
  </si>
  <si>
    <t xml:space="preserve">ED-7000644</t>
  </si>
  <si>
    <t xml:space="preserve">ED-7000645</t>
  </si>
  <si>
    <t xml:space="preserve">09:48</t>
  </si>
  <si>
    <t xml:space="preserve">ED-7000646</t>
  </si>
  <si>
    <t xml:space="preserve">ED-7000647</t>
  </si>
  <si>
    <t xml:space="preserve">23:31</t>
  </si>
  <si>
    <t xml:space="preserve">03:04</t>
  </si>
  <si>
    <t xml:space="preserve">ED-7000648</t>
  </si>
  <si>
    <t xml:space="preserve">7703093262</t>
  </si>
  <si>
    <t xml:space="preserve">00:21</t>
  </si>
  <si>
    <t xml:space="preserve">ED-7000649</t>
  </si>
  <si>
    <t xml:space="preserve">01:39</t>
  </si>
  <si>
    <t xml:space="preserve">ED-7000650</t>
  </si>
  <si>
    <t xml:space="preserve">12:34</t>
  </si>
  <si>
    <t xml:space="preserve">ED-7000651</t>
  </si>
  <si>
    <t xml:space="preserve">7453836394</t>
  </si>
  <si>
    <t xml:space="preserve">ED-7000652</t>
  </si>
  <si>
    <t xml:space="preserve">ED-7000653</t>
  </si>
  <si>
    <t xml:space="preserve">ED-7000654</t>
  </si>
  <si>
    <t xml:space="preserve">ED-7000655</t>
  </si>
  <si>
    <t xml:space="preserve">18:39</t>
  </si>
  <si>
    <t xml:space="preserve">ED-7000656</t>
  </si>
  <si>
    <t xml:space="preserve">3317244518</t>
  </si>
  <si>
    <t xml:space="preserve">06:54</t>
  </si>
  <si>
    <t xml:space="preserve">10:13</t>
  </si>
  <si>
    <t xml:space="preserve">10:08</t>
  </si>
  <si>
    <t xml:space="preserve">ED-7000657</t>
  </si>
  <si>
    <t xml:space="preserve">2924961781</t>
  </si>
  <si>
    <t xml:space="preserve">ED-7000658</t>
  </si>
  <si>
    <t xml:space="preserve">ED-7000659</t>
  </si>
  <si>
    <t xml:space="preserve">18:56</t>
  </si>
  <si>
    <t xml:space="preserve">22:30</t>
  </si>
  <si>
    <t xml:space="preserve">ED-7000660</t>
  </si>
  <si>
    <t xml:space="preserve">13:18</t>
  </si>
  <si>
    <t xml:space="preserve">ED-7000661</t>
  </si>
  <si>
    <t xml:space="preserve">17:15</t>
  </si>
  <si>
    <t xml:space="preserve">ED-7000662</t>
  </si>
  <si>
    <t xml:space="preserve">20:02</t>
  </si>
  <si>
    <t xml:space="preserve">ED-7000663</t>
  </si>
  <si>
    <t xml:space="preserve">ED-7000664</t>
  </si>
  <si>
    <t xml:space="preserve">04:43</t>
  </si>
  <si>
    <t xml:space="preserve">ED-7000665</t>
  </si>
  <si>
    <t xml:space="preserve">ED-7000666</t>
  </si>
  <si>
    <t xml:space="preserve">05:37</t>
  </si>
  <si>
    <t xml:space="preserve">ED-7000667</t>
  </si>
  <si>
    <t xml:space="preserve">11:59</t>
  </si>
  <si>
    <t xml:space="preserve">18:12</t>
  </si>
  <si>
    <t xml:space="preserve">ED-7000668</t>
  </si>
  <si>
    <t xml:space="preserve">21:51</t>
  </si>
  <si>
    <t xml:space="preserve">ED-7000669</t>
  </si>
  <si>
    <t xml:space="preserve">00:57</t>
  </si>
  <si>
    <t xml:space="preserve">ED-7000670</t>
  </si>
  <si>
    <t xml:space="preserve">ED-7000671</t>
  </si>
  <si>
    <t xml:space="preserve">21:22</t>
  </si>
  <si>
    <t xml:space="preserve">ED-7000672</t>
  </si>
  <si>
    <t xml:space="preserve">04:44</t>
  </si>
  <si>
    <t xml:space="preserve">08:15</t>
  </si>
  <si>
    <t xml:space="preserve">ED-7000673</t>
  </si>
  <si>
    <t xml:space="preserve">07:36</t>
  </si>
  <si>
    <t xml:space="preserve">ED-7000674</t>
  </si>
  <si>
    <t xml:space="preserve">01:54</t>
  </si>
  <si>
    <t xml:space="preserve">ED-7000675</t>
  </si>
  <si>
    <t xml:space="preserve">16:44</t>
  </si>
  <si>
    <t xml:space="preserve">ED-7000676</t>
  </si>
  <si>
    <t xml:space="preserve">ED-7000677</t>
  </si>
  <si>
    <t xml:space="preserve">18:42</t>
  </si>
  <si>
    <t xml:space="preserve">21:27</t>
  </si>
  <si>
    <t xml:space="preserve">ED-7000678</t>
  </si>
  <si>
    <t xml:space="preserve">ED-7000679</t>
  </si>
  <si>
    <t xml:space="preserve">ED-7000680</t>
  </si>
  <si>
    <t xml:space="preserve">ED-7000681</t>
  </si>
  <si>
    <t xml:space="preserve">22:45</t>
  </si>
  <si>
    <t xml:space="preserve">ED-7000682</t>
  </si>
  <si>
    <t xml:space="preserve">04:31</t>
  </si>
  <si>
    <t xml:space="preserve">ED-7000683</t>
  </si>
  <si>
    <t xml:space="preserve">ED-7000684</t>
  </si>
  <si>
    <t xml:space="preserve">ED-7000685</t>
  </si>
  <si>
    <t xml:space="preserve">09:11</t>
  </si>
  <si>
    <t xml:space="preserve">ED-7000686</t>
  </si>
  <si>
    <t xml:space="preserve">05:55</t>
  </si>
  <si>
    <t xml:space="preserve">ED-7000687</t>
  </si>
  <si>
    <t xml:space="preserve">ED-7000688</t>
  </si>
  <si>
    <t xml:space="preserve">13:42</t>
  </si>
  <si>
    <t xml:space="preserve">ED-7000689</t>
  </si>
  <si>
    <t xml:space="preserve">03:16</t>
  </si>
  <si>
    <t xml:space="preserve">06:51</t>
  </si>
  <si>
    <t xml:space="preserve">ED-7000690</t>
  </si>
  <si>
    <t xml:space="preserve">ED-7000691</t>
  </si>
  <si>
    <t xml:space="preserve">6803610543</t>
  </si>
  <si>
    <t xml:space="preserve">21:44</t>
  </si>
  <si>
    <t xml:space="preserve">23:29</t>
  </si>
  <si>
    <t xml:space="preserve">ED-7000692</t>
  </si>
  <si>
    <t xml:space="preserve">16:18</t>
  </si>
  <si>
    <t xml:space="preserve">ED-7000693</t>
  </si>
  <si>
    <t xml:space="preserve">11:28</t>
  </si>
  <si>
    <t xml:space="preserve">ED-7000694</t>
  </si>
  <si>
    <t xml:space="preserve">12:35</t>
  </si>
  <si>
    <t xml:space="preserve">ED-7000695</t>
  </si>
  <si>
    <t xml:space="preserve">20:48</t>
  </si>
  <si>
    <t xml:space="preserve">ED-7000696</t>
  </si>
  <si>
    <t xml:space="preserve">02:54</t>
  </si>
  <si>
    <t xml:space="preserve">03:54</t>
  </si>
  <si>
    <t xml:space="preserve">ED-7000697</t>
  </si>
  <si>
    <t xml:space="preserve">0255595454</t>
  </si>
  <si>
    <t xml:space="preserve">ED-7000698</t>
  </si>
  <si>
    <t xml:space="preserve">14:10</t>
  </si>
  <si>
    <t xml:space="preserve">ED-7000699</t>
  </si>
  <si>
    <t xml:space="preserve">1013779950</t>
  </si>
  <si>
    <t xml:space="preserve">20:52</t>
  </si>
  <si>
    <t xml:space="preserve">ED-7000700</t>
  </si>
  <si>
    <t xml:space="preserve">8486205536</t>
  </si>
  <si>
    <t xml:space="preserve">04:00</t>
  </si>
  <si>
    <t xml:space="preserve">ED-7000701</t>
  </si>
  <si>
    <t xml:space="preserve">8627823989</t>
  </si>
  <si>
    <t xml:space="preserve">ED-7000702</t>
  </si>
  <si>
    <t xml:space="preserve">ED-7000703</t>
  </si>
  <si>
    <t xml:space="preserve">21:28</t>
  </si>
  <si>
    <t xml:space="preserve">ED-7000704</t>
  </si>
  <si>
    <t xml:space="preserve">14:32</t>
  </si>
  <si>
    <t xml:space="preserve">ED-7000705</t>
  </si>
  <si>
    <t xml:space="preserve">07:04</t>
  </si>
  <si>
    <t xml:space="preserve">ED-7000706</t>
  </si>
  <si>
    <t xml:space="preserve">23:50</t>
  </si>
  <si>
    <t xml:space="preserve">ED-7000707</t>
  </si>
  <si>
    <t xml:space="preserve">ED-7000708</t>
  </si>
  <si>
    <t xml:space="preserve">ED-7000709</t>
  </si>
  <si>
    <t xml:space="preserve">ED-7000710</t>
  </si>
  <si>
    <t xml:space="preserve">22:06</t>
  </si>
  <si>
    <t xml:space="preserve">ED-7000711</t>
  </si>
  <si>
    <t xml:space="preserve">9122754590</t>
  </si>
  <si>
    <t xml:space="preserve">ED-7000712</t>
  </si>
  <si>
    <t xml:space="preserve">ED-7000713</t>
  </si>
  <si>
    <t xml:space="preserve">10:54</t>
  </si>
  <si>
    <t xml:space="preserve">12:15</t>
  </si>
  <si>
    <t xml:space="preserve">ED-7000714</t>
  </si>
  <si>
    <t xml:space="preserve">15:04</t>
  </si>
  <si>
    <t xml:space="preserve">ED-7000715</t>
  </si>
  <si>
    <t xml:space="preserve">02:30</t>
  </si>
  <si>
    <t xml:space="preserve">06:14</t>
  </si>
  <si>
    <t xml:space="preserve">ED-7000716</t>
  </si>
  <si>
    <t xml:space="preserve">09:09</t>
  </si>
  <si>
    <t xml:space="preserve">ED-7000717</t>
  </si>
  <si>
    <t xml:space="preserve">3584918400</t>
  </si>
  <si>
    <t xml:space="preserve">20:21</t>
  </si>
  <si>
    <t xml:space="preserve">20:57</t>
  </si>
  <si>
    <t xml:space="preserve">ED-7000718</t>
  </si>
  <si>
    <t xml:space="preserve">ED-7000719</t>
  </si>
  <si>
    <t xml:space="preserve">1268608185</t>
  </si>
  <si>
    <t xml:space="preserve">ED-7000720</t>
  </si>
  <si>
    <t xml:space="preserve">ED-7000721</t>
  </si>
  <si>
    <t xml:space="preserve">ED-7000722</t>
  </si>
  <si>
    <t xml:space="preserve">20:25</t>
  </si>
  <si>
    <t xml:space="preserve">23:51</t>
  </si>
  <si>
    <t xml:space="preserve">ED-7000723</t>
  </si>
  <si>
    <t xml:space="preserve">2959314869</t>
  </si>
  <si>
    <t xml:space="preserve">ED-7000724</t>
  </si>
  <si>
    <t xml:space="preserve">ED-7000725</t>
  </si>
  <si>
    <t xml:space="preserve">ED-7000726</t>
  </si>
  <si>
    <t xml:space="preserve">06:33</t>
  </si>
  <si>
    <t xml:space="preserve">ED-7000727</t>
  </si>
  <si>
    <t xml:space="preserve">13:35</t>
  </si>
  <si>
    <t xml:space="preserve">ED-7000728</t>
  </si>
  <si>
    <t xml:space="preserve">ED-7000729</t>
  </si>
  <si>
    <t xml:space="preserve">ED-7000730</t>
  </si>
  <si>
    <t xml:space="preserve">ED-7000731</t>
  </si>
  <si>
    <t xml:space="preserve">ED-7000732</t>
  </si>
  <si>
    <t xml:space="preserve">03:01</t>
  </si>
  <si>
    <t xml:space="preserve">ED-7000733</t>
  </si>
  <si>
    <t xml:space="preserve">10:46</t>
  </si>
  <si>
    <t xml:space="preserve">ED-7000734</t>
  </si>
  <si>
    <t xml:space="preserve">01:16</t>
  </si>
  <si>
    <t xml:space="preserve">ED-7000735</t>
  </si>
  <si>
    <t xml:space="preserve">ED-7000736</t>
  </si>
  <si>
    <t xml:space="preserve">ED-7000737</t>
  </si>
  <si>
    <t xml:space="preserve">03:40</t>
  </si>
  <si>
    <t xml:space="preserve">ED-7000738</t>
  </si>
  <si>
    <t xml:space="preserve">16:01</t>
  </si>
  <si>
    <t xml:space="preserve">17:55</t>
  </si>
  <si>
    <t xml:space="preserve">ED-7000739</t>
  </si>
  <si>
    <t xml:space="preserve">14:09</t>
  </si>
  <si>
    <t xml:space="preserve">ED-7000740</t>
  </si>
  <si>
    <t xml:space="preserve">11:24</t>
  </si>
  <si>
    <t xml:space="preserve">11:49</t>
  </si>
  <si>
    <t xml:space="preserve">ED-7000741</t>
  </si>
  <si>
    <t xml:space="preserve">ED-7000742</t>
  </si>
  <si>
    <t xml:space="preserve">19:35</t>
  </si>
  <si>
    <t xml:space="preserve">ED-7000743</t>
  </si>
  <si>
    <t xml:space="preserve">ED-7000744</t>
  </si>
  <si>
    <t xml:space="preserve">ED-7000745</t>
  </si>
  <si>
    <t xml:space="preserve">ED-7000746</t>
  </si>
  <si>
    <t xml:space="preserve">ED-7000747</t>
  </si>
  <si>
    <t xml:space="preserve">ED-7000748</t>
  </si>
  <si>
    <t xml:space="preserve">01:30</t>
  </si>
  <si>
    <t xml:space="preserve">ED-7000749</t>
  </si>
  <si>
    <t xml:space="preserve">ED-7000750</t>
  </si>
  <si>
    <t xml:space="preserve">09:54</t>
  </si>
  <si>
    <t xml:space="preserve">ED-7000751</t>
  </si>
  <si>
    <t xml:space="preserve">ED-7000752</t>
  </si>
  <si>
    <t xml:space="preserve">8175604806</t>
  </si>
  <si>
    <t xml:space="preserve">00:29</t>
  </si>
  <si>
    <t xml:space="preserve">02:09</t>
  </si>
  <si>
    <t xml:space="preserve">ED-7000753</t>
  </si>
  <si>
    <t xml:space="preserve">03:08</t>
  </si>
  <si>
    <t xml:space="preserve">ED-7000754</t>
  </si>
  <si>
    <t xml:space="preserve">9250563421</t>
  </si>
  <si>
    <t xml:space="preserve">ED-7000755</t>
  </si>
  <si>
    <t xml:space="preserve">23:26</t>
  </si>
  <si>
    <t xml:space="preserve">ED-7000756</t>
  </si>
  <si>
    <t xml:space="preserve">4499337780</t>
  </si>
  <si>
    <t xml:space="preserve">ED-7000757</t>
  </si>
  <si>
    <t xml:space="preserve">ED-7000758</t>
  </si>
  <si>
    <t xml:space="preserve">ED-7000759</t>
  </si>
  <si>
    <t xml:space="preserve">22:29</t>
  </si>
  <si>
    <t xml:space="preserve">ED-7000760</t>
  </si>
  <si>
    <t xml:space="preserve">ED-7000761</t>
  </si>
  <si>
    <t xml:space="preserve">ED-7000762</t>
  </si>
  <si>
    <t xml:space="preserve">09:38</t>
  </si>
  <si>
    <t xml:space="preserve">ED-7000763</t>
  </si>
  <si>
    <t xml:space="preserve">04:52</t>
  </si>
  <si>
    <t xml:space="preserve">ED-7000764</t>
  </si>
  <si>
    <t xml:space="preserve">ED-7000765</t>
  </si>
  <si>
    <t xml:space="preserve">17:38</t>
  </si>
  <si>
    <t xml:space="preserve">ED-7000766</t>
  </si>
  <si>
    <t xml:space="preserve">7830093481</t>
  </si>
  <si>
    <t xml:space="preserve">ED-7000767</t>
  </si>
  <si>
    <t xml:space="preserve">ED-7000768</t>
  </si>
  <si>
    <t xml:space="preserve">11:27</t>
  </si>
  <si>
    <t xml:space="preserve">ED-7000769</t>
  </si>
  <si>
    <t xml:space="preserve">ED-7000770</t>
  </si>
  <si>
    <t xml:space="preserve">15:47</t>
  </si>
  <si>
    <t xml:space="preserve">18:25</t>
  </si>
  <si>
    <t xml:space="preserve">ED-7000771</t>
  </si>
  <si>
    <t xml:space="preserve">ED-7000772</t>
  </si>
  <si>
    <t xml:space="preserve">ED-7000773</t>
  </si>
  <si>
    <t xml:space="preserve">9121129382</t>
  </si>
  <si>
    <t xml:space="preserve">ED-7000774</t>
  </si>
  <si>
    <t xml:space="preserve">13:23</t>
  </si>
  <si>
    <t xml:space="preserve">ED-7000775</t>
  </si>
  <si>
    <t xml:space="preserve">07:16</t>
  </si>
  <si>
    <t xml:space="preserve">ED-7000776</t>
  </si>
  <si>
    <t xml:space="preserve">5964135214</t>
  </si>
  <si>
    <t xml:space="preserve">07:59</t>
  </si>
  <si>
    <t xml:space="preserve">ED-7000777</t>
  </si>
  <si>
    <t xml:space="preserve">10:20</t>
  </si>
  <si>
    <t xml:space="preserve">11:05</t>
  </si>
  <si>
    <t xml:space="preserve">ED-7000778</t>
  </si>
  <si>
    <t xml:space="preserve">18:46</t>
  </si>
  <si>
    <t xml:space="preserve">ED-7000779</t>
  </si>
  <si>
    <t xml:space="preserve">ED-7000780</t>
  </si>
  <si>
    <t xml:space="preserve">6238573415</t>
  </si>
  <si>
    <t xml:space="preserve">ED-7000781</t>
  </si>
  <si>
    <t xml:space="preserve">ED-7000782</t>
  </si>
  <si>
    <t xml:space="preserve">ED-7000783</t>
  </si>
  <si>
    <t xml:space="preserve">ED-7000784</t>
  </si>
  <si>
    <t xml:space="preserve">ED-7000785</t>
  </si>
  <si>
    <t xml:space="preserve">ED-7000786</t>
  </si>
  <si>
    <t xml:space="preserve">19:44</t>
  </si>
  <si>
    <t xml:space="preserve">ED-7000787</t>
  </si>
  <si>
    <t xml:space="preserve">01:03</t>
  </si>
  <si>
    <t xml:space="preserve">ED-7000788</t>
  </si>
  <si>
    <t xml:space="preserve">01:26</t>
  </si>
  <si>
    <t xml:space="preserve">ED-7000789</t>
  </si>
  <si>
    <t xml:space="preserve">2021766886</t>
  </si>
  <si>
    <t xml:space="preserve">ED-7000790</t>
  </si>
  <si>
    <t xml:space="preserve">ED-7000791</t>
  </si>
  <si>
    <t xml:space="preserve">ED-7000792</t>
  </si>
  <si>
    <t xml:space="preserve">23:25</t>
  </si>
  <si>
    <t xml:space="preserve">00:33</t>
  </si>
  <si>
    <t xml:space="preserve">ED-7000793</t>
  </si>
  <si>
    <t xml:space="preserve">ED-7000794</t>
  </si>
  <si>
    <t xml:space="preserve">ED-7000795</t>
  </si>
  <si>
    <t xml:space="preserve">ED-7000796</t>
  </si>
  <si>
    <t xml:space="preserve">ED-7000797</t>
  </si>
  <si>
    <t xml:space="preserve">ED-7000798</t>
  </si>
  <si>
    <t xml:space="preserve">00:15</t>
  </si>
  <si>
    <t xml:space="preserve">ED-7000799</t>
  </si>
  <si>
    <t xml:space="preserve">ED-7000800</t>
  </si>
  <si>
    <t xml:space="preserve">ED-7000801</t>
  </si>
  <si>
    <t xml:space="preserve">ED-7000802</t>
  </si>
  <si>
    <t xml:space="preserve">09:01</t>
  </si>
  <si>
    <t xml:space="preserve">ED-7000803</t>
  </si>
  <si>
    <t xml:space="preserve">ED-7000804</t>
  </si>
  <si>
    <t xml:space="preserve">ED-7000805</t>
  </si>
  <si>
    <t xml:space="preserve">ED-7000806</t>
  </si>
  <si>
    <t xml:space="preserve">21:13</t>
  </si>
  <si>
    <t xml:space="preserve">ED-7000807</t>
  </si>
  <si>
    <t xml:space="preserve">ED-7000808</t>
  </si>
  <si>
    <t xml:space="preserve">19:07</t>
  </si>
  <si>
    <t xml:space="preserve">ED-7000809</t>
  </si>
  <si>
    <t xml:space="preserve">8430120850</t>
  </si>
  <si>
    <t xml:space="preserve">ED-7000810</t>
  </si>
  <si>
    <t xml:space="preserve">ED-7000811</t>
  </si>
  <si>
    <t xml:space="preserve">ED-7000812</t>
  </si>
  <si>
    <t xml:space="preserve">07:17</t>
  </si>
  <si>
    <t xml:space="preserve">ED-7000813</t>
  </si>
  <si>
    <t xml:space="preserve">4579983782</t>
  </si>
  <si>
    <t xml:space="preserve">00:25</t>
  </si>
  <si>
    <t xml:space="preserve">ED-7000814</t>
  </si>
  <si>
    <t xml:space="preserve">ED-7000815</t>
  </si>
  <si>
    <t xml:space="preserve">ED-7000816</t>
  </si>
  <si>
    <t xml:space="preserve">16:59</t>
  </si>
  <si>
    <t xml:space="preserve">ED-7000817</t>
  </si>
  <si>
    <t xml:space="preserve">18:52</t>
  </si>
  <si>
    <t xml:space="preserve">ED-7000818</t>
  </si>
  <si>
    <t xml:space="preserve">00:46</t>
  </si>
  <si>
    <t xml:space="preserve">ED-7000819</t>
  </si>
  <si>
    <t xml:space="preserve">ED-7000820</t>
  </si>
  <si>
    <t xml:space="preserve">ED-7000821</t>
  </si>
  <si>
    <t xml:space="preserve">ED-7000822</t>
  </si>
  <si>
    <t xml:space="preserve">08:27</t>
  </si>
  <si>
    <t xml:space="preserve">ED-7000823</t>
  </si>
  <si>
    <t xml:space="preserve">ED-7000824</t>
  </si>
  <si>
    <t xml:space="preserve">20:04</t>
  </si>
  <si>
    <t xml:space="preserve">01:01</t>
  </si>
  <si>
    <t xml:space="preserve">ED-7000825</t>
  </si>
  <si>
    <t xml:space="preserve">ED-7000826</t>
  </si>
  <si>
    <t xml:space="preserve">23:13</t>
  </si>
  <si>
    <t xml:space="preserve">ED-7000827</t>
  </si>
  <si>
    <t xml:space="preserve">ED-7000828</t>
  </si>
  <si>
    <t xml:space="preserve">ED-7000829</t>
  </si>
  <si>
    <t xml:space="preserve">ED-7000830</t>
  </si>
  <si>
    <t xml:space="preserve">ED-7000831</t>
  </si>
  <si>
    <t xml:space="preserve">06:07</t>
  </si>
  <si>
    <t xml:space="preserve">ED-7000832</t>
  </si>
  <si>
    <t xml:space="preserve">ED-7000833</t>
  </si>
  <si>
    <t xml:space="preserve">ED-7000834</t>
  </si>
  <si>
    <t xml:space="preserve">ED-7000835</t>
  </si>
  <si>
    <t xml:space="preserve">13:32</t>
  </si>
  <si>
    <t xml:space="preserve">ED-7000836</t>
  </si>
  <si>
    <t xml:space="preserve">02:01</t>
  </si>
  <si>
    <t xml:space="preserve">ED-7000837</t>
  </si>
  <si>
    <t xml:space="preserve">22:32</t>
  </si>
  <si>
    <t xml:space="preserve">ED-7000838</t>
  </si>
  <si>
    <t xml:space="preserve">ED-7000839</t>
  </si>
  <si>
    <t xml:space="preserve">ED-7000840</t>
  </si>
  <si>
    <t xml:space="preserve">ED-7000841</t>
  </si>
  <si>
    <t xml:space="preserve">23:05</t>
  </si>
  <si>
    <t xml:space="preserve">ED-7000842</t>
  </si>
  <si>
    <t xml:space="preserve">ED-7000843</t>
  </si>
  <si>
    <t xml:space="preserve">06:29</t>
  </si>
  <si>
    <t xml:space="preserve">ED-7000844</t>
  </si>
  <si>
    <t xml:space="preserve">04:14</t>
  </si>
  <si>
    <t xml:space="preserve">ED-7000845</t>
  </si>
  <si>
    <t xml:space="preserve">19:22</t>
  </si>
  <si>
    <t xml:space="preserve">ED-7000846</t>
  </si>
  <si>
    <t xml:space="preserve">ED-7000847</t>
  </si>
  <si>
    <t xml:space="preserve">ED-7000848</t>
  </si>
  <si>
    <t xml:space="preserve">00:00</t>
  </si>
  <si>
    <t xml:space="preserve">03:07</t>
  </si>
  <si>
    <t xml:space="preserve">ED-7000849</t>
  </si>
  <si>
    <t xml:space="preserve">0489151065</t>
  </si>
  <si>
    <t xml:space="preserve">00:30</t>
  </si>
  <si>
    <t xml:space="preserve">ED-7000850</t>
  </si>
  <si>
    <t xml:space="preserve">ED-7000851</t>
  </si>
  <si>
    <t xml:space="preserve">ED-7000852</t>
  </si>
  <si>
    <t xml:space="preserve">22:50</t>
  </si>
  <si>
    <t xml:space="preserve">ED-7000853</t>
  </si>
  <si>
    <t xml:space="preserve">ED-7000854</t>
  </si>
  <si>
    <t xml:space="preserve">ED-7000855</t>
  </si>
  <si>
    <t xml:space="preserve">ED-7000856</t>
  </si>
  <si>
    <t xml:space="preserve">07:23</t>
  </si>
  <si>
    <t xml:space="preserve">ED-7000857</t>
  </si>
  <si>
    <t xml:space="preserve">01:20</t>
  </si>
  <si>
    <t xml:space="preserve">ED-7000858</t>
  </si>
  <si>
    <t xml:space="preserve">ED-7000859</t>
  </si>
  <si>
    <t xml:space="preserve">09:27</t>
  </si>
  <si>
    <t xml:space="preserve">ED-7000860</t>
  </si>
  <si>
    <t xml:space="preserve">21:17</t>
  </si>
  <si>
    <t xml:space="preserve">ED-7000861</t>
  </si>
  <si>
    <t xml:space="preserve">20:18</t>
  </si>
  <si>
    <t xml:space="preserve">ED-7000862</t>
  </si>
  <si>
    <t xml:space="preserve">ED-7000863</t>
  </si>
  <si>
    <t xml:space="preserve">ED-7000864</t>
  </si>
  <si>
    <t xml:space="preserve">14:44</t>
  </si>
  <si>
    <t xml:space="preserve">ED-7000865</t>
  </si>
  <si>
    <t xml:space="preserve">ED-7000866</t>
  </si>
  <si>
    <t xml:space="preserve">ED-7000867</t>
  </si>
  <si>
    <t xml:space="preserve">18:57</t>
  </si>
  <si>
    <t xml:space="preserve">20:36</t>
  </si>
  <si>
    <t xml:space="preserve">21:34</t>
  </si>
  <si>
    <t xml:space="preserve">ED-7000868</t>
  </si>
  <si>
    <t xml:space="preserve">14:05</t>
  </si>
  <si>
    <t xml:space="preserve">ED-7000869</t>
  </si>
  <si>
    <t xml:space="preserve">ED-7000870</t>
  </si>
  <si>
    <t xml:space="preserve">13:16</t>
  </si>
  <si>
    <t xml:space="preserve">ED-7000871</t>
  </si>
  <si>
    <t xml:space="preserve">ED-7000872</t>
  </si>
  <si>
    <t xml:space="preserve">ED-7000873</t>
  </si>
  <si>
    <t xml:space="preserve">13:48</t>
  </si>
  <si>
    <t xml:space="preserve">ED-7000874</t>
  </si>
  <si>
    <t xml:space="preserve">ED-7000875</t>
  </si>
  <si>
    <t xml:space="preserve">ED-7000876</t>
  </si>
  <si>
    <t xml:space="preserve">00:48</t>
  </si>
  <si>
    <t xml:space="preserve">ED-7000877</t>
  </si>
  <si>
    <t xml:space="preserve">18:36</t>
  </si>
  <si>
    <t xml:space="preserve">ED-7000878</t>
  </si>
  <si>
    <t xml:space="preserve">ED-7000879</t>
  </si>
  <si>
    <t xml:space="preserve">ED-7000880</t>
  </si>
  <si>
    <t xml:space="preserve">ED-7000881</t>
  </si>
  <si>
    <t xml:space="preserve">09:50</t>
  </si>
  <si>
    <t xml:space="preserve">10:23</t>
  </si>
  <si>
    <t xml:space="preserve">ED-7000882</t>
  </si>
  <si>
    <t xml:space="preserve">13:03</t>
  </si>
  <si>
    <t xml:space="preserve">ED-7000883</t>
  </si>
  <si>
    <t xml:space="preserve">ED-7000884</t>
  </si>
  <si>
    <t xml:space="preserve">09:20</t>
  </si>
  <si>
    <t xml:space="preserve">ED-7000885</t>
  </si>
  <si>
    <t xml:space="preserve">08:13</t>
  </si>
  <si>
    <t xml:space="preserve">ED-7000886</t>
  </si>
  <si>
    <t xml:space="preserve">07:45</t>
  </si>
  <si>
    <t xml:space="preserve">ED-7000887</t>
  </si>
  <si>
    <t xml:space="preserve">ED-7000888</t>
  </si>
  <si>
    <t xml:space="preserve">3:58 PM</t>
  </si>
  <si>
    <t xml:space="preserve">ED-7000889</t>
  </si>
  <si>
    <t xml:space="preserve">03:13</t>
  </si>
  <si>
    <t xml:space="preserve">ED-7000890</t>
  </si>
  <si>
    <t xml:space="preserve">ED-7000891</t>
  </si>
  <si>
    <t xml:space="preserve">09:17</t>
  </si>
  <si>
    <t xml:space="preserve">ED-7000892</t>
  </si>
  <si>
    <t xml:space="preserve">08:49</t>
  </si>
  <si>
    <t xml:space="preserve">ED-7000893</t>
  </si>
  <si>
    <t xml:space="preserve">ED-7000894</t>
  </si>
  <si>
    <t xml:space="preserve">ED-7000895</t>
  </si>
  <si>
    <t xml:space="preserve">21:59</t>
  </si>
  <si>
    <t xml:space="preserve">ED-7000896</t>
  </si>
  <si>
    <t xml:space="preserve">ED-7000897</t>
  </si>
  <si>
    <t xml:space="preserve">05:07</t>
  </si>
  <si>
    <t xml:space="preserve">ED-7000898</t>
  </si>
  <si>
    <t xml:space="preserve">ED-7000899</t>
  </si>
  <si>
    <t xml:space="preserve">01:17</t>
  </si>
  <si>
    <t xml:space="preserve">ED-7000900</t>
  </si>
  <si>
    <t xml:space="preserve">ED-7000901</t>
  </si>
  <si>
    <t xml:space="preserve">9780195833</t>
  </si>
  <si>
    <t xml:space="preserve">ED-7000902</t>
  </si>
  <si>
    <t xml:space="preserve">06:16</t>
  </si>
  <si>
    <t xml:space="preserve">ED-7000903</t>
  </si>
  <si>
    <t xml:space="preserve">ED-7000904</t>
  </si>
  <si>
    <t xml:space="preserve">02:03</t>
  </si>
  <si>
    <t xml:space="preserve">ED-7000905</t>
  </si>
  <si>
    <t xml:space="preserve">ED-7000906</t>
  </si>
  <si>
    <t xml:space="preserve">10:10</t>
  </si>
  <si>
    <t xml:space="preserve">ED-7000907</t>
  </si>
  <si>
    <t xml:space="preserve">ED-7000908</t>
  </si>
  <si>
    <t xml:space="preserve">ED-7000909</t>
  </si>
  <si>
    <t xml:space="preserve">17:24</t>
  </si>
  <si>
    <t xml:space="preserve">ED-7000910</t>
  </si>
  <si>
    <t xml:space="preserve">01:52</t>
  </si>
  <si>
    <t xml:space="preserve">ED-7000911</t>
  </si>
  <si>
    <t xml:space="preserve">ED-7000912</t>
  </si>
  <si>
    <t xml:space="preserve">12:21</t>
  </si>
  <si>
    <t xml:space="preserve">ED-7000913</t>
  </si>
  <si>
    <t xml:space="preserve">ED-7000914</t>
  </si>
  <si>
    <t xml:space="preserve">ED-7000915</t>
  </si>
  <si>
    <t xml:space="preserve">ED-7000916</t>
  </si>
  <si>
    <t xml:space="preserve">ED-7000917</t>
  </si>
  <si>
    <t xml:space="preserve">ED-7000918</t>
  </si>
  <si>
    <t xml:space="preserve">ED-7000919</t>
  </si>
  <si>
    <t xml:space="preserve">ED-7000920</t>
  </si>
  <si>
    <t xml:space="preserve">ED-7000921</t>
  </si>
  <si>
    <t xml:space="preserve">ED-7000922</t>
  </si>
  <si>
    <t xml:space="preserve">ED-7000923</t>
  </si>
  <si>
    <t xml:space="preserve">8:10 AM</t>
  </si>
  <si>
    <t xml:space="preserve">ED-7000924</t>
  </si>
  <si>
    <t xml:space="preserve">17:56</t>
  </si>
  <si>
    <t xml:space="preserve">ED-7000925</t>
  </si>
  <si>
    <t xml:space="preserve">ED-7000926</t>
  </si>
  <si>
    <t xml:space="preserve">19:52</t>
  </si>
  <si>
    <t xml:space="preserve">ED-7000927</t>
  </si>
  <si>
    <t xml:space="preserve">ED-7000928</t>
  </si>
  <si>
    <t xml:space="preserve">ED-7000929</t>
  </si>
  <si>
    <t xml:space="preserve">0135878396</t>
  </si>
  <si>
    <t xml:space="preserve">18:38</t>
  </si>
  <si>
    <t xml:space="preserve">ED-7000930</t>
  </si>
  <si>
    <t xml:space="preserve">ED-7000931</t>
  </si>
  <si>
    <t xml:space="preserve">06:23</t>
  </si>
  <si>
    <t xml:space="preserve">ED-7000932</t>
  </si>
  <si>
    <t xml:space="preserve">21:29</t>
  </si>
  <si>
    <t xml:space="preserve">ED-7000933</t>
  </si>
  <si>
    <t xml:space="preserve">ED-7000934</t>
  </si>
  <si>
    <t xml:space="preserve">ED-7000935</t>
  </si>
  <si>
    <t xml:space="preserve">08:19</t>
  </si>
  <si>
    <t xml:space="preserve">ED-7000936</t>
  </si>
  <si>
    <t xml:space="preserve">07:18</t>
  </si>
  <si>
    <t xml:space="preserve">ED-7000937</t>
  </si>
  <si>
    <t xml:space="preserve">09:03</t>
  </si>
  <si>
    <t xml:space="preserve">ED-7000938</t>
  </si>
  <si>
    <t xml:space="preserve">18:53</t>
  </si>
  <si>
    <t xml:space="preserve">ED-7000939</t>
  </si>
  <si>
    <t xml:space="preserve">20:11</t>
  </si>
  <si>
    <t xml:space="preserve">ED-7000940</t>
  </si>
  <si>
    <t xml:space="preserve">2:43 AM</t>
  </si>
  <si>
    <t xml:space="preserve">06:32</t>
  </si>
  <si>
    <t xml:space="preserve">ED-7000941</t>
  </si>
  <si>
    <t xml:space="preserve">ED-7000942</t>
  </si>
  <si>
    <t xml:space="preserve">02:16</t>
  </si>
  <si>
    <t xml:space="preserve">ED-7000943</t>
  </si>
  <si>
    <t xml:space="preserve">ED-7000944</t>
  </si>
  <si>
    <t xml:space="preserve">16:15</t>
  </si>
  <si>
    <t xml:space="preserve">ED-7000945</t>
  </si>
  <si>
    <t xml:space="preserve">23:14</t>
  </si>
  <si>
    <t xml:space="preserve">ED-7000946</t>
  </si>
  <si>
    <t xml:space="preserve">20:39</t>
  </si>
  <si>
    <t xml:space="preserve">ED-7000947</t>
  </si>
  <si>
    <t xml:space="preserve">ED-7000948</t>
  </si>
  <si>
    <t xml:space="preserve">ED-7000949</t>
  </si>
  <si>
    <t xml:space="preserve">ED-7000950</t>
  </si>
  <si>
    <t xml:space="preserve">ED-7000951</t>
  </si>
  <si>
    <t xml:space="preserve">ED-7000952</t>
  </si>
  <si>
    <t xml:space="preserve">ED-7000953</t>
  </si>
  <si>
    <t xml:space="preserve">ED-7000954</t>
  </si>
  <si>
    <t xml:space="preserve">ED-7000955</t>
  </si>
  <si>
    <t xml:space="preserve">23:41</t>
  </si>
  <si>
    <t xml:space="preserve">ED-7000956</t>
  </si>
  <si>
    <t xml:space="preserve">ED-7000957</t>
  </si>
  <si>
    <t xml:space="preserve">23:57</t>
  </si>
  <si>
    <t xml:space="preserve">00:47</t>
  </si>
  <si>
    <t xml:space="preserve">ED-7000958</t>
  </si>
  <si>
    <t xml:space="preserve">4:18 PM</t>
  </si>
  <si>
    <t xml:space="preserve">ED-7000959</t>
  </si>
  <si>
    <t xml:space="preserve">ED-7000960</t>
  </si>
  <si>
    <t xml:space="preserve">22:28</t>
  </si>
  <si>
    <t xml:space="preserve">Cases_Planned</t>
  </si>
  <si>
    <t xml:space="preserve">Theatre One</t>
  </si>
  <si>
    <t xml:space="preserve">Shift_ID</t>
  </si>
  <si>
    <t xml:space="preserve">Overtime_Hours</t>
  </si>
  <si>
    <t xml:space="preserve">SH-9000001</t>
  </si>
  <si>
    <t xml:space="preserve">ST-49673</t>
  </si>
  <si>
    <t xml:space="preserve">REG</t>
  </si>
  <si>
    <t xml:space="preserve">NIGHT</t>
  </si>
  <si>
    <t xml:space="preserve">SH-9000002</t>
  </si>
  <si>
    <t xml:space="preserve">ST-84756</t>
  </si>
  <si>
    <t xml:space="preserve">HCA</t>
  </si>
  <si>
    <t xml:space="preserve">DAY</t>
  </si>
  <si>
    <t xml:space="preserve">SH-9000003</t>
  </si>
  <si>
    <t xml:space="preserve">ST-71339</t>
  </si>
  <si>
    <t xml:space="preserve">SHO</t>
  </si>
  <si>
    <t xml:space="preserve">SH-9000004</t>
  </si>
  <si>
    <t xml:space="preserve">ST-26449</t>
  </si>
  <si>
    <t xml:space="preserve">SH-9000005</t>
  </si>
  <si>
    <t xml:space="preserve">ST-64866</t>
  </si>
  <si>
    <t xml:space="preserve">NURSE</t>
  </si>
  <si>
    <t xml:space="preserve">SH-9000006</t>
  </si>
  <si>
    <t xml:space="preserve">ST-55360</t>
  </si>
  <si>
    <t xml:space="preserve">SH-9000007</t>
  </si>
  <si>
    <t xml:space="preserve">ST-71595</t>
  </si>
  <si>
    <t xml:space="preserve">SH-9000008</t>
  </si>
  <si>
    <t xml:space="preserve">ST-17271</t>
  </si>
  <si>
    <t xml:space="preserve">SH-9000009</t>
  </si>
  <si>
    <t xml:space="preserve">ST-84901</t>
  </si>
  <si>
    <t xml:space="preserve">SH-9000010</t>
  </si>
  <si>
    <t xml:space="preserve">ST-32610</t>
  </si>
  <si>
    <t xml:space="preserve">SH-9000011</t>
  </si>
  <si>
    <t xml:space="preserve">ST-85070</t>
  </si>
  <si>
    <t xml:space="preserve">SH-9000012</t>
  </si>
  <si>
    <t xml:space="preserve">ST-71868</t>
  </si>
  <si>
    <t xml:space="preserve">SH-9000013</t>
  </si>
  <si>
    <t xml:space="preserve">ST-22608</t>
  </si>
  <si>
    <t xml:space="preserve">SH-9000014</t>
  </si>
  <si>
    <t xml:space="preserve">ST-99703</t>
  </si>
  <si>
    <t xml:space="preserve">SH-9000015</t>
  </si>
  <si>
    <t xml:space="preserve">ST-48989</t>
  </si>
  <si>
    <t xml:space="preserve">SH-9000016</t>
  </si>
  <si>
    <t xml:space="preserve">ST-56387</t>
  </si>
  <si>
    <t xml:space="preserve">SH-9000017</t>
  </si>
  <si>
    <t xml:space="preserve">ST-86981</t>
  </si>
  <si>
    <t xml:space="preserve">SH-9000018</t>
  </si>
  <si>
    <t xml:space="preserve">ST-63799</t>
  </si>
  <si>
    <t xml:space="preserve">SH-9000019</t>
  </si>
  <si>
    <t xml:space="preserve">ST-15318</t>
  </si>
  <si>
    <t xml:space="preserve">SH-9000020</t>
  </si>
  <si>
    <t xml:space="preserve">ST-80582</t>
  </si>
  <si>
    <t xml:space="preserve">SH-9000021</t>
  </si>
  <si>
    <t xml:space="preserve">ST-91950</t>
  </si>
  <si>
    <t xml:space="preserve">SH-9000022</t>
  </si>
  <si>
    <t xml:space="preserve">ST-14240</t>
  </si>
  <si>
    <t xml:space="preserve">SH-9000023</t>
  </si>
  <si>
    <t xml:space="preserve">ST-77510</t>
  </si>
  <si>
    <t xml:space="preserve">SH-9000024</t>
  </si>
  <si>
    <t xml:space="preserve">ST-22982</t>
  </si>
  <si>
    <t xml:space="preserve">SH-9000025</t>
  </si>
  <si>
    <t xml:space="preserve">ST-21729</t>
  </si>
  <si>
    <t xml:space="preserve">SH-9000026</t>
  </si>
  <si>
    <t xml:space="preserve">ST-37922</t>
  </si>
  <si>
    <t xml:space="preserve">SH-9000027</t>
  </si>
  <si>
    <t xml:space="preserve">ST-61297</t>
  </si>
  <si>
    <t xml:space="preserve">SH-9000028</t>
  </si>
  <si>
    <t xml:space="preserve">SH-9000029</t>
  </si>
  <si>
    <t xml:space="preserve">ST-99939</t>
  </si>
  <si>
    <t xml:space="preserve">SH-9000030</t>
  </si>
  <si>
    <t xml:space="preserve">ST-52474</t>
  </si>
  <si>
    <t xml:space="preserve">SH-9000031</t>
  </si>
  <si>
    <t xml:space="preserve">ST-69603</t>
  </si>
  <si>
    <t xml:space="preserve">SH-9000032</t>
  </si>
  <si>
    <t xml:space="preserve">ST-80014</t>
  </si>
  <si>
    <t xml:space="preserve">SH-9000033</t>
  </si>
  <si>
    <t xml:space="preserve">ST-76694</t>
  </si>
  <si>
    <t xml:space="preserve">SH-9000034</t>
  </si>
  <si>
    <t xml:space="preserve">ST-64354</t>
  </si>
  <si>
    <t xml:space="preserve">SH-9000035</t>
  </si>
  <si>
    <t xml:space="preserve">ST-92788</t>
  </si>
  <si>
    <t xml:space="preserve">SH-9000036</t>
  </si>
  <si>
    <t xml:space="preserve">ST-89261</t>
  </si>
  <si>
    <t xml:space="preserve">SH-9000037</t>
  </si>
  <si>
    <t xml:space="preserve">ST-33554</t>
  </si>
  <si>
    <t xml:space="preserve">SH-9000038</t>
  </si>
  <si>
    <t xml:space="preserve">ST-67265</t>
  </si>
  <si>
    <t xml:space="preserve">SH-9000039</t>
  </si>
  <si>
    <t xml:space="preserve">ST-85365</t>
  </si>
  <si>
    <t xml:space="preserve">SH-9000040</t>
  </si>
  <si>
    <t xml:space="preserve">ST-77932</t>
  </si>
  <si>
    <t xml:space="preserve">SH-9000041</t>
  </si>
  <si>
    <t xml:space="preserve">ST-14790</t>
  </si>
  <si>
    <t xml:space="preserve">SH-9000042</t>
  </si>
  <si>
    <t xml:space="preserve">ST-43142</t>
  </si>
  <si>
    <t xml:space="preserve">SH-9000043</t>
  </si>
  <si>
    <t xml:space="preserve">ST-63857</t>
  </si>
  <si>
    <t xml:space="preserve">SH-9000044</t>
  </si>
  <si>
    <t xml:space="preserve">ST-70219</t>
  </si>
  <si>
    <t xml:space="preserve">SH-9000045</t>
  </si>
  <si>
    <t xml:space="preserve">ST-86740</t>
  </si>
  <si>
    <t xml:space="preserve">SH-9000046</t>
  </si>
  <si>
    <t xml:space="preserve">ST-82785</t>
  </si>
  <si>
    <t xml:space="preserve">SH-9000047</t>
  </si>
  <si>
    <t xml:space="preserve">ST-83843</t>
  </si>
  <si>
    <t xml:space="preserve">SH-9000048</t>
  </si>
  <si>
    <t xml:space="preserve">ST-17545</t>
  </si>
  <si>
    <t xml:space="preserve">SH-9000049</t>
  </si>
  <si>
    <t xml:space="preserve">ST-94327</t>
  </si>
  <si>
    <t xml:space="preserve">SH-9000050</t>
  </si>
  <si>
    <t xml:space="preserve">ST-96943</t>
  </si>
  <si>
    <t xml:space="preserve">SH-9000051</t>
  </si>
  <si>
    <t xml:space="preserve">ST-90810</t>
  </si>
  <si>
    <t xml:space="preserve">SH-9000052</t>
  </si>
  <si>
    <t xml:space="preserve">ST-73209</t>
  </si>
  <si>
    <t xml:space="preserve">SH-9000053</t>
  </si>
  <si>
    <t xml:space="preserve">ST-34424</t>
  </si>
  <si>
    <t xml:space="preserve">SH-9000054</t>
  </si>
  <si>
    <t xml:space="preserve">ST-55168</t>
  </si>
  <si>
    <t xml:space="preserve">SH-9000055</t>
  </si>
  <si>
    <t xml:space="preserve">ST-56840</t>
  </si>
  <si>
    <t xml:space="preserve">SH-9000056</t>
  </si>
  <si>
    <t xml:space="preserve">ST-39472</t>
  </si>
  <si>
    <t xml:space="preserve">SH-9000057</t>
  </si>
  <si>
    <t xml:space="preserve">ST-69690</t>
  </si>
  <si>
    <t xml:space="preserve">SH-9000058</t>
  </si>
  <si>
    <t xml:space="preserve">ST-94492</t>
  </si>
  <si>
    <t xml:space="preserve">SH-9000059</t>
  </si>
  <si>
    <t xml:space="preserve">ST-66892</t>
  </si>
  <si>
    <t xml:space="preserve">SH-9000060</t>
  </si>
  <si>
    <t xml:space="preserve">ST-65908</t>
  </si>
  <si>
    <t xml:space="preserve">SH-9000061</t>
  </si>
  <si>
    <t xml:space="preserve">SH-9000062</t>
  </si>
  <si>
    <t xml:space="preserve">ST-73372</t>
  </si>
  <si>
    <t xml:space="preserve">SH-9000063</t>
  </si>
  <si>
    <t xml:space="preserve">ST-52368</t>
  </si>
  <si>
    <t xml:space="preserve">SH-9000064</t>
  </si>
  <si>
    <t xml:space="preserve">ST-81763</t>
  </si>
  <si>
    <t xml:space="preserve">SH-9000065</t>
  </si>
  <si>
    <t xml:space="preserve">ST-73576</t>
  </si>
  <si>
    <t xml:space="preserve">SH-9000066</t>
  </si>
  <si>
    <t xml:space="preserve">ST-69341</t>
  </si>
  <si>
    <t xml:space="preserve">SH-9000067</t>
  </si>
  <si>
    <t xml:space="preserve">ST-20776</t>
  </si>
  <si>
    <t xml:space="preserve">SH-9000068</t>
  </si>
  <si>
    <t xml:space="preserve">ST-55646</t>
  </si>
  <si>
    <t xml:space="preserve">SH-9000069</t>
  </si>
  <si>
    <t xml:space="preserve">ST-42105</t>
  </si>
  <si>
    <t xml:space="preserve">SH-9000070</t>
  </si>
  <si>
    <t xml:space="preserve">ST-62501</t>
  </si>
  <si>
    <t xml:space="preserve">SH-9000071</t>
  </si>
  <si>
    <t xml:space="preserve">ST-12115</t>
  </si>
  <si>
    <t xml:space="preserve">SH-9000072</t>
  </si>
  <si>
    <t xml:space="preserve">ST-57562</t>
  </si>
  <si>
    <t xml:space="preserve">SH-9000073</t>
  </si>
  <si>
    <t xml:space="preserve">ST-55230</t>
  </si>
  <si>
    <t xml:space="preserve">SH-9000074</t>
  </si>
  <si>
    <t xml:space="preserve">ST-32663</t>
  </si>
  <si>
    <t xml:space="preserve">SH-9000075</t>
  </si>
  <si>
    <t xml:space="preserve">ST-25232</t>
  </si>
  <si>
    <t xml:space="preserve">SH-9000076</t>
  </si>
  <si>
    <t xml:space="preserve">ST-60032</t>
  </si>
  <si>
    <t xml:space="preserve">SH-9000077</t>
  </si>
  <si>
    <t xml:space="preserve">ST-17776</t>
  </si>
  <si>
    <t xml:space="preserve">SH-9000078</t>
  </si>
  <si>
    <t xml:space="preserve">SH-9000079</t>
  </si>
  <si>
    <t xml:space="preserve">ST-79167</t>
  </si>
  <si>
    <t xml:space="preserve">SH-9000080</t>
  </si>
  <si>
    <t xml:space="preserve">ST-69390</t>
  </si>
  <si>
    <t xml:space="preserve">SH-9000081</t>
  </si>
  <si>
    <t xml:space="preserve">ST-61951</t>
  </si>
  <si>
    <t xml:space="preserve">SH-9000082</t>
  </si>
  <si>
    <t xml:space="preserve">ST-34042</t>
  </si>
  <si>
    <t xml:space="preserve">SH-9000083</t>
  </si>
  <si>
    <t xml:space="preserve">ST-81358</t>
  </si>
  <si>
    <t xml:space="preserve">SH-9000084</t>
  </si>
  <si>
    <t xml:space="preserve">ST-48923</t>
  </si>
  <si>
    <t xml:space="preserve">SH-9000085</t>
  </si>
  <si>
    <t xml:space="preserve">ST-65404</t>
  </si>
  <si>
    <t xml:space="preserve">SH-9000086</t>
  </si>
  <si>
    <t xml:space="preserve">ST-20818</t>
  </si>
  <si>
    <t xml:space="preserve">SH-9000087</t>
  </si>
  <si>
    <t xml:space="preserve">ST-74299</t>
  </si>
  <si>
    <t xml:space="preserve">SH-9000088</t>
  </si>
  <si>
    <t xml:space="preserve">ST-58335</t>
  </si>
  <si>
    <t xml:space="preserve">SH-9000089</t>
  </si>
  <si>
    <t xml:space="preserve">ST-23350</t>
  </si>
  <si>
    <t xml:space="preserve">SH-9000090</t>
  </si>
  <si>
    <t xml:space="preserve">ST-77479</t>
  </si>
  <si>
    <t xml:space="preserve">SH-9000091</t>
  </si>
  <si>
    <t xml:space="preserve">ST-54953</t>
  </si>
  <si>
    <t xml:space="preserve">SH-9000092</t>
  </si>
  <si>
    <t xml:space="preserve">ST-37639</t>
  </si>
  <si>
    <t xml:space="preserve">SH-9000093</t>
  </si>
  <si>
    <t xml:space="preserve">ST-79156</t>
  </si>
  <si>
    <t xml:space="preserve">SH-9000094</t>
  </si>
  <si>
    <t xml:space="preserve">ST-78269</t>
  </si>
  <si>
    <t xml:space="preserve">SH-9000095</t>
  </si>
  <si>
    <t xml:space="preserve">ST-58992</t>
  </si>
  <si>
    <t xml:space="preserve">SH-9000096</t>
  </si>
  <si>
    <t xml:space="preserve">ST-79205</t>
  </si>
  <si>
    <t xml:space="preserve">SH-9000097</t>
  </si>
  <si>
    <t xml:space="preserve">ST-13234</t>
  </si>
  <si>
    <t xml:space="preserve">SH-9000098</t>
  </si>
  <si>
    <t xml:space="preserve">ST-21017</t>
  </si>
  <si>
    <t xml:space="preserve">SH-9000099</t>
  </si>
  <si>
    <t xml:space="preserve">ST-54942</t>
  </si>
  <si>
    <t xml:space="preserve">SH-9000100</t>
  </si>
  <si>
    <t xml:space="preserve">ST-25132</t>
  </si>
  <si>
    <t xml:space="preserve">SH-9000101</t>
  </si>
  <si>
    <t xml:space="preserve">ST-25357</t>
  </si>
  <si>
    <t xml:space="preserve">SH-9000102</t>
  </si>
  <si>
    <t xml:space="preserve">ST-45351</t>
  </si>
  <si>
    <t xml:space="preserve">SH-9000103</t>
  </si>
  <si>
    <t xml:space="preserve">ST-86259</t>
  </si>
  <si>
    <t xml:space="preserve">SH-9000104</t>
  </si>
  <si>
    <t xml:space="preserve">ST-44287</t>
  </si>
  <si>
    <t xml:space="preserve">SH-9000105</t>
  </si>
  <si>
    <t xml:space="preserve">ST-81811</t>
  </si>
  <si>
    <t xml:space="preserve">SH-9000106</t>
  </si>
  <si>
    <t xml:space="preserve">ST-24450</t>
  </si>
  <si>
    <t xml:space="preserve">SH-9000107</t>
  </si>
  <si>
    <t xml:space="preserve">ST-34765</t>
  </si>
  <si>
    <t xml:space="preserve">SH-9000108</t>
  </si>
  <si>
    <t xml:space="preserve">ST-22624</t>
  </si>
  <si>
    <t xml:space="preserve">SH-9000109</t>
  </si>
  <si>
    <t xml:space="preserve">ST-68907</t>
  </si>
  <si>
    <t xml:space="preserve">SH-9000110</t>
  </si>
  <si>
    <t xml:space="preserve">ST-40754</t>
  </si>
  <si>
    <t xml:space="preserve">SH-9000111</t>
  </si>
  <si>
    <t xml:space="preserve">ST-34359</t>
  </si>
  <si>
    <t xml:space="preserve">SH-9000112</t>
  </si>
  <si>
    <t xml:space="preserve">ST-80929</t>
  </si>
  <si>
    <t xml:space="preserve">SH-9000113</t>
  </si>
  <si>
    <t xml:space="preserve">ST-91057</t>
  </si>
  <si>
    <t xml:space="preserve">SH-9000114</t>
  </si>
  <si>
    <t xml:space="preserve">ST-75771</t>
  </si>
  <si>
    <t xml:space="preserve">SH-9000115</t>
  </si>
  <si>
    <t xml:space="preserve">ST-76958</t>
  </si>
  <si>
    <t xml:space="preserve">SH-9000116</t>
  </si>
  <si>
    <t xml:space="preserve">ST-76003</t>
  </si>
  <si>
    <t xml:space="preserve">SH-9000117</t>
  </si>
  <si>
    <t xml:space="preserve">ST-81744</t>
  </si>
  <si>
    <t xml:space="preserve">SH-9000118</t>
  </si>
  <si>
    <t xml:space="preserve">ST-29147</t>
  </si>
  <si>
    <t xml:space="preserve">SH-9000119</t>
  </si>
  <si>
    <t xml:space="preserve">ST-78030</t>
  </si>
  <si>
    <t xml:space="preserve">SH-9000120</t>
  </si>
  <si>
    <t xml:space="preserve">ST-99590</t>
  </si>
  <si>
    <t xml:space="preserve">SH-9000121</t>
  </si>
  <si>
    <t xml:space="preserve">ST-11001</t>
  </si>
  <si>
    <t xml:space="preserve">SH-9000122</t>
  </si>
  <si>
    <t xml:space="preserve">ST-52373</t>
  </si>
  <si>
    <t xml:space="preserve">SH-9000123</t>
  </si>
  <si>
    <t xml:space="preserve">ST-61306</t>
  </si>
  <si>
    <t xml:space="preserve">SH-9000124</t>
  </si>
  <si>
    <t xml:space="preserve">ST-66051</t>
  </si>
  <si>
    <t xml:space="preserve">SH-9000125</t>
  </si>
  <si>
    <t xml:space="preserve">ST-59391</t>
  </si>
  <si>
    <t xml:space="preserve">SH-9000126</t>
  </si>
  <si>
    <t xml:space="preserve">ST-80237</t>
  </si>
  <si>
    <t xml:space="preserve">SH-9000127</t>
  </si>
  <si>
    <t xml:space="preserve">ST-60916</t>
  </si>
  <si>
    <t xml:space="preserve">SH-9000128</t>
  </si>
  <si>
    <t xml:space="preserve">ST-62049</t>
  </si>
  <si>
    <t xml:space="preserve">SH-9000129</t>
  </si>
  <si>
    <t xml:space="preserve">ST-94209</t>
  </si>
  <si>
    <t xml:space="preserve">SH-9000130</t>
  </si>
  <si>
    <t xml:space="preserve">ST-87616</t>
  </si>
  <si>
    <t xml:space="preserve">SH-9000131</t>
  </si>
  <si>
    <t xml:space="preserve">ST-87159</t>
  </si>
  <si>
    <t xml:space="preserve">SH-9000132</t>
  </si>
  <si>
    <t xml:space="preserve">ST-55848</t>
  </si>
  <si>
    <t xml:space="preserve">SH-9000133</t>
  </si>
  <si>
    <t xml:space="preserve">ST-21749</t>
  </si>
  <si>
    <t xml:space="preserve">SH-9000134</t>
  </si>
  <si>
    <t xml:space="preserve">ST-56196</t>
  </si>
  <si>
    <t xml:space="preserve">SH-9000135</t>
  </si>
  <si>
    <t xml:space="preserve">ST-53622</t>
  </si>
  <si>
    <t xml:space="preserve">SH-9000136</t>
  </si>
  <si>
    <t xml:space="preserve">ST-74256</t>
  </si>
  <si>
    <t xml:space="preserve">SH-9000137</t>
  </si>
  <si>
    <t xml:space="preserve">SH-9000138</t>
  </si>
  <si>
    <t xml:space="preserve">ST-78129</t>
  </si>
  <si>
    <t xml:space="preserve">SH-9000139</t>
  </si>
  <si>
    <t xml:space="preserve">ST-96994</t>
  </si>
  <si>
    <t xml:space="preserve">SH-9000140</t>
  </si>
  <si>
    <t xml:space="preserve">ST-16760</t>
  </si>
  <si>
    <t xml:space="preserve">SH-9000141</t>
  </si>
  <si>
    <t xml:space="preserve">ST-39460</t>
  </si>
  <si>
    <t xml:space="preserve">SH-9000142</t>
  </si>
  <si>
    <t xml:space="preserve">ST-27975</t>
  </si>
  <si>
    <t xml:space="preserve">SH-9000143</t>
  </si>
  <si>
    <t xml:space="preserve">ST-93205</t>
  </si>
  <si>
    <t xml:space="preserve">SH-9000144</t>
  </si>
  <si>
    <t xml:space="preserve">ST-25069</t>
  </si>
  <si>
    <t xml:space="preserve">SH-9000145</t>
  </si>
  <si>
    <t xml:space="preserve">ST-46347</t>
  </si>
  <si>
    <t xml:space="preserve">SH-9000146</t>
  </si>
  <si>
    <t xml:space="preserve">SH-9000147</t>
  </si>
  <si>
    <t xml:space="preserve">ST-32384</t>
  </si>
  <si>
    <t xml:space="preserve">SH-9000148</t>
  </si>
  <si>
    <t xml:space="preserve">ST-55182</t>
  </si>
  <si>
    <t xml:space="preserve">SH-9000149</t>
  </si>
  <si>
    <t xml:space="preserve">ST-71767</t>
  </si>
  <si>
    <t xml:space="preserve">SH-9000150</t>
  </si>
  <si>
    <t xml:space="preserve">ST-53433</t>
  </si>
  <si>
    <t xml:space="preserve">SH-9000151</t>
  </si>
  <si>
    <t xml:space="preserve">ST-13325</t>
  </si>
  <si>
    <t xml:space="preserve">SH-9000152</t>
  </si>
  <si>
    <t xml:space="preserve">ST-93268</t>
  </si>
  <si>
    <t xml:space="preserve">SH-9000153</t>
  </si>
  <si>
    <t xml:space="preserve">ST-90463</t>
  </si>
  <si>
    <t xml:space="preserve">SH-9000154</t>
  </si>
  <si>
    <t xml:space="preserve">ST-36018</t>
  </si>
  <si>
    <t xml:space="preserve">SH-9000155</t>
  </si>
  <si>
    <t xml:space="preserve">ST-58699</t>
  </si>
  <si>
    <t xml:space="preserve">SH-9000156</t>
  </si>
  <si>
    <t xml:space="preserve">ST-84718</t>
  </si>
  <si>
    <t xml:space="preserve">SH-9000157</t>
  </si>
  <si>
    <t xml:space="preserve">ST-20292</t>
  </si>
  <si>
    <t xml:space="preserve">SH-9000158</t>
  </si>
  <si>
    <t xml:space="preserve">ST-51140</t>
  </si>
  <si>
    <t xml:space="preserve">SH-9000159</t>
  </si>
  <si>
    <t xml:space="preserve">ST-59181</t>
  </si>
  <si>
    <t xml:space="preserve">SH-9000160</t>
  </si>
  <si>
    <t xml:space="preserve">ST-13791</t>
  </si>
  <si>
    <t xml:space="preserve">SH-9000161</t>
  </si>
  <si>
    <t xml:space="preserve">ST-50813</t>
  </si>
  <si>
    <t xml:space="preserve">SH-9000162</t>
  </si>
  <si>
    <t xml:space="preserve">ST-74134</t>
  </si>
  <si>
    <t xml:space="preserve">SH-9000163</t>
  </si>
  <si>
    <t xml:space="preserve">SH-9000164</t>
  </si>
  <si>
    <t xml:space="preserve">ST-42754</t>
  </si>
  <si>
    <t xml:space="preserve">SH-9000165</t>
  </si>
  <si>
    <t xml:space="preserve">ST-49231</t>
  </si>
  <si>
    <t xml:space="preserve">SH-9000166</t>
  </si>
  <si>
    <t xml:space="preserve">ST-33957</t>
  </si>
  <si>
    <t xml:space="preserve">SH-9000167</t>
  </si>
  <si>
    <t xml:space="preserve">ST-36810</t>
  </si>
  <si>
    <t xml:space="preserve">SH-9000168</t>
  </si>
  <si>
    <t xml:space="preserve">ST-57370</t>
  </si>
  <si>
    <t xml:space="preserve">SH-9000169</t>
  </si>
  <si>
    <t xml:space="preserve">ST-83097</t>
  </si>
  <si>
    <t xml:space="preserve">SH-9000170</t>
  </si>
  <si>
    <t xml:space="preserve">ST-56464</t>
  </si>
  <si>
    <t xml:space="preserve">SH-9000171</t>
  </si>
  <si>
    <t xml:space="preserve">ST-58967</t>
  </si>
  <si>
    <t xml:space="preserve">SH-9000172</t>
  </si>
  <si>
    <t xml:space="preserve">ST-97994</t>
  </si>
  <si>
    <t xml:space="preserve">SH-9000173</t>
  </si>
  <si>
    <t xml:space="preserve">ST-37589</t>
  </si>
  <si>
    <t xml:space="preserve">SH-9000174</t>
  </si>
  <si>
    <t xml:space="preserve">ST-36924</t>
  </si>
  <si>
    <t xml:space="preserve">SH-9000175</t>
  </si>
  <si>
    <t xml:space="preserve">ST-99801</t>
  </si>
  <si>
    <t xml:space="preserve">SH-9000176</t>
  </si>
  <si>
    <t xml:space="preserve">ST-46705</t>
  </si>
  <si>
    <t xml:space="preserve">SH-9000177</t>
  </si>
  <si>
    <t xml:space="preserve">ST-80951</t>
  </si>
  <si>
    <t xml:space="preserve">SH-9000178</t>
  </si>
  <si>
    <t xml:space="preserve">ST-97664</t>
  </si>
  <si>
    <t xml:space="preserve">SH-9000179</t>
  </si>
  <si>
    <t xml:space="preserve">ST-26548</t>
  </si>
  <si>
    <t xml:space="preserve">SH-9000180</t>
  </si>
  <si>
    <t xml:space="preserve">ST-49573</t>
  </si>
  <si>
    <t xml:space="preserve">SH-9000181</t>
  </si>
  <si>
    <t xml:space="preserve">ST-56669</t>
  </si>
  <si>
    <t xml:space="preserve">SH-9000182</t>
  </si>
  <si>
    <t xml:space="preserve">ST-70670</t>
  </si>
  <si>
    <t xml:space="preserve">SH-9000183</t>
  </si>
  <si>
    <t xml:space="preserve">ST-78306</t>
  </si>
  <si>
    <t xml:space="preserve">SH-9000184</t>
  </si>
  <si>
    <t xml:space="preserve">ST-56362</t>
  </si>
  <si>
    <t xml:space="preserve">SH-9000185</t>
  </si>
  <si>
    <t xml:space="preserve">ST-47873</t>
  </si>
  <si>
    <t xml:space="preserve">SH-9000186</t>
  </si>
  <si>
    <t xml:space="preserve">ST-65993</t>
  </si>
  <si>
    <t xml:space="preserve">SH-9000187</t>
  </si>
  <si>
    <t xml:space="preserve">ST-89544</t>
  </si>
  <si>
    <t xml:space="preserve">SH-9000188</t>
  </si>
  <si>
    <t xml:space="preserve">ST-31526</t>
  </si>
  <si>
    <t xml:space="preserve">SH-9000189</t>
  </si>
  <si>
    <t xml:space="preserve">ST-91493</t>
  </si>
  <si>
    <t xml:space="preserve">SH-9000190</t>
  </si>
  <si>
    <t xml:space="preserve">ST-74637</t>
  </si>
  <si>
    <t xml:space="preserve">SH-9000191</t>
  </si>
  <si>
    <t xml:space="preserve">ST-60888</t>
  </si>
  <si>
    <t xml:space="preserve">SH-9000192</t>
  </si>
  <si>
    <t xml:space="preserve">ST-74114</t>
  </si>
  <si>
    <t xml:space="preserve">SH-9000193</t>
  </si>
  <si>
    <t xml:space="preserve">ST-73272</t>
  </si>
  <si>
    <t xml:space="preserve">SH-9000194</t>
  </si>
  <si>
    <t xml:space="preserve">ST-94518</t>
  </si>
  <si>
    <t xml:space="preserve">SH-9000195</t>
  </si>
  <si>
    <t xml:space="preserve">ST-22785</t>
  </si>
  <si>
    <t xml:space="preserve">SH-9000196</t>
  </si>
  <si>
    <t xml:space="preserve">ST-14451</t>
  </si>
  <si>
    <t xml:space="preserve">SH-9000197</t>
  </si>
  <si>
    <t xml:space="preserve">ST-93059</t>
  </si>
  <si>
    <t xml:space="preserve">SH-9000198</t>
  </si>
  <si>
    <t xml:space="preserve">ST-82714</t>
  </si>
  <si>
    <t xml:space="preserve">SH-9000199</t>
  </si>
  <si>
    <t xml:space="preserve">ST-73962</t>
  </si>
  <si>
    <t xml:space="preserve">SH-9000200</t>
  </si>
  <si>
    <t xml:space="preserve">ST-92855</t>
  </si>
  <si>
    <t xml:space="preserve">SH-9000201</t>
  </si>
  <si>
    <t xml:space="preserve">ST-75397</t>
  </si>
  <si>
    <t xml:space="preserve">SH-9000202</t>
  </si>
  <si>
    <t xml:space="preserve">ST-96797</t>
  </si>
  <si>
    <t xml:space="preserve">SH-9000203</t>
  </si>
  <si>
    <t xml:space="preserve">ST-86129</t>
  </si>
  <si>
    <t xml:space="preserve">SH-9000204</t>
  </si>
  <si>
    <t xml:space="preserve">ST-72878</t>
  </si>
  <si>
    <t xml:space="preserve">SH-9000205</t>
  </si>
  <si>
    <t xml:space="preserve">ST-51818</t>
  </si>
  <si>
    <t xml:space="preserve">SH-9000206</t>
  </si>
  <si>
    <t xml:space="preserve">ST-40808</t>
  </si>
  <si>
    <t xml:space="preserve">SH-9000207</t>
  </si>
  <si>
    <t xml:space="preserve">ST-90281</t>
  </si>
  <si>
    <t xml:space="preserve">SH-9000208</t>
  </si>
  <si>
    <t xml:space="preserve">ST-53211</t>
  </si>
  <si>
    <t xml:space="preserve">Doctor</t>
  </si>
  <si>
    <t xml:space="preserve">SH-9000209</t>
  </si>
  <si>
    <t xml:space="preserve">ST-48545</t>
  </si>
  <si>
    <t xml:space="preserve">SH-9000210</t>
  </si>
  <si>
    <t xml:space="preserve">ST-55519</t>
  </si>
  <si>
    <t xml:space="preserve">SH-9000211</t>
  </si>
  <si>
    <t xml:space="preserve">ST-26277</t>
  </si>
  <si>
    <t xml:space="preserve">SH-9000212</t>
  </si>
  <si>
    <t xml:space="preserve">ST-73676</t>
  </si>
  <si>
    <t xml:space="preserve">SH-9000213</t>
  </si>
  <si>
    <t xml:space="preserve">ST-88334</t>
  </si>
  <si>
    <t xml:space="preserve">SH-9000214</t>
  </si>
  <si>
    <t xml:space="preserve">ST-62508</t>
  </si>
  <si>
    <t xml:space="preserve">SH-9000215</t>
  </si>
  <si>
    <t xml:space="preserve">ST-17338</t>
  </si>
  <si>
    <t xml:space="preserve">SH-9000216</t>
  </si>
  <si>
    <t xml:space="preserve">ST-53154</t>
  </si>
  <si>
    <t xml:space="preserve">SH-9000217</t>
  </si>
  <si>
    <t xml:space="preserve">ST-79196</t>
  </si>
  <si>
    <t xml:space="preserve">SH-9000218</t>
  </si>
  <si>
    <t xml:space="preserve">ST-37854</t>
  </si>
  <si>
    <t xml:space="preserve">SH-9000219</t>
  </si>
  <si>
    <t xml:space="preserve">ST-69912</t>
  </si>
  <si>
    <t xml:space="preserve">SH-9000220</t>
  </si>
  <si>
    <t xml:space="preserve">ST-79010</t>
  </si>
  <si>
    <t xml:space="preserve">SH-9000221</t>
  </si>
  <si>
    <t xml:space="preserve">ST-52677</t>
  </si>
  <si>
    <t xml:space="preserve">SH-9000222</t>
  </si>
  <si>
    <t xml:space="preserve">ST-30391</t>
  </si>
  <si>
    <t xml:space="preserve">SH-9000223</t>
  </si>
  <si>
    <t xml:space="preserve">ST-67573</t>
  </si>
  <si>
    <t xml:space="preserve">SH-9000224</t>
  </si>
  <si>
    <t xml:space="preserve">ST-74778</t>
  </si>
  <si>
    <t xml:space="preserve">SH-9000225</t>
  </si>
  <si>
    <t xml:space="preserve">ST-47690</t>
  </si>
  <si>
    <t xml:space="preserve">SH-9000226</t>
  </si>
  <si>
    <t xml:space="preserve">ST-75139</t>
  </si>
  <si>
    <t xml:space="preserve">SH-9000227</t>
  </si>
  <si>
    <t xml:space="preserve">SH-9000228</t>
  </si>
  <si>
    <t xml:space="preserve">ST-69817</t>
  </si>
  <si>
    <t xml:space="preserve">SH-9000229</t>
  </si>
  <si>
    <t xml:space="preserve">ST-42091</t>
  </si>
  <si>
    <t xml:space="preserve">SH-9000230</t>
  </si>
  <si>
    <t xml:space="preserve">ST-29011</t>
  </si>
  <si>
    <t xml:space="preserve">SH-9000231</t>
  </si>
  <si>
    <t xml:space="preserve">ST-28119</t>
  </si>
  <si>
    <t xml:space="preserve">SH-9000232</t>
  </si>
  <si>
    <t xml:space="preserve">ST-44462</t>
  </si>
  <si>
    <t xml:space="preserve">SH-9000233</t>
  </si>
  <si>
    <t xml:space="preserve">ST-25710</t>
  </si>
  <si>
    <t xml:space="preserve">SH-9000234</t>
  </si>
  <si>
    <t xml:space="preserve">ST-76251</t>
  </si>
  <si>
    <t xml:space="preserve">SH-9000235</t>
  </si>
  <si>
    <t xml:space="preserve">ST-55477</t>
  </si>
  <si>
    <t xml:space="preserve">SH-9000236</t>
  </si>
  <si>
    <t xml:space="preserve">ST-70040</t>
  </si>
  <si>
    <t xml:space="preserve">SH-9000237</t>
  </si>
  <si>
    <t xml:space="preserve">ST-11739</t>
  </si>
  <si>
    <t xml:space="preserve">SH-9000238</t>
  </si>
  <si>
    <t xml:space="preserve">ST-16215</t>
  </si>
  <si>
    <t xml:space="preserve">SH-9000239</t>
  </si>
  <si>
    <t xml:space="preserve">ST-56902</t>
  </si>
  <si>
    <t xml:space="preserve">SH-9000240</t>
  </si>
  <si>
    <t xml:space="preserve">ST-87457</t>
  </si>
  <si>
    <t xml:space="preserve">SH-9000241</t>
  </si>
  <si>
    <t xml:space="preserve">ST-54073</t>
  </si>
  <si>
    <t xml:space="preserve">SH-9000242</t>
  </si>
  <si>
    <t xml:space="preserve">ST-23666</t>
  </si>
  <si>
    <t xml:space="preserve">SH-9000243</t>
  </si>
  <si>
    <t xml:space="preserve">ST-62165</t>
  </si>
  <si>
    <t xml:space="preserve">SH-9000244</t>
  </si>
  <si>
    <t xml:space="preserve">ST-81874</t>
  </si>
  <si>
    <t xml:space="preserve">SH-9000245</t>
  </si>
  <si>
    <t xml:space="preserve">ST-94738</t>
  </si>
  <si>
    <t xml:space="preserve">SH-9000246</t>
  </si>
  <si>
    <t xml:space="preserve">ST-35246</t>
  </si>
  <si>
    <t xml:space="preserve">SH-9000247</t>
  </si>
  <si>
    <t xml:space="preserve">ST-17323</t>
  </si>
  <si>
    <t xml:space="preserve">SH-9000248</t>
  </si>
  <si>
    <t xml:space="preserve">ST-96665</t>
  </si>
  <si>
    <t xml:space="preserve">SH-9000249</t>
  </si>
  <si>
    <t xml:space="preserve">ST-25348</t>
  </si>
  <si>
    <t xml:space="preserve">SH-9000250</t>
  </si>
  <si>
    <t xml:space="preserve">ST-50958</t>
  </si>
  <si>
    <t xml:space="preserve">SH-9000251</t>
  </si>
  <si>
    <t xml:space="preserve">ST-81720</t>
  </si>
  <si>
    <t xml:space="preserve">SH-9000252</t>
  </si>
  <si>
    <t xml:space="preserve">ST-35314</t>
  </si>
  <si>
    <t xml:space="preserve">SH-9000253</t>
  </si>
  <si>
    <t xml:space="preserve">ST-96517</t>
  </si>
  <si>
    <t xml:space="preserve">SH-9000254</t>
  </si>
  <si>
    <t xml:space="preserve">ST-60616</t>
  </si>
  <si>
    <t xml:space="preserve">SH-9000255</t>
  </si>
  <si>
    <t xml:space="preserve">ST-81186</t>
  </si>
  <si>
    <t xml:space="preserve">SH-9000256</t>
  </si>
  <si>
    <t xml:space="preserve">ST-91654</t>
  </si>
  <si>
    <t xml:space="preserve">SH-9000257</t>
  </si>
  <si>
    <t xml:space="preserve">SH-9000258</t>
  </si>
  <si>
    <t xml:space="preserve">ST-72557</t>
  </si>
  <si>
    <t xml:space="preserve">SH-9000259</t>
  </si>
  <si>
    <t xml:space="preserve">ST-16935</t>
  </si>
  <si>
    <t xml:space="preserve">SH-9000260</t>
  </si>
  <si>
    <t xml:space="preserve">ST-53599</t>
  </si>
  <si>
    <t xml:space="preserve">SH-9000261</t>
  </si>
  <si>
    <t xml:space="preserve">ST-25635</t>
  </si>
  <si>
    <t xml:space="preserve">SH-9000262</t>
  </si>
  <si>
    <t xml:space="preserve">ST-48441</t>
  </si>
  <si>
    <t xml:space="preserve">SH-9000263</t>
  </si>
  <si>
    <t xml:space="preserve">ST-79204</t>
  </si>
  <si>
    <t xml:space="preserve">SH-9000264</t>
  </si>
  <si>
    <t xml:space="preserve">ST-82937</t>
  </si>
  <si>
    <t xml:space="preserve">SH-9000265</t>
  </si>
  <si>
    <t xml:space="preserve">ST-17947</t>
  </si>
  <si>
    <t xml:space="preserve">SH-9000266</t>
  </si>
  <si>
    <t xml:space="preserve">ST-30592</t>
  </si>
  <si>
    <t xml:space="preserve">SH-9000267</t>
  </si>
  <si>
    <t xml:space="preserve">ST-81388</t>
  </si>
  <si>
    <t xml:space="preserve">D</t>
  </si>
  <si>
    <t xml:space="preserve">SH-9000268</t>
  </si>
  <si>
    <t xml:space="preserve">ST-31850</t>
  </si>
  <si>
    <t xml:space="preserve">SH-9000269</t>
  </si>
  <si>
    <t xml:space="preserve">ST-51921</t>
  </si>
  <si>
    <t xml:space="preserve">SH-9000270</t>
  </si>
  <si>
    <t xml:space="preserve">ST-17871</t>
  </si>
  <si>
    <t xml:space="preserve">SH-9000271</t>
  </si>
  <si>
    <t xml:space="preserve">ST-51550</t>
  </si>
  <si>
    <t xml:space="preserve">SH-9000272</t>
  </si>
  <si>
    <t xml:space="preserve">ST-34593</t>
  </si>
  <si>
    <t xml:space="preserve">SH-9000273</t>
  </si>
  <si>
    <t xml:space="preserve">ST-67903</t>
  </si>
  <si>
    <t xml:space="preserve">SH-9000274</t>
  </si>
  <si>
    <t xml:space="preserve">ST-32211</t>
  </si>
  <si>
    <t xml:space="preserve">SH-9000275</t>
  </si>
  <si>
    <t xml:space="preserve">ST-30674</t>
  </si>
  <si>
    <t xml:space="preserve">SH-9000276</t>
  </si>
  <si>
    <t xml:space="preserve">ST-97150</t>
  </si>
  <si>
    <t xml:space="preserve">SH-9000277</t>
  </si>
  <si>
    <t xml:space="preserve">ST-23746</t>
  </si>
  <si>
    <t xml:space="preserve">SH-9000278</t>
  </si>
  <si>
    <t xml:space="preserve">ST-13242</t>
  </si>
  <si>
    <t xml:space="preserve">SH-9000279</t>
  </si>
  <si>
    <t xml:space="preserve">ST-38897</t>
  </si>
  <si>
    <t xml:space="preserve">SH-9000280</t>
  </si>
  <si>
    <t xml:space="preserve">ST-84303</t>
  </si>
  <si>
    <t xml:space="preserve">SH-9000281</t>
  </si>
  <si>
    <t xml:space="preserve">ST-59136</t>
  </si>
  <si>
    <t xml:space="preserve">SH-9000282</t>
  </si>
  <si>
    <t xml:space="preserve">ST-67572</t>
  </si>
  <si>
    <t xml:space="preserve">SH-9000283</t>
  </si>
  <si>
    <t xml:space="preserve">ST-40100</t>
  </si>
  <si>
    <t xml:space="preserve">SH-9000284</t>
  </si>
  <si>
    <t xml:space="preserve">ST-56145</t>
  </si>
  <si>
    <t xml:space="preserve">SH-9000285</t>
  </si>
  <si>
    <t xml:space="preserve">ST-65616</t>
  </si>
  <si>
    <t xml:space="preserve">SH-9000286</t>
  </si>
  <si>
    <t xml:space="preserve">ST-58775</t>
  </si>
  <si>
    <t xml:space="preserve">SH-9000287</t>
  </si>
  <si>
    <t xml:space="preserve">ST-31833</t>
  </si>
  <si>
    <t xml:space="preserve">SH-9000288</t>
  </si>
  <si>
    <t xml:space="preserve">ST-57915</t>
  </si>
  <si>
    <t xml:space="preserve">SH-9000289</t>
  </si>
  <si>
    <t xml:space="preserve">ST-20316</t>
  </si>
  <si>
    <t xml:space="preserve">SH-9000290</t>
  </si>
  <si>
    <t xml:space="preserve">ST-70636</t>
  </si>
  <si>
    <t xml:space="preserve">SH-9000291</t>
  </si>
  <si>
    <t xml:space="preserve">ST-75485</t>
  </si>
  <si>
    <t xml:space="preserve">SH-9000292</t>
  </si>
  <si>
    <t xml:space="preserve">ST-20335</t>
  </si>
  <si>
    <t xml:space="preserve">SH-9000293</t>
  </si>
  <si>
    <t xml:space="preserve">ST-84910</t>
  </si>
  <si>
    <t xml:space="preserve">SH-9000294</t>
  </si>
  <si>
    <t xml:space="preserve">ST-48668</t>
  </si>
  <si>
    <t xml:space="preserve">SH-9000295</t>
  </si>
  <si>
    <t xml:space="preserve">ST-40982</t>
  </si>
  <si>
    <t xml:space="preserve">SH-9000296</t>
  </si>
  <si>
    <t xml:space="preserve">ST-47264</t>
  </si>
  <si>
    <t xml:space="preserve">SH-9000297</t>
  </si>
  <si>
    <t xml:space="preserve">ST-66020</t>
  </si>
  <si>
    <t xml:space="preserve">SH-9000298</t>
  </si>
  <si>
    <t xml:space="preserve">ST-84497</t>
  </si>
  <si>
    <t xml:space="preserve">SH-9000299</t>
  </si>
  <si>
    <t xml:space="preserve">ST-90217</t>
  </si>
  <si>
    <t xml:space="preserve">SH-9000300</t>
  </si>
  <si>
    <t xml:space="preserve">ST-41227</t>
  </si>
  <si>
    <t xml:space="preserve">SH-9000301</t>
  </si>
  <si>
    <t xml:space="preserve">ST-27716</t>
  </si>
  <si>
    <t xml:space="preserve">SH-9000302</t>
  </si>
  <si>
    <t xml:space="preserve">ST-34150</t>
  </si>
  <si>
    <t xml:space="preserve">SH-9000303</t>
  </si>
  <si>
    <t xml:space="preserve">ST-38672</t>
  </si>
  <si>
    <t xml:space="preserve">SH-9000304</t>
  </si>
  <si>
    <t xml:space="preserve">ST-62568</t>
  </si>
  <si>
    <t xml:space="preserve">SH-9000305</t>
  </si>
  <si>
    <t xml:space="preserve">ST-39870</t>
  </si>
  <si>
    <t xml:space="preserve">SH-9000306</t>
  </si>
  <si>
    <t xml:space="preserve">ST-94475</t>
  </si>
  <si>
    <t xml:space="preserve">SH-9000307</t>
  </si>
  <si>
    <t xml:space="preserve">ST-56154</t>
  </si>
  <si>
    <t xml:space="preserve">SH-9000308</t>
  </si>
  <si>
    <t xml:space="preserve">ST-76135</t>
  </si>
  <si>
    <t xml:space="preserve">SH-9000309</t>
  </si>
  <si>
    <t xml:space="preserve">ST-85518</t>
  </si>
  <si>
    <t xml:space="preserve">SH-9000310</t>
  </si>
  <si>
    <t xml:space="preserve">ST-57164</t>
  </si>
  <si>
    <t xml:space="preserve">SH-9000311</t>
  </si>
  <si>
    <t xml:space="preserve">ST-92284</t>
  </si>
  <si>
    <t xml:space="preserve">SH-9000312</t>
  </si>
  <si>
    <t xml:space="preserve">ST-35600</t>
  </si>
  <si>
    <t xml:space="preserve">SH-9000313</t>
  </si>
  <si>
    <t xml:space="preserve">ST-94353</t>
  </si>
  <si>
    <t xml:space="preserve">SH-9000314</t>
  </si>
  <si>
    <t xml:space="preserve">ST-77476</t>
  </si>
  <si>
    <t xml:space="preserve">SH-9000315</t>
  </si>
  <si>
    <t xml:space="preserve">ST-21829</t>
  </si>
  <si>
    <t xml:space="preserve">SH-9000316</t>
  </si>
  <si>
    <t xml:space="preserve">ST-92993</t>
  </si>
  <si>
    <t xml:space="preserve">SH-9000317</t>
  </si>
  <si>
    <t xml:space="preserve">ST-10685</t>
  </si>
  <si>
    <t xml:space="preserve">SH-9000318</t>
  </si>
  <si>
    <t xml:space="preserve">ST-84274</t>
  </si>
  <si>
    <t xml:space="preserve">SH-9000319</t>
  </si>
  <si>
    <t xml:space="preserve">ST-42258</t>
  </si>
  <si>
    <t xml:space="preserve">SH-9000320</t>
  </si>
  <si>
    <t xml:space="preserve">ST-41194</t>
  </si>
  <si>
    <t xml:space="preserve">SH-9000321</t>
  </si>
  <si>
    <t xml:space="preserve">ST-96491</t>
  </si>
  <si>
    <t xml:space="preserve">SH-9000322</t>
  </si>
  <si>
    <t xml:space="preserve">ST-88210</t>
  </si>
  <si>
    <t xml:space="preserve">SH-9000323</t>
  </si>
  <si>
    <t xml:space="preserve">ST-25241</t>
  </si>
  <si>
    <t xml:space="preserve">SH-9000324</t>
  </si>
  <si>
    <t xml:space="preserve">ST-99925</t>
  </si>
  <si>
    <t xml:space="preserve">SH-9000325</t>
  </si>
  <si>
    <t xml:space="preserve">ST-64298</t>
  </si>
  <si>
    <t xml:space="preserve">SH-9000326</t>
  </si>
  <si>
    <t xml:space="preserve">ST-55155</t>
  </si>
  <si>
    <t xml:space="preserve">SH-9000327</t>
  </si>
  <si>
    <t xml:space="preserve">ST-43326</t>
  </si>
  <si>
    <t xml:space="preserve">SH-9000328</t>
  </si>
  <si>
    <t xml:space="preserve">ST-98722</t>
  </si>
  <si>
    <t xml:space="preserve">SH-9000329</t>
  </si>
  <si>
    <t xml:space="preserve">ST-27053</t>
  </si>
  <si>
    <t xml:space="preserve">SH-9000330</t>
  </si>
  <si>
    <t xml:space="preserve">ST-63946</t>
  </si>
  <si>
    <t xml:space="preserve">SH-9000331</t>
  </si>
  <si>
    <t xml:space="preserve">ST-28024</t>
  </si>
  <si>
    <t xml:space="preserve">SH-9000332</t>
  </si>
  <si>
    <t xml:space="preserve">ST-36837</t>
  </si>
  <si>
    <t xml:space="preserve">SH-9000333</t>
  </si>
  <si>
    <t xml:space="preserve">ST-46063</t>
  </si>
  <si>
    <t xml:space="preserve">SH-9000334</t>
  </si>
  <si>
    <t xml:space="preserve">ST-69605</t>
  </si>
  <si>
    <t xml:space="preserve">SH-9000335</t>
  </si>
  <si>
    <t xml:space="preserve">ST-94612</t>
  </si>
  <si>
    <t xml:space="preserve">SH-9000336</t>
  </si>
  <si>
    <t xml:space="preserve">ST-88233</t>
  </si>
  <si>
    <t xml:space="preserve">SH-9000337</t>
  </si>
  <si>
    <t xml:space="preserve">ST-84937</t>
  </si>
  <si>
    <t xml:space="preserve">SH-9000338</t>
  </si>
  <si>
    <t xml:space="preserve">ST-47249</t>
  </si>
  <si>
    <t xml:space="preserve">SH-9000339</t>
  </si>
  <si>
    <t xml:space="preserve">ST-28698</t>
  </si>
  <si>
    <t xml:space="preserve">SH-9000340</t>
  </si>
  <si>
    <t xml:space="preserve">ST-35531</t>
  </si>
  <si>
    <t xml:space="preserve">SH-9000341</t>
  </si>
  <si>
    <t xml:space="preserve">ST-64340</t>
  </si>
  <si>
    <t xml:space="preserve">SH-9000342</t>
  </si>
  <si>
    <t xml:space="preserve">ST-56545</t>
  </si>
  <si>
    <t xml:space="preserve">SH-9000343</t>
  </si>
  <si>
    <t xml:space="preserve">ST-74597</t>
  </si>
  <si>
    <t xml:space="preserve">SH-9000344</t>
  </si>
  <si>
    <t xml:space="preserve">ST-10659</t>
  </si>
  <si>
    <t xml:space="preserve">SH-9000345</t>
  </si>
  <si>
    <t xml:space="preserve">ST-42611</t>
  </si>
  <si>
    <t xml:space="preserve">SH-9000346</t>
  </si>
  <si>
    <t xml:space="preserve">ST-40697</t>
  </si>
  <si>
    <t xml:space="preserve">SH-9000347</t>
  </si>
  <si>
    <t xml:space="preserve">ST-55491</t>
  </si>
  <si>
    <t xml:space="preserve">SH-9000348</t>
  </si>
  <si>
    <t xml:space="preserve">ST-45416</t>
  </si>
  <si>
    <t xml:space="preserve">SH-9000349</t>
  </si>
  <si>
    <t xml:space="preserve">ST-58239</t>
  </si>
  <si>
    <t xml:space="preserve">SH-9000350</t>
  </si>
  <si>
    <t xml:space="preserve">ST-10799</t>
  </si>
  <si>
    <t xml:space="preserve">SH-9000351</t>
  </si>
  <si>
    <t xml:space="preserve">ST-38478</t>
  </si>
  <si>
    <t xml:space="preserve">SH-9000352</t>
  </si>
  <si>
    <t xml:space="preserve">ST-70657</t>
  </si>
  <si>
    <t xml:space="preserve">SH-9000353</t>
  </si>
  <si>
    <t xml:space="preserve">ST-12949</t>
  </si>
  <si>
    <t xml:space="preserve">SH-9000354</t>
  </si>
  <si>
    <t xml:space="preserve">ST-44658</t>
  </si>
  <si>
    <t xml:space="preserve">SH-9000355</t>
  </si>
  <si>
    <t xml:space="preserve">ST-76287</t>
  </si>
  <si>
    <t xml:space="preserve">SH-9000356</t>
  </si>
  <si>
    <t xml:space="preserve">ST-71804</t>
  </si>
  <si>
    <t xml:space="preserve">SH-9000357</t>
  </si>
  <si>
    <t xml:space="preserve">ST-56562</t>
  </si>
  <si>
    <t xml:space="preserve">SH-9000358</t>
  </si>
  <si>
    <t xml:space="preserve">ST-86539</t>
  </si>
  <si>
    <t xml:space="preserve">SH-9000359</t>
  </si>
  <si>
    <t xml:space="preserve">ST-30527</t>
  </si>
  <si>
    <t xml:space="preserve">SH-9000360</t>
  </si>
  <si>
    <t xml:space="preserve">ST-47456</t>
  </si>
  <si>
    <t xml:space="preserve">SH-9000361</t>
  </si>
  <si>
    <t xml:space="preserve">ST-66430</t>
  </si>
  <si>
    <t xml:space="preserve">SH-9000362</t>
  </si>
  <si>
    <t xml:space="preserve">ST-50100</t>
  </si>
  <si>
    <t xml:space="preserve">SH-9000363</t>
  </si>
  <si>
    <t xml:space="preserve">ST-53475</t>
  </si>
  <si>
    <t xml:space="preserve">SH-9000364</t>
  </si>
  <si>
    <t xml:space="preserve">ST-78676</t>
  </si>
  <si>
    <t xml:space="preserve">SH-9000365</t>
  </si>
  <si>
    <t xml:space="preserve">ST-84917</t>
  </si>
  <si>
    <t xml:space="preserve">SH-9000366</t>
  </si>
  <si>
    <t xml:space="preserve">ST-25043</t>
  </si>
  <si>
    <t xml:space="preserve">SH-9000367</t>
  </si>
  <si>
    <t xml:space="preserve">ST-52300</t>
  </si>
  <si>
    <t xml:space="preserve">SH-9000368</t>
  </si>
  <si>
    <t xml:space="preserve">ST-88561</t>
  </si>
  <si>
    <t xml:space="preserve">SH-9000369</t>
  </si>
  <si>
    <t xml:space="preserve">ST-72887</t>
  </si>
  <si>
    <t xml:space="preserve">SH-9000370</t>
  </si>
  <si>
    <t xml:space="preserve">ST-61373</t>
  </si>
  <si>
    <t xml:space="preserve">SH-9000371</t>
  </si>
  <si>
    <t xml:space="preserve">ST-94243</t>
  </si>
  <si>
    <t xml:space="preserve">SH-9000372</t>
  </si>
  <si>
    <t xml:space="preserve">ST-99016</t>
  </si>
  <si>
    <t xml:space="preserve">SH-9000373</t>
  </si>
  <si>
    <t xml:space="preserve">ST-35368</t>
  </si>
  <si>
    <t xml:space="preserve">SH-9000374</t>
  </si>
  <si>
    <t xml:space="preserve">ST-97477</t>
  </si>
  <si>
    <t xml:space="preserve">SH-9000375</t>
  </si>
  <si>
    <t xml:space="preserve">ST-67761</t>
  </si>
  <si>
    <t xml:space="preserve">SH-9000376</t>
  </si>
  <si>
    <t xml:space="preserve">ST-22768</t>
  </si>
  <si>
    <t xml:space="preserve">SH-9000377</t>
  </si>
  <si>
    <t xml:space="preserve">ST-32432</t>
  </si>
  <si>
    <t xml:space="preserve">SH-9000378</t>
  </si>
  <si>
    <t xml:space="preserve">ST-67468</t>
  </si>
  <si>
    <t xml:space="preserve">SH-9000379</t>
  </si>
  <si>
    <t xml:space="preserve">ST-81225</t>
  </si>
  <si>
    <t xml:space="preserve">SH-9000380</t>
  </si>
  <si>
    <t xml:space="preserve">ST-71346</t>
  </si>
  <si>
    <t xml:space="preserve">SH-9000381</t>
  </si>
  <si>
    <t xml:space="preserve">ST-68088</t>
  </si>
  <si>
    <t xml:space="preserve">SH-9000382</t>
  </si>
  <si>
    <t xml:space="preserve">ST-43654</t>
  </si>
  <si>
    <t xml:space="preserve">SH-9000383</t>
  </si>
  <si>
    <t xml:space="preserve">ST-68361</t>
  </si>
  <si>
    <t xml:space="preserve">SH-9000384</t>
  </si>
  <si>
    <t xml:space="preserve">ST-31749</t>
  </si>
  <si>
    <t xml:space="preserve">SH-9000385</t>
  </si>
  <si>
    <t xml:space="preserve">ST-58669</t>
  </si>
  <si>
    <t xml:space="preserve">SH-9000386</t>
  </si>
  <si>
    <t xml:space="preserve">ST-43031</t>
  </si>
  <si>
    <t xml:space="preserve">SH-9000387</t>
  </si>
  <si>
    <t xml:space="preserve">SH-9000388</t>
  </si>
  <si>
    <t xml:space="preserve">ST-51567</t>
  </si>
  <si>
    <t xml:space="preserve">SH-9000389</t>
  </si>
  <si>
    <t xml:space="preserve">ST-80601</t>
  </si>
  <si>
    <t xml:space="preserve">SH-9000390</t>
  </si>
  <si>
    <t xml:space="preserve">ST-32466</t>
  </si>
  <si>
    <t xml:space="preserve">SH-9000391</t>
  </si>
  <si>
    <t xml:space="preserve">ST-79141</t>
  </si>
  <si>
    <t xml:space="preserve">SH-9000392</t>
  </si>
  <si>
    <t xml:space="preserve">ST-53364</t>
  </si>
  <si>
    <t xml:space="preserve">SH-9000393</t>
  </si>
  <si>
    <t xml:space="preserve">ST-38158</t>
  </si>
  <si>
    <t xml:space="preserve">SH-9000394</t>
  </si>
  <si>
    <t xml:space="preserve">ST-58757</t>
  </si>
  <si>
    <t xml:space="preserve">SH-9000395</t>
  </si>
  <si>
    <t xml:space="preserve">ST-31004</t>
  </si>
  <si>
    <t xml:space="preserve">SH-9000396</t>
  </si>
  <si>
    <t xml:space="preserve">ST-55798</t>
  </si>
  <si>
    <t xml:space="preserve">SH-9000397</t>
  </si>
  <si>
    <t xml:space="preserve">ST-98055</t>
  </si>
  <si>
    <t xml:space="preserve">SH-9000398</t>
  </si>
  <si>
    <t xml:space="preserve">ST-53297</t>
  </si>
  <si>
    <t xml:space="preserve">SH-9000399</t>
  </si>
  <si>
    <t xml:space="preserve">ST-80383</t>
  </si>
  <si>
    <t xml:space="preserve">SH-9000400</t>
  </si>
  <si>
    <t xml:space="preserve">ST-58076</t>
  </si>
  <si>
    <t xml:space="preserve">SH-9000401</t>
  </si>
  <si>
    <t xml:space="preserve">ST-13564</t>
  </si>
  <si>
    <t xml:space="preserve">SH-9000402</t>
  </si>
  <si>
    <t xml:space="preserve">ST-21106</t>
  </si>
  <si>
    <t xml:space="preserve">SH-9000403</t>
  </si>
  <si>
    <t xml:space="preserve">ST-14928</t>
  </si>
  <si>
    <t xml:space="preserve">SH-9000404</t>
  </si>
  <si>
    <t xml:space="preserve">ST-13295</t>
  </si>
  <si>
    <t xml:space="preserve">SH-9000405</t>
  </si>
  <si>
    <t xml:space="preserve">ST-84026</t>
  </si>
  <si>
    <t xml:space="preserve">SH-9000406</t>
  </si>
  <si>
    <t xml:space="preserve">ST-29162</t>
  </si>
  <si>
    <t xml:space="preserve">SH-9000407</t>
  </si>
  <si>
    <t xml:space="preserve">ST-87783</t>
  </si>
  <si>
    <t xml:space="preserve">SH-9000408</t>
  </si>
  <si>
    <t xml:space="preserve">ST-77971</t>
  </si>
  <si>
    <t xml:space="preserve">SH-9000409</t>
  </si>
  <si>
    <t xml:space="preserve">ST-64842</t>
  </si>
  <si>
    <t xml:space="preserve">SH-9000410</t>
  </si>
  <si>
    <t xml:space="preserve">ST-42624</t>
  </si>
  <si>
    <t xml:space="preserve">SH-9000411</t>
  </si>
  <si>
    <t xml:space="preserve">ST-54064</t>
  </si>
  <si>
    <t xml:space="preserve">SH-9000412</t>
  </si>
  <si>
    <t xml:space="preserve">ST-96233</t>
  </si>
  <si>
    <t xml:space="preserve">SH-9000413</t>
  </si>
  <si>
    <t xml:space="preserve">ST-80930</t>
  </si>
  <si>
    <t xml:space="preserve">SH-9000414</t>
  </si>
  <si>
    <t xml:space="preserve">ST-86200</t>
  </si>
  <si>
    <t xml:space="preserve">SH-9000415</t>
  </si>
  <si>
    <t xml:space="preserve">ST-63626</t>
  </si>
  <si>
    <t xml:space="preserve">SH-9000416</t>
  </si>
  <si>
    <t xml:space="preserve">ST-83029</t>
  </si>
  <si>
    <t xml:space="preserve">SH-9000417</t>
  </si>
  <si>
    <t xml:space="preserve">ST-67784</t>
  </si>
  <si>
    <t xml:space="preserve">SH-9000418</t>
  </si>
  <si>
    <t xml:space="preserve">ST-50759</t>
  </si>
  <si>
    <t xml:space="preserve">SH-9000419</t>
  </si>
  <si>
    <t xml:space="preserve">ST-85118</t>
  </si>
  <si>
    <t xml:space="preserve">SH-9000420</t>
  </si>
  <si>
    <t xml:space="preserve">ST-13158</t>
  </si>
  <si>
    <t xml:space="preserve">SH-9000421</t>
  </si>
  <si>
    <t xml:space="preserve">ST-30692</t>
  </si>
  <si>
    <t xml:space="preserve">SH-9000422</t>
  </si>
  <si>
    <t xml:space="preserve">ST-57940</t>
  </si>
  <si>
    <t xml:space="preserve">SH-9000423</t>
  </si>
  <si>
    <t xml:space="preserve">ST-10062</t>
  </si>
  <si>
    <t xml:space="preserve">SH-9000424</t>
  </si>
  <si>
    <t xml:space="preserve">ST-89929</t>
  </si>
  <si>
    <t xml:space="preserve">SH-9000425</t>
  </si>
  <si>
    <t xml:space="preserve">ST-47230</t>
  </si>
  <si>
    <t xml:space="preserve">SH-9000426</t>
  </si>
  <si>
    <t xml:space="preserve">ST-44644</t>
  </si>
  <si>
    <t xml:space="preserve">SH-9000427</t>
  </si>
  <si>
    <t xml:space="preserve">ST-14896</t>
  </si>
  <si>
    <t xml:space="preserve">SH-9000428</t>
  </si>
  <si>
    <t xml:space="preserve">ST-43267</t>
  </si>
  <si>
    <t xml:space="preserve">SH-9000429</t>
  </si>
  <si>
    <t xml:space="preserve">ST-93384</t>
  </si>
  <si>
    <t xml:space="preserve">SH-9000430</t>
  </si>
  <si>
    <t xml:space="preserve">ST-45897</t>
  </si>
  <si>
    <t xml:space="preserve">SH-9000431</t>
  </si>
  <si>
    <t xml:space="preserve">ST-27202</t>
  </si>
  <si>
    <t xml:space="preserve">SH-9000432</t>
  </si>
  <si>
    <t xml:space="preserve">ST-78394</t>
  </si>
  <si>
    <t xml:space="preserve">SH-9000433</t>
  </si>
  <si>
    <t xml:space="preserve">ST-19824</t>
  </si>
  <si>
    <t xml:space="preserve">SH-9000434</t>
  </si>
  <si>
    <t xml:space="preserve">ST-14552</t>
  </si>
  <si>
    <t xml:space="preserve">SH-9000435</t>
  </si>
  <si>
    <t xml:space="preserve">ST-39365</t>
  </si>
  <si>
    <t xml:space="preserve">SH-9000436</t>
  </si>
  <si>
    <t xml:space="preserve">ST-60655</t>
  </si>
  <si>
    <t xml:space="preserve">SH-9000437</t>
  </si>
  <si>
    <t xml:space="preserve">ST-48287</t>
  </si>
  <si>
    <t xml:space="preserve">SH-9000438</t>
  </si>
  <si>
    <t xml:space="preserve">ST-69142</t>
  </si>
  <si>
    <t xml:space="preserve">SH-9000439</t>
  </si>
  <si>
    <t xml:space="preserve">ST-68453</t>
  </si>
  <si>
    <t xml:space="preserve">SH-9000440</t>
  </si>
  <si>
    <t xml:space="preserve">ST-88753</t>
  </si>
  <si>
    <t xml:space="preserve">SH-9000441</t>
  </si>
  <si>
    <t xml:space="preserve">ST-68900</t>
  </si>
  <si>
    <t xml:space="preserve">SH-9000442</t>
  </si>
  <si>
    <t xml:space="preserve">ST-88940</t>
  </si>
  <si>
    <t xml:space="preserve">SH-9000443</t>
  </si>
  <si>
    <t xml:space="preserve">ST-91931</t>
  </si>
  <si>
    <t xml:space="preserve">SH-9000444</t>
  </si>
  <si>
    <t xml:space="preserve">ST-43198</t>
  </si>
  <si>
    <t xml:space="preserve">SH-9000445</t>
  </si>
  <si>
    <t xml:space="preserve">ST-20175</t>
  </si>
  <si>
    <t xml:space="preserve">SH-9000446</t>
  </si>
  <si>
    <t xml:space="preserve">ST-57184</t>
  </si>
  <si>
    <t xml:space="preserve">SH-9000447</t>
  </si>
  <si>
    <t xml:space="preserve">ST-33901</t>
  </si>
  <si>
    <t xml:space="preserve">SH-9000448</t>
  </si>
  <si>
    <t xml:space="preserve">ST-62846</t>
  </si>
  <si>
    <t xml:space="preserve">SH-9000449</t>
  </si>
  <si>
    <t xml:space="preserve">ST-12154</t>
  </si>
  <si>
    <t xml:space="preserve">SH-9000450</t>
  </si>
  <si>
    <t xml:space="preserve">ST-69062</t>
  </si>
  <si>
    <t xml:space="preserve">SH-9000451</t>
  </si>
  <si>
    <t xml:space="preserve">ST-89726</t>
  </si>
  <si>
    <t xml:space="preserve">SH-9000452</t>
  </si>
  <si>
    <t xml:space="preserve">ST-45990</t>
  </si>
  <si>
    <t xml:space="preserve">SH-9000453</t>
  </si>
  <si>
    <t xml:space="preserve">ST-96343</t>
  </si>
  <si>
    <t xml:space="preserve">SH-9000454</t>
  </si>
  <si>
    <t xml:space="preserve">ST-29100</t>
  </si>
  <si>
    <t xml:space="preserve">SH-9000455</t>
  </si>
  <si>
    <t xml:space="preserve">ST-25503</t>
  </si>
  <si>
    <t xml:space="preserve">SH-9000456</t>
  </si>
  <si>
    <t xml:space="preserve">ST-63317</t>
  </si>
  <si>
    <t xml:space="preserve">SH-9000457</t>
  </si>
  <si>
    <t xml:space="preserve">ST-48833</t>
  </si>
  <si>
    <t xml:space="preserve">SH-9000458</t>
  </si>
  <si>
    <t xml:space="preserve">ST-15978</t>
  </si>
  <si>
    <t xml:space="preserve">SH-9000459</t>
  </si>
  <si>
    <t xml:space="preserve">ST-64518</t>
  </si>
  <si>
    <t xml:space="preserve">SH-9000460</t>
  </si>
  <si>
    <t xml:space="preserve">ST-65761</t>
  </si>
  <si>
    <t xml:space="preserve">SH-9000461</t>
  </si>
  <si>
    <t xml:space="preserve">ST-46939</t>
  </si>
  <si>
    <t xml:space="preserve">SH-9000462</t>
  </si>
  <si>
    <t xml:space="preserve">ST-29357</t>
  </si>
  <si>
    <t xml:space="preserve">SH-9000463</t>
  </si>
  <si>
    <t xml:space="preserve">ST-70546</t>
  </si>
  <si>
    <t xml:space="preserve">SH-9000464</t>
  </si>
  <si>
    <t xml:space="preserve">ST-95023</t>
  </si>
  <si>
    <t xml:space="preserve">SH-9000465</t>
  </si>
  <si>
    <t xml:space="preserve">ST-91187</t>
  </si>
  <si>
    <t xml:space="preserve">SH-9000466</t>
  </si>
  <si>
    <t xml:space="preserve">ST-64835</t>
  </si>
  <si>
    <t xml:space="preserve">SH-9000467</t>
  </si>
  <si>
    <t xml:space="preserve">ST-18094</t>
  </si>
  <si>
    <t xml:space="preserve">SH-9000468</t>
  </si>
  <si>
    <t xml:space="preserve">ST-29545</t>
  </si>
  <si>
    <t xml:space="preserve">SH-9000469</t>
  </si>
  <si>
    <t xml:space="preserve">ST-72264</t>
  </si>
  <si>
    <t xml:space="preserve">SH-9000470</t>
  </si>
  <si>
    <t xml:space="preserve">ST-47268</t>
  </si>
  <si>
    <t xml:space="preserve">SH-9000471</t>
  </si>
  <si>
    <t xml:space="preserve">ST-88796</t>
  </si>
  <si>
    <t xml:space="preserve">SH-9000472</t>
  </si>
  <si>
    <t xml:space="preserve">ST-40632</t>
  </si>
  <si>
    <t xml:space="preserve">SH-9000473</t>
  </si>
  <si>
    <t xml:space="preserve">ST-78041</t>
  </si>
  <si>
    <t xml:space="preserve">SH-9000474</t>
  </si>
  <si>
    <t xml:space="preserve">ST-56068</t>
  </si>
  <si>
    <t xml:space="preserve">SH-9000475</t>
  </si>
  <si>
    <t xml:space="preserve">ST-48204</t>
  </si>
  <si>
    <t xml:space="preserve">SH-9000476</t>
  </si>
  <si>
    <t xml:space="preserve">ST-48639</t>
  </si>
  <si>
    <t xml:space="preserve">SH-9000477</t>
  </si>
  <si>
    <t xml:space="preserve">ST-83176</t>
  </si>
  <si>
    <t xml:space="preserve">SH-9000478</t>
  </si>
  <si>
    <t xml:space="preserve">ST-66496</t>
  </si>
  <si>
    <t xml:space="preserve">SH-9000479</t>
  </si>
  <si>
    <t xml:space="preserve">ST-68978</t>
  </si>
  <si>
    <t xml:space="preserve">SH-9000480</t>
  </si>
  <si>
    <t xml:space="preserve">ST-13846</t>
  </si>
  <si>
    <t xml:space="preserve">SH-9000481</t>
  </si>
  <si>
    <t xml:space="preserve">ST-61613</t>
  </si>
  <si>
    <t xml:space="preserve">SH-9000482</t>
  </si>
  <si>
    <t xml:space="preserve">ST-16521</t>
  </si>
  <si>
    <t xml:space="preserve">SH-9000483</t>
  </si>
  <si>
    <t xml:space="preserve">ST-48084</t>
  </si>
  <si>
    <t xml:space="preserve">SH-9000484</t>
  </si>
  <si>
    <t xml:space="preserve">ST-74606</t>
  </si>
  <si>
    <t xml:space="preserve">SH-9000485</t>
  </si>
  <si>
    <t xml:space="preserve">ST-35895</t>
  </si>
  <si>
    <t xml:space="preserve">SH-9000486</t>
  </si>
  <si>
    <t xml:space="preserve">ST-66080</t>
  </si>
  <si>
    <t xml:space="preserve">SH-9000487</t>
  </si>
  <si>
    <t xml:space="preserve">ST-39339</t>
  </si>
  <si>
    <t xml:space="preserve">SH-9000488</t>
  </si>
  <si>
    <t xml:space="preserve">ST-61294</t>
  </si>
  <si>
    <t xml:space="preserve">SH-9000489</t>
  </si>
  <si>
    <t xml:space="preserve">ST-58741</t>
  </si>
  <si>
    <t xml:space="preserve">SH-9000490</t>
  </si>
  <si>
    <t xml:space="preserve">ST-30621</t>
  </si>
  <si>
    <t xml:space="preserve">SH-9000491</t>
  </si>
  <si>
    <t xml:space="preserve">ST-27077</t>
  </si>
  <si>
    <t xml:space="preserve">SH-9000492</t>
  </si>
  <si>
    <t xml:space="preserve">ST-45957</t>
  </si>
  <si>
    <t xml:space="preserve">SH-9000493</t>
  </si>
  <si>
    <t xml:space="preserve">ST-27523</t>
  </si>
  <si>
    <t xml:space="preserve">SH-9000494</t>
  </si>
  <si>
    <t xml:space="preserve">ST-47927</t>
  </si>
  <si>
    <t xml:space="preserve">SH-9000495</t>
  </si>
  <si>
    <t xml:space="preserve">ST-73163</t>
  </si>
  <si>
    <t xml:space="preserve">SH-9000496</t>
  </si>
  <si>
    <t xml:space="preserve">ST-10852</t>
  </si>
  <si>
    <t xml:space="preserve">SH-9000497</t>
  </si>
  <si>
    <t xml:space="preserve">ST-37082</t>
  </si>
  <si>
    <t xml:space="preserve">SH-9000498</t>
  </si>
  <si>
    <t xml:space="preserve">ST-31273</t>
  </si>
  <si>
    <t xml:space="preserve">SH-9000499</t>
  </si>
  <si>
    <t xml:space="preserve">ST-72724</t>
  </si>
  <si>
    <t xml:space="preserve">SH-9000500</t>
  </si>
  <si>
    <t xml:space="preserve">ST-38578</t>
  </si>
  <si>
    <t xml:space="preserve">SH-9000501</t>
  </si>
  <si>
    <t xml:space="preserve">ST-16949</t>
  </si>
  <si>
    <t xml:space="preserve">SH-9000502</t>
  </si>
  <si>
    <t xml:space="preserve">ST-67865</t>
  </si>
  <si>
    <t xml:space="preserve">SH-9000503</t>
  </si>
  <si>
    <t xml:space="preserve">ST-33562</t>
  </si>
  <si>
    <t xml:space="preserve">SH-9000504</t>
  </si>
  <si>
    <t xml:space="preserve">ST-93329</t>
  </si>
  <si>
    <t xml:space="preserve">SH-9000505</t>
  </si>
  <si>
    <t xml:space="preserve">ST-64421</t>
  </si>
  <si>
    <t xml:space="preserve">SH-9000506</t>
  </si>
  <si>
    <t xml:space="preserve">ST-99111</t>
  </si>
  <si>
    <t xml:space="preserve">SH-9000507</t>
  </si>
  <si>
    <t xml:space="preserve">ST-60500</t>
  </si>
  <si>
    <t xml:space="preserve">SH-9000508</t>
  </si>
  <si>
    <t xml:space="preserve">ST-24392</t>
  </si>
  <si>
    <t xml:space="preserve">SH-9000509</t>
  </si>
  <si>
    <t xml:space="preserve">ST-65109</t>
  </si>
  <si>
    <t xml:space="preserve">SH-9000510</t>
  </si>
  <si>
    <t xml:space="preserve">ST-50492</t>
  </si>
  <si>
    <t xml:space="preserve">SH-9000511</t>
  </si>
  <si>
    <t xml:space="preserve">ST-24175</t>
  </si>
  <si>
    <t xml:space="preserve">SH-9000512</t>
  </si>
  <si>
    <t xml:space="preserve">ST-20333</t>
  </si>
  <si>
    <t xml:space="preserve">SH-9000513</t>
  </si>
  <si>
    <t xml:space="preserve">ST-18239</t>
  </si>
  <si>
    <t xml:space="preserve">SH-9000514</t>
  </si>
  <si>
    <t xml:space="preserve">ST-23574</t>
  </si>
  <si>
    <t xml:space="preserve">SH-9000515</t>
  </si>
  <si>
    <t xml:space="preserve">ST-94642</t>
  </si>
  <si>
    <t xml:space="preserve">SH-9000516</t>
  </si>
  <si>
    <t xml:space="preserve">ST-47070</t>
  </si>
  <si>
    <t xml:space="preserve">SH-9000517</t>
  </si>
  <si>
    <t xml:space="preserve">ST-59130</t>
  </si>
  <si>
    <t xml:space="preserve">SH-9000518</t>
  </si>
  <si>
    <t xml:space="preserve">ST-68719</t>
  </si>
  <si>
    <t xml:space="preserve">SH-9000519</t>
  </si>
  <si>
    <t xml:space="preserve">ST-60769</t>
  </si>
  <si>
    <t xml:space="preserve">SH-9000520</t>
  </si>
  <si>
    <t xml:space="preserve">SH-9000521</t>
  </si>
  <si>
    <t xml:space="preserve">ST-76556</t>
  </si>
  <si>
    <t xml:space="preserve">SH-9000522</t>
  </si>
  <si>
    <t xml:space="preserve">ST-78815</t>
  </si>
  <si>
    <t xml:space="preserve">SH-9000523</t>
  </si>
  <si>
    <t xml:space="preserve">ST-90812</t>
  </si>
  <si>
    <t xml:space="preserve">SH-9000524</t>
  </si>
  <si>
    <t xml:space="preserve">ST-20101</t>
  </si>
  <si>
    <t xml:space="preserve">SH-9000525</t>
  </si>
  <si>
    <t xml:space="preserve">ST-67418</t>
  </si>
  <si>
    <t xml:space="preserve">SH-9000526</t>
  </si>
  <si>
    <t xml:space="preserve">ST-12092</t>
  </si>
  <si>
    <t xml:space="preserve">SH-9000527</t>
  </si>
  <si>
    <t xml:space="preserve">ST-23166</t>
  </si>
  <si>
    <t xml:space="preserve">SH-9000528</t>
  </si>
  <si>
    <t xml:space="preserve">ST-92346</t>
  </si>
  <si>
    <t xml:space="preserve">SH-9000529</t>
  </si>
  <si>
    <t xml:space="preserve">ST-72616</t>
  </si>
  <si>
    <t xml:space="preserve">SH-9000530</t>
  </si>
  <si>
    <t xml:space="preserve">ST-70537</t>
  </si>
  <si>
    <t xml:space="preserve">SH-9000531</t>
  </si>
  <si>
    <t xml:space="preserve">ST-99447</t>
  </si>
  <si>
    <t xml:space="preserve">SH-9000532</t>
  </si>
  <si>
    <t xml:space="preserve">ST-67689</t>
  </si>
  <si>
    <t xml:space="preserve">SH-9000533</t>
  </si>
  <si>
    <t xml:space="preserve">ST-61791</t>
  </si>
  <si>
    <t xml:space="preserve">SH-9000534</t>
  </si>
  <si>
    <t xml:space="preserve">ST-74395</t>
  </si>
  <si>
    <t xml:space="preserve">SH-9000535</t>
  </si>
  <si>
    <t xml:space="preserve">SH-9000536</t>
  </si>
  <si>
    <t xml:space="preserve">ST-72025</t>
  </si>
  <si>
    <t xml:space="preserve">SH-9000537</t>
  </si>
  <si>
    <t xml:space="preserve">ST-36385</t>
  </si>
  <si>
    <t xml:space="preserve">SH-9000538</t>
  </si>
  <si>
    <t xml:space="preserve">ST-18260</t>
  </si>
  <si>
    <t xml:space="preserve">SH-9000539</t>
  </si>
  <si>
    <t xml:space="preserve">ST-55614</t>
  </si>
  <si>
    <t xml:space="preserve">SH-9000540</t>
  </si>
  <si>
    <t xml:space="preserve">ST-67185</t>
  </si>
  <si>
    <t xml:space="preserve">SH-9000541</t>
  </si>
  <si>
    <t xml:space="preserve">ST-85108</t>
  </si>
  <si>
    <t xml:space="preserve">SH-9000542</t>
  </si>
  <si>
    <t xml:space="preserve">ST-59019</t>
  </si>
  <si>
    <t xml:space="preserve">SH-9000543</t>
  </si>
  <si>
    <t xml:space="preserve">ST-66871</t>
  </si>
  <si>
    <t xml:space="preserve">SH-9000544</t>
  </si>
  <si>
    <t xml:space="preserve">ST-50041</t>
  </si>
  <si>
    <t xml:space="preserve">SH-9000545</t>
  </si>
  <si>
    <t xml:space="preserve">ST-37838</t>
  </si>
  <si>
    <t xml:space="preserve">SH-9000546</t>
  </si>
  <si>
    <t xml:space="preserve">ST-11627</t>
  </si>
  <si>
    <t xml:space="preserve">SH-9000547</t>
  </si>
  <si>
    <t xml:space="preserve">SH-9000548</t>
  </si>
  <si>
    <t xml:space="preserve">ST-79743</t>
  </si>
  <si>
    <t xml:space="preserve">SH-9000549</t>
  </si>
  <si>
    <t xml:space="preserve">ST-98092</t>
  </si>
  <si>
    <t xml:space="preserve">SH-9000550</t>
  </si>
  <si>
    <t xml:space="preserve">ST-56172</t>
  </si>
  <si>
    <t xml:space="preserve">SH-9000551</t>
  </si>
  <si>
    <t xml:space="preserve">ST-91584</t>
  </si>
  <si>
    <t xml:space="preserve">SH-9000552</t>
  </si>
  <si>
    <t xml:space="preserve">ST-52133</t>
  </si>
  <si>
    <t xml:space="preserve">SH-9000553</t>
  </si>
  <si>
    <t xml:space="preserve">ST-71727</t>
  </si>
  <si>
    <t xml:space="preserve">SH-9000554</t>
  </si>
  <si>
    <t xml:space="preserve">ST-11584</t>
  </si>
  <si>
    <t xml:space="preserve">SH-9000555</t>
  </si>
  <si>
    <t xml:space="preserve">ST-32563</t>
  </si>
  <si>
    <t xml:space="preserve">SH-9000556</t>
  </si>
  <si>
    <t xml:space="preserve">ST-16690</t>
  </si>
  <si>
    <t xml:space="preserve">SH-9000557</t>
  </si>
  <si>
    <t xml:space="preserve">ST-19882</t>
  </si>
  <si>
    <t xml:space="preserve">SH-9000558</t>
  </si>
  <si>
    <t xml:space="preserve">ST-85811</t>
  </si>
  <si>
    <t xml:space="preserve">SH-9000559</t>
  </si>
  <si>
    <t xml:space="preserve">ST-83011</t>
  </si>
  <si>
    <t xml:space="preserve">SH-9000560</t>
  </si>
  <si>
    <t xml:space="preserve">ST-87983</t>
  </si>
  <si>
    <t xml:space="preserve">SH-9000561</t>
  </si>
  <si>
    <t xml:space="preserve">ST-71883</t>
  </si>
  <si>
    <t xml:space="preserve">SH-9000562</t>
  </si>
  <si>
    <t xml:space="preserve">ST-31731</t>
  </si>
  <si>
    <t xml:space="preserve">SH-9000563</t>
  </si>
  <si>
    <t xml:space="preserve">ST-90527</t>
  </si>
  <si>
    <t xml:space="preserve">SH-9000564</t>
  </si>
  <si>
    <t xml:space="preserve">ST-32662</t>
  </si>
  <si>
    <t xml:space="preserve">SH-9000565</t>
  </si>
  <si>
    <t xml:space="preserve">ST-57641</t>
  </si>
  <si>
    <t xml:space="preserve">SH-9000566</t>
  </si>
  <si>
    <t xml:space="preserve">ST-81738</t>
  </si>
  <si>
    <t xml:space="preserve">SH-9000567</t>
  </si>
  <si>
    <t xml:space="preserve">ST-30019</t>
  </si>
  <si>
    <t xml:space="preserve">SH-9000568</t>
  </si>
  <si>
    <t xml:space="preserve">ST-77409</t>
  </si>
  <si>
    <t xml:space="preserve">SH-9000569</t>
  </si>
  <si>
    <t xml:space="preserve">ST-78979</t>
  </si>
  <si>
    <t xml:space="preserve">SH-9000570</t>
  </si>
  <si>
    <t xml:space="preserve">ST-27629</t>
  </si>
  <si>
    <t xml:space="preserve">SH-9000571</t>
  </si>
  <si>
    <t xml:space="preserve">ST-42096</t>
  </si>
  <si>
    <t xml:space="preserve">SH-9000572</t>
  </si>
  <si>
    <t xml:space="preserve">ST-99325</t>
  </si>
  <si>
    <t xml:space="preserve">SH-9000573</t>
  </si>
  <si>
    <t xml:space="preserve">ST-31946</t>
  </si>
  <si>
    <t xml:space="preserve">SH-9000574</t>
  </si>
  <si>
    <t xml:space="preserve">ST-31565</t>
  </si>
  <si>
    <t xml:space="preserve">SH-9000575</t>
  </si>
  <si>
    <t xml:space="preserve">ST-58560</t>
  </si>
  <si>
    <t xml:space="preserve">SH-9000576</t>
  </si>
  <si>
    <t xml:space="preserve">ST-64427</t>
  </si>
  <si>
    <t xml:space="preserve">SH-9000577</t>
  </si>
  <si>
    <t xml:space="preserve">ST-76467</t>
  </si>
  <si>
    <t xml:space="preserve">SH-9000578</t>
  </si>
  <si>
    <t xml:space="preserve">ST-18980</t>
  </si>
  <si>
    <t xml:space="preserve">SH-9000579</t>
  </si>
  <si>
    <t xml:space="preserve">ST-53795</t>
  </si>
  <si>
    <t xml:space="preserve">SH-9000580</t>
  </si>
  <si>
    <t xml:space="preserve">ST-50901</t>
  </si>
  <si>
    <t xml:space="preserve">SH-9000581</t>
  </si>
  <si>
    <t xml:space="preserve">ST-98710</t>
  </si>
  <si>
    <t xml:space="preserve">SH-9000582</t>
  </si>
  <si>
    <t xml:space="preserve">ST-65689</t>
  </si>
  <si>
    <t xml:space="preserve">SH-9000583</t>
  </si>
  <si>
    <t xml:space="preserve">ST-30981</t>
  </si>
  <si>
    <t xml:space="preserve">SH-9000584</t>
  </si>
  <si>
    <t xml:space="preserve">ST-96202</t>
  </si>
  <si>
    <t xml:space="preserve">SH-9000585</t>
  </si>
  <si>
    <t xml:space="preserve">ST-80194</t>
  </si>
  <si>
    <t xml:space="preserve">SH-9000586</t>
  </si>
  <si>
    <t xml:space="preserve">ST-91906</t>
  </si>
  <si>
    <t xml:space="preserve">SH-9000587</t>
  </si>
  <si>
    <t xml:space="preserve">ST-56384</t>
  </si>
  <si>
    <t xml:space="preserve">SH-9000588</t>
  </si>
  <si>
    <t xml:space="preserve">ST-99774</t>
  </si>
  <si>
    <t xml:space="preserve">SH-9000589</t>
  </si>
  <si>
    <t xml:space="preserve">ST-26644</t>
  </si>
  <si>
    <t xml:space="preserve">SH-9000590</t>
  </si>
  <si>
    <t xml:space="preserve">ST-24402</t>
  </si>
  <si>
    <t xml:space="preserve">SH-9000591</t>
  </si>
  <si>
    <t xml:space="preserve">ST-46574</t>
  </si>
  <si>
    <t xml:space="preserve">SH-9000592</t>
  </si>
  <si>
    <t xml:space="preserve">ST-22642</t>
  </si>
  <si>
    <t xml:space="preserve">SH-9000593</t>
  </si>
  <si>
    <t xml:space="preserve">ST-21599</t>
  </si>
  <si>
    <t xml:space="preserve">SH-9000594</t>
  </si>
  <si>
    <t xml:space="preserve">ST-26327</t>
  </si>
  <si>
    <t xml:space="preserve">SH-9000595</t>
  </si>
  <si>
    <t xml:space="preserve">SH-9000596</t>
  </si>
  <si>
    <t xml:space="preserve">ST-45744</t>
  </si>
  <si>
    <t xml:space="preserve">SH-9000597</t>
  </si>
  <si>
    <t xml:space="preserve">ST-83643</t>
  </si>
  <si>
    <t xml:space="preserve">SH-9000598</t>
  </si>
  <si>
    <t xml:space="preserve">ST-26132</t>
  </si>
  <si>
    <t xml:space="preserve">SH-9000599</t>
  </si>
  <si>
    <t xml:space="preserve">ST-13984</t>
  </si>
  <si>
    <t xml:space="preserve">SH-9000600</t>
  </si>
  <si>
    <t xml:space="preserve">ST-44592</t>
  </si>
  <si>
    <t xml:space="preserve">SH-9000601</t>
  </si>
  <si>
    <t xml:space="preserve">ST-55866</t>
  </si>
  <si>
    <t xml:space="preserve">SH-9000602</t>
  </si>
  <si>
    <t xml:space="preserve">ST-88384</t>
  </si>
  <si>
    <t xml:space="preserve">SH-9000603</t>
  </si>
  <si>
    <t xml:space="preserve">ST-38127</t>
  </si>
  <si>
    <t xml:space="preserve">SH-9000604</t>
  </si>
  <si>
    <t xml:space="preserve">ST-68586</t>
  </si>
  <si>
    <t xml:space="preserve">SH-9000605</t>
  </si>
  <si>
    <t xml:space="preserve">ST-70973</t>
  </si>
  <si>
    <t xml:space="preserve">SH-9000606</t>
  </si>
  <si>
    <t xml:space="preserve">ST-12786</t>
  </si>
  <si>
    <t xml:space="preserve">SH-9000607</t>
  </si>
  <si>
    <t xml:space="preserve">ST-59794</t>
  </si>
  <si>
    <t xml:space="preserve">SH-9000608</t>
  </si>
  <si>
    <t xml:space="preserve">ST-45544</t>
  </si>
  <si>
    <t xml:space="preserve">SH-9000609</t>
  </si>
  <si>
    <t xml:space="preserve">ST-74902</t>
  </si>
  <si>
    <t xml:space="preserve">SH-9000610</t>
  </si>
  <si>
    <t xml:space="preserve">ST-23439</t>
  </si>
  <si>
    <t xml:space="preserve">SH-9000611</t>
  </si>
  <si>
    <t xml:space="preserve">ST-27495</t>
  </si>
  <si>
    <t xml:space="preserve">SH-9000612</t>
  </si>
  <si>
    <t xml:space="preserve">ST-16588</t>
  </si>
  <si>
    <t xml:space="preserve">SH-9000613</t>
  </si>
  <si>
    <t xml:space="preserve">ST-34684</t>
  </si>
  <si>
    <t xml:space="preserve">SH-9000614</t>
  </si>
  <si>
    <t xml:space="preserve">SH-9000615</t>
  </si>
  <si>
    <t xml:space="preserve">ST-40320</t>
  </si>
  <si>
    <t xml:space="preserve">SH-9000616</t>
  </si>
  <si>
    <t xml:space="preserve">ST-24575</t>
  </si>
  <si>
    <t xml:space="preserve">SH-9000617</t>
  </si>
  <si>
    <t xml:space="preserve">ST-90703</t>
  </si>
  <si>
    <t xml:space="preserve">SH-9000618</t>
  </si>
  <si>
    <t xml:space="preserve">ST-28289</t>
  </si>
  <si>
    <t xml:space="preserve">SH-9000619</t>
  </si>
  <si>
    <t xml:space="preserve">ST-99357</t>
  </si>
  <si>
    <t xml:space="preserve">SH-9000620</t>
  </si>
  <si>
    <t xml:space="preserve">ST-56443</t>
  </si>
  <si>
    <t xml:space="preserve">SH-9000621</t>
  </si>
  <si>
    <t xml:space="preserve">ST-38550</t>
  </si>
  <si>
    <t xml:space="preserve">SH-9000622</t>
  </si>
  <si>
    <t xml:space="preserve">ST-94371</t>
  </si>
  <si>
    <t xml:space="preserve">SH-9000623</t>
  </si>
  <si>
    <t xml:space="preserve">ST-36785</t>
  </si>
  <si>
    <t xml:space="preserve">SH-9000624</t>
  </si>
  <si>
    <t xml:space="preserve">ST-91790</t>
  </si>
  <si>
    <t xml:space="preserve">SH-9000625</t>
  </si>
  <si>
    <t xml:space="preserve">SH-9000626</t>
  </si>
  <si>
    <t xml:space="preserve">ST-70669</t>
  </si>
  <si>
    <t xml:space="preserve">SH-9000627</t>
  </si>
  <si>
    <t xml:space="preserve">ST-77068</t>
  </si>
  <si>
    <t xml:space="preserve">SH-9000628</t>
  </si>
  <si>
    <t xml:space="preserve">ST-84703</t>
  </si>
  <si>
    <t xml:space="preserve">SH-9000629</t>
  </si>
  <si>
    <t xml:space="preserve">ST-42734</t>
  </si>
  <si>
    <t xml:space="preserve">SH-9000630</t>
  </si>
  <si>
    <t xml:space="preserve">ST-77177</t>
  </si>
  <si>
    <t xml:space="preserve">SH-9000631</t>
  </si>
  <si>
    <t xml:space="preserve">ST-22332</t>
  </si>
  <si>
    <t xml:space="preserve">SH-9000632</t>
  </si>
  <si>
    <t xml:space="preserve">ST-47821</t>
  </si>
  <si>
    <t xml:space="preserve">SH-9000633</t>
  </si>
  <si>
    <t xml:space="preserve">ST-32320</t>
  </si>
  <si>
    <t xml:space="preserve">SH-9000634</t>
  </si>
  <si>
    <t xml:space="preserve">ST-15397</t>
  </si>
  <si>
    <t xml:space="preserve">SH-9000635</t>
  </si>
  <si>
    <t xml:space="preserve">ST-28782</t>
  </si>
  <si>
    <t xml:space="preserve">SH-9000636</t>
  </si>
  <si>
    <t xml:space="preserve">ST-58982</t>
  </si>
  <si>
    <t xml:space="preserve">SH-9000637</t>
  </si>
  <si>
    <t xml:space="preserve">ST-68755</t>
  </si>
  <si>
    <t xml:space="preserve">SH-9000638</t>
  </si>
  <si>
    <t xml:space="preserve">ST-36739</t>
  </si>
  <si>
    <t xml:space="preserve">SH-9000639</t>
  </si>
  <si>
    <t xml:space="preserve">ST-46886</t>
  </si>
  <si>
    <t xml:space="preserve">SH-9000640</t>
  </si>
  <si>
    <t xml:space="preserve">ST-24625</t>
  </si>
  <si>
    <t xml:space="preserve">SH-9000641</t>
  </si>
  <si>
    <t xml:space="preserve">ST-36789</t>
  </si>
  <si>
    <t xml:space="preserve">SH-9000642</t>
  </si>
  <si>
    <t xml:space="preserve">ST-80685</t>
  </si>
  <si>
    <t xml:space="preserve">SH-9000643</t>
  </si>
  <si>
    <t xml:space="preserve">ST-85469</t>
  </si>
  <si>
    <t xml:space="preserve">SH-9000644</t>
  </si>
  <si>
    <t xml:space="preserve">ST-29736</t>
  </si>
  <si>
    <t xml:space="preserve">SH-9000645</t>
  </si>
  <si>
    <t xml:space="preserve">ST-62681</t>
  </si>
  <si>
    <t xml:space="preserve">SH-9000646</t>
  </si>
  <si>
    <t xml:space="preserve">ST-61972</t>
  </si>
  <si>
    <t xml:space="preserve">SH-9000647</t>
  </si>
  <si>
    <t xml:space="preserve">ST-73674</t>
  </si>
  <si>
    <t xml:space="preserve">SH-9000648</t>
  </si>
  <si>
    <t xml:space="preserve">ST-71988</t>
  </si>
  <si>
    <t xml:space="preserve">SH-9000649</t>
  </si>
  <si>
    <t xml:space="preserve">ST-53420</t>
  </si>
  <si>
    <t xml:space="preserve">SH-9000650</t>
  </si>
  <si>
    <t xml:space="preserve">ST-10346</t>
  </si>
  <si>
    <t xml:space="preserve">SH-9000651</t>
  </si>
  <si>
    <t xml:space="preserve">ST-75947</t>
  </si>
  <si>
    <t xml:space="preserve">SH-9000652</t>
  </si>
  <si>
    <t xml:space="preserve">ST-62616</t>
  </si>
  <si>
    <t xml:space="preserve">SH-9000653</t>
  </si>
  <si>
    <t xml:space="preserve">ST-77677</t>
  </si>
  <si>
    <t xml:space="preserve">SH-9000654</t>
  </si>
  <si>
    <t xml:space="preserve">ST-77267</t>
  </si>
  <si>
    <t xml:space="preserve">SH-9000655</t>
  </si>
  <si>
    <t xml:space="preserve">ST-30333</t>
  </si>
  <si>
    <t xml:space="preserve">SH-9000656</t>
  </si>
  <si>
    <t xml:space="preserve">ST-99477</t>
  </si>
  <si>
    <t xml:space="preserve">SH-9000657</t>
  </si>
  <si>
    <t xml:space="preserve">ST-10124</t>
  </si>
  <si>
    <t xml:space="preserve">SH-9000658</t>
  </si>
  <si>
    <t xml:space="preserve">ST-26856</t>
  </si>
  <si>
    <t xml:space="preserve">SH-9000659</t>
  </si>
  <si>
    <t xml:space="preserve">ST-30369</t>
  </si>
  <si>
    <t xml:space="preserve">SH-9000660</t>
  </si>
  <si>
    <t xml:space="preserve">ST-89570</t>
  </si>
  <si>
    <t xml:space="preserve">SH-9000661</t>
  </si>
  <si>
    <t xml:space="preserve">ST-37753</t>
  </si>
  <si>
    <t xml:space="preserve">SH-9000662</t>
  </si>
  <si>
    <t xml:space="preserve">ST-10808</t>
  </si>
  <si>
    <t xml:space="preserve">SH-9000663</t>
  </si>
  <si>
    <t xml:space="preserve">ST-99369</t>
  </si>
  <si>
    <t xml:space="preserve">SH-9000664</t>
  </si>
  <si>
    <t xml:space="preserve">ST-79417</t>
  </si>
  <si>
    <t xml:space="preserve">SH-9000665</t>
  </si>
  <si>
    <t xml:space="preserve">ST-11404</t>
  </si>
  <si>
    <t xml:space="preserve">SH-9000666</t>
  </si>
  <si>
    <t xml:space="preserve">ST-23024</t>
  </si>
  <si>
    <t xml:space="preserve">SH-9000667</t>
  </si>
  <si>
    <t xml:space="preserve">ST-72985</t>
  </si>
  <si>
    <t xml:space="preserve">SH-9000668</t>
  </si>
  <si>
    <t xml:space="preserve">ST-23970</t>
  </si>
  <si>
    <t xml:space="preserve">SH-9000669</t>
  </si>
  <si>
    <t xml:space="preserve">ST-43604</t>
  </si>
  <si>
    <t xml:space="preserve">SH-9000670</t>
  </si>
  <si>
    <t xml:space="preserve">ST-69520</t>
  </si>
  <si>
    <t xml:space="preserve">SH-9000671</t>
  </si>
  <si>
    <t xml:space="preserve">ST-43497</t>
  </si>
  <si>
    <t xml:space="preserve">SH-9000672</t>
  </si>
  <si>
    <t xml:space="preserve">ST-56506</t>
  </si>
  <si>
    <t xml:space="preserve">SH-9000673</t>
  </si>
  <si>
    <t xml:space="preserve">ST-31026</t>
  </si>
  <si>
    <t xml:space="preserve">SH-9000674</t>
  </si>
  <si>
    <t xml:space="preserve">ST-55322</t>
  </si>
  <si>
    <t xml:space="preserve">SH-9000675</t>
  </si>
  <si>
    <t xml:space="preserve">ST-41082</t>
  </si>
  <si>
    <t xml:space="preserve">SH-9000676</t>
  </si>
  <si>
    <t xml:space="preserve">ST-16544</t>
  </si>
  <si>
    <t xml:space="preserve">SH-9000677</t>
  </si>
  <si>
    <t xml:space="preserve">ST-25045</t>
  </si>
  <si>
    <t xml:space="preserve">SH-9000678</t>
  </si>
  <si>
    <t xml:space="preserve">ST-33659</t>
  </si>
  <si>
    <t xml:space="preserve">SH-9000679</t>
  </si>
  <si>
    <t xml:space="preserve">ST-13010</t>
  </si>
  <si>
    <t xml:space="preserve">SH-9000680</t>
  </si>
  <si>
    <t xml:space="preserve">ST-44181</t>
  </si>
  <si>
    <t xml:space="preserve">SH-9000681</t>
  </si>
  <si>
    <t xml:space="preserve">ST-88071</t>
  </si>
  <si>
    <t xml:space="preserve">SH-9000682</t>
  </si>
  <si>
    <t xml:space="preserve">ST-40024</t>
  </si>
  <si>
    <t xml:space="preserve">SH-9000683</t>
  </si>
  <si>
    <t xml:space="preserve">ST-33180</t>
  </si>
  <si>
    <t xml:space="preserve">SH-9000684</t>
  </si>
  <si>
    <t xml:space="preserve">ST-60443</t>
  </si>
  <si>
    <t xml:space="preserve">SH-9000685</t>
  </si>
  <si>
    <t xml:space="preserve">ST-46625</t>
  </si>
  <si>
    <t xml:space="preserve">SH-9000686</t>
  </si>
  <si>
    <t xml:space="preserve">ST-94752</t>
  </si>
  <si>
    <t xml:space="preserve">SH-9000687</t>
  </si>
  <si>
    <t xml:space="preserve">ST-17723</t>
  </si>
  <si>
    <t xml:space="preserve">SH-9000688</t>
  </si>
  <si>
    <t xml:space="preserve">ST-94440</t>
  </si>
  <si>
    <t xml:space="preserve">SH-9000689</t>
  </si>
  <si>
    <t xml:space="preserve">ST-40387</t>
  </si>
  <si>
    <t xml:space="preserve">SH-9000690</t>
  </si>
  <si>
    <t xml:space="preserve">ST-23837</t>
  </si>
  <si>
    <t xml:space="preserve">SH-9000691</t>
  </si>
  <si>
    <t xml:space="preserve">ST-84164</t>
  </si>
  <si>
    <t xml:space="preserve">SH-9000692</t>
  </si>
  <si>
    <t xml:space="preserve">ST-62382</t>
  </si>
  <si>
    <t xml:space="preserve">SH-9000693</t>
  </si>
  <si>
    <t xml:space="preserve">ST-68506</t>
  </si>
  <si>
    <t xml:space="preserve">SH-9000694</t>
  </si>
  <si>
    <t xml:space="preserve">ST-33153</t>
  </si>
  <si>
    <t xml:space="preserve">SH-9000695</t>
  </si>
  <si>
    <t xml:space="preserve">ST-64542</t>
  </si>
  <si>
    <t xml:space="preserve">SH-9000696</t>
  </si>
  <si>
    <t xml:space="preserve">ST-68428</t>
  </si>
  <si>
    <t xml:space="preserve">SH-9000697</t>
  </si>
  <si>
    <t xml:space="preserve">ST-87187</t>
  </si>
  <si>
    <t xml:space="preserve">SH-9000698</t>
  </si>
  <si>
    <t xml:space="preserve">ST-79754</t>
  </si>
  <si>
    <t xml:space="preserve">SH-9000699</t>
  </si>
  <si>
    <t xml:space="preserve">ST-27796</t>
  </si>
  <si>
    <t xml:space="preserve">SH-9000700</t>
  </si>
  <si>
    <t xml:space="preserve">ST-45714</t>
  </si>
  <si>
    <t xml:space="preserve">SH-9000701</t>
  </si>
  <si>
    <t xml:space="preserve">ST-28838</t>
  </si>
  <si>
    <t xml:space="preserve">SH-9000702</t>
  </si>
  <si>
    <t xml:space="preserve">ST-41465</t>
  </si>
  <si>
    <t xml:space="preserve">SH-9000703</t>
  </si>
  <si>
    <t xml:space="preserve">ST-87597</t>
  </si>
  <si>
    <t xml:space="preserve">SH-9000704</t>
  </si>
  <si>
    <t xml:space="preserve">ST-93650</t>
  </si>
  <si>
    <t xml:space="preserve">SH-9000705</t>
  </si>
  <si>
    <t xml:space="preserve">ST-67411</t>
  </si>
  <si>
    <t xml:space="preserve">SH-9000706</t>
  </si>
  <si>
    <t xml:space="preserve">ST-57076</t>
  </si>
  <si>
    <t xml:space="preserve">SH-9000707</t>
  </si>
  <si>
    <t xml:space="preserve">ST-51206</t>
  </si>
  <si>
    <t xml:space="preserve">SH-9000708</t>
  </si>
  <si>
    <t xml:space="preserve">SH-9000709</t>
  </si>
  <si>
    <t xml:space="preserve">ST-21041</t>
  </si>
  <si>
    <t xml:space="preserve">SH-9000710</t>
  </si>
  <si>
    <t xml:space="preserve">ST-74404</t>
  </si>
  <si>
    <t xml:space="preserve">SH-9000711</t>
  </si>
  <si>
    <t xml:space="preserve">ST-38097</t>
  </si>
  <si>
    <t xml:space="preserve">SH-9000712</t>
  </si>
  <si>
    <t xml:space="preserve">ST-20701</t>
  </si>
  <si>
    <t xml:space="preserve">SH-9000713</t>
  </si>
  <si>
    <t xml:space="preserve">ST-12145</t>
  </si>
  <si>
    <t xml:space="preserve">SH-9000714</t>
  </si>
  <si>
    <t xml:space="preserve">ST-81389</t>
  </si>
  <si>
    <t xml:space="preserve">SH-9000715</t>
  </si>
  <si>
    <t xml:space="preserve">ST-27465</t>
  </si>
  <si>
    <t xml:space="preserve">SH-9000716</t>
  </si>
  <si>
    <t xml:space="preserve">ST-78498</t>
  </si>
  <si>
    <t xml:space="preserve">SH-9000717</t>
  </si>
  <si>
    <t xml:space="preserve">ST-20295</t>
  </si>
  <si>
    <t xml:space="preserve">SH-9000718</t>
  </si>
  <si>
    <t xml:space="preserve">ST-92818</t>
  </si>
  <si>
    <t xml:space="preserve">SH-9000719</t>
  </si>
  <si>
    <t xml:space="preserve">ST-11146</t>
  </si>
  <si>
    <t xml:space="preserve">SH-9000720</t>
  </si>
  <si>
    <t xml:space="preserve">ST-37782</t>
  </si>
  <si>
    <t xml:space="preserve">SH-9000721</t>
  </si>
  <si>
    <t xml:space="preserve">ST-85318</t>
  </si>
  <si>
    <t xml:space="preserve">SH-9000722</t>
  </si>
  <si>
    <t xml:space="preserve">ST-58612</t>
  </si>
  <si>
    <t xml:space="preserve">SH-9000723</t>
  </si>
  <si>
    <t xml:space="preserve">ST-63293</t>
  </si>
  <si>
    <t xml:space="preserve">SH-9000724</t>
  </si>
  <si>
    <t xml:space="preserve">ST-24068</t>
  </si>
  <si>
    <t xml:space="preserve">SH-9000725</t>
  </si>
  <si>
    <t xml:space="preserve">ST-25509</t>
  </si>
  <si>
    <t xml:space="preserve">SH-9000726</t>
  </si>
  <si>
    <t xml:space="preserve">ST-56714</t>
  </si>
  <si>
    <t xml:space="preserve">SH-9000727</t>
  </si>
  <si>
    <t xml:space="preserve">ST-77912</t>
  </si>
  <si>
    <t xml:space="preserve">SH-9000728</t>
  </si>
  <si>
    <t xml:space="preserve">ST-89703</t>
  </si>
  <si>
    <t xml:space="preserve">SH-9000729</t>
  </si>
  <si>
    <t xml:space="preserve">ST-66704</t>
  </si>
  <si>
    <t xml:space="preserve">SH-9000730</t>
  </si>
  <si>
    <t xml:space="preserve">SH-9000731</t>
  </si>
  <si>
    <t xml:space="preserve">ST-58883</t>
  </si>
  <si>
    <t xml:space="preserve">SH-9000732</t>
  </si>
  <si>
    <t xml:space="preserve">ST-85532</t>
  </si>
  <si>
    <t xml:space="preserve">SH-9000733</t>
  </si>
  <si>
    <t xml:space="preserve">ST-45656</t>
  </si>
  <si>
    <t xml:space="preserve">SH-9000734</t>
  </si>
  <si>
    <t xml:space="preserve">ST-47436</t>
  </si>
  <si>
    <t xml:space="preserve">SH-9000735</t>
  </si>
  <si>
    <t xml:space="preserve">ST-40260</t>
  </si>
  <si>
    <t xml:space="preserve">SH-9000736</t>
  </si>
  <si>
    <t xml:space="preserve">ST-77711</t>
  </si>
  <si>
    <t xml:space="preserve">SH-9000737</t>
  </si>
  <si>
    <t xml:space="preserve">ST-97610</t>
  </si>
  <si>
    <t xml:space="preserve">SH-9000738</t>
  </si>
  <si>
    <t xml:space="preserve">ST-65023</t>
  </si>
  <si>
    <t xml:space="preserve">SH-9000739</t>
  </si>
  <si>
    <t xml:space="preserve">ST-53642</t>
  </si>
  <si>
    <t xml:space="preserve">SH-9000740</t>
  </si>
  <si>
    <t xml:space="preserve">ST-69898</t>
  </si>
  <si>
    <t xml:space="preserve">SH-9000741</t>
  </si>
  <si>
    <t xml:space="preserve">ST-63440</t>
  </si>
  <si>
    <t xml:space="preserve">SH-9000742</t>
  </si>
  <si>
    <t xml:space="preserve">SH-9000743</t>
  </si>
  <si>
    <t xml:space="preserve">ST-43682</t>
  </si>
  <si>
    <t xml:space="preserve">SH-9000744</t>
  </si>
  <si>
    <t xml:space="preserve">ST-17972</t>
  </si>
  <si>
    <t xml:space="preserve">SH-9000745</t>
  </si>
  <si>
    <t xml:space="preserve">ST-62262</t>
  </si>
  <si>
    <t xml:space="preserve">SH-9000746</t>
  </si>
  <si>
    <t xml:space="preserve">ST-13222</t>
  </si>
  <si>
    <t xml:space="preserve">SH-9000747</t>
  </si>
  <si>
    <t xml:space="preserve">ST-47871</t>
  </si>
  <si>
    <t xml:space="preserve">SH-9000748</t>
  </si>
  <si>
    <t xml:space="preserve">ST-34438</t>
  </si>
  <si>
    <t xml:space="preserve">SH-9000749</t>
  </si>
  <si>
    <t xml:space="preserve">ST-80015</t>
  </si>
  <si>
    <t xml:space="preserve">SH-9000750</t>
  </si>
  <si>
    <t xml:space="preserve">ST-90878</t>
  </si>
  <si>
    <t xml:space="preserve">SH-9000751</t>
  </si>
  <si>
    <t xml:space="preserve">ST-64976</t>
  </si>
  <si>
    <t xml:space="preserve">SH-9000752</t>
  </si>
  <si>
    <t xml:space="preserve">ST-57375</t>
  </si>
  <si>
    <t xml:space="preserve">SH-9000753</t>
  </si>
  <si>
    <t xml:space="preserve">ST-43958</t>
  </si>
  <si>
    <t xml:space="preserve">SH-9000754</t>
  </si>
  <si>
    <t xml:space="preserve">SH-9000755</t>
  </si>
  <si>
    <t xml:space="preserve">ST-34937</t>
  </si>
  <si>
    <t xml:space="preserve">SH-9000756</t>
  </si>
  <si>
    <t xml:space="preserve">ST-12170</t>
  </si>
  <si>
    <t xml:space="preserve">SH-9000757</t>
  </si>
  <si>
    <t xml:space="preserve">ST-21208</t>
  </si>
  <si>
    <t xml:space="preserve">SH-9000758</t>
  </si>
  <si>
    <t xml:space="preserve">ST-58892</t>
  </si>
  <si>
    <t xml:space="preserve">SH-9000759</t>
  </si>
  <si>
    <t xml:space="preserve">ST-22811</t>
  </si>
  <si>
    <t xml:space="preserve">SH-9000760</t>
  </si>
  <si>
    <t xml:space="preserve">ST-64245</t>
  </si>
  <si>
    <t xml:space="preserve">SH-9000761</t>
  </si>
  <si>
    <t xml:space="preserve">ST-98878</t>
  </si>
  <si>
    <t xml:space="preserve">SH-9000762</t>
  </si>
  <si>
    <t xml:space="preserve">ST-32212</t>
  </si>
  <si>
    <t xml:space="preserve">SH-9000763</t>
  </si>
  <si>
    <t xml:space="preserve">ST-47200</t>
  </si>
  <si>
    <t xml:space="preserve">SH-9000764</t>
  </si>
  <si>
    <t xml:space="preserve">ST-56158</t>
  </si>
  <si>
    <t xml:space="preserve">SH-9000765</t>
  </si>
  <si>
    <t xml:space="preserve">ST-82378</t>
  </si>
  <si>
    <t xml:space="preserve">SH-9000766</t>
  </si>
  <si>
    <t xml:space="preserve">ST-59243</t>
  </si>
  <si>
    <t xml:space="preserve">SH-9000767</t>
  </si>
  <si>
    <t xml:space="preserve">ST-48841</t>
  </si>
  <si>
    <t xml:space="preserve">SH-9000768</t>
  </si>
  <si>
    <t xml:space="preserve">ST-72645</t>
  </si>
  <si>
    <t xml:space="preserve">SH-9000769</t>
  </si>
  <si>
    <t xml:space="preserve">ST-24539</t>
  </si>
  <si>
    <t xml:space="preserve">SH-9000770</t>
  </si>
  <si>
    <t xml:space="preserve">ST-60292</t>
  </si>
  <si>
    <t xml:space="preserve">SH-9000771</t>
  </si>
  <si>
    <t xml:space="preserve">ST-83571</t>
  </si>
  <si>
    <t xml:space="preserve">SH-9000772</t>
  </si>
  <si>
    <t xml:space="preserve">ST-36390</t>
  </si>
  <si>
    <t xml:space="preserve">SH-9000773</t>
  </si>
  <si>
    <t xml:space="preserve">ST-18843</t>
  </si>
  <si>
    <t xml:space="preserve">SH-9000774</t>
  </si>
  <si>
    <t xml:space="preserve">ST-43156</t>
  </si>
  <si>
    <t xml:space="preserve">SH-9000775</t>
  </si>
  <si>
    <t xml:space="preserve">ST-34266</t>
  </si>
  <si>
    <t xml:space="preserve">SH-9000776</t>
  </si>
  <si>
    <t xml:space="preserve">ST-57386</t>
  </si>
  <si>
    <t xml:space="preserve">SH-9000777</t>
  </si>
  <si>
    <t xml:space="preserve">ST-41952</t>
  </si>
  <si>
    <t xml:space="preserve">SH-9000778</t>
  </si>
  <si>
    <t xml:space="preserve">ST-40170</t>
  </si>
  <si>
    <t xml:space="preserve">SH-9000779</t>
  </si>
  <si>
    <t xml:space="preserve">ST-96002</t>
  </si>
  <si>
    <t xml:space="preserve">SH-9000780</t>
  </si>
  <si>
    <t xml:space="preserve">ST-79023</t>
  </si>
  <si>
    <t xml:space="preserve">SH-9000781</t>
  </si>
  <si>
    <t xml:space="preserve">ST-49167</t>
  </si>
  <si>
    <t xml:space="preserve">SH-9000782</t>
  </si>
  <si>
    <t xml:space="preserve">ST-18669</t>
  </si>
  <si>
    <t xml:space="preserve">SH-9000783</t>
  </si>
  <si>
    <t xml:space="preserve">ST-32138</t>
  </si>
  <si>
    <t xml:space="preserve">SH-9000784</t>
  </si>
  <si>
    <t xml:space="preserve">ST-53136</t>
  </si>
  <si>
    <t xml:space="preserve">SH-9000785</t>
  </si>
  <si>
    <t xml:space="preserve">ST-88857</t>
  </si>
  <si>
    <t xml:space="preserve">SH-9000786</t>
  </si>
  <si>
    <t xml:space="preserve">ST-84370</t>
  </si>
  <si>
    <t xml:space="preserve">SH-9000787</t>
  </si>
  <si>
    <t xml:space="preserve">ST-83492</t>
  </si>
  <si>
    <t xml:space="preserve">SH-9000788</t>
  </si>
  <si>
    <t xml:space="preserve">ST-32933</t>
  </si>
  <si>
    <t xml:space="preserve">SH-9000789</t>
  </si>
  <si>
    <t xml:space="preserve">ST-18093</t>
  </si>
  <si>
    <t xml:space="preserve">SH-9000790</t>
  </si>
  <si>
    <t xml:space="preserve">ST-83623</t>
  </si>
  <si>
    <t xml:space="preserve">SH-9000791</t>
  </si>
  <si>
    <t xml:space="preserve">ST-93415</t>
  </si>
  <si>
    <t xml:space="preserve">SH-9000792</t>
  </si>
  <si>
    <t xml:space="preserve">ST-30642</t>
  </si>
  <si>
    <t xml:space="preserve">SH-9000793</t>
  </si>
  <si>
    <t xml:space="preserve">ST-24265</t>
  </si>
  <si>
    <t xml:space="preserve">SH-9000794</t>
  </si>
  <si>
    <t xml:space="preserve">ST-65450</t>
  </si>
  <si>
    <t xml:space="preserve">SH-9000795</t>
  </si>
  <si>
    <t xml:space="preserve">ST-94097</t>
  </si>
  <si>
    <t xml:space="preserve">SH-9000796</t>
  </si>
  <si>
    <t xml:space="preserve">ST-52871</t>
  </si>
  <si>
    <t xml:space="preserve">SH-9000797</t>
  </si>
  <si>
    <t xml:space="preserve">ST-28547</t>
  </si>
  <si>
    <t xml:space="preserve">SH-9000798</t>
  </si>
  <si>
    <t xml:space="preserve">ST-31988</t>
  </si>
  <si>
    <t xml:space="preserve">SH-9000799</t>
  </si>
  <si>
    <t xml:space="preserve">ST-70338</t>
  </si>
  <si>
    <t xml:space="preserve">SH-9000800</t>
  </si>
  <si>
    <t xml:space="preserve">ST-10437</t>
  </si>
  <si>
    <t xml:space="preserve">SH-9000801</t>
  </si>
  <si>
    <t xml:space="preserve">ST-23758</t>
  </si>
  <si>
    <t xml:space="preserve">SH-9000802</t>
  </si>
  <si>
    <t xml:space="preserve">ST-71823</t>
  </si>
  <si>
    <t xml:space="preserve">SH-9000803</t>
  </si>
  <si>
    <t xml:space="preserve">ST-91491</t>
  </si>
  <si>
    <t xml:space="preserve">SH-9000804</t>
  </si>
  <si>
    <t xml:space="preserve">ST-79315</t>
  </si>
  <si>
    <t xml:space="preserve">SH-9000805</t>
  </si>
  <si>
    <t xml:space="preserve">ST-43424</t>
  </si>
  <si>
    <t xml:space="preserve">SH-9000806</t>
  </si>
  <si>
    <t xml:space="preserve">ST-59208</t>
  </si>
  <si>
    <t xml:space="preserve">SH-9000807</t>
  </si>
  <si>
    <t xml:space="preserve">ST-43685</t>
  </si>
  <si>
    <t xml:space="preserve">SH-9000808</t>
  </si>
  <si>
    <t xml:space="preserve">ST-98453</t>
  </si>
  <si>
    <t xml:space="preserve">SH-9000809</t>
  </si>
  <si>
    <t xml:space="preserve">ST-69601</t>
  </si>
  <si>
    <t xml:space="preserve">SH-9000810</t>
  </si>
  <si>
    <t xml:space="preserve">ST-71278</t>
  </si>
  <si>
    <t xml:space="preserve">SH-9000811</t>
  </si>
  <si>
    <t xml:space="preserve">ST-79464</t>
  </si>
  <si>
    <t xml:space="preserve">SH-9000812</t>
  </si>
  <si>
    <t xml:space="preserve">ST-68772</t>
  </si>
  <si>
    <t xml:space="preserve">SH-9000813</t>
  </si>
  <si>
    <t xml:space="preserve">ST-61476</t>
  </si>
  <si>
    <t xml:space="preserve">SH-9000814</t>
  </si>
  <si>
    <t xml:space="preserve">ST-51737</t>
  </si>
  <si>
    <t xml:space="preserve">SH-9000815</t>
  </si>
  <si>
    <t xml:space="preserve">ST-93470</t>
  </si>
  <si>
    <t xml:space="preserve">SH-9000816</t>
  </si>
  <si>
    <t xml:space="preserve">ST-15129</t>
  </si>
  <si>
    <t xml:space="preserve">SH-9000817</t>
  </si>
  <si>
    <t xml:space="preserve">ST-98974</t>
  </si>
  <si>
    <t xml:space="preserve">SH-9000818</t>
  </si>
  <si>
    <t xml:space="preserve">ST-34674</t>
  </si>
  <si>
    <t xml:space="preserve">SH-9000819</t>
  </si>
  <si>
    <t xml:space="preserve">ST-96457</t>
  </si>
  <si>
    <t xml:space="preserve">SH-9000820</t>
  </si>
  <si>
    <t xml:space="preserve">ST-69870</t>
  </si>
  <si>
    <t xml:space="preserve">SH-9000821</t>
  </si>
  <si>
    <t xml:space="preserve">ST-33504</t>
  </si>
  <si>
    <t xml:space="preserve">SH-9000822</t>
  </si>
  <si>
    <t xml:space="preserve">ST-29061</t>
  </si>
  <si>
    <t xml:space="preserve">SH-9000823</t>
  </si>
  <si>
    <t xml:space="preserve">ST-75950</t>
  </si>
  <si>
    <t xml:space="preserve">SH-9000824</t>
  </si>
  <si>
    <t xml:space="preserve">ST-77960</t>
  </si>
  <si>
    <t xml:space="preserve">SH-9000825</t>
  </si>
  <si>
    <t xml:space="preserve">SH-9000826</t>
  </si>
  <si>
    <t xml:space="preserve">ST-36480</t>
  </si>
  <si>
    <t xml:space="preserve">SH-9000827</t>
  </si>
  <si>
    <t xml:space="preserve">ST-23553</t>
  </si>
  <si>
    <t xml:space="preserve">SH-9000828</t>
  </si>
  <si>
    <t xml:space="preserve">ST-57698</t>
  </si>
  <si>
    <t xml:space="preserve">SH-9000829</t>
  </si>
  <si>
    <t xml:space="preserve">ST-16540</t>
  </si>
  <si>
    <t xml:space="preserve">SH-9000830</t>
  </si>
  <si>
    <t xml:space="preserve">ST-52200</t>
  </si>
  <si>
    <t xml:space="preserve">SH-9000831</t>
  </si>
  <si>
    <t xml:space="preserve">ST-23505</t>
  </si>
  <si>
    <t xml:space="preserve">SH-9000832</t>
  </si>
  <si>
    <t xml:space="preserve">ST-46027</t>
  </si>
  <si>
    <t xml:space="preserve">SH-9000833</t>
  </si>
  <si>
    <t xml:space="preserve">ST-20320</t>
  </si>
  <si>
    <t xml:space="preserve">SH-9000834</t>
  </si>
  <si>
    <t xml:space="preserve">ST-78139</t>
  </si>
  <si>
    <t xml:space="preserve">SH-9000835</t>
  </si>
  <si>
    <t xml:space="preserve">ST-47375</t>
  </si>
  <si>
    <t xml:space="preserve">SH-9000836</t>
  </si>
  <si>
    <t xml:space="preserve">ST-82225</t>
  </si>
  <si>
    <t xml:space="preserve">SH-9000837</t>
  </si>
  <si>
    <t xml:space="preserve">ST-34931</t>
  </si>
  <si>
    <t xml:space="preserve">SH-9000838</t>
  </si>
  <si>
    <t xml:space="preserve">ST-38489</t>
  </si>
  <si>
    <t xml:space="preserve">SH-9000839</t>
  </si>
  <si>
    <t xml:space="preserve">ST-43452</t>
  </si>
  <si>
    <t xml:space="preserve">SH-9000840</t>
  </si>
  <si>
    <t xml:space="preserve">ST-28326</t>
  </si>
  <si>
    <t xml:space="preserve">SH-9000841</t>
  </si>
  <si>
    <t xml:space="preserve">ST-12914</t>
  </si>
  <si>
    <t xml:space="preserve">SH-9000842</t>
  </si>
  <si>
    <t xml:space="preserve">ST-35297</t>
  </si>
  <si>
    <t xml:space="preserve">SH-9000843</t>
  </si>
  <si>
    <t xml:space="preserve">ST-64853</t>
  </si>
  <si>
    <t xml:space="preserve">SH-9000844</t>
  </si>
  <si>
    <t xml:space="preserve">ST-16348</t>
  </si>
  <si>
    <t xml:space="preserve">SH-9000845</t>
  </si>
  <si>
    <t xml:space="preserve">ST-26921</t>
  </si>
  <si>
    <t xml:space="preserve">SH-9000846</t>
  </si>
  <si>
    <t xml:space="preserve">ST-57490</t>
  </si>
  <si>
    <t xml:space="preserve">SH-9000847</t>
  </si>
  <si>
    <t xml:space="preserve">ST-18382</t>
  </si>
  <si>
    <t xml:space="preserve">SH-9000848</t>
  </si>
  <si>
    <t xml:space="preserve">ST-94543</t>
  </si>
  <si>
    <t xml:space="preserve">SH-9000849</t>
  </si>
  <si>
    <t xml:space="preserve">ST-11287</t>
  </si>
  <si>
    <t xml:space="preserve">SH-9000850</t>
  </si>
  <si>
    <t xml:space="preserve">ST-83814</t>
  </si>
  <si>
    <t xml:space="preserve">SH-9000851</t>
  </si>
  <si>
    <t xml:space="preserve">ST-58396</t>
  </si>
  <si>
    <t xml:space="preserve">SH-9000852</t>
  </si>
  <si>
    <t xml:space="preserve">SH-9000853</t>
  </si>
  <si>
    <t xml:space="preserve">ST-72533</t>
  </si>
  <si>
    <t xml:space="preserve">SH-9000854</t>
  </si>
  <si>
    <t xml:space="preserve">ST-51053</t>
  </si>
  <si>
    <t xml:space="preserve">SH-9000855</t>
  </si>
  <si>
    <t xml:space="preserve">ST-65567</t>
  </si>
  <si>
    <t xml:space="preserve">SH-9000856</t>
  </si>
  <si>
    <t xml:space="preserve">ST-20765</t>
  </si>
  <si>
    <t xml:space="preserve">SH-9000857</t>
  </si>
  <si>
    <t xml:space="preserve">ST-11842</t>
  </si>
  <si>
    <t xml:space="preserve">SH-9000858</t>
  </si>
  <si>
    <t xml:space="preserve">ST-71784</t>
  </si>
  <si>
    <t xml:space="preserve">SH-9000859</t>
  </si>
  <si>
    <t xml:space="preserve">ST-46504</t>
  </si>
  <si>
    <t xml:space="preserve">SH-9000860</t>
  </si>
  <si>
    <t xml:space="preserve">ST-65170</t>
  </si>
  <si>
    <t xml:space="preserve">SH-9000861</t>
  </si>
  <si>
    <t xml:space="preserve">ST-11844</t>
  </si>
  <si>
    <t xml:space="preserve">SH-9000862</t>
  </si>
  <si>
    <t xml:space="preserve">SH-9000863</t>
  </si>
  <si>
    <t xml:space="preserve">ST-59937</t>
  </si>
  <si>
    <t xml:space="preserve">SH-9000864</t>
  </si>
  <si>
    <t xml:space="preserve">ST-97913</t>
  </si>
  <si>
    <t xml:space="preserve">SH-9000865</t>
  </si>
  <si>
    <t xml:space="preserve">ST-78669</t>
  </si>
  <si>
    <t xml:space="preserve">SH-9000866</t>
  </si>
  <si>
    <t xml:space="preserve">ST-94049</t>
  </si>
  <si>
    <t xml:space="preserve">SH-9000867</t>
  </si>
  <si>
    <t xml:space="preserve">ST-72739</t>
  </si>
  <si>
    <t xml:space="preserve">SH-9000868</t>
  </si>
  <si>
    <t xml:space="preserve">ST-41391</t>
  </si>
  <si>
    <t xml:space="preserve">SH-9000869</t>
  </si>
  <si>
    <t xml:space="preserve">ST-29658</t>
  </si>
  <si>
    <t xml:space="preserve">SH-9000870</t>
  </si>
  <si>
    <t xml:space="preserve">ST-87338</t>
  </si>
  <si>
    <t xml:space="preserve">SH-9000871</t>
  </si>
  <si>
    <t xml:space="preserve">ST-13202</t>
  </si>
  <si>
    <t xml:space="preserve">SH-9000872</t>
  </si>
  <si>
    <t xml:space="preserve">ST-91766</t>
  </si>
  <si>
    <t xml:space="preserve">SH-9000873</t>
  </si>
  <si>
    <t xml:space="preserve">ST-80078</t>
  </si>
  <si>
    <t xml:space="preserve">SH-9000874</t>
  </si>
  <si>
    <t xml:space="preserve">ST-71314</t>
  </si>
  <si>
    <t xml:space="preserve">SH-9000875</t>
  </si>
  <si>
    <t xml:space="preserve">ST-65493</t>
  </si>
  <si>
    <t xml:space="preserve">SH-9000876</t>
  </si>
  <si>
    <t xml:space="preserve">ST-50959</t>
  </si>
  <si>
    <t xml:space="preserve">SH-9000877</t>
  </si>
  <si>
    <t xml:space="preserve">ST-58492</t>
  </si>
  <si>
    <t xml:space="preserve">SH-9000878</t>
  </si>
  <si>
    <t xml:space="preserve">ST-40960</t>
  </si>
  <si>
    <t xml:space="preserve">SH-9000879</t>
  </si>
  <si>
    <t xml:space="preserve">ST-79588</t>
  </si>
  <si>
    <t xml:space="preserve">SH-9000880</t>
  </si>
  <si>
    <t xml:space="preserve">ST-81166</t>
  </si>
  <si>
    <t xml:space="preserve">SH-9000881</t>
  </si>
  <si>
    <t xml:space="preserve">ST-61656</t>
  </si>
  <si>
    <t xml:space="preserve">SH-9000882</t>
  </si>
  <si>
    <t xml:space="preserve">ST-46573</t>
  </si>
  <si>
    <t xml:space="preserve">SH-9000883</t>
  </si>
  <si>
    <t xml:space="preserve">ST-28603</t>
  </si>
  <si>
    <t xml:space="preserve">SH-9000884</t>
  </si>
  <si>
    <t xml:space="preserve">ST-92807</t>
  </si>
  <si>
    <t xml:space="preserve">SH-9000885</t>
  </si>
  <si>
    <t xml:space="preserve">ST-50360</t>
  </si>
  <si>
    <t xml:space="preserve">SH-9000886</t>
  </si>
  <si>
    <t xml:space="preserve">ST-72858</t>
  </si>
  <si>
    <t xml:space="preserve">SH-9000887</t>
  </si>
  <si>
    <t xml:space="preserve">ST-13852</t>
  </si>
  <si>
    <t xml:space="preserve">SH-9000888</t>
  </si>
  <si>
    <t xml:space="preserve">ST-96207</t>
  </si>
  <si>
    <t xml:space="preserve">SH-9000889</t>
  </si>
  <si>
    <t xml:space="preserve">ST-77179</t>
  </si>
  <si>
    <t xml:space="preserve">SH-9000890</t>
  </si>
  <si>
    <t xml:space="preserve">ST-60578</t>
  </si>
  <si>
    <t xml:space="preserve">SH-9000891</t>
  </si>
  <si>
    <t xml:space="preserve">ST-56699</t>
  </si>
  <si>
    <t xml:space="preserve">SH-9000892</t>
  </si>
  <si>
    <t xml:space="preserve">ST-67643</t>
  </si>
  <si>
    <t xml:space="preserve">SH-9000893</t>
  </si>
  <si>
    <t xml:space="preserve">ST-39450</t>
  </si>
  <si>
    <t xml:space="preserve">SH-9000894</t>
  </si>
  <si>
    <t xml:space="preserve">ST-25919</t>
  </si>
  <si>
    <t xml:space="preserve">SH-9000895</t>
  </si>
  <si>
    <t xml:space="preserve">ST-64549</t>
  </si>
  <si>
    <t xml:space="preserve">SH-9000896</t>
  </si>
  <si>
    <t xml:space="preserve">ST-71399</t>
  </si>
  <si>
    <t xml:space="preserve">SH-9000897</t>
  </si>
  <si>
    <t xml:space="preserve">ST-59757</t>
  </si>
  <si>
    <t xml:space="preserve">SH-9000898</t>
  </si>
  <si>
    <t xml:space="preserve">ST-31261</t>
  </si>
  <si>
    <t xml:space="preserve">SH-9000899</t>
  </si>
  <si>
    <t xml:space="preserve">ST-22972</t>
  </si>
  <si>
    <t xml:space="preserve">SH-9000900</t>
  </si>
  <si>
    <t xml:space="preserve">ST-38297</t>
  </si>
  <si>
    <t xml:space="preserve">SH-9000901</t>
  </si>
  <si>
    <t xml:space="preserve">ST-55944</t>
  </si>
  <si>
    <t xml:space="preserve">SH-9000902</t>
  </si>
  <si>
    <t xml:space="preserve">ST-56218</t>
  </si>
  <si>
    <t xml:space="preserve">SH-9000903</t>
  </si>
  <si>
    <t xml:space="preserve">ST-43998</t>
  </si>
  <si>
    <t xml:space="preserve">SH-9000904</t>
  </si>
  <si>
    <t xml:space="preserve">ST-77799</t>
  </si>
  <si>
    <t xml:space="preserve">SH-9000905</t>
  </si>
  <si>
    <t xml:space="preserve">ST-96304</t>
  </si>
  <si>
    <t xml:space="preserve">SH-9000906</t>
  </si>
  <si>
    <t xml:space="preserve">ST-84852</t>
  </si>
  <si>
    <t xml:space="preserve">SH-9000907</t>
  </si>
  <si>
    <t xml:space="preserve">ST-29913</t>
  </si>
  <si>
    <t xml:space="preserve">SH-9000908</t>
  </si>
  <si>
    <t xml:space="preserve">ST-15158</t>
  </si>
  <si>
    <t xml:space="preserve">SH-9000909</t>
  </si>
  <si>
    <t xml:space="preserve">ST-49837</t>
  </si>
  <si>
    <t xml:space="preserve">SH-9000910</t>
  </si>
  <si>
    <t xml:space="preserve">ST-22065</t>
  </si>
  <si>
    <t xml:space="preserve">SH-9000911</t>
  </si>
  <si>
    <t xml:space="preserve">ST-15595</t>
  </si>
  <si>
    <t xml:space="preserve">SH-9000912</t>
  </si>
  <si>
    <t xml:space="preserve">ST-88402</t>
  </si>
  <si>
    <t xml:space="preserve">SH-9000913</t>
  </si>
  <si>
    <t xml:space="preserve">ST-27357</t>
  </si>
  <si>
    <t xml:space="preserve">SH-9000914</t>
  </si>
  <si>
    <t xml:space="preserve">ST-47471</t>
  </si>
  <si>
    <t xml:space="preserve">SH-9000915</t>
  </si>
  <si>
    <t xml:space="preserve">ST-60054</t>
  </si>
  <si>
    <t xml:space="preserve">SH-9000916</t>
  </si>
  <si>
    <t xml:space="preserve">ST-17045</t>
  </si>
  <si>
    <t xml:space="preserve">SH-9000917</t>
  </si>
  <si>
    <t xml:space="preserve">ST-91403</t>
  </si>
  <si>
    <t xml:space="preserve">SH-9000918</t>
  </si>
  <si>
    <t xml:space="preserve">ST-98428</t>
  </si>
  <si>
    <t xml:space="preserve">SH-9000919</t>
  </si>
  <si>
    <t xml:space="preserve">ST-97602</t>
  </si>
  <si>
    <t xml:space="preserve">SH-9000920</t>
  </si>
  <si>
    <t xml:space="preserve">ST-83583</t>
  </si>
  <si>
    <t xml:space="preserve">SH-9000921</t>
  </si>
  <si>
    <t xml:space="preserve">ST-34038</t>
  </si>
  <si>
    <t xml:space="preserve">SH-9000922</t>
  </si>
  <si>
    <t xml:space="preserve">ST-90654</t>
  </si>
  <si>
    <t xml:space="preserve">SH-9000923</t>
  </si>
  <si>
    <t xml:space="preserve">ST-62605</t>
  </si>
  <si>
    <t xml:space="preserve">SH-9000924</t>
  </si>
  <si>
    <t xml:space="preserve">ST-64459</t>
  </si>
  <si>
    <t xml:space="preserve">SH-9000925</t>
  </si>
  <si>
    <t xml:space="preserve">SH-9000926</t>
  </si>
  <si>
    <t xml:space="preserve">ST-55467</t>
  </si>
  <si>
    <t xml:space="preserve">SH-9000927</t>
  </si>
  <si>
    <t xml:space="preserve">ST-25689</t>
  </si>
  <si>
    <t xml:space="preserve">SH-9000928</t>
  </si>
  <si>
    <t xml:space="preserve">ST-33790</t>
  </si>
  <si>
    <t xml:space="preserve">SH-9000929</t>
  </si>
  <si>
    <t xml:space="preserve">ST-80402</t>
  </si>
  <si>
    <t xml:space="preserve">SH-9000930</t>
  </si>
  <si>
    <t xml:space="preserve">ST-35411</t>
  </si>
  <si>
    <t xml:space="preserve">SH-9000931</t>
  </si>
  <si>
    <t xml:space="preserve">ST-69424</t>
  </si>
  <si>
    <t xml:space="preserve">SH-9000932</t>
  </si>
  <si>
    <t xml:space="preserve">ST-75621</t>
  </si>
  <si>
    <t xml:space="preserve">SH-9000933</t>
  </si>
  <si>
    <t xml:space="preserve">ST-41492</t>
  </si>
  <si>
    <t xml:space="preserve">SH-9000934</t>
  </si>
  <si>
    <t xml:space="preserve">ST-26120</t>
  </si>
  <si>
    <t xml:space="preserve">SH-9000935</t>
  </si>
  <si>
    <t xml:space="preserve">ST-19877</t>
  </si>
  <si>
    <t xml:space="preserve">SH-9000936</t>
  </si>
  <si>
    <t xml:space="preserve">ST-34810</t>
  </si>
  <si>
    <t xml:space="preserve">SH-9000937</t>
  </si>
  <si>
    <t xml:space="preserve">ST-47637</t>
  </si>
  <si>
    <t xml:space="preserve">SH-9000938</t>
  </si>
  <si>
    <t xml:space="preserve">ST-70752</t>
  </si>
  <si>
    <t xml:space="preserve">SH-9000939</t>
  </si>
  <si>
    <t xml:space="preserve">ST-70946</t>
  </si>
  <si>
    <t xml:space="preserve">SH-9000940</t>
  </si>
  <si>
    <t xml:space="preserve">ST-47409</t>
  </si>
  <si>
    <t xml:space="preserve">SH-9000941</t>
  </si>
  <si>
    <t xml:space="preserve">ST-23720</t>
  </si>
  <si>
    <t xml:space="preserve">SH-9000942</t>
  </si>
  <si>
    <t xml:space="preserve">ST-94872</t>
  </si>
  <si>
    <t xml:space="preserve">SH-9000943</t>
  </si>
  <si>
    <t xml:space="preserve">ST-43392</t>
  </si>
  <si>
    <t xml:space="preserve">SH-9000944</t>
  </si>
  <si>
    <t xml:space="preserve">ST-83387</t>
  </si>
  <si>
    <t xml:space="preserve">SH-9000945</t>
  </si>
  <si>
    <t xml:space="preserve">ST-98898</t>
  </si>
  <si>
    <t xml:space="preserve">SH-9000946</t>
  </si>
  <si>
    <t xml:space="preserve">ST-88777</t>
  </si>
  <si>
    <t xml:space="preserve">SH-9000947</t>
  </si>
  <si>
    <t xml:space="preserve">ST-41638</t>
  </si>
  <si>
    <t xml:space="preserve">SH-9000948</t>
  </si>
  <si>
    <t xml:space="preserve">ST-58852</t>
  </si>
  <si>
    <t xml:space="preserve">SH-9000949</t>
  </si>
  <si>
    <t xml:space="preserve">ST-78021</t>
  </si>
  <si>
    <t xml:space="preserve">SH-9000950</t>
  </si>
  <si>
    <t xml:space="preserve">ST-28134</t>
  </si>
  <si>
    <t xml:space="preserve">SH-9000951</t>
  </si>
  <si>
    <t xml:space="preserve">ST-81536</t>
  </si>
  <si>
    <t xml:space="preserve">SH-9000952</t>
  </si>
  <si>
    <t xml:space="preserve">SH-9000953</t>
  </si>
  <si>
    <t xml:space="preserve">ST-43433</t>
  </si>
  <si>
    <t xml:space="preserve">SH-9000954</t>
  </si>
  <si>
    <t xml:space="preserve">ST-40871</t>
  </si>
  <si>
    <t xml:space="preserve">SH-9000955</t>
  </si>
  <si>
    <t xml:space="preserve">ST-82162</t>
  </si>
  <si>
    <t xml:space="preserve">SH-9000956</t>
  </si>
  <si>
    <t xml:space="preserve">ST-17184</t>
  </si>
  <si>
    <t xml:space="preserve">SH-9000957</t>
  </si>
  <si>
    <t xml:space="preserve">ST-24784</t>
  </si>
  <si>
    <t xml:space="preserve">SH-9000958</t>
  </si>
  <si>
    <t xml:space="preserve">ST-85395</t>
  </si>
  <si>
    <t xml:space="preserve">SH-9000959</t>
  </si>
  <si>
    <t xml:space="preserve">ST-64632</t>
  </si>
  <si>
    <t xml:space="preserve">SH-9000960</t>
  </si>
  <si>
    <t xml:space="preserve">ST-68011</t>
  </si>
  <si>
    <t xml:space="preserve">SH-9000961</t>
  </si>
  <si>
    <t xml:space="preserve">ST-45768</t>
  </si>
  <si>
    <t xml:space="preserve">SH-9000962</t>
  </si>
  <si>
    <t xml:space="preserve">ST-75018</t>
  </si>
  <si>
    <t xml:space="preserve">SH-9000963</t>
  </si>
  <si>
    <t xml:space="preserve">ST-15044</t>
  </si>
  <si>
    <t xml:space="preserve">SH-9000964</t>
  </si>
  <si>
    <t xml:space="preserve">ST-31786</t>
  </si>
  <si>
    <t xml:space="preserve">SH-9000965</t>
  </si>
  <si>
    <t xml:space="preserve">ST-11172</t>
  </si>
  <si>
    <t xml:space="preserve">SH-9000966</t>
  </si>
  <si>
    <t xml:space="preserve">ST-74076</t>
  </si>
  <si>
    <t xml:space="preserve">SH-9000967</t>
  </si>
  <si>
    <t xml:space="preserve">ST-69060</t>
  </si>
  <si>
    <t xml:space="preserve">SH-9000968</t>
  </si>
  <si>
    <t xml:space="preserve">SH-9000969</t>
  </si>
  <si>
    <t xml:space="preserve">ST-51378</t>
  </si>
  <si>
    <t xml:space="preserve">SH-9000970</t>
  </si>
  <si>
    <t xml:space="preserve">ST-18854</t>
  </si>
  <si>
    <t xml:space="preserve">SH-9000971</t>
  </si>
  <si>
    <t xml:space="preserve">ST-87844</t>
  </si>
  <si>
    <t xml:space="preserve">SH-9000972</t>
  </si>
  <si>
    <t xml:space="preserve">ST-34392</t>
  </si>
  <si>
    <t xml:space="preserve">SH-9000973</t>
  </si>
  <si>
    <t xml:space="preserve">ST-49531</t>
  </si>
  <si>
    <t xml:space="preserve">SH-9000974</t>
  </si>
  <si>
    <t xml:space="preserve">ST-71326</t>
  </si>
  <si>
    <t xml:space="preserve">SH-9000975</t>
  </si>
  <si>
    <t xml:space="preserve">ST-22506</t>
  </si>
  <si>
    <t xml:space="preserve">SH-9000976</t>
  </si>
  <si>
    <t xml:space="preserve">ST-42503</t>
  </si>
  <si>
    <t xml:space="preserve">SH-9000977</t>
  </si>
  <si>
    <t xml:space="preserve">ST-30316</t>
  </si>
  <si>
    <t xml:space="preserve">SH-9000978</t>
  </si>
  <si>
    <t xml:space="preserve">ST-99230</t>
  </si>
  <si>
    <t xml:space="preserve">SH-9000979</t>
  </si>
  <si>
    <t xml:space="preserve">ST-55243</t>
  </si>
  <si>
    <t xml:space="preserve">SH-9000980</t>
  </si>
  <si>
    <t xml:space="preserve">ST-15539</t>
  </si>
  <si>
    <t xml:space="preserve">SH-9000981</t>
  </si>
  <si>
    <t xml:space="preserve">ST-50631</t>
  </si>
  <si>
    <t xml:space="preserve">SH-9000982</t>
  </si>
  <si>
    <t xml:space="preserve">ST-79521</t>
  </si>
  <si>
    <t xml:space="preserve">SH-9000983</t>
  </si>
  <si>
    <t xml:space="preserve">ST-34987</t>
  </si>
  <si>
    <t xml:space="preserve">SH-9000984</t>
  </si>
  <si>
    <t xml:space="preserve">ST-15804</t>
  </si>
  <si>
    <t xml:space="preserve">SH-9000985</t>
  </si>
  <si>
    <t xml:space="preserve">ST-15948</t>
  </si>
  <si>
    <t xml:space="preserve">SH-9000986</t>
  </si>
  <si>
    <t xml:space="preserve">ST-87076</t>
  </si>
  <si>
    <t xml:space="preserve">SH-9000987</t>
  </si>
  <si>
    <t xml:space="preserve">ST-55376</t>
  </si>
  <si>
    <t xml:space="preserve">SH-9000988</t>
  </si>
  <si>
    <t xml:space="preserve">ST-34415</t>
  </si>
  <si>
    <t xml:space="preserve">SH-9000989</t>
  </si>
  <si>
    <t xml:space="preserve">ST-43207</t>
  </si>
  <si>
    <t xml:space="preserve">SH-9000990</t>
  </si>
  <si>
    <t xml:space="preserve">ST-96203</t>
  </si>
  <si>
    <t xml:space="preserve">SH-9000991</t>
  </si>
  <si>
    <t xml:space="preserve">ST-72732</t>
  </si>
  <si>
    <t xml:space="preserve">SH-9000992</t>
  </si>
  <si>
    <t xml:space="preserve">ST-97146</t>
  </si>
  <si>
    <t xml:space="preserve">SH-9000993</t>
  </si>
  <si>
    <t xml:space="preserve">ST-55145</t>
  </si>
  <si>
    <t xml:space="preserve">SH-9000994</t>
  </si>
  <si>
    <t xml:space="preserve">ST-62268</t>
  </si>
  <si>
    <t xml:space="preserve">SH-9000995</t>
  </si>
  <si>
    <t xml:space="preserve">ST-83502</t>
  </si>
  <si>
    <t xml:space="preserve">SH-9000996</t>
  </si>
  <si>
    <t xml:space="preserve">ST-57441</t>
  </si>
  <si>
    <t xml:space="preserve">SH-9000997</t>
  </si>
  <si>
    <t xml:space="preserve">ST-53925</t>
  </si>
  <si>
    <t xml:space="preserve">SH-9000998</t>
  </si>
  <si>
    <t xml:space="preserve">ST-83422</t>
  </si>
  <si>
    <t xml:space="preserve">SH-9000999</t>
  </si>
  <si>
    <t xml:space="preserve">ST-84078</t>
  </si>
  <si>
    <t xml:space="preserve">SH-9001000</t>
  </si>
  <si>
    <t xml:space="preserve">ST-91684</t>
  </si>
  <si>
    <t xml:space="preserve">SH-9001001</t>
  </si>
  <si>
    <t xml:space="preserve">ST-93501</t>
  </si>
  <si>
    <t xml:space="preserve">SH-9001002</t>
  </si>
  <si>
    <t xml:space="preserve">ST-12068</t>
  </si>
  <si>
    <t xml:space="preserve">SH-9001003</t>
  </si>
  <si>
    <t xml:space="preserve">ST-85120</t>
  </si>
  <si>
    <t xml:space="preserve">SH-9001004</t>
  </si>
  <si>
    <t xml:space="preserve">ST-34109</t>
  </si>
  <si>
    <t xml:space="preserve">SH-9001005</t>
  </si>
  <si>
    <t xml:space="preserve">ST-33502</t>
  </si>
  <si>
    <t xml:space="preserve">SH-9001006</t>
  </si>
  <si>
    <t xml:space="preserve">ST-42298</t>
  </si>
  <si>
    <t xml:space="preserve">SH-9001007</t>
  </si>
  <si>
    <t xml:space="preserve">ST-90066</t>
  </si>
  <si>
    <t xml:space="preserve">SH-9001008</t>
  </si>
  <si>
    <t xml:space="preserve">ST-58217</t>
  </si>
  <si>
    <t xml:space="preserve">SH-9001009</t>
  </si>
  <si>
    <t xml:space="preserve">ST-95634</t>
  </si>
  <si>
    <t xml:space="preserve">SH-9001010</t>
  </si>
  <si>
    <t xml:space="preserve">ST-58505</t>
  </si>
  <si>
    <t xml:space="preserve">SH-9001011</t>
  </si>
  <si>
    <t xml:space="preserve">ST-22452</t>
  </si>
  <si>
    <t xml:space="preserve">SH-9001012</t>
  </si>
  <si>
    <t xml:space="preserve">ST-64338</t>
  </si>
  <si>
    <t xml:space="preserve">SH-9001013</t>
  </si>
  <si>
    <t xml:space="preserve">ST-49885</t>
  </si>
  <si>
    <t xml:space="preserve">SH-9001014</t>
  </si>
  <si>
    <t xml:space="preserve">ST-51810</t>
  </si>
  <si>
    <t xml:space="preserve">SH-9001015</t>
  </si>
  <si>
    <t xml:space="preserve">ST-25763</t>
  </si>
  <si>
    <t xml:space="preserve">SH-9001016</t>
  </si>
  <si>
    <t xml:space="preserve">ST-93994</t>
  </si>
  <si>
    <t xml:space="preserve">SH-9001017</t>
  </si>
  <si>
    <t xml:space="preserve">ST-52467</t>
  </si>
  <si>
    <t xml:space="preserve">SH-9001018</t>
  </si>
  <si>
    <t xml:space="preserve">ST-82167</t>
  </si>
  <si>
    <t xml:space="preserve">SH-9001019</t>
  </si>
  <si>
    <t xml:space="preserve">ST-89791</t>
  </si>
  <si>
    <t xml:space="preserve">SH-9001020</t>
  </si>
  <si>
    <t xml:space="preserve">ST-92148</t>
  </si>
  <si>
    <t xml:space="preserve">SH-9001021</t>
  </si>
  <si>
    <t xml:space="preserve">ST-65669</t>
  </si>
  <si>
    <t xml:space="preserve">SH-9001022</t>
  </si>
  <si>
    <t xml:space="preserve">ST-88354</t>
  </si>
  <si>
    <t xml:space="preserve">SH-9001023</t>
  </si>
  <si>
    <t xml:space="preserve">ST-11690</t>
  </si>
  <si>
    <t xml:space="preserve">SH-9001024</t>
  </si>
  <si>
    <t xml:space="preserve">ST-31857</t>
  </si>
  <si>
    <t xml:space="preserve">SH-9001025</t>
  </si>
  <si>
    <t xml:space="preserve">ST-66014</t>
  </si>
  <si>
    <t xml:space="preserve">SH-9001026</t>
  </si>
  <si>
    <t xml:space="preserve">ST-21597</t>
  </si>
  <si>
    <t xml:space="preserve">SH-9001027</t>
  </si>
  <si>
    <t xml:space="preserve">ST-64281</t>
  </si>
  <si>
    <t xml:space="preserve">SH-9001028</t>
  </si>
  <si>
    <t xml:space="preserve">ST-38720</t>
  </si>
  <si>
    <t xml:space="preserve">SH-9001029</t>
  </si>
  <si>
    <t xml:space="preserve">ST-62398</t>
  </si>
  <si>
    <t xml:space="preserve">SH-9001030</t>
  </si>
  <si>
    <t xml:space="preserve">ST-32413</t>
  </si>
  <si>
    <t xml:space="preserve">SH-9001031</t>
  </si>
  <si>
    <t xml:space="preserve">ST-23494</t>
  </si>
  <si>
    <t xml:space="preserve">SH-9001032</t>
  </si>
  <si>
    <t xml:space="preserve">ST-49594</t>
  </si>
  <si>
    <t xml:space="preserve">SH-9001033</t>
  </si>
  <si>
    <t xml:space="preserve">ST-14742</t>
  </si>
  <si>
    <t xml:space="preserve">SH-9001034</t>
  </si>
  <si>
    <t xml:space="preserve">ST-76250</t>
  </si>
  <si>
    <t xml:space="preserve">SH-9001035</t>
  </si>
  <si>
    <t xml:space="preserve">ST-55259</t>
  </si>
  <si>
    <t xml:space="preserve">SH-9001036</t>
  </si>
  <si>
    <t xml:space="preserve">ST-24382</t>
  </si>
  <si>
    <t xml:space="preserve">SH-9001037</t>
  </si>
  <si>
    <t xml:space="preserve">ST-48017</t>
  </si>
  <si>
    <t xml:space="preserve">SH-9001038</t>
  </si>
  <si>
    <t xml:space="preserve">ST-25341</t>
  </si>
  <si>
    <t xml:space="preserve">SH-9001039</t>
  </si>
  <si>
    <t xml:space="preserve">ST-39145</t>
  </si>
  <si>
    <t xml:space="preserve">SH-9001040</t>
  </si>
  <si>
    <t xml:space="preserve">ST-43710</t>
  </si>
  <si>
    <t xml:space="preserve">SH-9001041</t>
  </si>
  <si>
    <t xml:space="preserve">ST-82684</t>
  </si>
  <si>
    <t xml:space="preserve">SH-9001042</t>
  </si>
  <si>
    <t xml:space="preserve">ST-34052</t>
  </si>
  <si>
    <t xml:space="preserve">SH-9001043</t>
  </si>
  <si>
    <t xml:space="preserve">ST-54791</t>
  </si>
  <si>
    <t xml:space="preserve">SH-9001044</t>
  </si>
  <si>
    <t xml:space="preserve">ST-33913</t>
  </si>
  <si>
    <t xml:space="preserve">SH-9001045</t>
  </si>
  <si>
    <t xml:space="preserve">ST-21019</t>
  </si>
  <si>
    <t xml:space="preserve">SH-9001046</t>
  </si>
  <si>
    <t xml:space="preserve">ST-71908</t>
  </si>
  <si>
    <t xml:space="preserve">SH-9001047</t>
  </si>
  <si>
    <t xml:space="preserve">ST-19307</t>
  </si>
  <si>
    <t xml:space="preserve">SH-9001048</t>
  </si>
  <si>
    <t xml:space="preserve">ST-61055</t>
  </si>
  <si>
    <t xml:space="preserve">SH-9001049</t>
  </si>
  <si>
    <t xml:space="preserve">ST-76470</t>
  </si>
  <si>
    <t xml:space="preserve">SH-9001050</t>
  </si>
  <si>
    <t xml:space="preserve">ST-91933</t>
  </si>
  <si>
    <t xml:space="preserve">SH-9001051</t>
  </si>
  <si>
    <t xml:space="preserve">ST-79572</t>
  </si>
  <si>
    <t xml:space="preserve">SH-9001052</t>
  </si>
  <si>
    <t xml:space="preserve">ST-65862</t>
  </si>
  <si>
    <t xml:space="preserve">SH-9001053</t>
  </si>
  <si>
    <t xml:space="preserve">ST-28646</t>
  </si>
  <si>
    <t xml:space="preserve">SH-9001054</t>
  </si>
  <si>
    <t xml:space="preserve">ST-31849</t>
  </si>
  <si>
    <t xml:space="preserve">SH-9001055</t>
  </si>
  <si>
    <t xml:space="preserve">ST-22095</t>
  </si>
  <si>
    <t xml:space="preserve">SH-9001056</t>
  </si>
  <si>
    <t xml:space="preserve">ST-50897</t>
  </si>
  <si>
    <t xml:space="preserve">SH-9001057</t>
  </si>
  <si>
    <t xml:space="preserve">ST-30521</t>
  </si>
  <si>
    <t xml:space="preserve">SH-9001058</t>
  </si>
  <si>
    <t xml:space="preserve">ST-60426</t>
  </si>
  <si>
    <t xml:space="preserve">SH-9001059</t>
  </si>
  <si>
    <t xml:space="preserve">ST-39162</t>
  </si>
  <si>
    <t xml:space="preserve">SH-9001060</t>
  </si>
  <si>
    <t xml:space="preserve">ST-48193</t>
  </si>
  <si>
    <t xml:space="preserve">SH-9001061</t>
  </si>
  <si>
    <t xml:space="preserve">ST-41080</t>
  </si>
  <si>
    <t xml:space="preserve">SH-9001062</t>
  </si>
  <si>
    <t xml:space="preserve">ST-51100</t>
  </si>
  <si>
    <t xml:space="preserve">SH-9001063</t>
  </si>
  <si>
    <t xml:space="preserve">ST-38113</t>
  </si>
  <si>
    <t xml:space="preserve">SH-9001064</t>
  </si>
  <si>
    <t xml:space="preserve">ST-71350</t>
  </si>
  <si>
    <t xml:space="preserve">SH-9001065</t>
  </si>
  <si>
    <t xml:space="preserve">ST-36563</t>
  </si>
  <si>
    <t xml:space="preserve">SH-9001066</t>
  </si>
  <si>
    <t xml:space="preserve">ST-70860</t>
  </si>
  <si>
    <t xml:space="preserve">SH-9001067</t>
  </si>
  <si>
    <t xml:space="preserve">ST-47735</t>
  </si>
  <si>
    <t xml:space="preserve">SH-9001068</t>
  </si>
  <si>
    <t xml:space="preserve">ST-79343</t>
  </si>
  <si>
    <t xml:space="preserve">SH-9001069</t>
  </si>
  <si>
    <t xml:space="preserve">ST-60830</t>
  </si>
  <si>
    <t xml:space="preserve">SH-9001070</t>
  </si>
  <si>
    <t xml:space="preserve">ST-79255</t>
  </si>
  <si>
    <t xml:space="preserve">SH-9001071</t>
  </si>
  <si>
    <t xml:space="preserve">ST-16244</t>
  </si>
  <si>
    <t xml:space="preserve">SH-9001072</t>
  </si>
  <si>
    <t xml:space="preserve">ST-47462</t>
  </si>
  <si>
    <t xml:space="preserve">SH-9001073</t>
  </si>
  <si>
    <t xml:space="preserve">ST-42682</t>
  </si>
  <si>
    <t xml:space="preserve">SH-9001074</t>
  </si>
  <si>
    <t xml:space="preserve">ST-73141</t>
  </si>
  <si>
    <t xml:space="preserve">SH-9001075</t>
  </si>
  <si>
    <t xml:space="preserve">ST-26711</t>
  </si>
  <si>
    <t xml:space="preserve">SH-9001076</t>
  </si>
  <si>
    <t xml:space="preserve">ST-93864</t>
  </si>
  <si>
    <t xml:space="preserve">SH-9001077</t>
  </si>
  <si>
    <t xml:space="preserve">ST-34511</t>
  </si>
  <si>
    <t xml:space="preserve">SH-9001078</t>
  </si>
  <si>
    <t xml:space="preserve">ST-26786</t>
  </si>
  <si>
    <t xml:space="preserve">SH-9001079</t>
  </si>
  <si>
    <t xml:space="preserve">ST-83905</t>
  </si>
  <si>
    <t xml:space="preserve">SH-9001080</t>
  </si>
  <si>
    <t xml:space="preserve">ST-99236</t>
  </si>
  <si>
    <t xml:space="preserve">SH-9001081</t>
  </si>
  <si>
    <t xml:space="preserve">ST-21982</t>
  </si>
  <si>
    <t xml:space="preserve">SH-9001082</t>
  </si>
  <si>
    <t xml:space="preserve">ST-95445</t>
  </si>
  <si>
    <t xml:space="preserve">SH-9001083</t>
  </si>
  <si>
    <t xml:space="preserve">ST-21188</t>
  </si>
  <si>
    <t xml:space="preserve">SH-9001084</t>
  </si>
  <si>
    <t xml:space="preserve">ST-49664</t>
  </si>
  <si>
    <t xml:space="preserve">SH-9001085</t>
  </si>
  <si>
    <t xml:space="preserve">ST-91372</t>
  </si>
  <si>
    <t xml:space="preserve">SH-9001086</t>
  </si>
  <si>
    <t xml:space="preserve">ST-17209</t>
  </si>
  <si>
    <t xml:space="preserve">SH-9001087</t>
  </si>
  <si>
    <t xml:space="preserve">ST-80140</t>
  </si>
  <si>
    <t xml:space="preserve">SH-9001088</t>
  </si>
  <si>
    <t xml:space="preserve">ST-88180</t>
  </si>
  <si>
    <t xml:space="preserve">SH-9001089</t>
  </si>
  <si>
    <t xml:space="preserve">ST-98770</t>
  </si>
  <si>
    <t xml:space="preserve">SH-9001090</t>
  </si>
  <si>
    <t xml:space="preserve">ST-13771</t>
  </si>
  <si>
    <t xml:space="preserve">SH-9001091</t>
  </si>
  <si>
    <t xml:space="preserve">ST-51771</t>
  </si>
  <si>
    <t xml:space="preserve">SH-9001092</t>
  </si>
  <si>
    <t xml:space="preserve">ST-33637</t>
  </si>
  <si>
    <t xml:space="preserve">SH-9001093</t>
  </si>
  <si>
    <t xml:space="preserve">ST-28161</t>
  </si>
  <si>
    <t xml:space="preserve">SH-9001094</t>
  </si>
  <si>
    <t xml:space="preserve">ST-36422</t>
  </si>
  <si>
    <t xml:space="preserve">SH-9001095</t>
  </si>
  <si>
    <t xml:space="preserve">ST-71298</t>
  </si>
  <si>
    <t xml:space="preserve">SH-9001096</t>
  </si>
  <si>
    <t xml:space="preserve">ST-64666</t>
  </si>
  <si>
    <t xml:space="preserve">SH-9001097</t>
  </si>
  <si>
    <t xml:space="preserve">ST-51431</t>
  </si>
  <si>
    <t xml:space="preserve">SH-9001098</t>
  </si>
  <si>
    <t xml:space="preserve">ST-87728</t>
  </si>
  <si>
    <t xml:space="preserve">SH-9001099</t>
  </si>
  <si>
    <t xml:space="preserve">ST-23183</t>
  </si>
  <si>
    <t xml:space="preserve">SH-9001100</t>
  </si>
  <si>
    <t xml:space="preserve">ST-18659</t>
  </si>
  <si>
    <t xml:space="preserve">SH-9001101</t>
  </si>
  <si>
    <t xml:space="preserve">ST-55991</t>
  </si>
  <si>
    <t xml:space="preserve">SH-9001102</t>
  </si>
  <si>
    <t xml:space="preserve">ST-35925</t>
  </si>
  <si>
    <t xml:space="preserve">SH-9001103</t>
  </si>
  <si>
    <t xml:space="preserve">ST-95697</t>
  </si>
  <si>
    <t xml:space="preserve">SH-9001104</t>
  </si>
  <si>
    <t xml:space="preserve">ST-21466</t>
  </si>
  <si>
    <t xml:space="preserve">SH-9001105</t>
  </si>
  <si>
    <t xml:space="preserve">ST-65363</t>
  </si>
  <si>
    <t xml:space="preserve">SH-9001106</t>
  </si>
  <si>
    <t xml:space="preserve">ST-56207</t>
  </si>
  <si>
    <t xml:space="preserve">SH-9001107</t>
  </si>
  <si>
    <t xml:space="preserve">ST-89893</t>
  </si>
  <si>
    <t xml:space="preserve">SH-9001108</t>
  </si>
  <si>
    <t xml:space="preserve">ST-38954</t>
  </si>
  <si>
    <t xml:space="preserve">SH-9001109</t>
  </si>
  <si>
    <t xml:space="preserve">ST-11794</t>
  </si>
  <si>
    <t xml:space="preserve">SH-9001110</t>
  </si>
  <si>
    <t xml:space="preserve">ST-79163</t>
  </si>
  <si>
    <t xml:space="preserve">SH-9001111</t>
  </si>
  <si>
    <t xml:space="preserve">ST-85131</t>
  </si>
  <si>
    <t xml:space="preserve">SH-9001112</t>
  </si>
  <si>
    <t xml:space="preserve">ST-39060</t>
  </si>
  <si>
    <t xml:space="preserve">SH-9001113</t>
  </si>
  <si>
    <t xml:space="preserve">ST-49541</t>
  </si>
  <si>
    <t xml:space="preserve">SH-9001114</t>
  </si>
  <si>
    <t xml:space="preserve">ST-80953</t>
  </si>
  <si>
    <t xml:space="preserve">SH-9001115</t>
  </si>
  <si>
    <t xml:space="preserve">ST-10905</t>
  </si>
  <si>
    <t xml:space="preserve">SH-9001116</t>
  </si>
  <si>
    <t xml:space="preserve">ST-34241</t>
  </si>
  <si>
    <t xml:space="preserve">SH-9001117</t>
  </si>
  <si>
    <t xml:space="preserve">ST-50128</t>
  </si>
  <si>
    <t xml:space="preserve">SH-9001118</t>
  </si>
  <si>
    <t xml:space="preserve">ST-64600</t>
  </si>
  <si>
    <t xml:space="preserve">SH-9001119</t>
  </si>
  <si>
    <t xml:space="preserve">ST-86068</t>
  </si>
  <si>
    <t xml:space="preserve">SH-9001120</t>
  </si>
  <si>
    <t xml:space="preserve">ST-51869</t>
  </si>
  <si>
    <t xml:space="preserve">SH-9001121</t>
  </si>
  <si>
    <t xml:space="preserve">ST-94842</t>
  </si>
  <si>
    <t xml:space="preserve">SH-9001122</t>
  </si>
  <si>
    <t xml:space="preserve">ST-85172</t>
  </si>
  <si>
    <t xml:space="preserve">SH-9001123</t>
  </si>
  <si>
    <t xml:space="preserve">ST-65514</t>
  </si>
  <si>
    <t xml:space="preserve">SH-9001124</t>
  </si>
  <si>
    <t xml:space="preserve">ST-49605</t>
  </si>
  <si>
    <t xml:space="preserve">SH-9001125</t>
  </si>
  <si>
    <t xml:space="preserve">ST-91061</t>
  </si>
  <si>
    <t xml:space="preserve">SH-9001126</t>
  </si>
  <si>
    <t xml:space="preserve">ST-60301</t>
  </si>
  <si>
    <t xml:space="preserve">SH-9001127</t>
  </si>
  <si>
    <t xml:space="preserve">ST-13529</t>
  </si>
  <si>
    <t xml:space="preserve">SH-9001128</t>
  </si>
  <si>
    <t xml:space="preserve">ST-28640</t>
  </si>
  <si>
    <t xml:space="preserve">SH-9001129</t>
  </si>
  <si>
    <t xml:space="preserve">ST-21093</t>
  </si>
  <si>
    <t xml:space="preserve">SH-9001130</t>
  </si>
  <si>
    <t xml:space="preserve">ST-97068</t>
  </si>
  <si>
    <t xml:space="preserve">SH-9001131</t>
  </si>
  <si>
    <t xml:space="preserve">ST-15926</t>
  </si>
  <si>
    <t xml:space="preserve">SH-9001132</t>
  </si>
  <si>
    <t xml:space="preserve">ST-44028</t>
  </si>
  <si>
    <t xml:space="preserve">SH-9001133</t>
  </si>
  <si>
    <t xml:space="preserve">ST-48529</t>
  </si>
  <si>
    <t xml:space="preserve">SH-9001134</t>
  </si>
  <si>
    <t xml:space="preserve">ST-59620</t>
  </si>
  <si>
    <t xml:space="preserve">SH-9001135</t>
  </si>
  <si>
    <t xml:space="preserve">ST-37346</t>
  </si>
  <si>
    <t xml:space="preserve">SH-9001136</t>
  </si>
  <si>
    <t xml:space="preserve">ST-31193</t>
  </si>
  <si>
    <t xml:space="preserve">SH-9001137</t>
  </si>
  <si>
    <t xml:space="preserve">ST-25120</t>
  </si>
  <si>
    <t xml:space="preserve">SH-9001138</t>
  </si>
  <si>
    <t xml:space="preserve">SH-9001139</t>
  </si>
  <si>
    <t xml:space="preserve">ST-37752</t>
  </si>
  <si>
    <t xml:space="preserve">SH-9001140</t>
  </si>
  <si>
    <t xml:space="preserve">ST-27225</t>
  </si>
  <si>
    <t xml:space="preserve">SH-9001141</t>
  </si>
  <si>
    <t xml:space="preserve">ST-62995</t>
  </si>
  <si>
    <t xml:space="preserve">SH-9001142</t>
  </si>
  <si>
    <t xml:space="preserve">ST-44241</t>
  </si>
  <si>
    <t xml:space="preserve">SH-9001143</t>
  </si>
  <si>
    <t xml:space="preserve">ST-20533</t>
  </si>
  <si>
    <t xml:space="preserve">SH-9001144</t>
  </si>
  <si>
    <t xml:space="preserve">ST-23650</t>
  </si>
  <si>
    <t xml:space="preserve">SH-9001145</t>
  </si>
  <si>
    <t xml:space="preserve">ST-89222</t>
  </si>
  <si>
    <t xml:space="preserve">SH-9001146</t>
  </si>
  <si>
    <t xml:space="preserve">ST-40263</t>
  </si>
  <si>
    <t xml:space="preserve">SH-9001147</t>
  </si>
  <si>
    <t xml:space="preserve">ST-35727</t>
  </si>
  <si>
    <t xml:space="preserve">SH-9001148</t>
  </si>
  <si>
    <t xml:space="preserve">ST-80228</t>
  </si>
  <si>
    <t xml:space="preserve">SH-9001149</t>
  </si>
  <si>
    <t xml:space="preserve">ST-83556</t>
  </si>
  <si>
    <t xml:space="preserve">SH-9001150</t>
  </si>
  <si>
    <t xml:space="preserve">ST-26999</t>
  </si>
  <si>
    <t xml:space="preserve">SH-9001151</t>
  </si>
  <si>
    <t xml:space="preserve">ST-93693</t>
  </si>
  <si>
    <t xml:space="preserve">SH-9001152</t>
  </si>
  <si>
    <t xml:space="preserve">ST-63969</t>
  </si>
  <si>
    <t xml:space="preserve">SH-9001153</t>
  </si>
  <si>
    <t xml:space="preserve">ST-49608</t>
  </si>
  <si>
    <t xml:space="preserve">SH-9001154</t>
  </si>
  <si>
    <t xml:space="preserve">ST-56031</t>
  </si>
  <si>
    <t xml:space="preserve">SH-9001155</t>
  </si>
  <si>
    <t xml:space="preserve">ST-25987</t>
  </si>
  <si>
    <t xml:space="preserve">SH-9001156</t>
  </si>
  <si>
    <t xml:space="preserve">ST-88117</t>
  </si>
  <si>
    <t xml:space="preserve">SH-9001157</t>
  </si>
  <si>
    <t xml:space="preserve">ST-49403</t>
  </si>
  <si>
    <t xml:space="preserve">SH-9001158</t>
  </si>
  <si>
    <t xml:space="preserve">ST-34352</t>
  </si>
  <si>
    <t xml:space="preserve">SH-9001159</t>
  </si>
  <si>
    <t xml:space="preserve">ST-82929</t>
  </si>
  <si>
    <t xml:space="preserve">SH-9001160</t>
  </si>
  <si>
    <t xml:space="preserve">ST-45742</t>
  </si>
  <si>
    <t xml:space="preserve">SH-9001161</t>
  </si>
  <si>
    <t xml:space="preserve">ST-74012</t>
  </si>
  <si>
    <t xml:space="preserve">SH-9001162</t>
  </si>
  <si>
    <t xml:space="preserve">ST-85447</t>
  </si>
  <si>
    <t xml:space="preserve">SH-9001163</t>
  </si>
  <si>
    <t xml:space="preserve">ST-10773</t>
  </si>
  <si>
    <t xml:space="preserve">SH-9001164</t>
  </si>
  <si>
    <t xml:space="preserve">ST-86909</t>
  </si>
  <si>
    <t xml:space="preserve">SH-9001165</t>
  </si>
  <si>
    <t xml:space="preserve">ST-25087</t>
  </si>
  <si>
    <t xml:space="preserve">SH-9001166</t>
  </si>
  <si>
    <t xml:space="preserve">ST-46852</t>
  </si>
  <si>
    <t xml:space="preserve">SH-9001167</t>
  </si>
  <si>
    <t xml:space="preserve">ST-57905</t>
  </si>
  <si>
    <t xml:space="preserve">SH-9001168</t>
  </si>
  <si>
    <t xml:space="preserve">ST-94354</t>
  </si>
  <si>
    <t xml:space="preserve">SH-9001169</t>
  </si>
  <si>
    <t xml:space="preserve">ST-78856</t>
  </si>
  <si>
    <t xml:space="preserve">SH-9001170</t>
  </si>
  <si>
    <t xml:space="preserve">ST-94882</t>
  </si>
  <si>
    <t xml:space="preserve">SH-9001171</t>
  </si>
  <si>
    <t xml:space="preserve">ST-54615</t>
  </si>
  <si>
    <t xml:space="preserve">SH-9001172</t>
  </si>
  <si>
    <t xml:space="preserve">ST-46239</t>
  </si>
  <si>
    <t xml:space="preserve">SH-9001173</t>
  </si>
  <si>
    <t xml:space="preserve">ST-75524</t>
  </si>
  <si>
    <t xml:space="preserve">SH-9001174</t>
  </si>
  <si>
    <t xml:space="preserve">ST-62615</t>
  </si>
  <si>
    <t xml:space="preserve">SH-9001175</t>
  </si>
  <si>
    <t xml:space="preserve">ST-65415</t>
  </si>
  <si>
    <t xml:space="preserve">SH-9001176</t>
  </si>
  <si>
    <t xml:space="preserve">ST-37486</t>
  </si>
  <si>
    <t xml:space="preserve">SH-9001177</t>
  </si>
  <si>
    <t xml:space="preserve">ST-84945</t>
  </si>
  <si>
    <t xml:space="preserve">SH-9001178</t>
  </si>
  <si>
    <t xml:space="preserve">ST-61002</t>
  </si>
  <si>
    <t xml:space="preserve">SH-9001179</t>
  </si>
  <si>
    <t xml:space="preserve">ST-36221</t>
  </si>
  <si>
    <t xml:space="preserve">L</t>
  </si>
  <si>
    <t xml:space="preserve">SH-9001180</t>
  </si>
  <si>
    <t xml:space="preserve">ST-74689</t>
  </si>
  <si>
    <t xml:space="preserve">SH-9001181</t>
  </si>
  <si>
    <t xml:space="preserve">ST-14064</t>
  </si>
  <si>
    <t xml:space="preserve">SH-9001182</t>
  </si>
  <si>
    <t xml:space="preserve">ST-32536</t>
  </si>
  <si>
    <t xml:space="preserve">SH-9001183</t>
  </si>
  <si>
    <t xml:space="preserve">ST-32889</t>
  </si>
  <si>
    <t xml:space="preserve">SH-9001184</t>
  </si>
  <si>
    <t xml:space="preserve">ST-68410</t>
  </si>
  <si>
    <t xml:space="preserve">SH-9001185</t>
  </si>
  <si>
    <t xml:space="preserve">ST-33117</t>
  </si>
  <si>
    <t xml:space="preserve">SH-9001186</t>
  </si>
  <si>
    <t xml:space="preserve">ST-99890</t>
  </si>
  <si>
    <t xml:space="preserve">SH-9001187</t>
  </si>
  <si>
    <t xml:space="preserve">ST-17956</t>
  </si>
  <si>
    <t xml:space="preserve">SH-9001188</t>
  </si>
  <si>
    <t xml:space="preserve">ST-35505</t>
  </si>
  <si>
    <t xml:space="preserve">SH-9001189</t>
  </si>
  <si>
    <t xml:space="preserve">ST-63933</t>
  </si>
  <si>
    <t xml:space="preserve">SH-9001190</t>
  </si>
  <si>
    <t xml:space="preserve">ST-18452</t>
  </si>
  <si>
    <t xml:space="preserve">SH-9001191</t>
  </si>
  <si>
    <t xml:space="preserve">ST-57580</t>
  </si>
  <si>
    <t xml:space="preserve">SH-9001192</t>
  </si>
  <si>
    <t xml:space="preserve">ST-89875</t>
  </si>
  <si>
    <t xml:space="preserve">SH-9001193</t>
  </si>
  <si>
    <t xml:space="preserve">ST-22963</t>
  </si>
  <si>
    <t xml:space="preserve">SH-9001194</t>
  </si>
  <si>
    <t xml:space="preserve">ST-22491</t>
  </si>
  <si>
    <t xml:space="preserve">SH-9001195</t>
  </si>
  <si>
    <t xml:space="preserve">ST-30829</t>
  </si>
  <si>
    <t xml:space="preserve">SH-9001196</t>
  </si>
  <si>
    <t xml:space="preserve">ST-78980</t>
  </si>
  <si>
    <t xml:space="preserve">SH-9001197</t>
  </si>
  <si>
    <t xml:space="preserve">ST-17583</t>
  </si>
  <si>
    <t xml:space="preserve">SH-9001198</t>
  </si>
  <si>
    <t xml:space="preserve">ST-12019</t>
  </si>
  <si>
    <t xml:space="preserve">SH-9001199</t>
  </si>
  <si>
    <t xml:space="preserve">ST-14414</t>
  </si>
  <si>
    <t xml:space="preserve">SH-9001200</t>
  </si>
  <si>
    <t xml:space="preserve">ST-65468</t>
  </si>
  <si>
    <t xml:space="preserve">SH-9001201</t>
  </si>
  <si>
    <t xml:space="preserve">ST-61403</t>
  </si>
  <si>
    <t xml:space="preserve">SH-9001202</t>
  </si>
  <si>
    <t xml:space="preserve">ST-70137</t>
  </si>
  <si>
    <t xml:space="preserve">SH-9001203</t>
  </si>
  <si>
    <t xml:space="preserve">ST-55384</t>
  </si>
  <si>
    <t xml:space="preserve">SH-9001204</t>
  </si>
  <si>
    <t xml:space="preserve">ST-50764</t>
  </si>
  <si>
    <t xml:space="preserve">SH-9001205</t>
  </si>
  <si>
    <t xml:space="preserve">ST-16682</t>
  </si>
  <si>
    <t xml:space="preserve">SH-9001206</t>
  </si>
  <si>
    <t xml:space="preserve">ST-40613</t>
  </si>
  <si>
    <t xml:space="preserve">SH-9001207</t>
  </si>
  <si>
    <t xml:space="preserve">ST-30393</t>
  </si>
  <si>
    <t xml:space="preserve">SH-9001208</t>
  </si>
  <si>
    <t xml:space="preserve">ST-92102</t>
  </si>
  <si>
    <t xml:space="preserve">SH-9001209</t>
  </si>
  <si>
    <t xml:space="preserve">ST-92119</t>
  </si>
  <si>
    <t xml:space="preserve">SH-9001210</t>
  </si>
  <si>
    <t xml:space="preserve">ST-75651</t>
  </si>
  <si>
    <t xml:space="preserve">SH-9001211</t>
  </si>
  <si>
    <t xml:space="preserve">ST-69635</t>
  </si>
  <si>
    <t xml:space="preserve">SH-9001212</t>
  </si>
  <si>
    <t xml:space="preserve">ST-85427</t>
  </si>
  <si>
    <t xml:space="preserve">SH-9001213</t>
  </si>
  <si>
    <t xml:space="preserve">ST-56842</t>
  </si>
  <si>
    <t xml:space="preserve">SH-9001214</t>
  </si>
  <si>
    <t xml:space="preserve">ST-94944</t>
  </si>
  <si>
    <t xml:space="preserve">SH-9001215</t>
  </si>
  <si>
    <t xml:space="preserve">ST-40576</t>
  </si>
  <si>
    <t xml:space="preserve">SH-9001216</t>
  </si>
  <si>
    <t xml:space="preserve">ST-92689</t>
  </si>
  <si>
    <t xml:space="preserve">SH-9001217</t>
  </si>
  <si>
    <t xml:space="preserve">ST-75858</t>
  </si>
  <si>
    <t xml:space="preserve">SH-9001218</t>
  </si>
  <si>
    <t xml:space="preserve">ST-15357</t>
  </si>
  <si>
    <t xml:space="preserve">SH-9001219</t>
  </si>
  <si>
    <t xml:space="preserve">ST-48638</t>
  </si>
  <si>
    <t xml:space="preserve">SH-9001220</t>
  </si>
  <si>
    <t xml:space="preserve">ST-21622</t>
  </si>
  <si>
    <t xml:space="preserve">SH-9001221</t>
  </si>
  <si>
    <t xml:space="preserve">ST-43859</t>
  </si>
  <si>
    <t xml:space="preserve">SH-9001222</t>
  </si>
  <si>
    <t xml:space="preserve">ST-22692</t>
  </si>
  <si>
    <t xml:space="preserve">SH-9001223</t>
  </si>
  <si>
    <t xml:space="preserve">ST-19526</t>
  </si>
  <si>
    <t xml:space="preserve">SH-9001224</t>
  </si>
  <si>
    <t xml:space="preserve">ST-28754</t>
  </si>
  <si>
    <t xml:space="preserve">SH-9001225</t>
  </si>
  <si>
    <t xml:space="preserve">ST-83109</t>
  </si>
  <si>
    <t xml:space="preserve">SH-9001226</t>
  </si>
  <si>
    <t xml:space="preserve">ST-95359</t>
  </si>
  <si>
    <t xml:space="preserve">SH-9001227</t>
  </si>
  <si>
    <t xml:space="preserve">ST-54830</t>
  </si>
  <si>
    <t xml:space="preserve">SH-9001228</t>
  </si>
  <si>
    <t xml:space="preserve">ST-36327</t>
  </si>
  <si>
    <t xml:space="preserve">SH-9001229</t>
  </si>
  <si>
    <t xml:space="preserve">ST-62884</t>
  </si>
  <si>
    <t xml:space="preserve">SH-9001230</t>
  </si>
  <si>
    <t xml:space="preserve">ST-41826</t>
  </si>
  <si>
    <t xml:space="preserve">SH-9001231</t>
  </si>
  <si>
    <t xml:space="preserve">ST-46463</t>
  </si>
  <si>
    <t xml:space="preserve">SH-9001232</t>
  </si>
  <si>
    <t xml:space="preserve">ST-56331</t>
  </si>
  <si>
    <t xml:space="preserve">SH-9001233</t>
  </si>
  <si>
    <t xml:space="preserve">ST-23440</t>
  </si>
  <si>
    <t xml:space="preserve">SH-9001234</t>
  </si>
  <si>
    <t xml:space="preserve">ST-34310</t>
  </si>
  <si>
    <t xml:space="preserve">SH-9001235</t>
  </si>
  <si>
    <t xml:space="preserve">ST-41993</t>
  </si>
  <si>
    <t xml:space="preserve">SH-9001236</t>
  </si>
  <si>
    <t xml:space="preserve">ST-33172</t>
  </si>
  <si>
    <t xml:space="preserve">SH-9001237</t>
  </si>
  <si>
    <t xml:space="preserve">ST-68012</t>
  </si>
  <si>
    <t xml:space="preserve">SH-9001238</t>
  </si>
  <si>
    <t xml:space="preserve">ST-81430</t>
  </si>
  <si>
    <t xml:space="preserve">SH-9001239</t>
  </si>
  <si>
    <t xml:space="preserve">ST-75590</t>
  </si>
  <si>
    <t xml:space="preserve">SH-9001240</t>
  </si>
  <si>
    <t xml:space="preserve">ST-58022</t>
  </si>
  <si>
    <t xml:space="preserve">SH-9001241</t>
  </si>
  <si>
    <t xml:space="preserve">ST-19737</t>
  </si>
  <si>
    <t xml:space="preserve">SH-9001242</t>
  </si>
  <si>
    <t xml:space="preserve">ST-32554</t>
  </si>
  <si>
    <t xml:space="preserve">SH-9001243</t>
  </si>
  <si>
    <t xml:space="preserve">ST-16787</t>
  </si>
  <si>
    <t xml:space="preserve">SH-9001244</t>
  </si>
  <si>
    <t xml:space="preserve">ST-45330</t>
  </si>
  <si>
    <t xml:space="preserve">SH-9001245</t>
  </si>
  <si>
    <t xml:space="preserve">ST-92531</t>
  </si>
  <si>
    <t xml:space="preserve">SH-9001246</t>
  </si>
  <si>
    <t xml:space="preserve">ST-96753</t>
  </si>
  <si>
    <t xml:space="preserve">SH-9001247</t>
  </si>
  <si>
    <t xml:space="preserve">ST-58563</t>
  </si>
  <si>
    <t xml:space="preserve">SH-9001248</t>
  </si>
  <si>
    <t xml:space="preserve">ST-46232</t>
  </si>
  <si>
    <t xml:space="preserve">SH-9001249</t>
  </si>
  <si>
    <t xml:space="preserve">ST-29975</t>
  </si>
  <si>
    <t xml:space="preserve">SH-9001250</t>
  </si>
  <si>
    <t xml:space="preserve">ST-91290</t>
  </si>
  <si>
    <t xml:space="preserve">SH-9001251</t>
  </si>
  <si>
    <t xml:space="preserve">ST-72623</t>
  </si>
  <si>
    <t xml:space="preserve">SH-9001252</t>
  </si>
  <si>
    <t xml:space="preserve">ST-71306</t>
  </si>
  <si>
    <t xml:space="preserve">SH-9001253</t>
  </si>
  <si>
    <t xml:space="preserve">ST-24840</t>
  </si>
  <si>
    <t xml:space="preserve">SH-9001254</t>
  </si>
  <si>
    <t xml:space="preserve">ST-53078</t>
  </si>
  <si>
    <t xml:space="preserve">SH-9001255</t>
  </si>
  <si>
    <t xml:space="preserve">ST-37266</t>
  </si>
  <si>
    <t xml:space="preserve">SH-9001256</t>
  </si>
  <si>
    <t xml:space="preserve">ST-48320</t>
  </si>
  <si>
    <t xml:space="preserve">SH-9001257</t>
  </si>
  <si>
    <t xml:space="preserve">ST-93704</t>
  </si>
  <si>
    <t xml:space="preserve">SH-9001258</t>
  </si>
  <si>
    <t xml:space="preserve">ST-74625</t>
  </si>
  <si>
    <t xml:space="preserve">SH-9001259</t>
  </si>
  <si>
    <t xml:space="preserve">ST-52387</t>
  </si>
  <si>
    <t xml:space="preserve">SH-9001260</t>
  </si>
  <si>
    <t xml:space="preserve">ST-40283</t>
  </si>
  <si>
    <t xml:space="preserve">SH-9001261</t>
  </si>
  <si>
    <t xml:space="preserve">ST-46374</t>
  </si>
  <si>
    <t xml:space="preserve">SH-9001262</t>
  </si>
  <si>
    <t xml:space="preserve">ST-80976</t>
  </si>
  <si>
    <t xml:space="preserve">SH-9001263</t>
  </si>
  <si>
    <t xml:space="preserve">ST-17458</t>
  </si>
  <si>
    <t xml:space="preserve">SH-9001264</t>
  </si>
  <si>
    <t xml:space="preserve">ST-56919</t>
  </si>
  <si>
    <t xml:space="preserve">SH-9001265</t>
  </si>
  <si>
    <t xml:space="preserve">ST-56721</t>
  </si>
  <si>
    <t xml:space="preserve">SH-9001266</t>
  </si>
  <si>
    <t xml:space="preserve">ST-54104</t>
  </si>
  <si>
    <t xml:space="preserve">SH-9001267</t>
  </si>
  <si>
    <t xml:space="preserve">ST-64978</t>
  </si>
  <si>
    <t xml:space="preserve">SH-9001268</t>
  </si>
  <si>
    <t xml:space="preserve">ST-59817</t>
  </si>
  <si>
    <t xml:space="preserve">SH-9001269</t>
  </si>
  <si>
    <t xml:space="preserve">ST-58730</t>
  </si>
  <si>
    <t xml:space="preserve">SH-9001270</t>
  </si>
  <si>
    <t xml:space="preserve">ST-58414</t>
  </si>
  <si>
    <t xml:space="preserve">SH-9001271</t>
  </si>
  <si>
    <t xml:space="preserve">ST-31753</t>
  </si>
  <si>
    <t xml:space="preserve">SH-9001272</t>
  </si>
  <si>
    <t xml:space="preserve">ST-73592</t>
  </si>
  <si>
    <t xml:space="preserve">SH-9001273</t>
  </si>
  <si>
    <t xml:space="preserve">ST-37877</t>
  </si>
  <si>
    <t xml:space="preserve">SH-9001274</t>
  </si>
  <si>
    <t xml:space="preserve">ST-60751</t>
  </si>
  <si>
    <t xml:space="preserve">SH-9001275</t>
  </si>
  <si>
    <t xml:space="preserve">ST-70565</t>
  </si>
  <si>
    <t xml:space="preserve">SH-9001276</t>
  </si>
  <si>
    <t xml:space="preserve">ST-39720</t>
  </si>
  <si>
    <t xml:space="preserve">SH-9001277</t>
  </si>
  <si>
    <t xml:space="preserve">ST-38116</t>
  </si>
  <si>
    <t xml:space="preserve">SH-9001278</t>
  </si>
  <si>
    <t xml:space="preserve">ST-87065</t>
  </si>
  <si>
    <t xml:space="preserve">SH-9001279</t>
  </si>
  <si>
    <t xml:space="preserve">ST-64118</t>
  </si>
  <si>
    <t xml:space="preserve">SH-9001280</t>
  </si>
  <si>
    <t xml:space="preserve">ST-81475</t>
  </si>
  <si>
    <t xml:space="preserve">SH-9001281</t>
  </si>
  <si>
    <t xml:space="preserve">SH-9001282</t>
  </si>
  <si>
    <t xml:space="preserve">ST-62195</t>
  </si>
  <si>
    <t xml:space="preserve">SH-9001283</t>
  </si>
  <si>
    <t xml:space="preserve">ST-15943</t>
  </si>
  <si>
    <t xml:space="preserve">SH-9001284</t>
  </si>
  <si>
    <t xml:space="preserve">ST-88045</t>
  </si>
  <si>
    <t xml:space="preserve">SH-9001285</t>
  </si>
  <si>
    <t xml:space="preserve">ST-35362</t>
  </si>
  <si>
    <t xml:space="preserve">SH-9001286</t>
  </si>
  <si>
    <t xml:space="preserve">ST-55435</t>
  </si>
  <si>
    <t xml:space="preserve">SH-9001287</t>
  </si>
  <si>
    <t xml:space="preserve">ST-76751</t>
  </si>
  <si>
    <t xml:space="preserve">SH-9001288</t>
  </si>
  <si>
    <t xml:space="preserve">ST-77351</t>
  </si>
  <si>
    <t xml:space="preserve">SH-9001289</t>
  </si>
  <si>
    <t xml:space="preserve">ST-23345</t>
  </si>
  <si>
    <t xml:space="preserve">SH-9001290</t>
  </si>
  <si>
    <t xml:space="preserve">ST-20753</t>
  </si>
  <si>
    <t xml:space="preserve">SH-9001291</t>
  </si>
  <si>
    <t xml:space="preserve">ST-55373</t>
  </si>
  <si>
    <t xml:space="preserve">SH-9001292</t>
  </si>
  <si>
    <t xml:space="preserve">ST-26118</t>
  </si>
  <si>
    <t xml:space="preserve">SH-9001293</t>
  </si>
  <si>
    <t xml:space="preserve">ST-32631</t>
  </si>
  <si>
    <t xml:space="preserve">SH-9001294</t>
  </si>
  <si>
    <t xml:space="preserve">ST-69288</t>
  </si>
  <si>
    <t xml:space="preserve">SH-9001295</t>
  </si>
  <si>
    <t xml:space="preserve">ST-99983</t>
  </si>
  <si>
    <t xml:space="preserve">SH-9001296</t>
  </si>
  <si>
    <t xml:space="preserve">ST-65325</t>
  </si>
  <si>
    <t xml:space="preserve">SH-9001297</t>
  </si>
  <si>
    <t xml:space="preserve">ST-55590</t>
  </si>
  <si>
    <t xml:space="preserve">SH-9001298</t>
  </si>
  <si>
    <t xml:space="preserve">ST-17290</t>
  </si>
  <si>
    <t xml:space="preserve">SH-9001299</t>
  </si>
  <si>
    <t xml:space="preserve">ST-72092</t>
  </si>
  <si>
    <t xml:space="preserve">SH-9001300</t>
  </si>
  <si>
    <t xml:space="preserve">ST-98067</t>
  </si>
  <si>
    <t xml:space="preserve">SH-9001301</t>
  </si>
  <si>
    <t xml:space="preserve">ST-21142</t>
  </si>
  <si>
    <t xml:space="preserve">SH-9001302</t>
  </si>
  <si>
    <t xml:space="preserve">ST-65775</t>
  </si>
  <si>
    <t xml:space="preserve">SH-9001303</t>
  </si>
  <si>
    <t xml:space="preserve">ST-45550</t>
  </si>
  <si>
    <t xml:space="preserve">SH-9001304</t>
  </si>
  <si>
    <t xml:space="preserve">ST-93699</t>
  </si>
  <si>
    <t xml:space="preserve">SH-9001305</t>
  </si>
  <si>
    <t xml:space="preserve">ST-98860</t>
  </si>
  <si>
    <t xml:space="preserve">SH-9001306</t>
  </si>
  <si>
    <t xml:space="preserve">ST-62999</t>
  </si>
  <si>
    <t xml:space="preserve">SH-9001307</t>
  </si>
  <si>
    <t xml:space="preserve">ST-13822</t>
  </si>
  <si>
    <t xml:space="preserve">SH-9001308</t>
  </si>
  <si>
    <t xml:space="preserve">ST-36058</t>
  </si>
  <si>
    <t xml:space="preserve">SH-9001309</t>
  </si>
  <si>
    <t xml:space="preserve">ST-95963</t>
  </si>
  <si>
    <t xml:space="preserve">SH-9001310</t>
  </si>
  <si>
    <t xml:space="preserve">ST-89480</t>
  </si>
  <si>
    <t xml:space="preserve">SH-9001311</t>
  </si>
  <si>
    <t xml:space="preserve">ST-74103</t>
  </si>
  <si>
    <t xml:space="preserve">SH-9001312</t>
  </si>
  <si>
    <t xml:space="preserve">ST-26418</t>
  </si>
  <si>
    <t xml:space="preserve">SH-9001313</t>
  </si>
  <si>
    <t xml:space="preserve">ST-75460</t>
  </si>
  <si>
    <t xml:space="preserve">SH-9001314</t>
  </si>
  <si>
    <t xml:space="preserve">ST-93361</t>
  </si>
  <si>
    <t xml:space="preserve">SH-9001315</t>
  </si>
  <si>
    <t xml:space="preserve">ST-93311</t>
  </si>
  <si>
    <t xml:space="preserve">SH-9001316</t>
  </si>
  <si>
    <t xml:space="preserve">ST-16569</t>
  </si>
  <si>
    <t xml:space="preserve">SH-9001317</t>
  </si>
  <si>
    <t xml:space="preserve">ST-26816</t>
  </si>
  <si>
    <t xml:space="preserve">SH-9001318</t>
  </si>
  <si>
    <t xml:space="preserve">ST-24807</t>
  </si>
  <si>
    <t xml:space="preserve">SH-9001319</t>
  </si>
  <si>
    <t xml:space="preserve">ST-69707</t>
  </si>
  <si>
    <t xml:space="preserve">SH-9001320</t>
  </si>
  <si>
    <t xml:space="preserve">ST-57740</t>
  </si>
  <si>
    <t xml:space="preserve">SH-9001321</t>
  </si>
  <si>
    <t xml:space="preserve">ST-83980</t>
  </si>
  <si>
    <t xml:space="preserve">SH-9001322</t>
  </si>
  <si>
    <t xml:space="preserve">SH-9001323</t>
  </si>
  <si>
    <t xml:space="preserve">ST-33620</t>
  </si>
  <si>
    <t xml:space="preserve">SH-9001324</t>
  </si>
  <si>
    <t xml:space="preserve">ST-68322</t>
  </si>
  <si>
    <t xml:space="preserve">SH-9001325</t>
  </si>
  <si>
    <t xml:space="preserve">ST-61410</t>
  </si>
  <si>
    <t xml:space="preserve">SH-9001326</t>
  </si>
  <si>
    <t xml:space="preserve">ST-27227</t>
  </si>
  <si>
    <t xml:space="preserve">SH-9001327</t>
  </si>
  <si>
    <t xml:space="preserve">ST-13831</t>
  </si>
  <si>
    <t xml:space="preserve">SH-9001328</t>
  </si>
  <si>
    <t xml:space="preserve">ST-72700</t>
  </si>
  <si>
    <t xml:space="preserve">SH-9001329</t>
  </si>
  <si>
    <t xml:space="preserve">ST-52473</t>
  </si>
  <si>
    <t xml:space="preserve">SH-9001330</t>
  </si>
  <si>
    <t xml:space="preserve">ST-52310</t>
  </si>
  <si>
    <t xml:space="preserve">SH-9001331</t>
  </si>
  <si>
    <t xml:space="preserve">ST-99196</t>
  </si>
  <si>
    <t xml:space="preserve">SH-9001332</t>
  </si>
  <si>
    <t xml:space="preserve">ST-94620</t>
  </si>
  <si>
    <t xml:space="preserve">SH-9001333</t>
  </si>
  <si>
    <t xml:space="preserve">ST-26188</t>
  </si>
  <si>
    <t xml:space="preserve">SH-9001334</t>
  </si>
  <si>
    <t xml:space="preserve">ST-58082</t>
  </si>
  <si>
    <t xml:space="preserve">SH-9001335</t>
  </si>
  <si>
    <t xml:space="preserve">ST-12496</t>
  </si>
  <si>
    <t xml:space="preserve">SH-9001336</t>
  </si>
  <si>
    <t xml:space="preserve">ST-89758</t>
  </si>
  <si>
    <t xml:space="preserve">SH-9001337</t>
  </si>
  <si>
    <t xml:space="preserve">ST-86020</t>
  </si>
  <si>
    <t xml:space="preserve">SH-9001338</t>
  </si>
  <si>
    <t xml:space="preserve">ST-90178</t>
  </si>
  <si>
    <t xml:space="preserve">SH-9001339</t>
  </si>
  <si>
    <t xml:space="preserve">ST-98969</t>
  </si>
  <si>
    <t xml:space="preserve">SH-9001340</t>
  </si>
  <si>
    <t xml:space="preserve">ST-43959</t>
  </si>
  <si>
    <t xml:space="preserve">SH-9001341</t>
  </si>
  <si>
    <t xml:space="preserve">ST-53943</t>
  </si>
  <si>
    <t xml:space="preserve">SH-9001342</t>
  </si>
  <si>
    <t xml:space="preserve">ST-26766</t>
  </si>
  <si>
    <t xml:space="preserve">SH-9001343</t>
  </si>
  <si>
    <t xml:space="preserve">ST-11447</t>
  </si>
  <si>
    <t xml:space="preserve">SH-9001344</t>
  </si>
  <si>
    <t xml:space="preserve">ST-30142</t>
  </si>
  <si>
    <t xml:space="preserve">SH-9001345</t>
  </si>
  <si>
    <t xml:space="preserve">ST-77268</t>
  </si>
  <si>
    <t xml:space="preserve">SH-9001346</t>
  </si>
  <si>
    <t xml:space="preserve">ST-34602</t>
  </si>
  <si>
    <t xml:space="preserve">SH-9001347</t>
  </si>
  <si>
    <t xml:space="preserve">ST-60128</t>
  </si>
  <si>
    <t xml:space="preserve">SH-9001348</t>
  </si>
  <si>
    <t xml:space="preserve">ST-53139</t>
  </si>
  <si>
    <t xml:space="preserve">SH-9001349</t>
  </si>
  <si>
    <t xml:space="preserve">ST-35317</t>
  </si>
  <si>
    <t xml:space="preserve">SH-9001350</t>
  </si>
  <si>
    <t xml:space="preserve">ST-33823</t>
  </si>
  <si>
    <t xml:space="preserve">SH-9001351</t>
  </si>
  <si>
    <t xml:space="preserve">ST-34578</t>
  </si>
  <si>
    <t xml:space="preserve">SH-9001352</t>
  </si>
  <si>
    <t xml:space="preserve">ST-17272</t>
  </si>
  <si>
    <t xml:space="preserve">SH-9001353</t>
  </si>
  <si>
    <t xml:space="preserve">ST-59090</t>
  </si>
  <si>
    <t xml:space="preserve">SH-9001354</t>
  </si>
  <si>
    <t xml:space="preserve">ST-35682</t>
  </si>
  <si>
    <t xml:space="preserve">SH-9001355</t>
  </si>
  <si>
    <t xml:space="preserve">ST-20003</t>
  </si>
  <si>
    <t xml:space="preserve">SH-9001356</t>
  </si>
  <si>
    <t xml:space="preserve">ST-62380</t>
  </si>
  <si>
    <t xml:space="preserve">SH-9001357</t>
  </si>
  <si>
    <t xml:space="preserve">ST-27493</t>
  </si>
  <si>
    <t xml:space="preserve">SH-9001358</t>
  </si>
  <si>
    <t xml:space="preserve">ST-76849</t>
  </si>
  <si>
    <t xml:space="preserve">SH-9001359</t>
  </si>
  <si>
    <t xml:space="preserve">ST-37301</t>
  </si>
  <si>
    <t xml:space="preserve">SH-9001360</t>
  </si>
  <si>
    <t xml:space="preserve">ST-64302</t>
  </si>
  <si>
    <t xml:space="preserve">SH-9001361</t>
  </si>
  <si>
    <t xml:space="preserve">SH-9001362</t>
  </si>
  <si>
    <t xml:space="preserve">ST-31979</t>
  </si>
  <si>
    <t xml:space="preserve">SH-9001363</t>
  </si>
  <si>
    <t xml:space="preserve">ST-21801</t>
  </si>
  <si>
    <t xml:space="preserve">SH-9001364</t>
  </si>
  <si>
    <t xml:space="preserve">ST-67459</t>
  </si>
  <si>
    <t xml:space="preserve">SH-9001365</t>
  </si>
  <si>
    <t xml:space="preserve">ST-87050</t>
  </si>
  <si>
    <t xml:space="preserve">SH-9001366</t>
  </si>
  <si>
    <t xml:space="preserve">ST-33091</t>
  </si>
  <si>
    <t xml:space="preserve">SH-9001367</t>
  </si>
  <si>
    <t xml:space="preserve">ST-27384</t>
  </si>
  <si>
    <t xml:space="preserve">SH-9001368</t>
  </si>
  <si>
    <t xml:space="preserve">ST-57783</t>
  </si>
  <si>
    <t xml:space="preserve">SH-9001369</t>
  </si>
  <si>
    <t xml:space="preserve">ST-77674</t>
  </si>
  <si>
    <t xml:space="preserve">SH-9001370</t>
  </si>
  <si>
    <t xml:space="preserve">ST-86373</t>
  </si>
  <si>
    <t xml:space="preserve">SH-9001371</t>
  </si>
  <si>
    <t xml:space="preserve">ST-43058</t>
  </si>
  <si>
    <t xml:space="preserve">SH-9001372</t>
  </si>
  <si>
    <t xml:space="preserve">ST-47037</t>
  </si>
  <si>
    <t xml:space="preserve">SH-9001373</t>
  </si>
  <si>
    <t xml:space="preserve">ST-44194</t>
  </si>
  <si>
    <t xml:space="preserve">SH-9001374</t>
  </si>
  <si>
    <t xml:space="preserve">ST-52788</t>
  </si>
  <si>
    <t xml:space="preserve">SH-9001375</t>
  </si>
  <si>
    <t xml:space="preserve">ST-72464</t>
  </si>
  <si>
    <t xml:space="preserve">SH-9001376</t>
  </si>
  <si>
    <t xml:space="preserve">ST-87007</t>
  </si>
  <si>
    <t xml:space="preserve">SH-9001377</t>
  </si>
  <si>
    <t xml:space="preserve">ST-47701</t>
  </si>
  <si>
    <t xml:space="preserve">SH-9001378</t>
  </si>
  <si>
    <t xml:space="preserve">ST-23818</t>
  </si>
  <si>
    <t xml:space="preserve">SH-9001379</t>
  </si>
  <si>
    <t xml:space="preserve">ST-68345</t>
  </si>
  <si>
    <t xml:space="preserve">SH-9001380</t>
  </si>
  <si>
    <t xml:space="preserve">ST-76689</t>
  </si>
  <si>
    <t xml:space="preserve">SH-9001381</t>
  </si>
  <si>
    <t xml:space="preserve">ST-87034</t>
  </si>
  <si>
    <t xml:space="preserve">SH-9001382</t>
  </si>
  <si>
    <t xml:space="preserve">ST-93583</t>
  </si>
  <si>
    <t xml:space="preserve">SH-9001383</t>
  </si>
  <si>
    <t xml:space="preserve">ST-35824</t>
  </si>
  <si>
    <t xml:space="preserve">SH-9001384</t>
  </si>
  <si>
    <t xml:space="preserve">ST-67193</t>
  </si>
  <si>
    <t xml:space="preserve">SH-9001385</t>
  </si>
  <si>
    <t xml:space="preserve">ST-58392</t>
  </si>
  <si>
    <t xml:space="preserve">SH-9001386</t>
  </si>
  <si>
    <t xml:space="preserve">ST-47376</t>
  </si>
  <si>
    <t xml:space="preserve">SH-9001387</t>
  </si>
  <si>
    <t xml:space="preserve">ST-91503</t>
  </si>
  <si>
    <t xml:space="preserve">SH-9001388</t>
  </si>
  <si>
    <t xml:space="preserve">ST-49588</t>
  </si>
  <si>
    <t xml:space="preserve">SH-9001389</t>
  </si>
  <si>
    <t xml:space="preserve">ST-72103</t>
  </si>
  <si>
    <t xml:space="preserve">SH-9001390</t>
  </si>
  <si>
    <t xml:space="preserve">ST-83888</t>
  </si>
  <si>
    <t xml:space="preserve">SH-9001391</t>
  </si>
  <si>
    <t xml:space="preserve">ST-25008</t>
  </si>
  <si>
    <t xml:space="preserve">SH-9001392</t>
  </si>
  <si>
    <t xml:space="preserve">ST-81918</t>
  </si>
  <si>
    <t xml:space="preserve">SH-9001393</t>
  </si>
  <si>
    <t xml:space="preserve">ST-55280</t>
  </si>
  <si>
    <t xml:space="preserve">SH-9001394</t>
  </si>
  <si>
    <t xml:space="preserve">ST-40844</t>
  </si>
  <si>
    <t xml:space="preserve">SH-9001395</t>
  </si>
  <si>
    <t xml:space="preserve">ST-99612</t>
  </si>
  <si>
    <t xml:space="preserve">SH-9001396</t>
  </si>
  <si>
    <t xml:space="preserve">ST-29067</t>
  </si>
  <si>
    <t xml:space="preserve">SH-9001397</t>
  </si>
  <si>
    <t xml:space="preserve">ST-79619</t>
  </si>
  <si>
    <t xml:space="preserve">SH-9001398</t>
  </si>
  <si>
    <t xml:space="preserve">ST-10781</t>
  </si>
  <si>
    <t xml:space="preserve">SH-9001399</t>
  </si>
  <si>
    <t xml:space="preserve">ST-71273</t>
  </si>
  <si>
    <t xml:space="preserve">SH-9001400</t>
  </si>
  <si>
    <t xml:space="preserve">ST-56987</t>
  </si>
  <si>
    <t xml:space="preserve">SH-9001401</t>
  </si>
  <si>
    <t xml:space="preserve">ST-19042</t>
  </si>
  <si>
    <t xml:space="preserve">SH-9001402</t>
  </si>
  <si>
    <t xml:space="preserve">ST-20860</t>
  </si>
  <si>
    <t xml:space="preserve">SH-9001403</t>
  </si>
  <si>
    <t xml:space="preserve">ST-27471</t>
  </si>
  <si>
    <t xml:space="preserve">SH-9001404</t>
  </si>
  <si>
    <t xml:space="preserve">ST-99707</t>
  </si>
  <si>
    <t xml:space="preserve">SH-9001405</t>
  </si>
  <si>
    <t xml:space="preserve">ST-43062</t>
  </si>
  <si>
    <t xml:space="preserve">SH-9001406</t>
  </si>
  <si>
    <t xml:space="preserve">ST-99480</t>
  </si>
  <si>
    <t xml:space="preserve">SH-9001407</t>
  </si>
  <si>
    <t xml:space="preserve">ST-58149</t>
  </si>
  <si>
    <t xml:space="preserve">SH-9001408</t>
  </si>
  <si>
    <t xml:space="preserve">ST-59716</t>
  </si>
  <si>
    <t xml:space="preserve">SH-9001409</t>
  </si>
  <si>
    <t xml:space="preserve">ST-63558</t>
  </si>
  <si>
    <t xml:space="preserve">SH-9001410</t>
  </si>
  <si>
    <t xml:space="preserve">ST-69486</t>
  </si>
  <si>
    <t xml:space="preserve">SH-9001411</t>
  </si>
  <si>
    <t xml:space="preserve">ST-67551</t>
  </si>
  <si>
    <t xml:space="preserve">SH-9001412</t>
  </si>
  <si>
    <t xml:space="preserve">ST-60233</t>
  </si>
  <si>
    <t xml:space="preserve">SH-9001413</t>
  </si>
  <si>
    <t xml:space="preserve">ST-60477</t>
  </si>
  <si>
    <t xml:space="preserve">SH-9001414</t>
  </si>
  <si>
    <t xml:space="preserve">ST-45701</t>
  </si>
  <si>
    <t xml:space="preserve">SH-9001415</t>
  </si>
  <si>
    <t xml:space="preserve">ST-86401</t>
  </si>
  <si>
    <t xml:space="preserve">SH-9001416</t>
  </si>
  <si>
    <t xml:space="preserve">ST-76118</t>
  </si>
  <si>
    <t xml:space="preserve">SH-9001417</t>
  </si>
  <si>
    <t xml:space="preserve">ST-94753</t>
  </si>
  <si>
    <t xml:space="preserve">SH-9001418</t>
  </si>
  <si>
    <t xml:space="preserve">ST-33940</t>
  </si>
  <si>
    <t xml:space="preserve">SH-9001419</t>
  </si>
  <si>
    <t xml:space="preserve">ST-43212</t>
  </si>
  <si>
    <t xml:space="preserve">SH-9001420</t>
  </si>
  <si>
    <t xml:space="preserve">ST-91916</t>
  </si>
  <si>
    <t xml:space="preserve">SH-9001421</t>
  </si>
  <si>
    <t xml:space="preserve">ST-20035</t>
  </si>
  <si>
    <t xml:space="preserve">SH-9001422</t>
  </si>
  <si>
    <t xml:space="preserve">ST-72799</t>
  </si>
  <si>
    <t xml:space="preserve">SH-9001423</t>
  </si>
  <si>
    <t xml:space="preserve">ST-18016</t>
  </si>
  <si>
    <t xml:space="preserve">SH-9001424</t>
  </si>
  <si>
    <t xml:space="preserve">ST-46013</t>
  </si>
  <si>
    <t xml:space="preserve">SH-9001425</t>
  </si>
  <si>
    <t xml:space="preserve">ST-24961</t>
  </si>
  <si>
    <t xml:space="preserve">SH-9001426</t>
  </si>
  <si>
    <t xml:space="preserve">ST-73651</t>
  </si>
  <si>
    <t xml:space="preserve">SH-9001427</t>
  </si>
  <si>
    <t xml:space="preserve">ST-66863</t>
  </si>
  <si>
    <t xml:space="preserve">SH-9001428</t>
  </si>
  <si>
    <t xml:space="preserve">ST-80326</t>
  </si>
  <si>
    <t xml:space="preserve">SH-9001429</t>
  </si>
  <si>
    <t xml:space="preserve">ST-93620</t>
  </si>
  <si>
    <t xml:space="preserve">SH-9001430</t>
  </si>
  <si>
    <t xml:space="preserve">ST-77024</t>
  </si>
  <si>
    <t xml:space="preserve">SH-9001431</t>
  </si>
  <si>
    <t xml:space="preserve">ST-99490</t>
  </si>
  <si>
    <t xml:space="preserve">SH-9001432</t>
  </si>
  <si>
    <t xml:space="preserve">ST-96255</t>
  </si>
  <si>
    <t xml:space="preserve">SH-9001433</t>
  </si>
  <si>
    <t xml:space="preserve">ST-18996</t>
  </si>
  <si>
    <t xml:space="preserve">SH-9001434</t>
  </si>
  <si>
    <t xml:space="preserve">ST-69272</t>
  </si>
  <si>
    <t xml:space="preserve">SH-9001435</t>
  </si>
  <si>
    <t xml:space="preserve">ST-82566</t>
  </si>
  <si>
    <t xml:space="preserve">SH-9001436</t>
  </si>
  <si>
    <t xml:space="preserve">ST-63460</t>
  </si>
  <si>
    <t xml:space="preserve">SH-9001437</t>
  </si>
  <si>
    <t xml:space="preserve">ST-14472</t>
  </si>
  <si>
    <t xml:space="preserve">SH-9001438</t>
  </si>
  <si>
    <t xml:space="preserve">ST-33935</t>
  </si>
  <si>
    <t xml:space="preserve">SH-9001439</t>
  </si>
  <si>
    <t xml:space="preserve">ST-26976</t>
  </si>
  <si>
    <t xml:space="preserve">SH-9001440</t>
  </si>
  <si>
    <t xml:space="preserve">ST-61957</t>
  </si>
  <si>
    <t xml:space="preserve">SH-9001441</t>
  </si>
  <si>
    <t xml:space="preserve">ST-50625</t>
  </si>
  <si>
    <t xml:space="preserve">SH-9001442</t>
  </si>
  <si>
    <t xml:space="preserve">ST-71518</t>
  </si>
  <si>
    <t xml:space="preserve">SH-9001443</t>
  </si>
  <si>
    <t xml:space="preserve">ST-70105</t>
  </si>
  <si>
    <t xml:space="preserve">SH-9001444</t>
  </si>
  <si>
    <t xml:space="preserve">ST-67324</t>
  </si>
  <si>
    <t xml:space="preserve">SH-9001445</t>
  </si>
  <si>
    <t xml:space="preserve">ST-99984</t>
  </si>
  <si>
    <t xml:space="preserve">SH-9001446</t>
  </si>
  <si>
    <t xml:space="preserve">ST-81130</t>
  </si>
  <si>
    <t xml:space="preserve">SH-9001447</t>
  </si>
  <si>
    <t xml:space="preserve">ST-64732</t>
  </si>
  <si>
    <t xml:space="preserve">SH-9001448</t>
  </si>
  <si>
    <t xml:space="preserve">ST-89713</t>
  </si>
  <si>
    <t xml:space="preserve">SH-9001449</t>
  </si>
  <si>
    <t xml:space="preserve">ST-86251</t>
  </si>
  <si>
    <t xml:space="preserve">SH-9001450</t>
  </si>
  <si>
    <t xml:space="preserve">ST-62673</t>
  </si>
  <si>
    <t xml:space="preserve">SH-9001451</t>
  </si>
  <si>
    <t xml:space="preserve">ST-70863</t>
  </si>
  <si>
    <t xml:space="preserve">SH-9001452</t>
  </si>
  <si>
    <t xml:space="preserve">ST-42626</t>
  </si>
  <si>
    <t xml:space="preserve">SH-9001453</t>
  </si>
  <si>
    <t xml:space="preserve">ST-26496</t>
  </si>
  <si>
    <t xml:space="preserve">SH-9001454</t>
  </si>
  <si>
    <t xml:space="preserve">ST-17138</t>
  </si>
  <si>
    <t xml:space="preserve">SH-9001455</t>
  </si>
  <si>
    <t xml:space="preserve">ST-84342</t>
  </si>
  <si>
    <t xml:space="preserve">SH-9001456</t>
  </si>
  <si>
    <t xml:space="preserve">ST-70957</t>
  </si>
  <si>
    <t xml:space="preserve">SH-9001457</t>
  </si>
  <si>
    <t xml:space="preserve">ST-24417</t>
  </si>
  <si>
    <t xml:space="preserve">SH-9001458</t>
  </si>
  <si>
    <t xml:space="preserve">ST-30361</t>
  </si>
  <si>
    <t xml:space="preserve">SH-9001459</t>
  </si>
  <si>
    <t xml:space="preserve">ST-52353</t>
  </si>
  <si>
    <t xml:space="preserve">SH-9001460</t>
  </si>
  <si>
    <t xml:space="preserve">ST-37544</t>
  </si>
  <si>
    <t xml:space="preserve">SH-9001461</t>
  </si>
  <si>
    <t xml:space="preserve">ST-19884</t>
  </si>
  <si>
    <t xml:space="preserve">SH-9001462</t>
  </si>
  <si>
    <t xml:space="preserve">ST-28478</t>
  </si>
  <si>
    <t xml:space="preserve">SH-9001463</t>
  </si>
  <si>
    <t xml:space="preserve">ST-91271</t>
  </si>
  <si>
    <t xml:space="preserve">SH-9001464</t>
  </si>
  <si>
    <t xml:space="preserve">ST-67716</t>
  </si>
  <si>
    <t xml:space="preserve">SH-9001465</t>
  </si>
  <si>
    <t xml:space="preserve">ST-37543</t>
  </si>
  <si>
    <t xml:space="preserve">SH-9001466</t>
  </si>
  <si>
    <t xml:space="preserve">ST-85538</t>
  </si>
  <si>
    <t xml:space="preserve">SH-9001467</t>
  </si>
  <si>
    <t xml:space="preserve">ST-64859</t>
  </si>
  <si>
    <t xml:space="preserve">SH-9001468</t>
  </si>
  <si>
    <t xml:space="preserve">ST-86835</t>
  </si>
  <si>
    <t xml:space="preserve">SH-9001469</t>
  </si>
  <si>
    <t xml:space="preserve">ST-65215</t>
  </si>
  <si>
    <t xml:space="preserve">SH-9001470</t>
  </si>
  <si>
    <t xml:space="preserve">ST-74247</t>
  </si>
  <si>
    <t xml:space="preserve">SH-9001471</t>
  </si>
  <si>
    <t xml:space="preserve">ST-43913</t>
  </si>
  <si>
    <t xml:space="preserve">SH-9001472</t>
  </si>
  <si>
    <t xml:space="preserve">ST-95492</t>
  </si>
  <si>
    <t xml:space="preserve">SH-9001473</t>
  </si>
  <si>
    <t xml:space="preserve">ST-78063</t>
  </si>
  <si>
    <t xml:space="preserve">SH-9001474</t>
  </si>
  <si>
    <t xml:space="preserve">SH-9001475</t>
  </si>
  <si>
    <t xml:space="preserve">ST-65392</t>
  </si>
  <si>
    <t xml:space="preserve">SH-9001476</t>
  </si>
  <si>
    <t xml:space="preserve">ST-12678</t>
  </si>
  <si>
    <t xml:space="preserve">SH-9001477</t>
  </si>
  <si>
    <t xml:space="preserve">ST-89449</t>
  </si>
  <si>
    <t xml:space="preserve">SH-9001478</t>
  </si>
  <si>
    <t xml:space="preserve">ST-57557</t>
  </si>
  <si>
    <t xml:space="preserve">SH-9001479</t>
  </si>
  <si>
    <t xml:space="preserve">ST-54765</t>
  </si>
  <si>
    <t xml:space="preserve">SH-9001480</t>
  </si>
  <si>
    <t xml:space="preserve">ST-58495</t>
  </si>
  <si>
    <t xml:space="preserve">SH-9001481</t>
  </si>
  <si>
    <t xml:space="preserve">ST-17646</t>
  </si>
  <si>
    <t xml:space="preserve">SH-9001482</t>
  </si>
  <si>
    <t xml:space="preserve">ST-25791</t>
  </si>
  <si>
    <t xml:space="preserve">SH-9001483</t>
  </si>
  <si>
    <t xml:space="preserve">ST-82207</t>
  </si>
  <si>
    <t xml:space="preserve">SH-9001484</t>
  </si>
  <si>
    <t xml:space="preserve">ST-27454</t>
  </si>
  <si>
    <t xml:space="preserve">SH-9001485</t>
  </si>
  <si>
    <t xml:space="preserve">ST-14470</t>
  </si>
  <si>
    <t xml:space="preserve">SH-9001486</t>
  </si>
  <si>
    <t xml:space="preserve">ST-80991</t>
  </si>
  <si>
    <t xml:space="preserve">SH-9001487</t>
  </si>
  <si>
    <t xml:space="preserve">ST-32183</t>
  </si>
  <si>
    <t xml:space="preserve">SH-9001488</t>
  </si>
  <si>
    <t xml:space="preserve">ST-93955</t>
  </si>
  <si>
    <t xml:space="preserve">SH-9001489</t>
  </si>
  <si>
    <t xml:space="preserve">ST-59182</t>
  </si>
  <si>
    <t xml:space="preserve">SH-9001490</t>
  </si>
  <si>
    <t xml:space="preserve">ST-21741</t>
  </si>
  <si>
    <t xml:space="preserve">SH-9001491</t>
  </si>
  <si>
    <t xml:space="preserve">ST-97841</t>
  </si>
  <si>
    <t xml:space="preserve">SH-9001492</t>
  </si>
  <si>
    <t xml:space="preserve">ST-10120</t>
  </si>
  <si>
    <t xml:space="preserve">SH-9001493</t>
  </si>
  <si>
    <t xml:space="preserve">ST-62341</t>
  </si>
  <si>
    <t xml:space="preserve">SH-9001494</t>
  </si>
  <si>
    <t xml:space="preserve">ST-22765</t>
  </si>
  <si>
    <t xml:space="preserve">SH-9001495</t>
  </si>
  <si>
    <t xml:space="preserve">ST-99467</t>
  </si>
  <si>
    <t xml:space="preserve">SH-9001496</t>
  </si>
  <si>
    <t xml:space="preserve">ST-74603</t>
  </si>
  <si>
    <t xml:space="preserve">SH-9001497</t>
  </si>
  <si>
    <t xml:space="preserve">ST-67929</t>
  </si>
  <si>
    <t xml:space="preserve">SH-9001498</t>
  </si>
  <si>
    <t xml:space="preserve">ST-94028</t>
  </si>
  <si>
    <t xml:space="preserve">SH-9001499</t>
  </si>
  <si>
    <t xml:space="preserve">ST-58655</t>
  </si>
  <si>
    <t xml:space="preserve">SH-9001500</t>
  </si>
  <si>
    <t xml:space="preserve">ST-30522</t>
  </si>
  <si>
    <t xml:space="preserve">SH-9001501</t>
  </si>
  <si>
    <t xml:space="preserve">ST-38653</t>
  </si>
  <si>
    <t xml:space="preserve">SH-9001502</t>
  </si>
  <si>
    <t xml:space="preserve">ST-17200</t>
  </si>
  <si>
    <t xml:space="preserve">SH-9001503</t>
  </si>
  <si>
    <t xml:space="preserve">ST-12927</t>
  </si>
  <si>
    <t xml:space="preserve">SH-9001504</t>
  </si>
  <si>
    <t xml:space="preserve">ST-82756</t>
  </si>
  <si>
    <t xml:space="preserve">SH-9001505</t>
  </si>
  <si>
    <t xml:space="preserve">ST-76371</t>
  </si>
  <si>
    <t xml:space="preserve">SH-9001506</t>
  </si>
  <si>
    <t xml:space="preserve">ST-69043</t>
  </si>
  <si>
    <t xml:space="preserve">SH-9001507</t>
  </si>
  <si>
    <t xml:space="preserve">ST-89839</t>
  </si>
  <si>
    <t xml:space="preserve">SH-9001508</t>
  </si>
  <si>
    <t xml:space="preserve">ST-20370</t>
  </si>
  <si>
    <t xml:space="preserve">SH-9001509</t>
  </si>
  <si>
    <t xml:space="preserve">ST-54246</t>
  </si>
  <si>
    <t xml:space="preserve">SH-9001510</t>
  </si>
  <si>
    <t xml:space="preserve">ST-26451</t>
  </si>
  <si>
    <t xml:space="preserve">SH-9001511</t>
  </si>
  <si>
    <t xml:space="preserve">ST-58881</t>
  </si>
  <si>
    <t xml:space="preserve">SH-9001512</t>
  </si>
  <si>
    <t xml:space="preserve">ST-29745</t>
  </si>
  <si>
    <t xml:space="preserve">SH-9001513</t>
  </si>
  <si>
    <t xml:space="preserve">ST-17561</t>
  </si>
  <si>
    <t xml:space="preserve">SH-9001514</t>
  </si>
  <si>
    <t xml:space="preserve">ST-78580</t>
  </si>
  <si>
    <t xml:space="preserve">SH-9001515</t>
  </si>
  <si>
    <t xml:space="preserve">ST-73797</t>
  </si>
  <si>
    <t xml:space="preserve">SH-9001516</t>
  </si>
  <si>
    <t xml:space="preserve">ST-64731</t>
  </si>
  <si>
    <t xml:space="preserve">SH-9001517</t>
  </si>
  <si>
    <t xml:space="preserve">ST-63579</t>
  </si>
  <si>
    <t xml:space="preserve">SH-9001518</t>
  </si>
  <si>
    <t xml:space="preserve">ST-52899</t>
  </si>
  <si>
    <t xml:space="preserve">SH-9001519</t>
  </si>
  <si>
    <t xml:space="preserve">ST-47482</t>
  </si>
  <si>
    <t xml:space="preserve">SH-9001520</t>
  </si>
  <si>
    <t xml:space="preserve">ST-82995</t>
  </si>
  <si>
    <t xml:space="preserve">SH-9001521</t>
  </si>
  <si>
    <t xml:space="preserve">ST-71664</t>
  </si>
  <si>
    <t xml:space="preserve">SH-9001522</t>
  </si>
  <si>
    <t xml:space="preserve">ST-41151</t>
  </si>
  <si>
    <t xml:space="preserve">SH-9001523</t>
  </si>
  <si>
    <t xml:space="preserve">ST-36020</t>
  </si>
  <si>
    <t xml:space="preserve">SH-9001524</t>
  </si>
  <si>
    <t xml:space="preserve">ST-78821</t>
  </si>
  <si>
    <t xml:space="preserve">SH-9001525</t>
  </si>
  <si>
    <t xml:space="preserve">ST-92943</t>
  </si>
  <si>
    <t xml:space="preserve">SH-9001526</t>
  </si>
  <si>
    <t xml:space="preserve">ST-70583</t>
  </si>
  <si>
    <t xml:space="preserve">SH-9001527</t>
  </si>
  <si>
    <t xml:space="preserve">ST-89026</t>
  </si>
  <si>
    <t xml:space="preserve">SH-9001528</t>
  </si>
  <si>
    <t xml:space="preserve">ST-24231</t>
  </si>
  <si>
    <t xml:space="preserve">SH-9001529</t>
  </si>
  <si>
    <t xml:space="preserve">ST-66942</t>
  </si>
  <si>
    <t xml:space="preserve">SH-9001530</t>
  </si>
  <si>
    <t xml:space="preserve">ST-92133</t>
  </si>
  <si>
    <t xml:space="preserve">SH-9001531</t>
  </si>
  <si>
    <t xml:space="preserve">ST-11107</t>
  </si>
  <si>
    <t xml:space="preserve">SH-9001532</t>
  </si>
  <si>
    <t xml:space="preserve">ST-29197</t>
  </si>
  <si>
    <t xml:space="preserve">SH-9001533</t>
  </si>
  <si>
    <t xml:space="preserve">ST-84143</t>
  </si>
  <si>
    <t xml:space="preserve">SH-9001534</t>
  </si>
  <si>
    <t xml:space="preserve">ST-19408</t>
  </si>
  <si>
    <t xml:space="preserve">SH-9001535</t>
  </si>
  <si>
    <t xml:space="preserve">ST-38612</t>
  </si>
  <si>
    <t xml:space="preserve">SH-9001536</t>
  </si>
  <si>
    <t xml:space="preserve">ST-71793</t>
  </si>
  <si>
    <t xml:space="preserve">SH-9001537</t>
  </si>
  <si>
    <t xml:space="preserve">ST-23264</t>
  </si>
  <si>
    <t xml:space="preserve">SH-9001538</t>
  </si>
  <si>
    <t xml:space="preserve">ST-73251</t>
  </si>
  <si>
    <t xml:space="preserve">SH-9001539</t>
  </si>
  <si>
    <t xml:space="preserve">ST-64250</t>
  </si>
  <si>
    <t xml:space="preserve">SH-9001540</t>
  </si>
  <si>
    <t xml:space="preserve">ST-69534</t>
  </si>
  <si>
    <t xml:space="preserve">SH-9001541</t>
  </si>
  <si>
    <t xml:space="preserve">ST-34441</t>
  </si>
  <si>
    <t xml:space="preserve">SH-9001542</t>
  </si>
  <si>
    <t xml:space="preserve">ST-76999</t>
  </si>
  <si>
    <t xml:space="preserve">SH-9001543</t>
  </si>
  <si>
    <t xml:space="preserve">ST-47130</t>
  </si>
  <si>
    <t xml:space="preserve">SH-9001544</t>
  </si>
  <si>
    <t xml:space="preserve">ST-67941</t>
  </si>
  <si>
    <t xml:space="preserve">SH-9001545</t>
  </si>
  <si>
    <t xml:space="preserve">ST-83472</t>
  </si>
  <si>
    <t xml:space="preserve">SH-9001546</t>
  </si>
  <si>
    <t xml:space="preserve">ST-34562</t>
  </si>
  <si>
    <t xml:space="preserve">SH-9001547</t>
  </si>
  <si>
    <t xml:space="preserve">SH-9001548</t>
  </si>
  <si>
    <t xml:space="preserve">ST-98207</t>
  </si>
  <si>
    <t xml:space="preserve">SH-9001549</t>
  </si>
  <si>
    <t xml:space="preserve">ST-55558</t>
  </si>
  <si>
    <t xml:space="preserve">SH-9001550</t>
  </si>
  <si>
    <t xml:space="preserve">ST-48962</t>
  </si>
  <si>
    <t xml:space="preserve">SH-9001551</t>
  </si>
  <si>
    <t xml:space="preserve">ST-64950</t>
  </si>
  <si>
    <t xml:space="preserve">SH-9001552</t>
  </si>
  <si>
    <t xml:space="preserve">ST-30353</t>
  </si>
  <si>
    <t xml:space="preserve">SH-9001553</t>
  </si>
  <si>
    <t xml:space="preserve">ST-37814</t>
  </si>
  <si>
    <t xml:space="preserve">SH-9001554</t>
  </si>
  <si>
    <t xml:space="preserve">ST-30641</t>
  </si>
  <si>
    <t xml:space="preserve">SH-9001555</t>
  </si>
  <si>
    <t xml:space="preserve">ST-53538</t>
  </si>
  <si>
    <t xml:space="preserve">SH-9001556</t>
  </si>
  <si>
    <t xml:space="preserve">ST-50717</t>
  </si>
  <si>
    <t xml:space="preserve">SH-9001557</t>
  </si>
  <si>
    <t xml:space="preserve">ST-60229</t>
  </si>
  <si>
    <t xml:space="preserve">SH-9001558</t>
  </si>
  <si>
    <t xml:space="preserve">ST-17587</t>
  </si>
  <si>
    <t xml:space="preserve">SH-9001559</t>
  </si>
  <si>
    <t xml:space="preserve">ST-42866</t>
  </si>
  <si>
    <t xml:space="preserve">SH-9001560</t>
  </si>
  <si>
    <t xml:space="preserve">ST-54261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</si>
</sst>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General"/>
    <numFmt numFmtId="167" formatCode="#,##0"/>
    <numFmt numFmtId="168" formatCode="0.00%"/>
    <numFmt numFmtId="169" formatCode="\£#,##0"/>
    <numFmt numFmtId="170" formatCode="0"/>
    <numFmt numFmtId="171" formatCode="dd/mm/yyyy"/>
    <numFmt numFmtId="172" formatCode="0.0"/>
    <numFmt numFmtId="173" formatCode="\+0.0%;\-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087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3087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9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5EB8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A49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 patternType="solid">
          <fgColor rgb="FF005E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4B183"/>
        </patternFill>
      </fill>
    </dxf>
    <dxf>
      <fill>
        <patternFill>
          <bgColor rgb="FFE2EFDA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499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05E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08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D5" s="5" t="s">
        <v>4</v>
      </c>
    </row>
    <row r="6" customFormat="false" ht="27.75" hidden="false" customHeight="true" outlineLevel="0" collapsed="false">
      <c r="A6" s="4" t="s">
        <v>5</v>
      </c>
      <c r="D6" s="5" t="s">
        <v>6</v>
      </c>
    </row>
    <row r="7" customFormat="false" ht="27.75" hidden="false" customHeight="true" outlineLevel="0" collapsed="false">
      <c r="A7" s="4" t="s">
        <v>7</v>
      </c>
      <c r="D7" s="5" t="s">
        <v>8</v>
      </c>
    </row>
    <row r="8" customFormat="false" ht="27.75" hidden="false" customHeight="true" outlineLevel="0" collapsed="false">
      <c r="A8" s="4" t="s">
        <v>9</v>
      </c>
      <c r="D8" s="5" t="s">
        <v>10</v>
      </c>
    </row>
    <row r="9" customFormat="false" ht="27.75" hidden="false" customHeight="true" outlineLevel="0" collapsed="false">
      <c r="A9" s="4" t="s">
        <v>11</v>
      </c>
      <c r="D9" s="5" t="s">
        <v>12</v>
      </c>
    </row>
    <row r="10" customFormat="false" ht="27.75" hidden="false" customHeight="true" outlineLevel="0" collapsed="false">
      <c r="A10" s="4" t="s">
        <v>13</v>
      </c>
      <c r="D10" s="5" t="s">
        <v>14</v>
      </c>
    </row>
    <row r="11" customFormat="false" ht="27.75" hidden="false" customHeight="true" outlineLevel="0" collapsed="false">
      <c r="A11" s="4" t="s">
        <v>15</v>
      </c>
      <c r="D11" s="5" t="s">
        <v>16</v>
      </c>
    </row>
    <row r="12" customFormat="false" ht="27.75" hidden="false" customHeight="true" outlineLevel="0" collapsed="false">
      <c r="A12" s="4" t="s">
        <v>17</v>
      </c>
      <c r="D12" s="5" t="s">
        <v>18</v>
      </c>
    </row>
    <row r="13" customFormat="false" ht="27.75" hidden="false" customHeight="true" outlineLevel="0" collapsed="false">
      <c r="A13" s="4" t="s">
        <v>19</v>
      </c>
      <c r="D13" s="5" t="s">
        <v>20</v>
      </c>
    </row>
    <row r="14" customFormat="false" ht="27.75" hidden="false" customHeight="true" outlineLevel="0" collapsed="false">
      <c r="A14" s="4" t="s">
        <v>21</v>
      </c>
      <c r="D14" s="5" t="s">
        <v>22</v>
      </c>
    </row>
    <row r="16" customFormat="false" ht="15" hidden="false" customHeight="false" outlineLevel="0" collapsed="false">
      <c r="A16" s="3" t="s">
        <v>23</v>
      </c>
    </row>
    <row r="17" customFormat="false" ht="23.85" hidden="false" customHeight="false" outlineLevel="0" collapsed="false">
      <c r="A17" s="6" t="s">
        <v>24</v>
      </c>
      <c r="B17" s="6" t="s">
        <v>25</v>
      </c>
      <c r="C17" s="6" t="s">
        <v>26</v>
      </c>
      <c r="D17" s="6" t="s">
        <v>27</v>
      </c>
    </row>
    <row r="18" customFormat="false" ht="27.75" hidden="false" customHeight="true" outlineLevel="0" collapsed="false">
      <c r="A18" s="7" t="s">
        <v>3</v>
      </c>
      <c r="B18" s="8" t="n">
        <f aca="false">Task_Workings!B52</f>
        <v>0.831351351351351</v>
      </c>
      <c r="C18" s="9" t="s">
        <v>28</v>
      </c>
      <c r="D18" s="7" t="s">
        <v>29</v>
      </c>
    </row>
    <row r="19" customFormat="false" ht="27.75" hidden="false" customHeight="true" outlineLevel="0" collapsed="false">
      <c r="A19" s="7" t="s">
        <v>30</v>
      </c>
      <c r="B19" s="8" t="n">
        <f aca="false">Task_Workings!B16</f>
        <v>0.139194139194139</v>
      </c>
      <c r="C19" s="9" t="s">
        <v>28</v>
      </c>
      <c r="D19" s="7" t="s">
        <v>31</v>
      </c>
    </row>
    <row r="20" customFormat="false" ht="27.75" hidden="false" customHeight="true" outlineLevel="0" collapsed="false">
      <c r="A20" s="7" t="s">
        <v>32</v>
      </c>
      <c r="B20" s="8" t="n">
        <f aca="false">1-Task_Workings!B25</f>
        <v>0.976666666666667</v>
      </c>
      <c r="C20" s="9" t="s">
        <v>33</v>
      </c>
      <c r="D20" s="7" t="s">
        <v>34</v>
      </c>
    </row>
    <row r="21" customFormat="false" ht="27.75" hidden="false" customHeight="true" outlineLevel="0" collapsed="false">
      <c r="A21" s="7" t="s">
        <v>35</v>
      </c>
      <c r="B21" s="8" t="n">
        <f aca="false">Task_Workings!B60</f>
        <v>0.656984785615491</v>
      </c>
      <c r="C21" s="9" t="s">
        <v>28</v>
      </c>
      <c r="D21" s="7" t="s">
        <v>36</v>
      </c>
    </row>
    <row r="22" customFormat="false" ht="27.75" hidden="false" customHeight="true" outlineLevel="0" collapsed="false">
      <c r="A22" s="7" t="s">
        <v>37</v>
      </c>
      <c r="B22" s="8" t="s">
        <v>38</v>
      </c>
      <c r="C22" s="9" t="s">
        <v>28</v>
      </c>
      <c r="D22" s="7" t="s">
        <v>39</v>
      </c>
    </row>
    <row r="23" customFormat="false" ht="27.75" hidden="false" customHeight="true" outlineLevel="0" collapsed="false">
      <c r="A23" s="7" t="s">
        <v>40</v>
      </c>
      <c r="B23" s="8" t="s">
        <v>41</v>
      </c>
      <c r="C23" s="9" t="s">
        <v>42</v>
      </c>
      <c r="D23" s="7" t="s">
        <v>43</v>
      </c>
    </row>
    <row r="24" customFormat="false" ht="27.75" hidden="false" customHeight="true" outlineLevel="0" collapsed="false">
      <c r="A24" s="7" t="s">
        <v>44</v>
      </c>
      <c r="B24" s="8" t="s">
        <v>45</v>
      </c>
      <c r="C24" s="9" t="s">
        <v>42</v>
      </c>
      <c r="D24" s="7" t="s">
        <v>46</v>
      </c>
    </row>
    <row r="25" customFormat="false" ht="27.75" hidden="false" customHeight="true" outlineLevel="0" collapsed="false">
      <c r="A25" s="7" t="s">
        <v>47</v>
      </c>
      <c r="B25" s="8" t="s">
        <v>48</v>
      </c>
      <c r="C25" s="9" t="s">
        <v>42</v>
      </c>
      <c r="D25" s="7" t="s">
        <v>49</v>
      </c>
    </row>
    <row r="26" customFormat="false" ht="27.75" hidden="false" customHeight="true" outlineLevel="0" collapsed="false">
      <c r="A26" s="7" t="s">
        <v>50</v>
      </c>
      <c r="B26" s="8" t="s">
        <v>51</v>
      </c>
      <c r="C26" s="9" t="s">
        <v>42</v>
      </c>
      <c r="D26" s="7" t="s">
        <v>52</v>
      </c>
    </row>
    <row r="28" customFormat="false" ht="15" hidden="false" customHeight="false" outlineLevel="0" collapsed="false">
      <c r="A28" s="3" t="s">
        <v>53</v>
      </c>
    </row>
    <row r="29" customFormat="false" ht="15" hidden="false" customHeight="false" outlineLevel="0" collapsed="false">
      <c r="A29" s="10" t="s">
        <v>54</v>
      </c>
      <c r="B29" s="10"/>
      <c r="C29" s="10"/>
      <c r="D29" s="10"/>
    </row>
    <row r="30" customFormat="false" ht="15" hidden="false" customHeight="false" outlineLevel="0" collapsed="false">
      <c r="A30" s="10" t="s">
        <v>55</v>
      </c>
      <c r="B30" s="10"/>
      <c r="C30" s="10"/>
      <c r="D30" s="10"/>
    </row>
    <row r="31" customFormat="false" ht="15" hidden="false" customHeight="false" outlineLevel="0" collapsed="false">
      <c r="A31" s="10" t="s">
        <v>56</v>
      </c>
      <c r="B31" s="10"/>
      <c r="C31" s="10"/>
      <c r="D31" s="10"/>
    </row>
    <row r="32" customFormat="false" ht="15" hidden="false" customHeight="false" outlineLevel="0" collapsed="false">
      <c r="A32" s="10" t="s">
        <v>57</v>
      </c>
      <c r="B32" s="10"/>
      <c r="C32" s="10"/>
      <c r="D32" s="10"/>
    </row>
    <row r="33" customFormat="false" ht="15" hidden="false" customHeight="false" outlineLevel="0" collapsed="false">
      <c r="A33" s="10" t="s">
        <v>58</v>
      </c>
      <c r="B33" s="10"/>
      <c r="C33" s="10"/>
      <c r="D33" s="10"/>
    </row>
    <row r="34" customFormat="false" ht="15" hidden="false" customHeight="false" outlineLevel="0" collapsed="false">
      <c r="A34" s="10" t="s">
        <v>59</v>
      </c>
      <c r="B34" s="10"/>
      <c r="C34" s="10"/>
      <c r="D34" s="10"/>
    </row>
    <row r="35" customFormat="false" ht="15" hidden="false" customHeight="false" outlineLevel="0" collapsed="false">
      <c r="A35" s="10" t="s">
        <v>60</v>
      </c>
      <c r="B35" s="10"/>
      <c r="C35" s="10"/>
      <c r="D35" s="10"/>
    </row>
  </sheetData>
  <mergeCells count="7">
    <mergeCell ref="A29:D29"/>
    <mergeCell ref="A30:D30"/>
    <mergeCell ref="A31:D31"/>
    <mergeCell ref="A32:D32"/>
    <mergeCell ref="A33:D33"/>
    <mergeCell ref="A34:D34"/>
    <mergeCell ref="A35:D35"/>
  </mergeCells>
  <conditionalFormatting sqref="C18:C26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4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6"/>
    <col collapsed="false" customWidth="true" hidden="false" outlineLevel="0" max="15" min="15" style="0" width="30"/>
    <col collapsed="false" customWidth="true" hidden="false" outlineLevel="0" max="16" min="16" style="0" width="16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6" t="s">
        <v>61</v>
      </c>
      <c r="B1" s="6" t="s">
        <v>62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  <c r="H1" s="6" t="s">
        <v>68</v>
      </c>
      <c r="I1" s="6" t="s">
        <v>69</v>
      </c>
      <c r="J1" s="6" t="s">
        <v>70</v>
      </c>
      <c r="K1" s="6" t="s">
        <v>71</v>
      </c>
      <c r="L1" s="6" t="s">
        <v>72</v>
      </c>
      <c r="M1" s="6" t="s">
        <v>73</v>
      </c>
      <c r="N1" s="6" t="s">
        <v>74</v>
      </c>
      <c r="O1" s="6" t="s">
        <v>75</v>
      </c>
      <c r="P1" s="6" t="s">
        <v>76</v>
      </c>
      <c r="Q1" s="6" t="s">
        <v>77</v>
      </c>
    </row>
    <row r="2" customFormat="false" ht="61.5" hidden="false" customHeight="true" outlineLevel="0" collapsed="false">
      <c r="A2" s="11" t="s">
        <v>78</v>
      </c>
      <c r="B2" s="9" t="s">
        <v>79</v>
      </c>
      <c r="C2" s="7" t="s">
        <v>80</v>
      </c>
      <c r="D2" s="7" t="s">
        <v>81</v>
      </c>
      <c r="E2" s="7" t="s">
        <v>82</v>
      </c>
      <c r="F2" s="7" t="s">
        <v>83</v>
      </c>
      <c r="G2" s="7" t="s">
        <v>84</v>
      </c>
      <c r="H2" s="11" t="n">
        <f aca="false">SUMPRODUCT(--(OP_Raw!J2:J581&lt;&gt;""),--ISERROR(MATCH(OP_Raw!J2:J581,{"ATT","DNA","CAN","REF"},0)))</f>
        <v>2</v>
      </c>
      <c r="I2" s="8" t="n">
        <f aca="false">H2/(COUNTA(OP_Raw!A:A)-1)</f>
        <v>0.00344827586206897</v>
      </c>
      <c r="J2" s="11" t="s">
        <v>85</v>
      </c>
      <c r="K2" s="7" t="s">
        <v>86</v>
      </c>
      <c r="L2" s="7" t="s">
        <v>87</v>
      </c>
      <c r="M2" s="7" t="s">
        <v>5</v>
      </c>
      <c r="N2" s="7" t="s">
        <v>88</v>
      </c>
      <c r="O2" s="7" t="s">
        <v>89</v>
      </c>
      <c r="P2" s="7" t="s">
        <v>90</v>
      </c>
      <c r="Q2" s="7" t="s">
        <v>91</v>
      </c>
    </row>
    <row r="3" customFormat="false" ht="61.5" hidden="false" customHeight="true" outlineLevel="0" collapsed="false">
      <c r="A3" s="11" t="s">
        <v>92</v>
      </c>
      <c r="B3" s="9" t="s">
        <v>93</v>
      </c>
      <c r="C3" s="7" t="s">
        <v>80</v>
      </c>
      <c r="D3" s="7" t="s">
        <v>81</v>
      </c>
      <c r="E3" s="7" t="s">
        <v>94</v>
      </c>
      <c r="F3" s="7" t="s">
        <v>95</v>
      </c>
      <c r="G3" s="7" t="s">
        <v>96</v>
      </c>
      <c r="H3" s="11" t="n">
        <f aca="false">SUMPRODUCT(--ISTEXT(OP_Raw!K2:K581))</f>
        <v>28</v>
      </c>
      <c r="I3" s="8" t="n">
        <f aca="false">H3/(COUNTA(OP_Raw!A:A)-1)</f>
        <v>0.0482758620689655</v>
      </c>
      <c r="J3" s="11" t="s">
        <v>85</v>
      </c>
      <c r="K3" s="7" t="s">
        <v>97</v>
      </c>
      <c r="L3" s="7" t="s">
        <v>98</v>
      </c>
      <c r="M3" s="7" t="s">
        <v>99</v>
      </c>
      <c r="N3" s="7" t="s">
        <v>100</v>
      </c>
      <c r="O3" s="7" t="s">
        <v>101</v>
      </c>
      <c r="P3" s="7" t="s">
        <v>102</v>
      </c>
      <c r="Q3" s="7" t="s">
        <v>91</v>
      </c>
    </row>
    <row r="4" customFormat="false" ht="61.5" hidden="false" customHeight="true" outlineLevel="0" collapsed="false">
      <c r="A4" s="11" t="s">
        <v>103</v>
      </c>
      <c r="B4" s="9" t="s">
        <v>93</v>
      </c>
      <c r="C4" s="7" t="s">
        <v>80</v>
      </c>
      <c r="D4" s="7" t="s">
        <v>81</v>
      </c>
      <c r="E4" s="7" t="s">
        <v>94</v>
      </c>
      <c r="F4" s="7" t="s">
        <v>104</v>
      </c>
      <c r="G4" s="7" t="s">
        <v>105</v>
      </c>
      <c r="H4" s="11" t="n">
        <f aca="false">COUNTIF(OP_Raw!K2:K581,"&lt;0")</f>
        <v>1</v>
      </c>
      <c r="I4" s="8" t="n">
        <f aca="false">H4/(COUNTA(OP_Raw!A:A)-1)</f>
        <v>0.00172413793103448</v>
      </c>
      <c r="J4" s="11" t="s">
        <v>85</v>
      </c>
      <c r="K4" s="7" t="s">
        <v>106</v>
      </c>
      <c r="L4" s="7" t="s">
        <v>107</v>
      </c>
      <c r="M4" s="7" t="s">
        <v>108</v>
      </c>
      <c r="N4" s="7" t="s">
        <v>109</v>
      </c>
      <c r="O4" s="7" t="s">
        <v>110</v>
      </c>
      <c r="P4" s="7" t="s">
        <v>111</v>
      </c>
      <c r="Q4" s="7" t="s">
        <v>112</v>
      </c>
    </row>
    <row r="5" customFormat="false" ht="61.5" hidden="false" customHeight="true" outlineLevel="0" collapsed="false">
      <c r="A5" s="11" t="s">
        <v>113</v>
      </c>
      <c r="B5" s="9" t="s">
        <v>114</v>
      </c>
      <c r="C5" s="7" t="s">
        <v>80</v>
      </c>
      <c r="D5" s="7" t="s">
        <v>81</v>
      </c>
      <c r="E5" s="7" t="s">
        <v>115</v>
      </c>
      <c r="F5" s="7" t="s">
        <v>116</v>
      </c>
      <c r="G5" s="7" t="s">
        <v>117</v>
      </c>
      <c r="H5" s="11" t="n">
        <f aca="false">COUNTBLANK(OP_Raw!B2:B581)</f>
        <v>3</v>
      </c>
      <c r="I5" s="8" t="n">
        <f aca="false">H5/(COUNTA(OP_Raw!A:A)-1)</f>
        <v>0.00517241379310345</v>
      </c>
      <c r="J5" s="11" t="s">
        <v>85</v>
      </c>
      <c r="K5" s="7" t="s">
        <v>118</v>
      </c>
      <c r="L5" s="7" t="s">
        <v>119</v>
      </c>
      <c r="M5" s="7" t="s">
        <v>120</v>
      </c>
      <c r="N5" s="7" t="s">
        <v>121</v>
      </c>
      <c r="O5" s="7" t="s">
        <v>122</v>
      </c>
      <c r="P5" s="7" t="s">
        <v>123</v>
      </c>
      <c r="Q5" s="7" t="s">
        <v>124</v>
      </c>
    </row>
    <row r="6" customFormat="false" ht="61.5" hidden="false" customHeight="true" outlineLevel="0" collapsed="false">
      <c r="A6" s="11" t="s">
        <v>125</v>
      </c>
      <c r="B6" s="9" t="s">
        <v>114</v>
      </c>
      <c r="C6" s="7" t="s">
        <v>80</v>
      </c>
      <c r="D6" s="7" t="s">
        <v>81</v>
      </c>
      <c r="E6" s="7" t="s">
        <v>115</v>
      </c>
      <c r="F6" s="7" t="s">
        <v>95</v>
      </c>
      <c r="G6" s="7" t="s">
        <v>126</v>
      </c>
      <c r="H6" s="11" t="n">
        <f aca="false">SUMPRODUCT(--(LEFT(OP_Raw!B2:B581,1)="0"))</f>
        <v>26</v>
      </c>
      <c r="I6" s="8" t="n">
        <f aca="false">H6/(COUNTA(OP_Raw!A:A)-1)</f>
        <v>0.0448275862068966</v>
      </c>
      <c r="J6" s="11" t="s">
        <v>85</v>
      </c>
      <c r="K6" s="7" t="s">
        <v>127</v>
      </c>
      <c r="L6" s="7" t="s">
        <v>128</v>
      </c>
      <c r="M6" s="7" t="s">
        <v>129</v>
      </c>
      <c r="N6" s="7" t="s">
        <v>130</v>
      </c>
      <c r="O6" s="7" t="s">
        <v>131</v>
      </c>
      <c r="P6" s="7" t="s">
        <v>132</v>
      </c>
      <c r="Q6" s="7" t="s">
        <v>91</v>
      </c>
    </row>
    <row r="7" customFormat="false" ht="61.5" hidden="false" customHeight="true" outlineLevel="0" collapsed="false">
      <c r="A7" s="11" t="s">
        <v>133</v>
      </c>
      <c r="B7" s="9" t="s">
        <v>134</v>
      </c>
      <c r="C7" s="7" t="s">
        <v>80</v>
      </c>
      <c r="D7" s="7" t="s">
        <v>81</v>
      </c>
      <c r="E7" s="7" t="s">
        <v>135</v>
      </c>
      <c r="F7" s="7" t="s">
        <v>83</v>
      </c>
      <c r="G7" s="7" t="s">
        <v>136</v>
      </c>
      <c r="H7" s="11" t="n">
        <f aca="false">COUNTIF(OP_Raw!E2:E581,"GEN")</f>
        <v>3</v>
      </c>
      <c r="I7" s="8" t="n">
        <f aca="false">H7/(COUNTA(OP_Raw!A:A)-1)</f>
        <v>0.00517241379310345</v>
      </c>
      <c r="J7" s="11" t="s">
        <v>85</v>
      </c>
      <c r="K7" s="7" t="s">
        <v>137</v>
      </c>
      <c r="L7" s="7" t="s">
        <v>119</v>
      </c>
      <c r="M7" s="7" t="s">
        <v>138</v>
      </c>
      <c r="N7" s="7" t="s">
        <v>139</v>
      </c>
      <c r="O7" s="7" t="s">
        <v>140</v>
      </c>
      <c r="P7" s="7" t="s">
        <v>132</v>
      </c>
      <c r="Q7" s="7" t="s">
        <v>91</v>
      </c>
    </row>
    <row r="8" customFormat="false" ht="61.5" hidden="false" customHeight="true" outlineLevel="0" collapsed="false">
      <c r="A8" s="11" t="s">
        <v>141</v>
      </c>
      <c r="B8" s="9" t="s">
        <v>142</v>
      </c>
      <c r="C8" s="7" t="s">
        <v>80</v>
      </c>
      <c r="D8" s="7" t="s">
        <v>81</v>
      </c>
      <c r="E8" s="7" t="s">
        <v>143</v>
      </c>
      <c r="F8" s="7" t="s">
        <v>83</v>
      </c>
      <c r="G8" s="7" t="s">
        <v>144</v>
      </c>
      <c r="H8" s="11" t="n">
        <f aca="false">COUNTIF(OP_Raw!G2:G581,"CL-OLD")+COUNTIF(OP_Raw!G2:G581,"CL-DEP")</f>
        <v>2</v>
      </c>
      <c r="I8" s="8" t="n">
        <f aca="false">H8/(COUNTA(OP_Raw!A:A)-1)</f>
        <v>0.00344827586206897</v>
      </c>
      <c r="J8" s="11" t="s">
        <v>145</v>
      </c>
      <c r="K8" s="7" t="s">
        <v>146</v>
      </c>
      <c r="L8" s="7" t="s">
        <v>147</v>
      </c>
      <c r="M8" s="7" t="s">
        <v>148</v>
      </c>
      <c r="N8" s="7" t="s">
        <v>149</v>
      </c>
      <c r="O8" s="7" t="s">
        <v>150</v>
      </c>
      <c r="P8" s="7" t="s">
        <v>123</v>
      </c>
      <c r="Q8" s="7" t="s">
        <v>151</v>
      </c>
    </row>
    <row r="9" customFormat="false" ht="61.5" hidden="false" customHeight="true" outlineLevel="0" collapsed="false">
      <c r="A9" s="11" t="s">
        <v>152</v>
      </c>
      <c r="B9" s="9" t="s">
        <v>142</v>
      </c>
      <c r="C9" s="7" t="s">
        <v>80</v>
      </c>
      <c r="D9" s="7" t="s">
        <v>81</v>
      </c>
      <c r="E9" s="7" t="s">
        <v>153</v>
      </c>
      <c r="F9" s="7" t="s">
        <v>116</v>
      </c>
      <c r="G9" s="7" t="s">
        <v>154</v>
      </c>
      <c r="H9" s="11" t="n">
        <f aca="false">COUNTBLANK(OP_Raw!F2:F581)</f>
        <v>5</v>
      </c>
      <c r="I9" s="8" t="n">
        <f aca="false">H9/(COUNTA(OP_Raw!A:A)-1)</f>
        <v>0.00862068965517241</v>
      </c>
      <c r="J9" s="11" t="s">
        <v>145</v>
      </c>
      <c r="K9" s="7" t="s">
        <v>155</v>
      </c>
      <c r="L9" s="7" t="s">
        <v>156</v>
      </c>
      <c r="M9" s="7" t="s">
        <v>157</v>
      </c>
      <c r="N9" s="7" t="s">
        <v>158</v>
      </c>
      <c r="O9" s="7" t="s">
        <v>159</v>
      </c>
      <c r="P9" s="7" t="s">
        <v>160</v>
      </c>
      <c r="Q9" s="7" t="s">
        <v>124</v>
      </c>
    </row>
    <row r="10" customFormat="false" ht="61.5" hidden="false" customHeight="true" outlineLevel="0" collapsed="false">
      <c r="A10" s="11" t="s">
        <v>161</v>
      </c>
      <c r="B10" s="9" t="s">
        <v>93</v>
      </c>
      <c r="C10" s="7" t="s">
        <v>80</v>
      </c>
      <c r="D10" s="7" t="s">
        <v>81</v>
      </c>
      <c r="E10" s="7" t="s">
        <v>162</v>
      </c>
      <c r="F10" s="7" t="s">
        <v>116</v>
      </c>
      <c r="G10" s="7" t="s">
        <v>163</v>
      </c>
      <c r="H10" s="11" t="n">
        <f aca="false">COUNTBLANK(OP_Raw!L2:L581)</f>
        <v>1</v>
      </c>
      <c r="I10" s="8" t="n">
        <f aca="false">H10/(COUNTA(OP_Raw!A:A)-1)</f>
        <v>0.00172413793103448</v>
      </c>
      <c r="J10" s="11" t="s">
        <v>85</v>
      </c>
      <c r="K10" s="7" t="s">
        <v>164</v>
      </c>
      <c r="L10" s="7" t="s">
        <v>165</v>
      </c>
      <c r="M10" s="7" t="s">
        <v>166</v>
      </c>
      <c r="N10" s="7" t="s">
        <v>167</v>
      </c>
      <c r="O10" s="7" t="s">
        <v>168</v>
      </c>
      <c r="P10" s="7" t="s">
        <v>111</v>
      </c>
      <c r="Q10" s="7" t="s">
        <v>124</v>
      </c>
    </row>
    <row r="11" customFormat="false" ht="61.5" hidden="false" customHeight="true" outlineLevel="0" collapsed="false">
      <c r="A11" s="11" t="s">
        <v>169</v>
      </c>
      <c r="B11" s="9" t="s">
        <v>142</v>
      </c>
      <c r="C11" s="7" t="s">
        <v>80</v>
      </c>
      <c r="D11" s="7" t="s">
        <v>81</v>
      </c>
      <c r="E11" s="7" t="s">
        <v>170</v>
      </c>
      <c r="F11" s="7" t="s">
        <v>83</v>
      </c>
      <c r="G11" s="7" t="s">
        <v>171</v>
      </c>
      <c r="H11" s="11" t="n">
        <f aca="false">COUNTIF(OP_Raw!N2:N581,"Other")</f>
        <v>1</v>
      </c>
      <c r="I11" s="8" t="n">
        <f aca="false">H11/(COUNTA(OP_Raw!A:A)-1)</f>
        <v>0.00172413793103448</v>
      </c>
      <c r="J11" s="11" t="s">
        <v>145</v>
      </c>
      <c r="K11" s="7" t="s">
        <v>172</v>
      </c>
      <c r="L11" s="7" t="s">
        <v>165</v>
      </c>
      <c r="M11" s="7" t="s">
        <v>173</v>
      </c>
      <c r="N11" s="7" t="s">
        <v>174</v>
      </c>
      <c r="O11" s="7" t="s">
        <v>175</v>
      </c>
      <c r="P11" s="7" t="s">
        <v>123</v>
      </c>
      <c r="Q11" s="7" t="s">
        <v>124</v>
      </c>
    </row>
    <row r="12" customFormat="false" ht="61.5" hidden="false" customHeight="true" outlineLevel="0" collapsed="false">
      <c r="A12" s="11" t="s">
        <v>176</v>
      </c>
      <c r="B12" s="9" t="s">
        <v>142</v>
      </c>
      <c r="C12" s="7" t="s">
        <v>80</v>
      </c>
      <c r="D12" s="7" t="s">
        <v>81</v>
      </c>
      <c r="E12" s="7" t="s">
        <v>177</v>
      </c>
      <c r="F12" s="7" t="s">
        <v>116</v>
      </c>
      <c r="G12" s="7" t="s">
        <v>178</v>
      </c>
      <c r="H12" s="11" t="n">
        <f aca="false">COUNTBLANK(OP_Raw!O2:O581)</f>
        <v>2</v>
      </c>
      <c r="I12" s="8" t="n">
        <f aca="false">H12/(COUNTA(OP_Raw!A:A)-1)</f>
        <v>0.00344827586206897</v>
      </c>
      <c r="J12" s="11" t="s">
        <v>145</v>
      </c>
      <c r="K12" s="7" t="s">
        <v>179</v>
      </c>
      <c r="L12" s="7" t="s">
        <v>180</v>
      </c>
      <c r="M12" s="7" t="s">
        <v>181</v>
      </c>
      <c r="N12" s="7" t="s">
        <v>182</v>
      </c>
      <c r="O12" s="7" t="s">
        <v>183</v>
      </c>
      <c r="P12" s="7" t="s">
        <v>123</v>
      </c>
      <c r="Q12" s="7" t="s">
        <v>124</v>
      </c>
    </row>
    <row r="13" customFormat="false" ht="61.5" hidden="false" customHeight="true" outlineLevel="0" collapsed="false">
      <c r="A13" s="11" t="s">
        <v>184</v>
      </c>
      <c r="B13" s="9" t="s">
        <v>79</v>
      </c>
      <c r="C13" s="7" t="s">
        <v>80</v>
      </c>
      <c r="D13" s="7" t="s">
        <v>81</v>
      </c>
      <c r="E13" s="7" t="s">
        <v>185</v>
      </c>
      <c r="F13" s="7" t="s">
        <v>186</v>
      </c>
      <c r="G13" s="7" t="s">
        <v>187</v>
      </c>
      <c r="H13" s="11" t="n">
        <f aca="false">COUNTIFS(OP_Raw!J2:J581,"DNA",OP_Raw!H2:H581,"&gt;="&amp;DATE(2025,1,1),OP_Raw!H2:H581,"&lt;"&amp;DATE(2025,2,1))</f>
        <v>49</v>
      </c>
      <c r="I13" s="8" t="n">
        <f aca="false">H13/(COUNTA(OP_Raw!A:A)-1)</f>
        <v>0.0844827586206897</v>
      </c>
      <c r="J13" s="11" t="s">
        <v>85</v>
      </c>
      <c r="K13" s="7" t="s">
        <v>188</v>
      </c>
      <c r="L13" s="7" t="s">
        <v>189</v>
      </c>
      <c r="M13" s="7" t="s">
        <v>5</v>
      </c>
      <c r="N13" s="7" t="s">
        <v>190</v>
      </c>
      <c r="O13" s="7" t="s">
        <v>191</v>
      </c>
      <c r="P13" s="7" t="s">
        <v>192</v>
      </c>
      <c r="Q13" s="7" t="s">
        <v>193</v>
      </c>
    </row>
    <row r="14" customFormat="false" ht="61.5" hidden="false" customHeight="true" outlineLevel="0" collapsed="false">
      <c r="A14" s="11" t="s">
        <v>194</v>
      </c>
      <c r="B14" s="9" t="s">
        <v>195</v>
      </c>
      <c r="C14" s="7" t="s">
        <v>80</v>
      </c>
      <c r="D14" s="7" t="s">
        <v>81</v>
      </c>
      <c r="E14" s="7" t="s">
        <v>196</v>
      </c>
      <c r="F14" s="7" t="s">
        <v>95</v>
      </c>
      <c r="G14" s="7" t="s">
        <v>197</v>
      </c>
      <c r="H14" s="11" t="n">
        <f aca="false">COUNTIF(OP_Raw!I2:I581,"TBC")</f>
        <v>1</v>
      </c>
      <c r="I14" s="8" t="n">
        <f aca="false">H14/(COUNTA(OP_Raw!A:A)-1)</f>
        <v>0.00172413793103448</v>
      </c>
      <c r="J14" s="11" t="s">
        <v>145</v>
      </c>
      <c r="K14" s="7" t="s">
        <v>198</v>
      </c>
      <c r="L14" s="7" t="s">
        <v>165</v>
      </c>
      <c r="M14" s="7" t="s">
        <v>199</v>
      </c>
      <c r="N14" s="7" t="s">
        <v>200</v>
      </c>
      <c r="O14" s="7" t="s">
        <v>201</v>
      </c>
      <c r="P14" s="7" t="s">
        <v>123</v>
      </c>
      <c r="Q14" s="7" t="s">
        <v>124</v>
      </c>
    </row>
    <row r="15" customFormat="false" ht="61.5" hidden="false" customHeight="true" outlineLevel="0" collapsed="false">
      <c r="A15" s="11" t="s">
        <v>202</v>
      </c>
      <c r="B15" s="9" t="s">
        <v>203</v>
      </c>
      <c r="C15" s="7" t="s">
        <v>80</v>
      </c>
      <c r="D15" s="7" t="s">
        <v>81</v>
      </c>
      <c r="E15" s="7" t="s">
        <v>204</v>
      </c>
      <c r="F15" s="7" t="s">
        <v>205</v>
      </c>
      <c r="G15" s="7" t="s">
        <v>206</v>
      </c>
      <c r="H15" s="11" t="n">
        <f aca="false">ROWS(OP_Raw!A2:A581)-SUMPRODUCT(1/COUNTIF(OP_Raw!A2:A581,OP_Raw!A2:A581))</f>
        <v>0</v>
      </c>
      <c r="I15" s="8" t="n">
        <f aca="false">H15/(COUNTA(OP_Raw!A:A)-1)</f>
        <v>0</v>
      </c>
      <c r="J15" s="11" t="s">
        <v>207</v>
      </c>
      <c r="K15" s="7" t="s">
        <v>208</v>
      </c>
      <c r="L15" s="7" t="s">
        <v>209</v>
      </c>
      <c r="M15" s="7" t="s">
        <v>210</v>
      </c>
      <c r="N15" s="7" t="s">
        <v>211</v>
      </c>
      <c r="O15" s="7" t="s">
        <v>212</v>
      </c>
      <c r="P15" s="7" t="s">
        <v>213</v>
      </c>
      <c r="Q15" s="7" t="s">
        <v>214</v>
      </c>
    </row>
    <row r="16" customFormat="false" ht="61.5" hidden="false" customHeight="true" outlineLevel="0" collapsed="false">
      <c r="A16" s="11" t="s">
        <v>215</v>
      </c>
      <c r="B16" s="9" t="s">
        <v>142</v>
      </c>
      <c r="C16" s="7" t="s">
        <v>216</v>
      </c>
      <c r="D16" s="7" t="s">
        <v>217</v>
      </c>
      <c r="E16" s="7" t="s">
        <v>218</v>
      </c>
      <c r="F16" s="7" t="s">
        <v>205</v>
      </c>
      <c r="G16" s="7" t="s">
        <v>219</v>
      </c>
      <c r="H16" s="11" t="n">
        <f aca="false">ROWS(IP_Raw!A2:A1207)-SUMPRODUCT(1/COUNTIF(IP_Raw!A2:A1207,IP_Raw!A2:A1207))</f>
        <v>6</v>
      </c>
      <c r="I16" s="8" t="n">
        <f aca="false">H16/(COUNTA(IP_Raw!A:A)-1)</f>
        <v>0.00497512437810945</v>
      </c>
      <c r="J16" s="11" t="s">
        <v>85</v>
      </c>
      <c r="K16" s="7" t="s">
        <v>220</v>
      </c>
      <c r="L16" s="7" t="s">
        <v>221</v>
      </c>
      <c r="M16" s="7" t="s">
        <v>222</v>
      </c>
      <c r="N16" s="7" t="s">
        <v>223</v>
      </c>
      <c r="O16" s="7" t="s">
        <v>224</v>
      </c>
      <c r="P16" s="7" t="s">
        <v>132</v>
      </c>
      <c r="Q16" s="7" t="s">
        <v>91</v>
      </c>
    </row>
    <row r="17" customFormat="false" ht="61.5" hidden="false" customHeight="true" outlineLevel="0" collapsed="false">
      <c r="A17" s="11" t="s">
        <v>225</v>
      </c>
      <c r="B17" s="9" t="s">
        <v>226</v>
      </c>
      <c r="C17" s="7" t="s">
        <v>216</v>
      </c>
      <c r="D17" s="7" t="s">
        <v>217</v>
      </c>
      <c r="E17" s="7" t="s">
        <v>227</v>
      </c>
      <c r="F17" s="7" t="s">
        <v>116</v>
      </c>
      <c r="G17" s="7" t="s">
        <v>228</v>
      </c>
      <c r="H17" s="11" t="n">
        <f aca="false">COUNTBLANK(IP_Raw!M2:M1207)</f>
        <v>28</v>
      </c>
      <c r="I17" s="8" t="n">
        <f aca="false">H17/(COUNTA(IP_Raw!A:A)-1)</f>
        <v>0.0232172470978441</v>
      </c>
      <c r="J17" s="11" t="s">
        <v>229</v>
      </c>
      <c r="K17" s="7" t="s">
        <v>230</v>
      </c>
      <c r="L17" s="7" t="s">
        <v>231</v>
      </c>
      <c r="M17" s="7" t="s">
        <v>232</v>
      </c>
      <c r="N17" s="7" t="s">
        <v>233</v>
      </c>
      <c r="O17" s="7" t="s">
        <v>234</v>
      </c>
      <c r="P17" s="7" t="s">
        <v>235</v>
      </c>
      <c r="Q17" s="7" t="s">
        <v>124</v>
      </c>
    </row>
    <row r="18" customFormat="false" ht="61.5" hidden="false" customHeight="true" outlineLevel="0" collapsed="false">
      <c r="A18" s="11" t="s">
        <v>236</v>
      </c>
      <c r="B18" s="9" t="s">
        <v>142</v>
      </c>
      <c r="C18" s="7" t="s">
        <v>216</v>
      </c>
      <c r="D18" s="7" t="s">
        <v>217</v>
      </c>
      <c r="E18" s="7" t="s">
        <v>237</v>
      </c>
      <c r="F18" s="7" t="s">
        <v>116</v>
      </c>
      <c r="G18" s="7" t="s">
        <v>238</v>
      </c>
      <c r="H18" s="11" t="n">
        <f aca="false">COUNTBLANK(IP_Raw!L2:L1207)</f>
        <v>44</v>
      </c>
      <c r="I18" s="8" t="n">
        <f aca="false">H18/(COUNTA(IP_Raw!A:A)-1)</f>
        <v>0.0364842454394693</v>
      </c>
      <c r="J18" s="11" t="s">
        <v>85</v>
      </c>
      <c r="K18" s="7" t="s">
        <v>239</v>
      </c>
      <c r="L18" s="7" t="s">
        <v>240</v>
      </c>
      <c r="M18" s="7" t="s">
        <v>241</v>
      </c>
      <c r="N18" s="7" t="s">
        <v>242</v>
      </c>
      <c r="O18" s="7" t="s">
        <v>243</v>
      </c>
      <c r="P18" s="7" t="s">
        <v>244</v>
      </c>
      <c r="Q18" s="7" t="s">
        <v>124</v>
      </c>
    </row>
    <row r="19" customFormat="false" ht="61.5" hidden="false" customHeight="true" outlineLevel="0" collapsed="false">
      <c r="A19" s="11" t="s">
        <v>245</v>
      </c>
      <c r="B19" s="9" t="s">
        <v>195</v>
      </c>
      <c r="C19" s="7" t="s">
        <v>216</v>
      </c>
      <c r="D19" s="7" t="s">
        <v>217</v>
      </c>
      <c r="E19" s="7" t="s">
        <v>246</v>
      </c>
      <c r="F19" s="7" t="s">
        <v>116</v>
      </c>
      <c r="G19" s="7" t="s">
        <v>247</v>
      </c>
      <c r="H19" s="11" t="n">
        <f aca="false">COUNTBLANK(IP_Raw!I2:I1207)</f>
        <v>31</v>
      </c>
      <c r="I19" s="8" t="n">
        <f aca="false">H19/(COUNTA(IP_Raw!A:A)-1)</f>
        <v>0.0257048092868988</v>
      </c>
      <c r="J19" s="11" t="s">
        <v>85</v>
      </c>
      <c r="K19" s="7" t="s">
        <v>248</v>
      </c>
      <c r="L19" s="7" t="s">
        <v>249</v>
      </c>
      <c r="M19" s="7" t="s">
        <v>250</v>
      </c>
      <c r="N19" s="7" t="s">
        <v>251</v>
      </c>
      <c r="O19" s="7" t="s">
        <v>252</v>
      </c>
      <c r="P19" s="7" t="s">
        <v>253</v>
      </c>
      <c r="Q19" s="7" t="s">
        <v>124</v>
      </c>
    </row>
    <row r="20" customFormat="false" ht="61.5" hidden="false" customHeight="true" outlineLevel="0" collapsed="false">
      <c r="A20" s="11" t="s">
        <v>254</v>
      </c>
      <c r="B20" s="9" t="s">
        <v>195</v>
      </c>
      <c r="C20" s="7" t="s">
        <v>216</v>
      </c>
      <c r="D20" s="7" t="s">
        <v>217</v>
      </c>
      <c r="E20" s="7" t="s">
        <v>255</v>
      </c>
      <c r="F20" s="7" t="s">
        <v>95</v>
      </c>
      <c r="G20" s="7" t="s">
        <v>256</v>
      </c>
      <c r="H20" s="11" t="n">
        <f aca="false">SUMPRODUCT(--ISTEXT(IP_Raw!I2:I1207))</f>
        <v>3</v>
      </c>
      <c r="I20" s="8" t="n">
        <f aca="false">H20/(COUNTA(IP_Raw!A:A)-1)</f>
        <v>0.00248756218905473</v>
      </c>
      <c r="J20" s="11" t="s">
        <v>85</v>
      </c>
      <c r="K20" s="7" t="s">
        <v>257</v>
      </c>
      <c r="L20" s="7" t="s">
        <v>258</v>
      </c>
      <c r="M20" s="7" t="s">
        <v>259</v>
      </c>
      <c r="N20" s="7" t="s">
        <v>260</v>
      </c>
      <c r="O20" s="7" t="s">
        <v>261</v>
      </c>
      <c r="P20" s="7" t="s">
        <v>132</v>
      </c>
      <c r="Q20" s="7" t="s">
        <v>91</v>
      </c>
    </row>
    <row r="21" customFormat="false" ht="61.5" hidden="false" customHeight="true" outlineLevel="0" collapsed="false">
      <c r="A21" s="11" t="s">
        <v>262</v>
      </c>
      <c r="B21" s="9" t="s">
        <v>142</v>
      </c>
      <c r="C21" s="7" t="s">
        <v>216</v>
      </c>
      <c r="D21" s="7" t="s">
        <v>217</v>
      </c>
      <c r="E21" s="7" t="s">
        <v>263</v>
      </c>
      <c r="F21" s="7" t="s">
        <v>83</v>
      </c>
      <c r="G21" s="7" t="s">
        <v>264</v>
      </c>
      <c r="H21" s="11" t="n">
        <f aca="false">COUNTIF(IP_Raw!F2:F1207,"Elective")+COUNTIF(IP_Raw!F2:F1207,"emergency")</f>
        <v>13</v>
      </c>
      <c r="I21" s="8" t="n">
        <f aca="false">H21/(COUNTA(IP_Raw!A:A)-1)</f>
        <v>0.0107794361525705</v>
      </c>
      <c r="J21" s="11" t="s">
        <v>85</v>
      </c>
      <c r="K21" s="7" t="s">
        <v>265</v>
      </c>
      <c r="L21" s="7" t="s">
        <v>266</v>
      </c>
      <c r="M21" s="7" t="s">
        <v>267</v>
      </c>
      <c r="N21" s="7" t="s">
        <v>268</v>
      </c>
      <c r="O21" s="7" t="s">
        <v>269</v>
      </c>
      <c r="P21" s="7" t="s">
        <v>132</v>
      </c>
      <c r="Q21" s="7" t="s">
        <v>91</v>
      </c>
    </row>
    <row r="22" customFormat="false" ht="61.5" hidden="false" customHeight="true" outlineLevel="0" collapsed="false">
      <c r="A22" s="11" t="s">
        <v>270</v>
      </c>
      <c r="B22" s="9" t="s">
        <v>142</v>
      </c>
      <c r="C22" s="7" t="s">
        <v>216</v>
      </c>
      <c r="D22" s="7" t="s">
        <v>217</v>
      </c>
      <c r="E22" s="7" t="s">
        <v>271</v>
      </c>
      <c r="F22" s="7" t="s">
        <v>83</v>
      </c>
      <c r="G22" s="7" t="s">
        <v>272</v>
      </c>
      <c r="H22" s="11" t="n">
        <f aca="false">COUNTIF(IP_Raw!J2:J1207,"Discharged")</f>
        <v>15</v>
      </c>
      <c r="I22" s="8" t="n">
        <f aca="false">H22/(COUNTA(IP_Raw!A:A)-1)</f>
        <v>0.0124378109452736</v>
      </c>
      <c r="J22" s="11" t="s">
        <v>145</v>
      </c>
      <c r="K22" s="7" t="s">
        <v>273</v>
      </c>
      <c r="L22" s="7" t="s">
        <v>274</v>
      </c>
      <c r="M22" s="7" t="s">
        <v>275</v>
      </c>
      <c r="N22" s="7" t="s">
        <v>276</v>
      </c>
      <c r="O22" s="7" t="s">
        <v>175</v>
      </c>
      <c r="P22" s="7" t="s">
        <v>253</v>
      </c>
      <c r="Q22" s="7" t="s">
        <v>124</v>
      </c>
    </row>
    <row r="23" customFormat="false" ht="61.5" hidden="false" customHeight="true" outlineLevel="0" collapsed="false">
      <c r="A23" s="11" t="s">
        <v>277</v>
      </c>
      <c r="B23" s="9" t="s">
        <v>142</v>
      </c>
      <c r="C23" s="7" t="s">
        <v>216</v>
      </c>
      <c r="D23" s="7" t="s">
        <v>217</v>
      </c>
      <c r="E23" s="7" t="s">
        <v>278</v>
      </c>
      <c r="F23" s="7" t="s">
        <v>83</v>
      </c>
      <c r="G23" s="7" t="s">
        <v>279</v>
      </c>
      <c r="H23" s="11" t="n">
        <f aca="false">COUNTIF(IP_Raw!G2:G1207,"W-08")</f>
        <v>3</v>
      </c>
      <c r="I23" s="8" t="n">
        <f aca="false">H23/(COUNTA(IP_Raw!A:A)-1)</f>
        <v>0.00248756218905473</v>
      </c>
      <c r="J23" s="11" t="s">
        <v>85</v>
      </c>
      <c r="K23" s="7" t="s">
        <v>280</v>
      </c>
      <c r="L23" s="7" t="s">
        <v>119</v>
      </c>
      <c r="M23" s="7" t="s">
        <v>281</v>
      </c>
      <c r="N23" s="7" t="s">
        <v>282</v>
      </c>
      <c r="O23" s="7" t="s">
        <v>283</v>
      </c>
      <c r="P23" s="7" t="s">
        <v>132</v>
      </c>
      <c r="Q23" s="7" t="s">
        <v>124</v>
      </c>
    </row>
    <row r="24" customFormat="false" ht="61.5" hidden="false" customHeight="true" outlineLevel="0" collapsed="false">
      <c r="A24" s="11" t="s">
        <v>284</v>
      </c>
      <c r="B24" s="9" t="s">
        <v>134</v>
      </c>
      <c r="C24" s="7" t="s">
        <v>216</v>
      </c>
      <c r="D24" s="7" t="s">
        <v>217</v>
      </c>
      <c r="E24" s="7" t="s">
        <v>135</v>
      </c>
      <c r="F24" s="7" t="s">
        <v>83</v>
      </c>
      <c r="G24" s="7" t="s">
        <v>285</v>
      </c>
      <c r="H24" s="11" t="n">
        <f aca="false">COUNTIF(IP_Raw!H2:H1207,"GEN")</f>
        <v>10</v>
      </c>
      <c r="I24" s="8" t="n">
        <f aca="false">H24/(COUNTA(IP_Raw!A:A)-1)</f>
        <v>0.00829187396351576</v>
      </c>
      <c r="J24" s="11" t="s">
        <v>85</v>
      </c>
      <c r="K24" s="7" t="s">
        <v>286</v>
      </c>
      <c r="L24" s="7" t="s">
        <v>287</v>
      </c>
      <c r="M24" s="7" t="s">
        <v>288</v>
      </c>
      <c r="N24" s="7" t="s">
        <v>289</v>
      </c>
      <c r="O24" s="7" t="s">
        <v>290</v>
      </c>
      <c r="P24" s="7" t="s">
        <v>132</v>
      </c>
      <c r="Q24" s="7" t="s">
        <v>91</v>
      </c>
    </row>
    <row r="25" customFormat="false" ht="61.5" hidden="false" customHeight="true" outlineLevel="0" collapsed="false">
      <c r="A25" s="11" t="s">
        <v>291</v>
      </c>
      <c r="B25" s="9" t="s">
        <v>142</v>
      </c>
      <c r="C25" s="7" t="s">
        <v>216</v>
      </c>
      <c r="D25" s="7" t="s">
        <v>217</v>
      </c>
      <c r="E25" s="7" t="s">
        <v>292</v>
      </c>
      <c r="F25" s="7" t="s">
        <v>104</v>
      </c>
      <c r="G25" s="7" t="s">
        <v>293</v>
      </c>
      <c r="H25" s="11" t="n">
        <f aca="false">COUNTIF(IP_Raw!K2:K1207,"&lt;0")</f>
        <v>6</v>
      </c>
      <c r="I25" s="8" t="n">
        <f aca="false">H25/(COUNTA(IP_Raw!A:A)-1)</f>
        <v>0.00497512437810945</v>
      </c>
      <c r="J25" s="11" t="s">
        <v>85</v>
      </c>
      <c r="K25" s="7" t="s">
        <v>294</v>
      </c>
      <c r="L25" s="7" t="s">
        <v>295</v>
      </c>
      <c r="M25" s="7" t="s">
        <v>296</v>
      </c>
      <c r="N25" s="7" t="s">
        <v>297</v>
      </c>
      <c r="O25" s="7" t="s">
        <v>298</v>
      </c>
      <c r="P25" s="7" t="s">
        <v>132</v>
      </c>
      <c r="Q25" s="7" t="s">
        <v>91</v>
      </c>
    </row>
    <row r="26" customFormat="false" ht="61.5" hidden="false" customHeight="true" outlineLevel="0" collapsed="false">
      <c r="A26" s="11" t="s">
        <v>299</v>
      </c>
      <c r="B26" s="9" t="s">
        <v>142</v>
      </c>
      <c r="C26" s="7" t="s">
        <v>216</v>
      </c>
      <c r="D26" s="7" t="s">
        <v>217</v>
      </c>
      <c r="E26" s="7" t="s">
        <v>300</v>
      </c>
      <c r="F26" s="7" t="s">
        <v>104</v>
      </c>
      <c r="G26" s="7" t="s">
        <v>301</v>
      </c>
      <c r="H26" s="11" t="n">
        <f aca="false">SUMPRODUCT(--(IP_Raw!K2:K1207&lt;&gt;""),--(IP_Raw!K2:K1207&lt;&gt;IP_Raw!N2:N1207))</f>
        <v>34</v>
      </c>
      <c r="I26" s="8" t="n">
        <f aca="false">H26/(COUNTA(IP_Raw!A:A)-1)</f>
        <v>0.0281923714759536</v>
      </c>
      <c r="J26" s="11" t="s">
        <v>145</v>
      </c>
      <c r="K26" s="7" t="s">
        <v>302</v>
      </c>
      <c r="L26" s="7" t="s">
        <v>303</v>
      </c>
      <c r="M26" s="7" t="s">
        <v>304</v>
      </c>
      <c r="N26" s="7" t="s">
        <v>305</v>
      </c>
      <c r="O26" s="7" t="s">
        <v>306</v>
      </c>
      <c r="P26" s="7" t="s">
        <v>132</v>
      </c>
      <c r="Q26" s="7" t="s">
        <v>307</v>
      </c>
    </row>
    <row r="27" customFormat="false" ht="61.5" hidden="false" customHeight="true" outlineLevel="0" collapsed="false">
      <c r="A27" s="11" t="s">
        <v>308</v>
      </c>
      <c r="B27" s="9" t="s">
        <v>114</v>
      </c>
      <c r="C27" s="7" t="s">
        <v>216</v>
      </c>
      <c r="D27" s="7" t="s">
        <v>217</v>
      </c>
      <c r="E27" s="7" t="s">
        <v>115</v>
      </c>
      <c r="F27" s="7" t="s">
        <v>116</v>
      </c>
      <c r="G27" s="7" t="s">
        <v>117</v>
      </c>
      <c r="H27" s="11" t="n">
        <f aca="false">COUNTBLANK(IP_Raw!B2:B1207)</f>
        <v>20</v>
      </c>
      <c r="I27" s="8" t="n">
        <f aca="false">H27/(COUNTA(IP_Raw!A:A)-1)</f>
        <v>0.0165837479270315</v>
      </c>
      <c r="J27" s="11" t="s">
        <v>85</v>
      </c>
      <c r="K27" s="7" t="s">
        <v>309</v>
      </c>
      <c r="L27" s="7" t="s">
        <v>310</v>
      </c>
      <c r="M27" s="7" t="s">
        <v>311</v>
      </c>
      <c r="N27" s="7" t="s">
        <v>312</v>
      </c>
      <c r="O27" s="7" t="s">
        <v>313</v>
      </c>
      <c r="P27" s="7" t="s">
        <v>253</v>
      </c>
      <c r="Q27" s="7" t="s">
        <v>124</v>
      </c>
    </row>
    <row r="28" customFormat="false" ht="61.5" hidden="false" customHeight="true" outlineLevel="0" collapsed="false">
      <c r="A28" s="11" t="s">
        <v>314</v>
      </c>
      <c r="B28" s="9" t="s">
        <v>114</v>
      </c>
      <c r="C28" s="7" t="s">
        <v>216</v>
      </c>
      <c r="D28" s="7" t="s">
        <v>217</v>
      </c>
      <c r="E28" s="7" t="s">
        <v>115</v>
      </c>
      <c r="F28" s="7" t="s">
        <v>95</v>
      </c>
      <c r="G28" s="7" t="s">
        <v>315</v>
      </c>
      <c r="H28" s="11" t="n">
        <f aca="false">SUMPRODUCT(--(LEFT(IP_Raw!B2:B1207,1)="0"))</f>
        <v>95</v>
      </c>
      <c r="I28" s="8" t="n">
        <f aca="false">H28/(COUNTA(IP_Raw!A:A)-1)</f>
        <v>0.0787728026533997</v>
      </c>
      <c r="J28" s="11" t="s">
        <v>85</v>
      </c>
      <c r="K28" s="7" t="s">
        <v>316</v>
      </c>
      <c r="L28" s="7" t="s">
        <v>317</v>
      </c>
      <c r="M28" s="7" t="s">
        <v>311</v>
      </c>
      <c r="N28" s="7" t="s">
        <v>318</v>
      </c>
      <c r="O28" s="7" t="s">
        <v>319</v>
      </c>
      <c r="P28" s="7" t="s">
        <v>132</v>
      </c>
      <c r="Q28" s="7" t="s">
        <v>91</v>
      </c>
    </row>
    <row r="29" customFormat="false" ht="61.5" hidden="false" customHeight="true" outlineLevel="0" collapsed="false">
      <c r="A29" s="11" t="s">
        <v>320</v>
      </c>
      <c r="B29" s="9" t="s">
        <v>226</v>
      </c>
      <c r="C29" s="7" t="s">
        <v>216</v>
      </c>
      <c r="D29" s="7" t="s">
        <v>217</v>
      </c>
      <c r="E29" s="7" t="s">
        <v>321</v>
      </c>
      <c r="F29" s="7" t="s">
        <v>116</v>
      </c>
      <c r="G29" s="7" t="s">
        <v>322</v>
      </c>
      <c r="H29" s="11" t="n">
        <f aca="false">COUNTBLANK(IP_Raw!P2:P1207)</f>
        <v>27</v>
      </c>
      <c r="I29" s="8" t="n">
        <f aca="false">H29/(COUNTA(IP_Raw!A:A)-1)</f>
        <v>0.0223880597014925</v>
      </c>
      <c r="J29" s="11" t="s">
        <v>229</v>
      </c>
      <c r="K29" s="7" t="s">
        <v>323</v>
      </c>
      <c r="L29" s="7" t="s">
        <v>324</v>
      </c>
      <c r="M29" s="7" t="s">
        <v>325</v>
      </c>
      <c r="N29" s="7" t="s">
        <v>326</v>
      </c>
      <c r="O29" s="7" t="s">
        <v>327</v>
      </c>
      <c r="P29" s="7" t="s">
        <v>328</v>
      </c>
      <c r="Q29" s="7" t="s">
        <v>124</v>
      </c>
    </row>
    <row r="30" customFormat="false" ht="61.5" hidden="false" customHeight="true" outlineLevel="0" collapsed="false">
      <c r="A30" s="11" t="s">
        <v>329</v>
      </c>
      <c r="B30" s="9" t="s">
        <v>142</v>
      </c>
      <c r="C30" s="7" t="s">
        <v>330</v>
      </c>
      <c r="D30" s="7" t="s">
        <v>331</v>
      </c>
      <c r="E30" s="7" t="s">
        <v>332</v>
      </c>
      <c r="F30" s="7" t="s">
        <v>205</v>
      </c>
      <c r="G30" s="7" t="s">
        <v>333</v>
      </c>
      <c r="H30" s="11" t="n">
        <f aca="false">ROWS(ED_Raw!A2:A970)-SUMPRODUCT(1/COUNTIF(ED_Raw!A2:A970,ED_Raw!A2:A970))</f>
        <v>9</v>
      </c>
      <c r="I30" s="8" t="n">
        <f aca="false">H30/(COUNTA(ED_Raw!A:A)-1)</f>
        <v>0.00928792569659443</v>
      </c>
      <c r="J30" s="11" t="s">
        <v>229</v>
      </c>
      <c r="K30" s="7" t="s">
        <v>334</v>
      </c>
      <c r="L30" s="7" t="s">
        <v>335</v>
      </c>
      <c r="M30" s="7" t="s">
        <v>336</v>
      </c>
      <c r="N30" s="7" t="s">
        <v>337</v>
      </c>
      <c r="O30" s="7" t="s">
        <v>338</v>
      </c>
      <c r="P30" s="7" t="s">
        <v>132</v>
      </c>
      <c r="Q30" s="7" t="s">
        <v>91</v>
      </c>
    </row>
    <row r="31" customFormat="false" ht="61.5" hidden="false" customHeight="true" outlineLevel="0" collapsed="false">
      <c r="A31" s="11" t="s">
        <v>339</v>
      </c>
      <c r="B31" s="9" t="s">
        <v>195</v>
      </c>
      <c r="C31" s="7" t="s">
        <v>330</v>
      </c>
      <c r="D31" s="7" t="s">
        <v>331</v>
      </c>
      <c r="E31" s="7" t="s">
        <v>340</v>
      </c>
      <c r="F31" s="7" t="s">
        <v>116</v>
      </c>
      <c r="G31" s="7" t="s">
        <v>341</v>
      </c>
      <c r="H31" s="11" t="n">
        <f aca="false">COUNTBLANK(ED_Raw!I2:I970)</f>
        <v>35</v>
      </c>
      <c r="I31" s="8" t="n">
        <f aca="false">H31/(COUNTA(ED_Raw!A:A)-1)</f>
        <v>0.0361197110423117</v>
      </c>
      <c r="J31" s="11" t="s">
        <v>229</v>
      </c>
      <c r="K31" s="7" t="s">
        <v>342</v>
      </c>
      <c r="L31" s="7" t="s">
        <v>343</v>
      </c>
      <c r="M31" s="7" t="s">
        <v>3</v>
      </c>
      <c r="N31" s="7" t="s">
        <v>344</v>
      </c>
      <c r="O31" s="7" t="s">
        <v>345</v>
      </c>
      <c r="P31" s="7" t="s">
        <v>346</v>
      </c>
      <c r="Q31" s="7" t="s">
        <v>124</v>
      </c>
    </row>
    <row r="32" customFormat="false" ht="61.5" hidden="false" customHeight="true" outlineLevel="0" collapsed="false">
      <c r="A32" s="11" t="s">
        <v>347</v>
      </c>
      <c r="B32" s="9" t="s">
        <v>142</v>
      </c>
      <c r="C32" s="7" t="s">
        <v>330</v>
      </c>
      <c r="D32" s="7" t="s">
        <v>331</v>
      </c>
      <c r="E32" s="7" t="s">
        <v>348</v>
      </c>
      <c r="F32" s="7" t="s">
        <v>116</v>
      </c>
      <c r="G32" s="7" t="s">
        <v>349</v>
      </c>
      <c r="H32" s="11" t="n">
        <f aca="false">COUNTBLANK(ED_Raw!K2:K970)</f>
        <v>39</v>
      </c>
      <c r="I32" s="8" t="n">
        <f aca="false">H32/(COUNTA(ED_Raw!A:A)-1)</f>
        <v>0.0402476780185759</v>
      </c>
      <c r="J32" s="11" t="s">
        <v>229</v>
      </c>
      <c r="K32" s="7" t="s">
        <v>350</v>
      </c>
      <c r="L32" s="7" t="s">
        <v>351</v>
      </c>
      <c r="M32" s="7" t="s">
        <v>3</v>
      </c>
      <c r="N32" s="7" t="s">
        <v>352</v>
      </c>
      <c r="O32" s="7" t="s">
        <v>353</v>
      </c>
      <c r="P32" s="7" t="s">
        <v>213</v>
      </c>
      <c r="Q32" s="7" t="s">
        <v>91</v>
      </c>
    </row>
    <row r="33" customFormat="false" ht="61.5" hidden="false" customHeight="true" outlineLevel="0" collapsed="false">
      <c r="A33" s="11" t="s">
        <v>354</v>
      </c>
      <c r="B33" s="9" t="s">
        <v>142</v>
      </c>
      <c r="C33" s="7" t="s">
        <v>330</v>
      </c>
      <c r="D33" s="7" t="s">
        <v>331</v>
      </c>
      <c r="E33" s="7" t="s">
        <v>355</v>
      </c>
      <c r="F33" s="7" t="s">
        <v>104</v>
      </c>
      <c r="G33" s="7" t="s">
        <v>356</v>
      </c>
      <c r="H33" s="11" t="n">
        <f aca="false">COUNTIF(ED_Raw!L2:L970,"&lt;0")</f>
        <v>4</v>
      </c>
      <c r="I33" s="8" t="n">
        <f aca="false">H33/(COUNTA(ED_Raw!A:A)-1)</f>
        <v>0.00412796697626419</v>
      </c>
      <c r="J33" s="11" t="s">
        <v>85</v>
      </c>
      <c r="K33" s="7" t="s">
        <v>357</v>
      </c>
      <c r="L33" s="7" t="s">
        <v>358</v>
      </c>
      <c r="M33" s="7" t="s">
        <v>3</v>
      </c>
      <c r="N33" s="7" t="s">
        <v>359</v>
      </c>
      <c r="O33" s="7" t="s">
        <v>360</v>
      </c>
      <c r="P33" s="7" t="s">
        <v>132</v>
      </c>
      <c r="Q33" s="7" t="s">
        <v>91</v>
      </c>
    </row>
    <row r="34" customFormat="false" ht="61.5" hidden="false" customHeight="true" outlineLevel="0" collapsed="false">
      <c r="A34" s="11" t="s">
        <v>361</v>
      </c>
      <c r="B34" s="9" t="s">
        <v>195</v>
      </c>
      <c r="C34" s="7" t="s">
        <v>330</v>
      </c>
      <c r="D34" s="7" t="s">
        <v>331</v>
      </c>
      <c r="E34" s="7" t="s">
        <v>362</v>
      </c>
      <c r="F34" s="7" t="s">
        <v>95</v>
      </c>
      <c r="G34" s="7" t="s">
        <v>363</v>
      </c>
      <c r="H34" s="11" t="n">
        <f aca="false">SUMPRODUCT(--ISNUMBER(SEARCH("M",ED_Raw!F2:F970)))</f>
        <v>17</v>
      </c>
      <c r="I34" s="8" t="n">
        <f aca="false">H34/(COUNTA(ED_Raw!A:A)-1)</f>
        <v>0.0175438596491228</v>
      </c>
      <c r="J34" s="11" t="s">
        <v>85</v>
      </c>
      <c r="K34" s="7" t="s">
        <v>364</v>
      </c>
      <c r="L34" s="7" t="s">
        <v>365</v>
      </c>
      <c r="M34" s="7" t="s">
        <v>3</v>
      </c>
      <c r="N34" s="7" t="s">
        <v>366</v>
      </c>
      <c r="O34" s="7" t="s">
        <v>367</v>
      </c>
      <c r="P34" s="7" t="s">
        <v>132</v>
      </c>
      <c r="Q34" s="7" t="s">
        <v>91</v>
      </c>
    </row>
    <row r="35" customFormat="false" ht="61.5" hidden="false" customHeight="true" outlineLevel="0" collapsed="false">
      <c r="A35" s="11" t="s">
        <v>368</v>
      </c>
      <c r="B35" s="9" t="s">
        <v>142</v>
      </c>
      <c r="C35" s="7" t="s">
        <v>330</v>
      </c>
      <c r="D35" s="7" t="s">
        <v>331</v>
      </c>
      <c r="E35" s="7" t="s">
        <v>369</v>
      </c>
      <c r="F35" s="7" t="s">
        <v>104</v>
      </c>
      <c r="G35" s="7" t="s">
        <v>370</v>
      </c>
      <c r="H35" s="11" t="n">
        <f aca="false">COUNTIF(ED_Raw!G2:G970,0)+COUNTIF(ED_Raw!G2:G970,6)</f>
        <v>9</v>
      </c>
      <c r="I35" s="8" t="n">
        <f aca="false">H35/(COUNTA(ED_Raw!A:A)-1)</f>
        <v>0.00928792569659443</v>
      </c>
      <c r="J35" s="11" t="s">
        <v>85</v>
      </c>
      <c r="K35" s="7" t="s">
        <v>371</v>
      </c>
      <c r="L35" s="7" t="s">
        <v>372</v>
      </c>
      <c r="M35" s="7" t="s">
        <v>373</v>
      </c>
      <c r="N35" s="7" t="s">
        <v>374</v>
      </c>
      <c r="O35" s="7" t="s">
        <v>375</v>
      </c>
      <c r="P35" s="7" t="s">
        <v>346</v>
      </c>
      <c r="Q35" s="7" t="s">
        <v>124</v>
      </c>
    </row>
    <row r="36" customFormat="false" ht="61.5" hidden="false" customHeight="true" outlineLevel="0" collapsed="false">
      <c r="A36" s="11" t="s">
        <v>376</v>
      </c>
      <c r="B36" s="9" t="s">
        <v>142</v>
      </c>
      <c r="C36" s="7" t="s">
        <v>330</v>
      </c>
      <c r="D36" s="7" t="s">
        <v>331</v>
      </c>
      <c r="E36" s="7" t="s">
        <v>377</v>
      </c>
      <c r="F36" s="7" t="s">
        <v>116</v>
      </c>
      <c r="G36" s="7" t="s">
        <v>378</v>
      </c>
      <c r="H36" s="11" t="n">
        <f aca="false">COUNTBLANK(ED_Raw!H2:H970)</f>
        <v>28</v>
      </c>
      <c r="I36" s="8" t="n">
        <f aca="false">H36/(COUNTA(ED_Raw!A:A)-1)</f>
        <v>0.0288957688338493</v>
      </c>
      <c r="J36" s="11" t="s">
        <v>145</v>
      </c>
      <c r="K36" s="7" t="s">
        <v>379</v>
      </c>
      <c r="L36" s="7" t="s">
        <v>380</v>
      </c>
      <c r="M36" s="7" t="s">
        <v>381</v>
      </c>
      <c r="N36" s="7" t="s">
        <v>382</v>
      </c>
      <c r="O36" s="7" t="s">
        <v>383</v>
      </c>
      <c r="P36" s="7" t="s">
        <v>346</v>
      </c>
      <c r="Q36" s="7" t="s">
        <v>124</v>
      </c>
    </row>
    <row r="37" customFormat="false" ht="61.5" hidden="false" customHeight="true" outlineLevel="0" collapsed="false">
      <c r="A37" s="11" t="s">
        <v>384</v>
      </c>
      <c r="B37" s="9" t="s">
        <v>114</v>
      </c>
      <c r="C37" s="7" t="s">
        <v>330</v>
      </c>
      <c r="D37" s="7" t="s">
        <v>331</v>
      </c>
      <c r="E37" s="7" t="s">
        <v>115</v>
      </c>
      <c r="F37" s="7" t="s">
        <v>116</v>
      </c>
      <c r="G37" s="7" t="s">
        <v>385</v>
      </c>
      <c r="H37" s="11" t="n">
        <f aca="false">COUNTBLANK(ED_Raw!B2:B970)</f>
        <v>121</v>
      </c>
      <c r="I37" s="8" t="n">
        <f aca="false">H37/(COUNTA(ED_Raw!A:A)-1)</f>
        <v>0.124871001031992</v>
      </c>
      <c r="J37" s="11" t="s">
        <v>85</v>
      </c>
      <c r="K37" s="7" t="s">
        <v>386</v>
      </c>
      <c r="L37" s="7" t="s">
        <v>387</v>
      </c>
      <c r="M37" s="7" t="s">
        <v>388</v>
      </c>
      <c r="N37" s="7" t="s">
        <v>389</v>
      </c>
      <c r="O37" s="7" t="s">
        <v>390</v>
      </c>
      <c r="P37" s="7" t="s">
        <v>391</v>
      </c>
      <c r="Q37" s="7" t="s">
        <v>124</v>
      </c>
    </row>
    <row r="38" customFormat="false" ht="61.5" hidden="false" customHeight="true" outlineLevel="0" collapsed="false">
      <c r="A38" s="11" t="s">
        <v>392</v>
      </c>
      <c r="B38" s="9" t="s">
        <v>142</v>
      </c>
      <c r="C38" s="7" t="s">
        <v>330</v>
      </c>
      <c r="D38" s="7" t="s">
        <v>331</v>
      </c>
      <c r="E38" s="7" t="s">
        <v>393</v>
      </c>
      <c r="F38" s="7" t="s">
        <v>83</v>
      </c>
      <c r="G38" s="7" t="s">
        <v>394</v>
      </c>
      <c r="H38" s="11" t="n">
        <f aca="false">COUNTIF(ED_Raw!J2:J970,"LEFT")</f>
        <v>120</v>
      </c>
      <c r="I38" s="8" t="n">
        <f aca="false">H38/(COUNTA(ED_Raw!A:A)-1)</f>
        <v>0.123839009287926</v>
      </c>
      <c r="J38" s="11" t="s">
        <v>85</v>
      </c>
      <c r="K38" s="7" t="s">
        <v>395</v>
      </c>
      <c r="L38" s="7" t="s">
        <v>396</v>
      </c>
      <c r="M38" s="7" t="s">
        <v>44</v>
      </c>
      <c r="N38" s="7" t="s">
        <v>397</v>
      </c>
      <c r="O38" s="7" t="s">
        <v>398</v>
      </c>
      <c r="P38" s="7" t="s">
        <v>399</v>
      </c>
      <c r="Q38" s="7" t="s">
        <v>307</v>
      </c>
    </row>
    <row r="39" customFormat="false" ht="61.5" hidden="false" customHeight="true" outlineLevel="0" collapsed="false">
      <c r="A39" s="11" t="s">
        <v>400</v>
      </c>
      <c r="B39" s="9" t="s">
        <v>142</v>
      </c>
      <c r="C39" s="7" t="s">
        <v>330</v>
      </c>
      <c r="D39" s="7" t="s">
        <v>331</v>
      </c>
      <c r="E39" s="7" t="s">
        <v>393</v>
      </c>
      <c r="F39" s="7" t="s">
        <v>104</v>
      </c>
      <c r="G39" s="7" t="s">
        <v>401</v>
      </c>
      <c r="H39" s="11" t="n">
        <f aca="false">COUNTIF(ED_Raw!J2:J970,"DIED")</f>
        <v>141</v>
      </c>
      <c r="I39" s="8" t="n">
        <f aca="false">H39/(COUNTA(ED_Raw!A:A)-1)</f>
        <v>0.145510835913313</v>
      </c>
      <c r="J39" s="11" t="s">
        <v>229</v>
      </c>
      <c r="K39" s="7" t="s">
        <v>402</v>
      </c>
      <c r="L39" s="7" t="s">
        <v>403</v>
      </c>
      <c r="M39" s="7" t="s">
        <v>404</v>
      </c>
      <c r="N39" s="7" t="s">
        <v>405</v>
      </c>
      <c r="O39" s="7" t="s">
        <v>406</v>
      </c>
      <c r="P39" s="7" t="s">
        <v>407</v>
      </c>
      <c r="Q39" s="7" t="s">
        <v>408</v>
      </c>
    </row>
    <row r="40" customFormat="false" ht="61.5" hidden="false" customHeight="true" outlineLevel="0" collapsed="false">
      <c r="A40" s="11" t="s">
        <v>409</v>
      </c>
      <c r="B40" s="9" t="s">
        <v>142</v>
      </c>
      <c r="C40" s="7" t="s">
        <v>330</v>
      </c>
      <c r="D40" s="7" t="s">
        <v>331</v>
      </c>
      <c r="E40" s="7" t="s">
        <v>410</v>
      </c>
      <c r="F40" s="7" t="s">
        <v>83</v>
      </c>
      <c r="G40" s="7" t="s">
        <v>411</v>
      </c>
      <c r="H40" s="11" t="n">
        <f aca="false">SUMPRODUCT(--NOT(EXACT(ED_Raw!M2:M970,UPPER(ED_Raw!M2:M970))))</f>
        <v>698</v>
      </c>
      <c r="I40" s="8" t="n">
        <f aca="false">H40/(COUNTA(ED_Raw!A:A)-1)</f>
        <v>0.720330237358101</v>
      </c>
      <c r="J40" s="11" t="s">
        <v>145</v>
      </c>
      <c r="K40" s="7" t="s">
        <v>412</v>
      </c>
      <c r="L40" s="7" t="s">
        <v>413</v>
      </c>
      <c r="M40" s="7" t="s">
        <v>414</v>
      </c>
      <c r="N40" s="7" t="s">
        <v>415</v>
      </c>
      <c r="O40" s="7" t="s">
        <v>175</v>
      </c>
      <c r="P40" s="7" t="s">
        <v>213</v>
      </c>
      <c r="Q40" s="7" t="s">
        <v>91</v>
      </c>
    </row>
    <row r="41" customFormat="false" ht="61.5" hidden="false" customHeight="true" outlineLevel="0" collapsed="false">
      <c r="A41" s="11" t="s">
        <v>416</v>
      </c>
      <c r="B41" s="9" t="s">
        <v>142</v>
      </c>
      <c r="C41" s="7" t="s">
        <v>330</v>
      </c>
      <c r="D41" s="7" t="s">
        <v>331</v>
      </c>
      <c r="E41" s="7" t="s">
        <v>417</v>
      </c>
      <c r="F41" s="7" t="s">
        <v>83</v>
      </c>
      <c r="G41" s="7" t="s">
        <v>418</v>
      </c>
      <c r="H41" s="11" t="n">
        <f aca="false">COUNTIF(ED_Raw!N2:N970,"N/A")</f>
        <v>13</v>
      </c>
      <c r="I41" s="8" t="n">
        <f aca="false">H41/(COUNTA(ED_Raw!A:A)-1)</f>
        <v>0.0134158926728586</v>
      </c>
      <c r="J41" s="11" t="s">
        <v>145</v>
      </c>
      <c r="K41" s="7" t="s">
        <v>419</v>
      </c>
      <c r="L41" s="7" t="s">
        <v>266</v>
      </c>
      <c r="M41" s="7" t="s">
        <v>173</v>
      </c>
      <c r="N41" s="7" t="s">
        <v>182</v>
      </c>
      <c r="O41" s="7" t="s">
        <v>175</v>
      </c>
      <c r="P41" s="7" t="s">
        <v>213</v>
      </c>
      <c r="Q41" s="7" t="s">
        <v>91</v>
      </c>
    </row>
    <row r="42" customFormat="false" ht="61.5" hidden="false" customHeight="true" outlineLevel="0" collapsed="false">
      <c r="A42" s="11" t="s">
        <v>420</v>
      </c>
      <c r="B42" s="9" t="s">
        <v>142</v>
      </c>
      <c r="C42" s="7" t="s">
        <v>15</v>
      </c>
      <c r="D42" s="7" t="s">
        <v>421</v>
      </c>
      <c r="E42" s="7" t="s">
        <v>422</v>
      </c>
      <c r="F42" s="7" t="s">
        <v>104</v>
      </c>
      <c r="G42" s="7" t="s">
        <v>423</v>
      </c>
      <c r="H42" s="11" t="n">
        <f aca="false">SUMPRODUCT(--(TH_Raw!D2:D209&gt;TH_Raw!C2:C209))</f>
        <v>4</v>
      </c>
      <c r="I42" s="8" t="n">
        <f aca="false">H42/(COUNTA(TH_Raw!A:A)-1)</f>
        <v>0.0192307692307692</v>
      </c>
      <c r="J42" s="11" t="s">
        <v>85</v>
      </c>
      <c r="K42" s="7" t="s">
        <v>424</v>
      </c>
      <c r="L42" s="7" t="s">
        <v>425</v>
      </c>
      <c r="M42" s="7" t="s">
        <v>426</v>
      </c>
      <c r="N42" s="7" t="s">
        <v>427</v>
      </c>
      <c r="O42" s="7" t="s">
        <v>428</v>
      </c>
      <c r="P42" s="7" t="s">
        <v>429</v>
      </c>
      <c r="Q42" s="7" t="s">
        <v>124</v>
      </c>
    </row>
    <row r="43" customFormat="false" ht="61.5" hidden="false" customHeight="true" outlineLevel="0" collapsed="false">
      <c r="A43" s="11" t="s">
        <v>430</v>
      </c>
      <c r="B43" s="9" t="s">
        <v>142</v>
      </c>
      <c r="C43" s="7" t="s">
        <v>15</v>
      </c>
      <c r="D43" s="7" t="s">
        <v>421</v>
      </c>
      <c r="E43" s="7" t="s">
        <v>431</v>
      </c>
      <c r="F43" s="7" t="s">
        <v>104</v>
      </c>
      <c r="G43" s="7" t="s">
        <v>432</v>
      </c>
      <c r="H43" s="11" t="n">
        <f aca="false">SUMPRODUCT(--(ABS(ROUND(TH_Raw!D2:D209/(TH_Raw!C2:C209+(TH_Raw!C2:C209=0))*100,1)-TH_Raw!E2:E209)&gt;0.1))</f>
        <v>7</v>
      </c>
      <c r="I43" s="8" t="n">
        <f aca="false">H43/(COUNTA(TH_Raw!A:A)-1)</f>
        <v>0.0336538461538462</v>
      </c>
      <c r="J43" s="11" t="s">
        <v>85</v>
      </c>
      <c r="K43" s="7" t="s">
        <v>433</v>
      </c>
      <c r="L43" s="7" t="s">
        <v>434</v>
      </c>
      <c r="M43" s="7" t="s">
        <v>426</v>
      </c>
      <c r="N43" s="7" t="s">
        <v>435</v>
      </c>
      <c r="O43" s="7" t="s">
        <v>436</v>
      </c>
      <c r="P43" s="7" t="s">
        <v>213</v>
      </c>
      <c r="Q43" s="7" t="s">
        <v>91</v>
      </c>
    </row>
    <row r="44" customFormat="false" ht="61.5" hidden="false" customHeight="true" outlineLevel="0" collapsed="false">
      <c r="A44" s="11" t="s">
        <v>437</v>
      </c>
      <c r="B44" s="9" t="s">
        <v>142</v>
      </c>
      <c r="C44" s="7" t="s">
        <v>15</v>
      </c>
      <c r="D44" s="7" t="s">
        <v>421</v>
      </c>
      <c r="E44" s="7" t="s">
        <v>438</v>
      </c>
      <c r="F44" s="7" t="s">
        <v>83</v>
      </c>
      <c r="G44" s="7" t="s">
        <v>439</v>
      </c>
      <c r="H44" s="11" t="n">
        <f aca="false">COUNTIF(TH_Raw!B2:B209,"Theatre One")</f>
        <v>1</v>
      </c>
      <c r="I44" s="8" t="n">
        <f aca="false">H44/(COUNTA(TH_Raw!A:A)-1)</f>
        <v>0.00480769230769231</v>
      </c>
      <c r="J44" s="11" t="s">
        <v>145</v>
      </c>
      <c r="K44" s="7" t="s">
        <v>440</v>
      </c>
      <c r="L44" s="7" t="s">
        <v>441</v>
      </c>
      <c r="M44" s="7" t="s">
        <v>442</v>
      </c>
      <c r="N44" s="7" t="s">
        <v>443</v>
      </c>
      <c r="O44" s="7" t="s">
        <v>175</v>
      </c>
      <c r="P44" s="7" t="s">
        <v>444</v>
      </c>
      <c r="Q44" s="7" t="s">
        <v>91</v>
      </c>
    </row>
    <row r="45" customFormat="false" ht="61.5" hidden="false" customHeight="true" outlineLevel="0" collapsed="false">
      <c r="A45" s="11" t="s">
        <v>445</v>
      </c>
      <c r="B45" s="9" t="s">
        <v>142</v>
      </c>
      <c r="C45" s="7" t="s">
        <v>15</v>
      </c>
      <c r="D45" s="7" t="s">
        <v>421</v>
      </c>
      <c r="E45" s="7" t="s">
        <v>446</v>
      </c>
      <c r="F45" s="7" t="s">
        <v>104</v>
      </c>
      <c r="G45" s="7" t="s">
        <v>447</v>
      </c>
      <c r="H45" s="11" t="n">
        <f aca="false">COUNTIF(TH_Raw!C2:C209,0)</f>
        <v>1</v>
      </c>
      <c r="I45" s="8" t="n">
        <f aca="false">H45/(COUNTA(TH_Raw!A:A)-1)</f>
        <v>0.00480769230769231</v>
      </c>
      <c r="J45" s="11" t="s">
        <v>145</v>
      </c>
      <c r="K45" s="7" t="s">
        <v>448</v>
      </c>
      <c r="L45" s="7" t="s">
        <v>449</v>
      </c>
      <c r="M45" s="7" t="s">
        <v>426</v>
      </c>
      <c r="N45" s="7" t="s">
        <v>450</v>
      </c>
      <c r="O45" s="7" t="s">
        <v>451</v>
      </c>
      <c r="P45" s="7" t="s">
        <v>444</v>
      </c>
      <c r="Q45" s="7" t="s">
        <v>91</v>
      </c>
    </row>
    <row r="46" customFormat="false" ht="61.5" hidden="false" customHeight="true" outlineLevel="0" collapsed="false">
      <c r="A46" s="11" t="s">
        <v>452</v>
      </c>
      <c r="B46" s="9" t="s">
        <v>195</v>
      </c>
      <c r="C46" s="7" t="s">
        <v>15</v>
      </c>
      <c r="D46" s="7" t="s">
        <v>421</v>
      </c>
      <c r="E46" s="7" t="s">
        <v>453</v>
      </c>
      <c r="F46" s="7" t="s">
        <v>95</v>
      </c>
      <c r="G46" s="7" t="s">
        <v>454</v>
      </c>
      <c r="H46" s="11" t="n">
        <f aca="false">SUMPRODUCT(--(WEEKDAY(TH_Raw!A2:A209,2)&lt;&gt;7))</f>
        <v>2</v>
      </c>
      <c r="I46" s="8" t="n">
        <f aca="false">H46/(COUNTA(TH_Raw!A:A)-1)</f>
        <v>0.00961538461538462</v>
      </c>
      <c r="J46" s="11" t="s">
        <v>145</v>
      </c>
      <c r="K46" s="7" t="s">
        <v>455</v>
      </c>
      <c r="L46" s="7" t="s">
        <v>456</v>
      </c>
      <c r="M46" s="7" t="s">
        <v>457</v>
      </c>
      <c r="N46" s="7" t="s">
        <v>458</v>
      </c>
      <c r="O46" s="7" t="s">
        <v>459</v>
      </c>
      <c r="P46" s="7" t="s">
        <v>213</v>
      </c>
      <c r="Q46" s="7" t="s">
        <v>91</v>
      </c>
    </row>
    <row r="47" customFormat="false" ht="61.5" hidden="false" customHeight="true" outlineLevel="0" collapsed="false">
      <c r="A47" s="11" t="s">
        <v>460</v>
      </c>
      <c r="B47" s="9" t="s">
        <v>142</v>
      </c>
      <c r="C47" s="7" t="s">
        <v>15</v>
      </c>
      <c r="D47" s="7" t="s">
        <v>421</v>
      </c>
      <c r="E47" s="7" t="s">
        <v>461</v>
      </c>
      <c r="F47" s="7" t="s">
        <v>116</v>
      </c>
      <c r="G47" s="7" t="s">
        <v>462</v>
      </c>
      <c r="H47" s="11" t="n">
        <f aca="false">COUNTBLANK(TH_Raw!H2:H209)</f>
        <v>30</v>
      </c>
      <c r="I47" s="8" t="n">
        <f aca="false">H47/(COUNTA(TH_Raw!A:A)-1)</f>
        <v>0.144230769230769</v>
      </c>
      <c r="J47" s="11" t="s">
        <v>229</v>
      </c>
      <c r="K47" s="7" t="s">
        <v>463</v>
      </c>
      <c r="L47" s="7" t="s">
        <v>464</v>
      </c>
      <c r="M47" s="7" t="s">
        <v>465</v>
      </c>
      <c r="N47" s="7" t="s">
        <v>466</v>
      </c>
      <c r="O47" s="7" t="s">
        <v>383</v>
      </c>
      <c r="P47" s="7" t="s">
        <v>444</v>
      </c>
      <c r="Q47" s="7" t="s">
        <v>124</v>
      </c>
    </row>
    <row r="48" customFormat="false" ht="61.5" hidden="false" customHeight="true" outlineLevel="0" collapsed="false">
      <c r="A48" s="11" t="s">
        <v>467</v>
      </c>
      <c r="B48" s="9" t="s">
        <v>142</v>
      </c>
      <c r="C48" s="7" t="s">
        <v>15</v>
      </c>
      <c r="D48" s="7" t="s">
        <v>421</v>
      </c>
      <c r="E48" s="7" t="s">
        <v>468</v>
      </c>
      <c r="F48" s="7" t="s">
        <v>116</v>
      </c>
      <c r="G48" s="7" t="s">
        <v>469</v>
      </c>
      <c r="H48" s="11" t="n">
        <f aca="false">COUNTBLANK(TH_Raw!I2:I209)</f>
        <v>23</v>
      </c>
      <c r="I48" s="8" t="n">
        <f aca="false">H48/(COUNTA(TH_Raw!A:A)-1)</f>
        <v>0.110576923076923</v>
      </c>
      <c r="J48" s="11" t="s">
        <v>145</v>
      </c>
      <c r="K48" s="7" t="s">
        <v>352</v>
      </c>
      <c r="L48" s="7" t="s">
        <v>470</v>
      </c>
      <c r="M48" s="7" t="s">
        <v>465</v>
      </c>
      <c r="N48" s="7" t="s">
        <v>352</v>
      </c>
      <c r="O48" s="7" t="s">
        <v>383</v>
      </c>
      <c r="P48" s="7" t="s">
        <v>444</v>
      </c>
      <c r="Q48" s="7" t="s">
        <v>124</v>
      </c>
    </row>
    <row r="49" customFormat="false" ht="61.5" hidden="false" customHeight="true" outlineLevel="0" collapsed="false">
      <c r="A49" s="11" t="s">
        <v>471</v>
      </c>
      <c r="B49" s="9" t="s">
        <v>142</v>
      </c>
      <c r="C49" s="7" t="s">
        <v>15</v>
      </c>
      <c r="D49" s="7" t="s">
        <v>421</v>
      </c>
      <c r="E49" s="7" t="s">
        <v>472</v>
      </c>
      <c r="F49" s="7" t="s">
        <v>104</v>
      </c>
      <c r="G49" s="7" t="s">
        <v>473</v>
      </c>
      <c r="H49" s="11" t="n">
        <f aca="false">COUNTIF(TH_Raw!J2:J209,"&lt;0")</f>
        <v>14</v>
      </c>
      <c r="I49" s="8" t="n">
        <f aca="false">H49/(COUNTA(TH_Raw!A:A)-1)</f>
        <v>0.0673076923076923</v>
      </c>
      <c r="J49" s="11" t="s">
        <v>145</v>
      </c>
      <c r="K49" s="7" t="s">
        <v>474</v>
      </c>
      <c r="L49" s="7" t="s">
        <v>475</v>
      </c>
      <c r="M49" s="7" t="s">
        <v>476</v>
      </c>
      <c r="N49" s="7" t="s">
        <v>477</v>
      </c>
      <c r="O49" s="7" t="s">
        <v>478</v>
      </c>
      <c r="P49" s="7" t="s">
        <v>444</v>
      </c>
      <c r="Q49" s="7" t="s">
        <v>307</v>
      </c>
    </row>
    <row r="50" customFormat="false" ht="61.5" hidden="false" customHeight="true" outlineLevel="0" collapsed="false">
      <c r="A50" s="11" t="s">
        <v>479</v>
      </c>
      <c r="B50" s="9" t="s">
        <v>142</v>
      </c>
      <c r="C50" s="7" t="s">
        <v>15</v>
      </c>
      <c r="D50" s="7" t="s">
        <v>421</v>
      </c>
      <c r="E50" s="7" t="s">
        <v>480</v>
      </c>
      <c r="F50" s="7" t="s">
        <v>104</v>
      </c>
      <c r="G50" s="7" t="s">
        <v>481</v>
      </c>
      <c r="H50" s="11" t="n">
        <f aca="false">SUMPRODUCT(--(TH_Raw!G2:G209&gt;TH_Raw!F2:F209))</f>
        <v>15</v>
      </c>
      <c r="I50" s="8" t="n">
        <f aca="false">H50/(COUNTA(TH_Raw!A:A)-1)</f>
        <v>0.0721153846153846</v>
      </c>
      <c r="J50" s="11" t="s">
        <v>145</v>
      </c>
      <c r="K50" s="7" t="s">
        <v>482</v>
      </c>
      <c r="L50" s="7" t="s">
        <v>274</v>
      </c>
      <c r="M50" s="7" t="s">
        <v>483</v>
      </c>
      <c r="N50" s="7" t="s">
        <v>484</v>
      </c>
      <c r="O50" s="7" t="s">
        <v>485</v>
      </c>
      <c r="P50" s="7" t="s">
        <v>444</v>
      </c>
      <c r="Q50" s="7" t="s">
        <v>124</v>
      </c>
    </row>
    <row r="51" customFormat="false" ht="61.5" hidden="false" customHeight="true" outlineLevel="0" collapsed="false">
      <c r="A51" s="11" t="s">
        <v>486</v>
      </c>
      <c r="B51" s="9" t="s">
        <v>134</v>
      </c>
      <c r="C51" s="7" t="s">
        <v>15</v>
      </c>
      <c r="D51" s="7" t="s">
        <v>421</v>
      </c>
      <c r="E51" s="7" t="s">
        <v>135</v>
      </c>
      <c r="F51" s="7" t="s">
        <v>83</v>
      </c>
      <c r="G51" s="7" t="s">
        <v>285</v>
      </c>
      <c r="H51" s="11" t="n">
        <f aca="false">COUNTIF(TH_Raw!K2:K209,"GEN")</f>
        <v>2</v>
      </c>
      <c r="I51" s="8" t="n">
        <f aca="false">H51/(COUNTA(TH_Raw!A:A)-1)</f>
        <v>0.00961538461538462</v>
      </c>
      <c r="J51" s="11" t="s">
        <v>145</v>
      </c>
      <c r="K51" s="7" t="s">
        <v>286</v>
      </c>
      <c r="L51" s="7" t="s">
        <v>180</v>
      </c>
      <c r="M51" s="7" t="s">
        <v>487</v>
      </c>
      <c r="N51" s="7" t="s">
        <v>182</v>
      </c>
      <c r="O51" s="7" t="s">
        <v>488</v>
      </c>
      <c r="P51" s="7" t="s">
        <v>132</v>
      </c>
      <c r="Q51" s="7" t="s">
        <v>91</v>
      </c>
    </row>
    <row r="52" customFormat="false" ht="61.5" hidden="false" customHeight="true" outlineLevel="0" collapsed="false">
      <c r="A52" s="11" t="s">
        <v>489</v>
      </c>
      <c r="B52" s="9" t="s">
        <v>490</v>
      </c>
      <c r="C52" s="7" t="s">
        <v>491</v>
      </c>
      <c r="D52" s="7" t="s">
        <v>492</v>
      </c>
      <c r="E52" s="7" t="s">
        <v>493</v>
      </c>
      <c r="F52" s="7" t="s">
        <v>116</v>
      </c>
      <c r="G52" s="7" t="s">
        <v>494</v>
      </c>
      <c r="H52" s="11" t="n">
        <f aca="false">COUNTBLANK(WF_Raw!I2:I1561)</f>
        <v>15</v>
      </c>
      <c r="I52" s="8" t="n">
        <f aca="false">H52/(COUNTA(WF_Raw!A:A)-1)</f>
        <v>0.00961538461538462</v>
      </c>
      <c r="J52" s="11" t="s">
        <v>85</v>
      </c>
      <c r="K52" s="7" t="s">
        <v>495</v>
      </c>
      <c r="L52" s="7" t="s">
        <v>496</v>
      </c>
      <c r="M52" s="7" t="s">
        <v>497</v>
      </c>
      <c r="N52" s="7" t="s">
        <v>498</v>
      </c>
      <c r="O52" s="7" t="s">
        <v>499</v>
      </c>
      <c r="P52" s="7" t="s">
        <v>500</v>
      </c>
      <c r="Q52" s="7" t="s">
        <v>124</v>
      </c>
    </row>
    <row r="53" customFormat="false" ht="61.5" hidden="false" customHeight="true" outlineLevel="0" collapsed="false">
      <c r="A53" s="11" t="s">
        <v>501</v>
      </c>
      <c r="B53" s="9" t="s">
        <v>142</v>
      </c>
      <c r="C53" s="7" t="s">
        <v>491</v>
      </c>
      <c r="D53" s="7" t="s">
        <v>492</v>
      </c>
      <c r="E53" s="7" t="s">
        <v>502</v>
      </c>
      <c r="F53" s="7" t="s">
        <v>83</v>
      </c>
      <c r="G53" s="7" t="s">
        <v>503</v>
      </c>
      <c r="H53" s="11" t="n">
        <f aca="false">COUNTIF(WF_Raw!B2:B1561,"ST-99*")</f>
        <v>24</v>
      </c>
      <c r="I53" s="8" t="n">
        <f aca="false">H53/(COUNTA(WF_Raw!A:A)-1)</f>
        <v>0.0153846153846154</v>
      </c>
      <c r="J53" s="11" t="s">
        <v>85</v>
      </c>
      <c r="K53" s="7" t="s">
        <v>504</v>
      </c>
      <c r="L53" s="7" t="s">
        <v>505</v>
      </c>
      <c r="M53" s="7" t="s">
        <v>506</v>
      </c>
      <c r="N53" s="7" t="s">
        <v>507</v>
      </c>
      <c r="O53" s="7" t="s">
        <v>508</v>
      </c>
      <c r="P53" s="7" t="s">
        <v>132</v>
      </c>
      <c r="Q53" s="7" t="s">
        <v>91</v>
      </c>
    </row>
    <row r="54" customFormat="false" ht="61.5" hidden="false" customHeight="true" outlineLevel="0" collapsed="false">
      <c r="A54" s="11" t="s">
        <v>509</v>
      </c>
      <c r="B54" s="9" t="s">
        <v>142</v>
      </c>
      <c r="C54" s="7" t="s">
        <v>491</v>
      </c>
      <c r="D54" s="7" t="s">
        <v>492</v>
      </c>
      <c r="E54" s="7" t="s">
        <v>502</v>
      </c>
      <c r="F54" s="7" t="s">
        <v>116</v>
      </c>
      <c r="G54" s="7" t="s">
        <v>510</v>
      </c>
      <c r="H54" s="11" t="n">
        <f aca="false">COUNTBLANK(WF_Raw!B2:B1561)</f>
        <v>18</v>
      </c>
      <c r="I54" s="8" t="n">
        <f aca="false">H54/(COUNTA(WF_Raw!A:A)-1)</f>
        <v>0.0115384615384615</v>
      </c>
      <c r="J54" s="11" t="s">
        <v>145</v>
      </c>
      <c r="K54" s="7" t="s">
        <v>511</v>
      </c>
      <c r="L54" s="7" t="s">
        <v>512</v>
      </c>
      <c r="M54" s="7" t="s">
        <v>513</v>
      </c>
      <c r="N54" s="7" t="s">
        <v>514</v>
      </c>
      <c r="O54" s="7" t="s">
        <v>515</v>
      </c>
      <c r="P54" s="7" t="s">
        <v>516</v>
      </c>
      <c r="Q54" s="7" t="s">
        <v>124</v>
      </c>
    </row>
    <row r="55" customFormat="false" ht="61.5" hidden="false" customHeight="true" outlineLevel="0" collapsed="false">
      <c r="A55" s="11" t="s">
        <v>517</v>
      </c>
      <c r="B55" s="9" t="s">
        <v>142</v>
      </c>
      <c r="C55" s="7" t="s">
        <v>491</v>
      </c>
      <c r="D55" s="7" t="s">
        <v>492</v>
      </c>
      <c r="E55" s="7" t="s">
        <v>518</v>
      </c>
      <c r="F55" s="7" t="s">
        <v>83</v>
      </c>
      <c r="G55" s="7" t="s">
        <v>519</v>
      </c>
      <c r="H55" s="11" t="n">
        <f aca="false">COUNTIF(WF_Raw!C2:C1561,"Doctor")</f>
        <v>9</v>
      </c>
      <c r="I55" s="8" t="n">
        <f aca="false">H55/(COUNTA(WF_Raw!A:A)-1)</f>
        <v>0.00576923076923077</v>
      </c>
      <c r="J55" s="11" t="s">
        <v>145</v>
      </c>
      <c r="K55" s="7" t="s">
        <v>520</v>
      </c>
      <c r="L55" s="7" t="s">
        <v>521</v>
      </c>
      <c r="M55" s="7" t="s">
        <v>522</v>
      </c>
      <c r="N55" s="7" t="s">
        <v>523</v>
      </c>
      <c r="O55" s="7" t="s">
        <v>175</v>
      </c>
      <c r="P55" s="7" t="s">
        <v>516</v>
      </c>
      <c r="Q55" s="7" t="s">
        <v>124</v>
      </c>
    </row>
    <row r="56" customFormat="false" ht="61.5" hidden="false" customHeight="true" outlineLevel="0" collapsed="false">
      <c r="A56" s="11" t="s">
        <v>524</v>
      </c>
      <c r="B56" s="9" t="s">
        <v>142</v>
      </c>
      <c r="C56" s="7" t="s">
        <v>491</v>
      </c>
      <c r="D56" s="7" t="s">
        <v>492</v>
      </c>
      <c r="E56" s="7" t="s">
        <v>525</v>
      </c>
      <c r="F56" s="7" t="s">
        <v>83</v>
      </c>
      <c r="G56" s="7" t="s">
        <v>526</v>
      </c>
      <c r="H56" s="11" t="n">
        <f aca="false">SUMPRODUCT(--(LEN(WF_Raw!F2:F1561)=1))</f>
        <v>5</v>
      </c>
      <c r="I56" s="8" t="n">
        <f aca="false">H56/(COUNTA(WF_Raw!A:A)-1)</f>
        <v>0.00320512820512821</v>
      </c>
      <c r="J56" s="11" t="s">
        <v>145</v>
      </c>
      <c r="K56" s="7" t="s">
        <v>527</v>
      </c>
      <c r="L56" s="7" t="s">
        <v>528</v>
      </c>
      <c r="M56" s="7" t="s">
        <v>529</v>
      </c>
      <c r="N56" s="7" t="s">
        <v>182</v>
      </c>
      <c r="O56" s="7" t="s">
        <v>175</v>
      </c>
      <c r="P56" s="7" t="s">
        <v>213</v>
      </c>
      <c r="Q56" s="7" t="s">
        <v>91</v>
      </c>
    </row>
    <row r="57" customFormat="false" ht="61.5" hidden="false" customHeight="true" outlineLevel="0" collapsed="false">
      <c r="A57" s="11" t="s">
        <v>530</v>
      </c>
      <c r="B57" s="9" t="s">
        <v>142</v>
      </c>
      <c r="C57" s="7" t="s">
        <v>491</v>
      </c>
      <c r="D57" s="7" t="s">
        <v>492</v>
      </c>
      <c r="E57" s="7" t="s">
        <v>531</v>
      </c>
      <c r="F57" s="7" t="s">
        <v>104</v>
      </c>
      <c r="G57" s="7" t="s">
        <v>532</v>
      </c>
      <c r="H57" s="11" t="n">
        <f aca="false">COUNTIF(WF_Raw!G2:G1561,0)</f>
        <v>3</v>
      </c>
      <c r="I57" s="8" t="n">
        <f aca="false">H57/(COUNTA(WF_Raw!A:A)-1)</f>
        <v>0.00192307692307692</v>
      </c>
      <c r="J57" s="11" t="s">
        <v>145</v>
      </c>
      <c r="K57" s="7" t="s">
        <v>533</v>
      </c>
      <c r="L57" s="7" t="s">
        <v>119</v>
      </c>
      <c r="M57" s="7" t="s">
        <v>534</v>
      </c>
      <c r="N57" s="7" t="s">
        <v>535</v>
      </c>
      <c r="O57" s="7" t="s">
        <v>536</v>
      </c>
      <c r="P57" s="7" t="s">
        <v>516</v>
      </c>
      <c r="Q57" s="7" t="s">
        <v>124</v>
      </c>
    </row>
    <row r="58" customFormat="false" ht="61.5" hidden="false" customHeight="true" outlineLevel="0" collapsed="false">
      <c r="A58" s="11" t="s">
        <v>537</v>
      </c>
      <c r="B58" s="9" t="s">
        <v>142</v>
      </c>
      <c r="C58" s="7" t="s">
        <v>491</v>
      </c>
      <c r="D58" s="7" t="s">
        <v>492</v>
      </c>
      <c r="E58" s="7" t="s">
        <v>538</v>
      </c>
      <c r="F58" s="7" t="s">
        <v>539</v>
      </c>
      <c r="G58" s="7" t="s">
        <v>540</v>
      </c>
      <c r="H58" s="11" t="n">
        <f aca="false">COUNTIF(WF_Raw!H2:H1561,"&gt;13")</f>
        <v>8</v>
      </c>
      <c r="I58" s="8" t="n">
        <f aca="false">H58/(COUNTA(WF_Raw!A:A)-1)</f>
        <v>0.00512820512820513</v>
      </c>
      <c r="J58" s="11" t="s">
        <v>85</v>
      </c>
      <c r="K58" s="7" t="s">
        <v>541</v>
      </c>
      <c r="L58" s="7" t="s">
        <v>542</v>
      </c>
      <c r="M58" s="7" t="s">
        <v>543</v>
      </c>
      <c r="N58" s="7" t="s">
        <v>544</v>
      </c>
      <c r="O58" s="7" t="s">
        <v>545</v>
      </c>
      <c r="P58" s="7" t="s">
        <v>546</v>
      </c>
      <c r="Q58" s="7" t="s">
        <v>547</v>
      </c>
    </row>
    <row r="59" customFormat="false" ht="61.5" hidden="false" customHeight="true" outlineLevel="0" collapsed="false">
      <c r="A59" s="11" t="s">
        <v>548</v>
      </c>
      <c r="B59" s="9" t="s">
        <v>142</v>
      </c>
      <c r="C59" s="7" t="s">
        <v>491</v>
      </c>
      <c r="D59" s="7" t="s">
        <v>492</v>
      </c>
      <c r="E59" s="7" t="s">
        <v>278</v>
      </c>
      <c r="F59" s="7" t="s">
        <v>83</v>
      </c>
      <c r="G59" s="7" t="s">
        <v>549</v>
      </c>
      <c r="H59" s="11" t="n">
        <f aca="false">COUNTIF(WF_Raw!D2:D1561,"W-08")</f>
        <v>3</v>
      </c>
      <c r="I59" s="8" t="n">
        <f aca="false">H59/(COUNTA(WF_Raw!A:A)-1)</f>
        <v>0.00192307692307692</v>
      </c>
      <c r="J59" s="11" t="s">
        <v>145</v>
      </c>
      <c r="K59" s="7" t="s">
        <v>550</v>
      </c>
      <c r="L59" s="7" t="s">
        <v>119</v>
      </c>
      <c r="M59" s="7" t="s">
        <v>551</v>
      </c>
      <c r="N59" s="7" t="s">
        <v>552</v>
      </c>
      <c r="O59" s="7" t="s">
        <v>553</v>
      </c>
      <c r="P59" s="7" t="s">
        <v>516</v>
      </c>
      <c r="Q59" s="7" t="s">
        <v>124</v>
      </c>
    </row>
    <row r="60" customFormat="false" ht="61.5" hidden="false" customHeight="true" outlineLevel="0" collapsed="false">
      <c r="A60" s="11" t="s">
        <v>554</v>
      </c>
      <c r="B60" s="9" t="s">
        <v>142</v>
      </c>
      <c r="C60" s="7" t="s">
        <v>491</v>
      </c>
      <c r="D60" s="7" t="s">
        <v>492</v>
      </c>
      <c r="E60" s="7" t="s">
        <v>555</v>
      </c>
      <c r="F60" s="7" t="s">
        <v>116</v>
      </c>
      <c r="G60" s="7" t="s">
        <v>556</v>
      </c>
      <c r="H60" s="11" t="n">
        <f aca="false">COUNTBLANK(WF_Raw!J2:J1561)</f>
        <v>9</v>
      </c>
      <c r="I60" s="8" t="n">
        <f aca="false">H60/(COUNTA(WF_Raw!A:A)-1)</f>
        <v>0.00576923076923077</v>
      </c>
      <c r="J60" s="11" t="s">
        <v>145</v>
      </c>
      <c r="K60" s="7" t="s">
        <v>557</v>
      </c>
      <c r="L60" s="7" t="s">
        <v>521</v>
      </c>
      <c r="M60" s="7" t="s">
        <v>558</v>
      </c>
      <c r="N60" s="7" t="s">
        <v>559</v>
      </c>
      <c r="O60" s="7" t="s">
        <v>383</v>
      </c>
      <c r="P60" s="7" t="s">
        <v>516</v>
      </c>
      <c r="Q60" s="7" t="s">
        <v>124</v>
      </c>
    </row>
    <row r="61" customFormat="false" ht="61.5" hidden="false" customHeight="true" outlineLevel="0" collapsed="false">
      <c r="A61" s="11" t="s">
        <v>560</v>
      </c>
      <c r="B61" s="9" t="s">
        <v>134</v>
      </c>
      <c r="C61" s="7" t="s">
        <v>491</v>
      </c>
      <c r="D61" s="7" t="s">
        <v>492</v>
      </c>
      <c r="E61" s="7" t="s">
        <v>135</v>
      </c>
      <c r="F61" s="7" t="s">
        <v>83</v>
      </c>
      <c r="G61" s="7" t="s">
        <v>285</v>
      </c>
      <c r="H61" s="11" t="n">
        <f aca="false">COUNTIF(WF_Raw!L2:L1561,"GEN")</f>
        <v>9</v>
      </c>
      <c r="I61" s="8" t="n">
        <f aca="false">H61/(COUNTA(WF_Raw!A:A)-1)</f>
        <v>0.00576923076923077</v>
      </c>
      <c r="J61" s="11" t="s">
        <v>145</v>
      </c>
      <c r="K61" s="7" t="s">
        <v>286</v>
      </c>
      <c r="L61" s="7" t="s">
        <v>521</v>
      </c>
      <c r="M61" s="7" t="s">
        <v>561</v>
      </c>
      <c r="N61" s="7" t="s">
        <v>182</v>
      </c>
      <c r="O61" s="7" t="s">
        <v>488</v>
      </c>
      <c r="P61" s="7" t="s">
        <v>132</v>
      </c>
      <c r="Q61" s="7" t="s">
        <v>91</v>
      </c>
    </row>
    <row r="62" customFormat="false" ht="61.5" hidden="false" customHeight="true" outlineLevel="0" collapsed="false">
      <c r="A62" s="11" t="s">
        <v>562</v>
      </c>
      <c r="B62" s="9" t="s">
        <v>142</v>
      </c>
      <c r="C62" s="7" t="s">
        <v>491</v>
      </c>
      <c r="D62" s="7" t="s">
        <v>492</v>
      </c>
      <c r="E62" s="7" t="s">
        <v>563</v>
      </c>
      <c r="F62" s="7" t="s">
        <v>564</v>
      </c>
      <c r="G62" s="7" t="s">
        <v>565</v>
      </c>
      <c r="H62" s="11" t="n">
        <f aca="false">COUNTIF(WF_Raw!E2:E1561,"&gt;="&amp;DATE(2025,3,1))</f>
        <v>33</v>
      </c>
      <c r="I62" s="8" t="n">
        <f aca="false">H62/(COUNTA(WF_Raw!A:A)-1)</f>
        <v>0.0211538461538462</v>
      </c>
      <c r="J62" s="11" t="s">
        <v>85</v>
      </c>
      <c r="K62" s="7" t="s">
        <v>566</v>
      </c>
      <c r="L62" s="7" t="s">
        <v>567</v>
      </c>
      <c r="M62" s="7" t="s">
        <v>568</v>
      </c>
      <c r="N62" s="7" t="s">
        <v>569</v>
      </c>
      <c r="O62" s="7" t="s">
        <v>570</v>
      </c>
      <c r="P62" s="7" t="s">
        <v>132</v>
      </c>
      <c r="Q62" s="7" t="s">
        <v>124</v>
      </c>
    </row>
    <row r="63" customFormat="false" ht="61.5" hidden="false" customHeight="true" outlineLevel="0" collapsed="false">
      <c r="A63" s="11" t="s">
        <v>571</v>
      </c>
      <c r="B63" s="9" t="s">
        <v>114</v>
      </c>
      <c r="C63" s="7" t="s">
        <v>572</v>
      </c>
      <c r="D63" s="7" t="s">
        <v>573</v>
      </c>
      <c r="E63" s="7" t="s">
        <v>574</v>
      </c>
      <c r="F63" s="7" t="s">
        <v>575</v>
      </c>
      <c r="G63" s="7" t="s">
        <v>576</v>
      </c>
      <c r="H63" s="11" t="n">
        <f aca="false">SUMPRODUCT(--(OP_Raw!B2:B581&lt;&gt;""),--(COUNTIF(IP_Raw!B2:B1207,OP_Raw!B2:B581)=0))</f>
        <v>577</v>
      </c>
      <c r="I63" s="8" t="n">
        <f aca="false">H63/(COUNTA(OP_Raw!A:A)-1)</f>
        <v>0.994827586206897</v>
      </c>
      <c r="J63" s="11" t="s">
        <v>229</v>
      </c>
      <c r="K63" s="7" t="s">
        <v>577</v>
      </c>
      <c r="L63" s="7" t="s">
        <v>578</v>
      </c>
      <c r="M63" s="7" t="s">
        <v>579</v>
      </c>
      <c r="N63" s="7" t="s">
        <v>580</v>
      </c>
      <c r="O63" s="7" t="s">
        <v>581</v>
      </c>
      <c r="P63" s="7" t="s">
        <v>132</v>
      </c>
      <c r="Q63" s="7" t="s">
        <v>408</v>
      </c>
    </row>
    <row r="64" customFormat="false" ht="61.5" hidden="false" customHeight="true" outlineLevel="0" collapsed="false">
      <c r="A64" s="11" t="s">
        <v>582</v>
      </c>
      <c r="B64" s="9" t="s">
        <v>114</v>
      </c>
      <c r="C64" s="7" t="s">
        <v>572</v>
      </c>
      <c r="D64" s="7" t="s">
        <v>573</v>
      </c>
      <c r="E64" s="7" t="s">
        <v>583</v>
      </c>
      <c r="F64" s="7" t="s">
        <v>575</v>
      </c>
      <c r="G64" s="7" t="s">
        <v>584</v>
      </c>
      <c r="H64" s="11" t="n">
        <f aca="false">SUMPRODUCT(--(ED_Raw!B2:B970&lt;&gt;""),--(COUNTIF(IP_Raw!B2:B1207,ED_Raw!B2:B970)=0))</f>
        <v>848</v>
      </c>
      <c r="I64" s="8" t="n">
        <f aca="false">H64/(COUNTA(OP_Raw!A:A)-1)</f>
        <v>1.46206896551724</v>
      </c>
      <c r="J64" s="11" t="s">
        <v>85</v>
      </c>
      <c r="K64" s="7" t="s">
        <v>352</v>
      </c>
      <c r="L64" s="7" t="s">
        <v>585</v>
      </c>
      <c r="M64" s="7" t="s">
        <v>586</v>
      </c>
      <c r="N64" s="7" t="s">
        <v>587</v>
      </c>
      <c r="O64" s="7" t="s">
        <v>588</v>
      </c>
      <c r="P64" s="7" t="s">
        <v>132</v>
      </c>
      <c r="Q64" s="7" t="s">
        <v>124</v>
      </c>
    </row>
  </sheetData>
  <autoFilter ref="A1:Q64"/>
  <conditionalFormatting sqref="J2:J64">
    <cfRule type="cellIs" priority="2" operator="equal" aboveAverage="0" equalAverage="0" bottom="0" percent="0" rank="0" text="" dxfId="10">
      <formula>"Critical"</formula>
    </cfRule>
    <cfRule type="cellIs" priority="3" operator="equal" aboveAverage="0" equalAverage="0" bottom="0" percent="0" rank="0" text="" dxfId="1">
      <formula>"Major"</formula>
    </cfRule>
    <cfRule type="cellIs" priority="4" operator="equal" aboveAverage="0" equalAverage="0" bottom="0" percent="0" rank="0" text="" dxfId="11">
      <formula>"Minor"</formula>
    </cfRule>
    <cfRule type="cellIs" priority="5" operator="equal" aboveAverage="0" equalAverage="0" bottom="0" percent="0" rank="0" text="" dxfId="2">
      <formula>"None found"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589</v>
      </c>
    </row>
    <row r="2" customFormat="false" ht="15" hidden="false" customHeight="false" outlineLevel="0" collapsed="false">
      <c r="A2" s="2" t="s">
        <v>590</v>
      </c>
    </row>
    <row r="4" customFormat="false" ht="23.85" hidden="false" customHeight="false" outlineLevel="0" collapsed="false">
      <c r="A4" s="6" t="s">
        <v>591</v>
      </c>
      <c r="B4" s="6" t="s">
        <v>64</v>
      </c>
      <c r="C4" s="6" t="s">
        <v>592</v>
      </c>
      <c r="D4" s="6" t="s">
        <v>593</v>
      </c>
      <c r="E4" s="6" t="s">
        <v>594</v>
      </c>
      <c r="F4" s="6" t="s">
        <v>595</v>
      </c>
      <c r="G4" s="6" t="s">
        <v>596</v>
      </c>
      <c r="H4" s="6" t="s">
        <v>597</v>
      </c>
      <c r="I4" s="6" t="s">
        <v>598</v>
      </c>
      <c r="J4" s="6" t="s">
        <v>599</v>
      </c>
    </row>
    <row r="5" customFormat="false" ht="22.35" hidden="false" customHeight="false" outlineLevel="0" collapsed="false">
      <c r="A5" s="9" t="s">
        <v>80</v>
      </c>
      <c r="B5" s="9" t="s">
        <v>81</v>
      </c>
      <c r="C5" s="9" t="s">
        <v>600</v>
      </c>
      <c r="D5" s="9" t="n">
        <f aca="false">COUNTA(OP_Raw!A:A)-1</f>
        <v>580</v>
      </c>
      <c r="E5" s="12" t="n">
        <v>40</v>
      </c>
      <c r="F5" s="8" t="n">
        <f aca="false">1-E5/D5</f>
        <v>0.931034482758621</v>
      </c>
      <c r="G5" s="9" t="n">
        <f aca="false">COUNTIF(DQ_Issue_Log!$C$2:$C$64,A5)</f>
        <v>14</v>
      </c>
      <c r="H5" s="9" t="n">
        <f aca="false">COUNTIFS(DQ_Issue_Log!$C$2:$C$64,A5,DQ_Issue_Log!$J$2:$J$64,"Critical")+COUNTIFS(DQ_Issue_Log!$C$2:$C$64,A5,DQ_Issue_Log!$J$2:$J$64,"Major")</f>
        <v>8</v>
      </c>
      <c r="I5" s="9" t="str">
        <f aca="false">IF(F5&gt;=0.95,"Green",IF(F5&gt;=0.85,"Amber","Red"))</f>
        <v>Amber</v>
      </c>
      <c r="J5" s="7" t="s">
        <v>601</v>
      </c>
    </row>
    <row r="6" customFormat="false" ht="22.35" hidden="false" customHeight="false" outlineLevel="0" collapsed="false">
      <c r="A6" s="9" t="s">
        <v>216</v>
      </c>
      <c r="B6" s="9" t="s">
        <v>217</v>
      </c>
      <c r="C6" s="9" t="s">
        <v>602</v>
      </c>
      <c r="D6" s="9" t="n">
        <f aca="false">COUNTA(IP_Raw!A:A)-1</f>
        <v>1206</v>
      </c>
      <c r="E6" s="12" t="n">
        <v>270</v>
      </c>
      <c r="F6" s="8" t="n">
        <f aca="false">1-E6/D6</f>
        <v>0.776119402985075</v>
      </c>
      <c r="G6" s="9" t="n">
        <f aca="false">COUNTIF(DQ_Issue_Log!$C$2:$C$64,A6)</f>
        <v>14</v>
      </c>
      <c r="H6" s="9" t="n">
        <f aca="false">COUNTIFS(DQ_Issue_Log!$C$2:$C$64,A6,DQ_Issue_Log!$J$2:$J$64,"Critical")+COUNTIFS(DQ_Issue_Log!$C$2:$C$64,A6,DQ_Issue_Log!$J$2:$J$64,"Major")</f>
        <v>12</v>
      </c>
      <c r="I6" s="9" t="str">
        <f aca="false">IF(F6&gt;=0.95,"Green",IF(F6&gt;=0.85,"Amber","Red"))</f>
        <v>Red</v>
      </c>
      <c r="J6" s="7" t="s">
        <v>603</v>
      </c>
    </row>
    <row r="7" customFormat="false" ht="22.35" hidden="false" customHeight="false" outlineLevel="0" collapsed="false">
      <c r="A7" s="9" t="s">
        <v>330</v>
      </c>
      <c r="B7" s="9" t="s">
        <v>331</v>
      </c>
      <c r="C7" s="9" t="s">
        <v>604</v>
      </c>
      <c r="D7" s="9" t="n">
        <f aca="false">COUNTA(ED_Raw!A:A)-1</f>
        <v>969</v>
      </c>
      <c r="E7" s="12" t="n">
        <v>431</v>
      </c>
      <c r="F7" s="8" t="n">
        <f aca="false">1-E7/D7</f>
        <v>0.555211558307534</v>
      </c>
      <c r="G7" s="9" t="n">
        <f aca="false">COUNTIF(DQ_Issue_Log!$C$2:$C$64,A7)</f>
        <v>12</v>
      </c>
      <c r="H7" s="9" t="n">
        <f aca="false">COUNTIFS(DQ_Issue_Log!$C$2:$C$64,A7,DQ_Issue_Log!$J$2:$J$64,"Critical")+COUNTIFS(DQ_Issue_Log!$C$2:$C$64,A7,DQ_Issue_Log!$J$2:$J$64,"Major")</f>
        <v>9</v>
      </c>
      <c r="I7" s="9" t="str">
        <f aca="false">IF(F7&gt;=0.95,"Green",IF(F7&gt;=0.85,"Amber","Red"))</f>
        <v>Red</v>
      </c>
      <c r="J7" s="7" t="s">
        <v>605</v>
      </c>
    </row>
    <row r="8" customFormat="false" ht="15" hidden="false" customHeight="false" outlineLevel="0" collapsed="false">
      <c r="A8" s="9" t="s">
        <v>15</v>
      </c>
      <c r="B8" s="9" t="s">
        <v>421</v>
      </c>
      <c r="C8" s="9" t="s">
        <v>606</v>
      </c>
      <c r="D8" s="9" t="n">
        <f aca="false">COUNTA(TH_Raw!A:A)-1</f>
        <v>208</v>
      </c>
      <c r="E8" s="12" t="n">
        <v>87</v>
      </c>
      <c r="F8" s="8" t="n">
        <f aca="false">1-E8/D8</f>
        <v>0.581730769230769</v>
      </c>
      <c r="G8" s="9" t="n">
        <f aca="false">COUNTIF(DQ_Issue_Log!$C$2:$C$64,A8)</f>
        <v>10</v>
      </c>
      <c r="H8" s="9" t="n">
        <f aca="false">COUNTIFS(DQ_Issue_Log!$C$2:$C$64,A8,DQ_Issue_Log!$J$2:$J$64,"Critical")+COUNTIFS(DQ_Issue_Log!$C$2:$C$64,A8,DQ_Issue_Log!$J$2:$J$64,"Major")</f>
        <v>3</v>
      </c>
      <c r="I8" s="9" t="str">
        <f aca="false">IF(F8&gt;=0.95,"Green",IF(F8&gt;=0.85,"Amber","Red"))</f>
        <v>Red</v>
      </c>
      <c r="J8" s="7" t="s">
        <v>607</v>
      </c>
    </row>
    <row r="9" customFormat="false" ht="15" hidden="false" customHeight="false" outlineLevel="0" collapsed="false">
      <c r="A9" s="9" t="s">
        <v>491</v>
      </c>
      <c r="B9" s="9" t="s">
        <v>492</v>
      </c>
      <c r="C9" s="9" t="s">
        <v>608</v>
      </c>
      <c r="D9" s="9" t="n">
        <f aca="false">COUNTA(WF_Raw!A:A)-1</f>
        <v>1560</v>
      </c>
      <c r="E9" s="12" t="n">
        <v>102</v>
      </c>
      <c r="F9" s="8" t="n">
        <f aca="false">1-E9/D9</f>
        <v>0.934615384615385</v>
      </c>
      <c r="G9" s="9" t="n">
        <f aca="false">COUNTIF(DQ_Issue_Log!$C$2:$C$64,A9)</f>
        <v>11</v>
      </c>
      <c r="H9" s="9" t="n">
        <f aca="false">COUNTIFS(DQ_Issue_Log!$C$2:$C$64,A9,DQ_Issue_Log!$J$2:$J$64,"Critical")+COUNTIFS(DQ_Issue_Log!$C$2:$C$64,A9,DQ_Issue_Log!$J$2:$J$64,"Major")</f>
        <v>4</v>
      </c>
      <c r="I9" s="9" t="str">
        <f aca="false">IF(F9&gt;=0.95,"Green",IF(F9&gt;=0.85,"Amber","Red"))</f>
        <v>Amber</v>
      </c>
      <c r="J9" s="7" t="s">
        <v>609</v>
      </c>
    </row>
    <row r="10" customFormat="false" ht="15" hidden="false" customHeight="false" outlineLevel="0" collapsed="false">
      <c r="A10" s="4" t="s">
        <v>610</v>
      </c>
      <c r="D10" s="11" t="n">
        <f aca="false">SUM(D5:D9)</f>
        <v>4523</v>
      </c>
      <c r="E10" s="11" t="n">
        <f aca="false">SUM(E5:E9)</f>
        <v>930</v>
      </c>
      <c r="F10" s="13" t="n">
        <f aca="false">1-E10/D10</f>
        <v>0.794384258235684</v>
      </c>
      <c r="G10" s="11" t="n">
        <f aca="false">SUM(G5:G9)</f>
        <v>61</v>
      </c>
      <c r="H10" s="11" t="n">
        <f aca="false">SUM(H5:H9)</f>
        <v>36</v>
      </c>
      <c r="I10" s="11" t="str">
        <f aca="false">IF(F10&gt;=0.95,"Green",IF(F10&gt;=0.85,"Amber","Red"))</f>
        <v>Red</v>
      </c>
    </row>
    <row r="12" customFormat="false" ht="15" hidden="false" customHeight="false" outlineLevel="0" collapsed="false">
      <c r="A12" s="2" t="s">
        <v>611</v>
      </c>
    </row>
  </sheetData>
  <conditionalFormatting sqref="I5:I10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612</v>
      </c>
    </row>
    <row r="2" customFormat="false" ht="15" hidden="false" customHeight="false" outlineLevel="0" collapsed="false">
      <c r="A2" s="2" t="s">
        <v>613</v>
      </c>
    </row>
    <row r="4" customFormat="false" ht="35.05" hidden="false" customHeight="false" outlineLevel="0" collapsed="false">
      <c r="A4" s="6" t="s">
        <v>614</v>
      </c>
      <c r="B4" s="6" t="s">
        <v>615</v>
      </c>
      <c r="C4" s="6" t="s">
        <v>616</v>
      </c>
      <c r="D4" s="6" t="s">
        <v>617</v>
      </c>
      <c r="E4" s="6" t="s">
        <v>618</v>
      </c>
      <c r="F4" s="6" t="s">
        <v>619</v>
      </c>
      <c r="G4" s="6" t="s">
        <v>620</v>
      </c>
      <c r="H4" s="6" t="s">
        <v>621</v>
      </c>
    </row>
    <row r="5" customFormat="false" ht="15" hidden="false" customHeight="false" outlineLevel="0" collapsed="false">
      <c r="A5" s="7" t="s">
        <v>80</v>
      </c>
      <c r="B5" s="7" t="s">
        <v>622</v>
      </c>
      <c r="C5" s="9" t="s">
        <v>623</v>
      </c>
      <c r="D5" s="11" t="n">
        <f aca="false">SUMPRODUCT(--ISTEXT(OP_Raw!D2:D581))</f>
        <v>0</v>
      </c>
      <c r="E5" s="7" t="s">
        <v>209</v>
      </c>
      <c r="F5" s="9" t="s">
        <v>142</v>
      </c>
      <c r="G5" s="9" t="s">
        <v>207</v>
      </c>
      <c r="H5" s="7" t="s">
        <v>624</v>
      </c>
    </row>
    <row r="6" customFormat="false" ht="15" hidden="false" customHeight="false" outlineLevel="0" collapsed="false">
      <c r="A6" s="7" t="s">
        <v>80</v>
      </c>
      <c r="B6" s="7" t="s">
        <v>625</v>
      </c>
      <c r="C6" s="9" t="s">
        <v>623</v>
      </c>
      <c r="D6" s="11" t="n">
        <f aca="false">SUMPRODUCT(--ISTEXT(OP_Raw!H2:H581))</f>
        <v>0</v>
      </c>
      <c r="E6" s="7" t="s">
        <v>209</v>
      </c>
      <c r="F6" s="9" t="s">
        <v>142</v>
      </c>
      <c r="G6" s="9" t="s">
        <v>207</v>
      </c>
      <c r="H6" s="7" t="s">
        <v>624</v>
      </c>
    </row>
    <row r="7" customFormat="false" ht="15" hidden="false" customHeight="false" outlineLevel="0" collapsed="false">
      <c r="A7" s="7" t="s">
        <v>80</v>
      </c>
      <c r="B7" s="7" t="s">
        <v>196</v>
      </c>
      <c r="C7" s="9" t="s">
        <v>626</v>
      </c>
      <c r="D7" s="11" t="n">
        <f aca="false">SUMPRODUCT(--(OP_Raw!I2:I581&lt;&gt;""),--((LEN(OP_Raw!I2:I581)&lt;&gt;5)+(MID(OP_Raw!I2:I581,3,1)&lt;&gt;":")&gt;0))</f>
        <v>1</v>
      </c>
      <c r="E7" s="7" t="s">
        <v>627</v>
      </c>
      <c r="F7" s="9" t="s">
        <v>95</v>
      </c>
      <c r="G7" s="9" t="s">
        <v>145</v>
      </c>
      <c r="H7" s="7" t="s">
        <v>628</v>
      </c>
    </row>
    <row r="8" customFormat="false" ht="15" hidden="false" customHeight="false" outlineLevel="0" collapsed="false">
      <c r="A8" s="7" t="s">
        <v>216</v>
      </c>
      <c r="B8" s="7" t="s">
        <v>622</v>
      </c>
      <c r="C8" s="9" t="s">
        <v>623</v>
      </c>
      <c r="D8" s="11" t="n">
        <f aca="false">SUMPRODUCT(--ISTEXT(IP_Raw!D2:D1207))</f>
        <v>0</v>
      </c>
      <c r="E8" s="7" t="s">
        <v>209</v>
      </c>
      <c r="F8" s="9" t="s">
        <v>142</v>
      </c>
      <c r="G8" s="9" t="s">
        <v>207</v>
      </c>
      <c r="H8" s="7" t="s">
        <v>624</v>
      </c>
    </row>
    <row r="9" customFormat="false" ht="15" hidden="false" customHeight="false" outlineLevel="0" collapsed="false">
      <c r="A9" s="7" t="s">
        <v>216</v>
      </c>
      <c r="B9" s="7" t="s">
        <v>629</v>
      </c>
      <c r="C9" s="9" t="s">
        <v>623</v>
      </c>
      <c r="D9" s="11" t="n">
        <f aca="false">SUMPRODUCT(--ISTEXT(IP_Raw!E2:E1207))</f>
        <v>0</v>
      </c>
      <c r="E9" s="7" t="s">
        <v>209</v>
      </c>
      <c r="F9" s="9" t="s">
        <v>142</v>
      </c>
      <c r="G9" s="9" t="s">
        <v>207</v>
      </c>
      <c r="H9" s="7" t="s">
        <v>624</v>
      </c>
    </row>
    <row r="10" customFormat="false" ht="22.35" hidden="false" customHeight="false" outlineLevel="0" collapsed="false">
      <c r="A10" s="7" t="s">
        <v>216</v>
      </c>
      <c r="B10" s="7" t="s">
        <v>255</v>
      </c>
      <c r="C10" s="9" t="s">
        <v>623</v>
      </c>
      <c r="D10" s="11" t="n">
        <f aca="false">SUMPRODUCT(--ISTEXT(IP_Raw!I2:I1207))</f>
        <v>3</v>
      </c>
      <c r="E10" s="7" t="s">
        <v>630</v>
      </c>
      <c r="F10" s="9" t="s">
        <v>95</v>
      </c>
      <c r="G10" s="9" t="s">
        <v>85</v>
      </c>
      <c r="H10" s="7" t="s">
        <v>631</v>
      </c>
    </row>
    <row r="11" customFormat="false" ht="15" hidden="false" customHeight="false" outlineLevel="0" collapsed="false">
      <c r="A11" s="7" t="s">
        <v>330</v>
      </c>
      <c r="B11" s="7" t="s">
        <v>622</v>
      </c>
      <c r="C11" s="9" t="s">
        <v>623</v>
      </c>
      <c r="D11" s="11" t="n">
        <f aca="false">SUMPRODUCT(--ISTEXT(ED_Raw!D2:D970))</f>
        <v>0</v>
      </c>
      <c r="E11" s="7" t="s">
        <v>209</v>
      </c>
      <c r="F11" s="9" t="s">
        <v>142</v>
      </c>
      <c r="G11" s="9" t="s">
        <v>207</v>
      </c>
      <c r="H11" s="7" t="s">
        <v>624</v>
      </c>
    </row>
    <row r="12" customFormat="false" ht="15" hidden="false" customHeight="false" outlineLevel="0" collapsed="false">
      <c r="A12" s="7" t="s">
        <v>330</v>
      </c>
      <c r="B12" s="7" t="s">
        <v>632</v>
      </c>
      <c r="C12" s="9" t="s">
        <v>623</v>
      </c>
      <c r="D12" s="11" t="n">
        <f aca="false">SUMPRODUCT(--ISTEXT(ED_Raw!E2:E970))</f>
        <v>0</v>
      </c>
      <c r="E12" s="7" t="s">
        <v>209</v>
      </c>
      <c r="F12" s="9" t="s">
        <v>142</v>
      </c>
      <c r="G12" s="9" t="s">
        <v>207</v>
      </c>
      <c r="H12" s="7" t="s">
        <v>624</v>
      </c>
    </row>
    <row r="13" customFormat="false" ht="22.35" hidden="false" customHeight="false" outlineLevel="0" collapsed="false">
      <c r="A13" s="7" t="s">
        <v>330</v>
      </c>
      <c r="B13" s="7" t="s">
        <v>362</v>
      </c>
      <c r="C13" s="9" t="s">
        <v>626</v>
      </c>
      <c r="D13" s="11" t="n">
        <f aca="false">SUMPRODUCT(--(ED_Raw!F2:F970&lt;&gt;""),--((LEN(ED_Raw!F2:F970)&lt;&gt;5)+(MID(ED_Raw!F2:F970,3,1)&lt;&gt;":")&gt;0))</f>
        <v>17</v>
      </c>
      <c r="E13" s="7" t="s">
        <v>633</v>
      </c>
      <c r="F13" s="9" t="s">
        <v>95</v>
      </c>
      <c r="G13" s="9" t="s">
        <v>85</v>
      </c>
      <c r="H13" s="7" t="s">
        <v>634</v>
      </c>
    </row>
    <row r="14" customFormat="false" ht="15" hidden="false" customHeight="false" outlineLevel="0" collapsed="false">
      <c r="A14" s="7" t="s">
        <v>330</v>
      </c>
      <c r="B14" s="7" t="s">
        <v>377</v>
      </c>
      <c r="C14" s="9" t="s">
        <v>626</v>
      </c>
      <c r="D14" s="11" t="n">
        <f aca="false">SUMPRODUCT(--(ED_Raw!H2:H970&lt;&gt;""),--((LEN(ED_Raw!H2:H970)&lt;&gt;5)+(MID(ED_Raw!H2:H970,3,1)&lt;&gt;":")&gt;0))</f>
        <v>0</v>
      </c>
      <c r="E14" s="7" t="s">
        <v>209</v>
      </c>
      <c r="F14" s="9" t="s">
        <v>142</v>
      </c>
      <c r="G14" s="9" t="s">
        <v>207</v>
      </c>
      <c r="H14" s="7" t="s">
        <v>635</v>
      </c>
    </row>
    <row r="15" customFormat="false" ht="15" hidden="false" customHeight="false" outlineLevel="0" collapsed="false">
      <c r="A15" s="7" t="s">
        <v>330</v>
      </c>
      <c r="B15" s="7" t="s">
        <v>340</v>
      </c>
      <c r="C15" s="9" t="s">
        <v>626</v>
      </c>
      <c r="D15" s="11" t="n">
        <f aca="false">SUMPRODUCT(--(ED_Raw!I2:I970&lt;&gt;""),--((LEN(ED_Raw!I2:I970)&lt;&gt;5)+(MID(ED_Raw!I2:I970,3,1)&lt;&gt;":")&gt;0))</f>
        <v>0</v>
      </c>
      <c r="E15" s="7" t="s">
        <v>209</v>
      </c>
      <c r="F15" s="9" t="s">
        <v>142</v>
      </c>
      <c r="G15" s="9" t="s">
        <v>207</v>
      </c>
      <c r="H15" s="7" t="s">
        <v>636</v>
      </c>
    </row>
    <row r="17" customFormat="false" ht="15" hidden="false" customHeight="false" outlineLevel="0" collapsed="false">
      <c r="A17" s="2" t="s">
        <v>637</v>
      </c>
    </row>
  </sheetData>
  <conditionalFormatting sqref="G5:G15">
    <cfRule type="cellIs" priority="2" operator="equal" aboveAverage="0" equalAverage="0" bottom="0" percent="0" rank="0" text="" dxfId="10">
      <formula>"Critical"</formula>
    </cfRule>
    <cfRule type="cellIs" priority="3" operator="equal" aboveAverage="0" equalAverage="0" bottom="0" percent="0" rank="0" text="" dxfId="1">
      <formula>"Major"</formula>
    </cfRule>
    <cfRule type="cellIs" priority="4" operator="equal" aboveAverage="0" equalAverage="0" bottom="0" percent="0" rank="0" text="" dxfId="11">
      <formula>"Minor"</formula>
    </cfRule>
    <cfRule type="cellIs" priority="5" operator="equal" aboveAverage="0" equalAverage="0" bottom="0" percent="0" rank="0" text="" dxfId="2">
      <formula>"None found"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6" min="3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638</v>
      </c>
    </row>
    <row r="2" customFormat="false" ht="15" hidden="false" customHeight="false" outlineLevel="0" collapsed="false">
      <c r="A2" s="2" t="s">
        <v>639</v>
      </c>
    </row>
    <row r="4" customFormat="false" ht="23.85" hidden="false" customHeight="false" outlineLevel="0" collapsed="false">
      <c r="A4" s="6" t="s">
        <v>614</v>
      </c>
      <c r="B4" s="6" t="s">
        <v>615</v>
      </c>
      <c r="C4" s="6" t="s">
        <v>640</v>
      </c>
      <c r="D4" s="6" t="s">
        <v>641</v>
      </c>
      <c r="E4" s="6" t="s">
        <v>642</v>
      </c>
      <c r="F4" s="6" t="s">
        <v>643</v>
      </c>
      <c r="G4" s="6" t="s">
        <v>644</v>
      </c>
      <c r="H4" s="6" t="s">
        <v>645</v>
      </c>
      <c r="I4" s="6" t="s">
        <v>646</v>
      </c>
      <c r="J4" s="6" t="s">
        <v>647</v>
      </c>
    </row>
    <row r="5" customFormat="false" ht="22.35" hidden="false" customHeight="false" outlineLevel="0" collapsed="false">
      <c r="A5" s="7" t="s">
        <v>648</v>
      </c>
      <c r="B5" s="7" t="s">
        <v>135</v>
      </c>
      <c r="C5" s="9" t="n">
        <f aca="false">COUNTIF(OP_Raw!E2:E581,"GEN")</f>
        <v>3</v>
      </c>
      <c r="D5" s="9" t="n">
        <f aca="false">COUNTIF(OP_Raw!E2:E581,"GM")</f>
        <v>55</v>
      </c>
      <c r="E5" s="9" t="n">
        <f aca="false">COUNTIF(OP_Raw!R2:R581,"GEN")</f>
        <v>0</v>
      </c>
      <c r="F5" s="9" t="n">
        <f aca="false">COUNTIF(OP_Raw!R2:R581,"GM")</f>
        <v>58</v>
      </c>
      <c r="G5" s="9" t="str">
        <f aca="false">IF(AND(E5=0,F5=D5+C5),"PASS","FAIL")</f>
        <v>PASS</v>
      </c>
      <c r="H5" s="7" t="s">
        <v>649</v>
      </c>
      <c r="I5" s="7" t="s">
        <v>650</v>
      </c>
      <c r="J5" s="7" t="s">
        <v>651</v>
      </c>
    </row>
    <row r="6" customFormat="false" ht="15" hidden="false" customHeight="false" outlineLevel="0" collapsed="false">
      <c r="A6" s="7" t="s">
        <v>652</v>
      </c>
      <c r="B6" s="7" t="s">
        <v>135</v>
      </c>
      <c r="C6" s="9" t="n">
        <f aca="false">COUNTIF(IP_Raw!H2:H1207,"GEN")</f>
        <v>10</v>
      </c>
      <c r="D6" s="9" t="n">
        <f aca="false">COUNTIF(IP_Raw!H2:H1207,"GM")</f>
        <v>98</v>
      </c>
      <c r="E6" s="9" t="n">
        <f aca="false">COUNTIF(IP_Raw!R2:R1207,"GEN")</f>
        <v>0</v>
      </c>
      <c r="F6" s="9" t="n">
        <f aca="false">COUNTIF(IP_Raw!R2:R1207,"GM")</f>
        <v>108</v>
      </c>
      <c r="G6" s="9" t="str">
        <f aca="false">IF(AND(E6=0,F6=D6+C6),"PASS","FAIL")</f>
        <v>PASS</v>
      </c>
      <c r="H6" s="7" t="s">
        <v>649</v>
      </c>
      <c r="I6" s="7" t="s">
        <v>650</v>
      </c>
      <c r="J6" s="7" t="s">
        <v>651</v>
      </c>
    </row>
    <row r="7" customFormat="false" ht="15" hidden="false" customHeight="false" outlineLevel="0" collapsed="false">
      <c r="A7" s="7" t="s">
        <v>653</v>
      </c>
      <c r="B7" s="7" t="s">
        <v>417</v>
      </c>
      <c r="C7" s="9" t="n">
        <f aca="false">COUNTIF(ED_Raw!N2:N970,"GEN")</f>
        <v>0</v>
      </c>
      <c r="D7" s="9" t="n">
        <f aca="false">COUNTIF(ED_Raw!N2:N970,"GM")</f>
        <v>15</v>
      </c>
      <c r="E7" s="9" t="n">
        <f aca="false">C7</f>
        <v>0</v>
      </c>
      <c r="F7" s="9" t="n">
        <f aca="false">D7</f>
        <v>15</v>
      </c>
      <c r="G7" s="9" t="str">
        <f aca="false">IF(AND(E7=0,F7=D7+C7),"PASS","FAIL")</f>
        <v>PASS</v>
      </c>
      <c r="H7" s="7" t="s">
        <v>649</v>
      </c>
      <c r="I7" s="7" t="s">
        <v>650</v>
      </c>
      <c r="J7" s="7" t="s">
        <v>651</v>
      </c>
    </row>
    <row r="8" customFormat="false" ht="15" hidden="false" customHeight="false" outlineLevel="0" collapsed="false">
      <c r="A8" s="7" t="s">
        <v>654</v>
      </c>
      <c r="B8" s="7" t="s">
        <v>135</v>
      </c>
      <c r="C8" s="9" t="n">
        <f aca="false">COUNTIF(TH_Raw!K2:K209,"GEN")</f>
        <v>2</v>
      </c>
      <c r="D8" s="9" t="n">
        <f aca="false">COUNTIF(TH_Raw!K2:K209,"GM")</f>
        <v>0</v>
      </c>
      <c r="E8" s="9" t="n">
        <f aca="false">COUNTIF(TH_Raw!L2:L209,"GEN")</f>
        <v>0</v>
      </c>
      <c r="F8" s="9" t="n">
        <f aca="false">COUNTIF(TH_Raw!L2:L209,"GM")</f>
        <v>2</v>
      </c>
      <c r="G8" s="9" t="str">
        <f aca="false">IF(AND(E8=0,F8=D8+C8),"PASS","FAIL")</f>
        <v>PASS</v>
      </c>
      <c r="H8" s="7" t="s">
        <v>649</v>
      </c>
      <c r="I8" s="7" t="s">
        <v>650</v>
      </c>
      <c r="J8" s="7" t="s">
        <v>651</v>
      </c>
    </row>
    <row r="9" customFormat="false" ht="22.35" hidden="false" customHeight="false" outlineLevel="0" collapsed="false">
      <c r="A9" s="7" t="s">
        <v>655</v>
      </c>
      <c r="B9" s="7" t="s">
        <v>135</v>
      </c>
      <c r="C9" s="9" t="n">
        <f aca="false">COUNTIF(WF_Raw!L2:L1561,"GEN")</f>
        <v>9</v>
      </c>
      <c r="D9" s="9" t="n">
        <f aca="false">COUNTIF(WF_Raw!L2:L1561,"GM")</f>
        <v>281</v>
      </c>
      <c r="E9" s="9" t="n">
        <f aca="false">COUNTIF(WF_Raw!M2:M1561,"GEN")</f>
        <v>0</v>
      </c>
      <c r="F9" s="9" t="n">
        <f aca="false">COUNTIF(WF_Raw!M2:M1561,"GM")</f>
        <v>290</v>
      </c>
      <c r="G9" s="9" t="str">
        <f aca="false">IF(AND(E9=0,F9=D9+C9),"PASS","FAIL")</f>
        <v>PASS</v>
      </c>
      <c r="H9" s="7" t="s">
        <v>649</v>
      </c>
      <c r="I9" s="7" t="s">
        <v>650</v>
      </c>
      <c r="J9" s="7" t="s">
        <v>651</v>
      </c>
    </row>
    <row r="10" customFormat="false" ht="15" hidden="false" customHeight="false" outlineLevel="0" collapsed="false">
      <c r="A10" s="4" t="s">
        <v>656</v>
      </c>
      <c r="C10" s="14" t="n">
        <f aca="false">SUM(C5:C9)</f>
        <v>24</v>
      </c>
      <c r="D10" s="14" t="n">
        <f aca="false">SUM(D5:D9)</f>
        <v>449</v>
      </c>
      <c r="E10" s="14" t="n">
        <f aca="false">SUM(E5:E9)</f>
        <v>0</v>
      </c>
      <c r="F10" s="14" t="n">
        <f aca="false">SUM(F5:F9)</f>
        <v>473</v>
      </c>
    </row>
  </sheetData>
  <conditionalFormatting sqref="G5:G9">
    <cfRule type="cellIs" priority="2" operator="equal" aboveAverage="0" equalAverage="0" bottom="0" percent="0" rank="0" text="" dxfId="2">
      <formula>"PASS"</formula>
    </cfRule>
    <cfRule type="cellIs" priority="3" operator="equal" aboveAverage="0" equalAverage="0" bottom="0" percent="0" rank="0" text="" dxfId="0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657</v>
      </c>
    </row>
    <row r="3" customFormat="false" ht="15" hidden="false" customHeight="false" outlineLevel="0" collapsed="false">
      <c r="A3" s="3" t="s">
        <v>658</v>
      </c>
    </row>
    <row r="4" customFormat="false" ht="15" hidden="false" customHeight="false" outlineLevel="0" collapsed="false">
      <c r="A4" s="15" t="s">
        <v>659</v>
      </c>
      <c r="B4" s="16" t="n">
        <f aca="false">SUMPRODUCT(--EXACT(OP_Raw!J2:J581,"ATT"))</f>
        <v>463</v>
      </c>
      <c r="C4" s="17"/>
    </row>
    <row r="5" customFormat="false" ht="15" hidden="false" customHeight="false" outlineLevel="0" collapsed="false">
      <c r="A5" s="15" t="s">
        <v>660</v>
      </c>
      <c r="B5" s="16" t="n">
        <f aca="false">SUMPRODUCT(--EXACT(OP_Raw!J2:J581,"DNA"))</f>
        <v>76</v>
      </c>
      <c r="C5" s="17"/>
    </row>
    <row r="6" customFormat="false" ht="15" hidden="false" customHeight="false" outlineLevel="0" collapsed="false">
      <c r="A6" s="15" t="s">
        <v>661</v>
      </c>
      <c r="B6" s="16" t="n">
        <f aca="false">SUMPRODUCT(--EXACT(OP_Raw!J2:J581,"CAN"))</f>
        <v>33</v>
      </c>
      <c r="C6" s="17"/>
    </row>
    <row r="7" customFormat="false" ht="15" hidden="false" customHeight="false" outlineLevel="0" collapsed="false">
      <c r="A7" s="15" t="s">
        <v>662</v>
      </c>
      <c r="B7" s="16" t="n">
        <f aca="false">SUMPRODUCT(--EXACT(OP_Raw!J2:J581,"REF"))</f>
        <v>6</v>
      </c>
      <c r="C7" s="17"/>
    </row>
    <row r="8" customFormat="false" ht="15" hidden="false" customHeight="false" outlineLevel="0" collapsed="false">
      <c r="A8" s="15" t="s">
        <v>663</v>
      </c>
      <c r="B8" s="16" t="n">
        <f aca="false">SUMPRODUCT(--EXACT(OP_Raw!J2:J581,"attended"))</f>
        <v>1</v>
      </c>
      <c r="C8" s="17" t="s">
        <v>664</v>
      </c>
    </row>
    <row r="9" customFormat="false" ht="15" hidden="false" customHeight="false" outlineLevel="0" collapsed="false">
      <c r="A9" s="15" t="s">
        <v>665</v>
      </c>
      <c r="B9" s="16" t="n">
        <f aca="false">SUMPRODUCT(--EXACT(OP_Raw!J2:J581,"N/A"))</f>
        <v>1</v>
      </c>
      <c r="C9" s="17" t="s">
        <v>666</v>
      </c>
    </row>
    <row r="10" customFormat="false" ht="15" hidden="false" customHeight="false" outlineLevel="0" collapsed="false">
      <c r="A10" s="15" t="s">
        <v>593</v>
      </c>
      <c r="B10" s="16" t="n">
        <f aca="false">COUNTA(OP_Raw!J2:J581)</f>
        <v>580</v>
      </c>
      <c r="C10" s="17"/>
    </row>
    <row r="12" customFormat="false" ht="15" hidden="false" customHeight="false" outlineLevel="0" collapsed="false">
      <c r="A12" s="3" t="s">
        <v>667</v>
      </c>
    </row>
    <row r="13" customFormat="false" ht="15" hidden="false" customHeight="false" outlineLevel="0" collapsed="false">
      <c r="A13" s="15" t="s">
        <v>668</v>
      </c>
      <c r="B13" s="18" t="n">
        <f aca="false">B5/(COUNTA(OP_Raw!J2:J581)+1)</f>
        <v>0.130808950086059</v>
      </c>
      <c r="C13" s="17" t="s">
        <v>669</v>
      </c>
    </row>
    <row r="14" customFormat="false" ht="15" hidden="false" customHeight="false" outlineLevel="0" collapsed="false">
      <c r="A14" s="15" t="s">
        <v>670</v>
      </c>
      <c r="B14" s="18" t="n">
        <f aca="false">B5/COUNTA(OP_Raw!J2:J581)</f>
        <v>0.131034482758621</v>
      </c>
      <c r="C14" s="17" t="s">
        <v>671</v>
      </c>
    </row>
    <row r="15" customFormat="false" ht="15" hidden="false" customHeight="false" outlineLevel="0" collapsed="false">
      <c r="A15" s="15" t="s">
        <v>672</v>
      </c>
      <c r="B15" s="18" t="n">
        <f aca="false">B5/(B4+B5)</f>
        <v>0.14100185528757</v>
      </c>
      <c r="C15" s="17" t="s">
        <v>673</v>
      </c>
    </row>
    <row r="16" customFormat="false" ht="22.35" hidden="false" customHeight="false" outlineLevel="0" collapsed="false">
      <c r="A16" s="4" t="s">
        <v>674</v>
      </c>
      <c r="B16" s="19" t="n">
        <f aca="false">B5/(B4+B8+B5+B7)</f>
        <v>0.139194139194139</v>
      </c>
      <c r="C16" s="17" t="s">
        <v>675</v>
      </c>
    </row>
    <row r="17" customFormat="false" ht="15" hidden="false" customHeight="false" outlineLevel="0" collapsed="false">
      <c r="A17" s="15" t="s">
        <v>676</v>
      </c>
      <c r="B17" s="20" t="n">
        <v>0.08</v>
      </c>
      <c r="C17" s="17" t="s">
        <v>677</v>
      </c>
    </row>
    <row r="18" customFormat="false" ht="15" hidden="false" customHeight="false" outlineLevel="0" collapsed="false">
      <c r="A18" s="15" t="s">
        <v>678</v>
      </c>
      <c r="B18" s="18" t="n">
        <f aca="false">COUNTIFS(OP_Raw!J2:J581,"DNA",OP_Raw!H2:H581,"&gt;="&amp;DATE(2025,1,1),OP_Raw!H2:H581,"&lt;"&amp;DATE(2025,2,1))/(COUNTIFS(OP_Raw!J2:J581,"ATT",OP_Raw!H2:H581,"&gt;="&amp;DATE(2025,1,1),OP_Raw!H2:H581,"&lt;"&amp;DATE(2025,2,1))+COUNTIFS(OP_Raw!J2:J581,"attended",OP_Raw!H2:H581,"&gt;="&amp;DATE(2025,1,1),OP_Raw!H2:H581,"&lt;"&amp;DATE(2025,2,1))+COUNTIFS(OP_Raw!J2:J581,"DNA",OP_Raw!H2:H581,"&gt;="&amp;DATE(2025,1,1),OP_Raw!H2:H581,"&lt;"&amp;DATE(2025,2,1))+COUNTIFS(OP_Raw!J2:J581,"REF",OP_Raw!H2:H581,"&gt;="&amp;DATE(2025,1,1),OP_Raw!H2:H581,"&lt;"&amp;DATE(2025,2,1)))</f>
        <v>0.257894736842105</v>
      </c>
      <c r="C18" s="17" t="s">
        <v>679</v>
      </c>
    </row>
    <row r="19" customFormat="false" ht="15" hidden="false" customHeight="false" outlineLevel="0" collapsed="false">
      <c r="A19" s="15" t="s">
        <v>680</v>
      </c>
      <c r="B19" s="18" t="n">
        <f aca="false">COUNTIFS(OP_Raw!J2:J581,"DNA",OP_Raw!H2:H581,"&gt;="&amp;DATE(2025,2,1),OP_Raw!H2:H581,"&lt;"&amp;DATE(2025,3,1))/(COUNTIFS(OP_Raw!J2:J581,"ATT",OP_Raw!H2:H581,"&gt;="&amp;DATE(2025,2,1),OP_Raw!H2:H581,"&lt;"&amp;DATE(2025,3,1))+COUNTIFS(OP_Raw!J2:J581,"attended",OP_Raw!H2:H581,"&gt;="&amp;DATE(2025,2,1),OP_Raw!H2:H581,"&lt;"&amp;DATE(2025,3,1))+COUNTIFS(OP_Raw!J2:J581,"DNA",OP_Raw!H2:H581,"&gt;="&amp;DATE(2025,2,1),OP_Raw!H2:H581,"&lt;"&amp;DATE(2025,3,1))+COUNTIFS(OP_Raw!J2:J581,"REF",OP_Raw!H2:H581,"&gt;="&amp;DATE(2025,2,1),OP_Raw!H2:H581,"&lt;"&amp;DATE(2025,3,1)))</f>
        <v>0.10880829015544</v>
      </c>
      <c r="C19" s="17"/>
    </row>
    <row r="20" customFormat="false" ht="15" hidden="false" customHeight="false" outlineLevel="0" collapsed="false">
      <c r="A20" s="15" t="s">
        <v>681</v>
      </c>
      <c r="B20" s="18" t="n">
        <f aca="false">COUNTIFS(OP_Raw!J2:J581,"DNA",OP_Raw!H2:H581,"&gt;="&amp;DATE(2025,3,1),OP_Raw!H2:H581,"&lt;"&amp;DATE(2025,4,1))/(COUNTIFS(OP_Raw!J2:J581,"ATT",OP_Raw!H2:H581,"&gt;="&amp;DATE(2025,3,1),OP_Raw!H2:H581,"&lt;"&amp;DATE(2025,4,1))+COUNTIFS(OP_Raw!J2:J581,"attended",OP_Raw!H2:H581,"&gt;="&amp;DATE(2025,3,1),OP_Raw!H2:H581,"&lt;"&amp;DATE(2025,4,1))+COUNTIFS(OP_Raw!J2:J581,"DNA",OP_Raw!H2:H581,"&gt;="&amp;DATE(2025,3,1),OP_Raw!H2:H581,"&lt;"&amp;DATE(2025,4,1))+COUNTIFS(OP_Raw!J2:J581,"REF",OP_Raw!H2:H581,"&gt;="&amp;DATE(2025,3,1),OP_Raw!H2:H581,"&lt;"&amp;DATE(2025,4,1)))</f>
        <v>0.0368098159509203</v>
      </c>
      <c r="C20" s="17"/>
    </row>
    <row r="22" customFormat="false" ht="15" hidden="false" customHeight="false" outlineLevel="0" collapsed="false">
      <c r="A22" s="3" t="s">
        <v>682</v>
      </c>
    </row>
    <row r="23" customFormat="false" ht="15" hidden="false" customHeight="false" outlineLevel="0" collapsed="false">
      <c r="A23" s="15" t="s">
        <v>683</v>
      </c>
      <c r="B23" s="16" t="n">
        <f aca="false">COUNTBLANK(IP_Raw!M2:M1207)</f>
        <v>28</v>
      </c>
      <c r="C23" s="17" t="s">
        <v>684</v>
      </c>
    </row>
    <row r="24" customFormat="false" ht="15" hidden="false" customHeight="false" outlineLevel="0" collapsed="false">
      <c r="A24" s="15" t="s">
        <v>685</v>
      </c>
      <c r="B24" s="16" t="n">
        <f aca="false">SUMPRODUCT(1/COUNTIF(IP_Raw!A2:A1207,IP_Raw!A2:A1207))</f>
        <v>1200</v>
      </c>
      <c r="C24" s="17" t="s">
        <v>686</v>
      </c>
    </row>
    <row r="25" customFormat="false" ht="15" hidden="false" customHeight="false" outlineLevel="0" collapsed="false">
      <c r="A25" s="15" t="s">
        <v>687</v>
      </c>
      <c r="B25" s="21" t="n">
        <f aca="false">B23/B24</f>
        <v>0.0233333333333333</v>
      </c>
      <c r="C25" s="17" t="s">
        <v>688</v>
      </c>
    </row>
    <row r="26" customFormat="false" ht="15" hidden="false" customHeight="false" outlineLevel="0" collapsed="false">
      <c r="A26" s="15" t="s">
        <v>689</v>
      </c>
      <c r="B26" s="22" t="n">
        <v>1850</v>
      </c>
      <c r="C26" s="17" t="s">
        <v>690</v>
      </c>
    </row>
    <row r="27" customFormat="false" ht="15" hidden="false" customHeight="false" outlineLevel="0" collapsed="false">
      <c r="A27" s="15" t="s">
        <v>691</v>
      </c>
      <c r="B27" s="16" t="n">
        <f aca="false">COUNTIFS(IP_Raw!M2:M1207,"",IP_Raw!E2:E1207,"&gt;="&amp;DATE(2025,3,1))</f>
        <v>4</v>
      </c>
      <c r="C27" s="17"/>
    </row>
    <row r="28" customFormat="false" ht="15" hidden="false" customHeight="false" outlineLevel="0" collapsed="false">
      <c r="A28" s="15" t="s">
        <v>692</v>
      </c>
      <c r="B28" s="23" t="n">
        <f aca="false">(B23-B27)*B26</f>
        <v>44400</v>
      </c>
      <c r="C28" s="17"/>
    </row>
    <row r="29" customFormat="false" ht="15" hidden="false" customHeight="false" outlineLevel="0" collapsed="false">
      <c r="A29" s="4" t="s">
        <v>693</v>
      </c>
      <c r="B29" s="24" t="n">
        <f aca="false">B23*B26</f>
        <v>51800</v>
      </c>
      <c r="C29" s="17"/>
    </row>
    <row r="30" customFormat="false" ht="15" hidden="false" customHeight="false" outlineLevel="0" collapsed="false">
      <c r="A30" s="15" t="s">
        <v>694</v>
      </c>
      <c r="B30" s="23" t="n">
        <f aca="false">(B23+SUMPRODUCT(--(IP_Raw!M2:M1207&lt;&gt;""),--(IP_Raw!P2:P1207="")))*B26</f>
        <v>98050</v>
      </c>
      <c r="C30" s="17" t="s">
        <v>695</v>
      </c>
    </row>
    <row r="31" customFormat="false" ht="15" hidden="false" customHeight="false" outlineLevel="0" collapsed="false">
      <c r="A31" s="15" t="s">
        <v>696</v>
      </c>
      <c r="B31" s="25" t="n">
        <v>6</v>
      </c>
      <c r="C31" s="17" t="s">
        <v>697</v>
      </c>
    </row>
    <row r="32" customFormat="false" ht="22.35" hidden="false" customHeight="false" outlineLevel="0" collapsed="false">
      <c r="A32" s="15" t="s">
        <v>698</v>
      </c>
      <c r="B32" s="23" t="n">
        <f aca="false">B23*B26/B31</f>
        <v>8633.33333333333</v>
      </c>
      <c r="C32" s="17" t="s">
        <v>699</v>
      </c>
    </row>
    <row r="34" customFormat="false" ht="15" hidden="false" customHeight="false" outlineLevel="0" collapsed="false">
      <c r="A34" s="3" t="s">
        <v>700</v>
      </c>
    </row>
    <row r="35" customFormat="false" ht="15" hidden="false" customHeight="false" outlineLevel="0" collapsed="false">
      <c r="A35" s="15" t="s">
        <v>701</v>
      </c>
      <c r="B35" s="26" t="n">
        <v>45689</v>
      </c>
      <c r="C35" s="17" t="s">
        <v>702</v>
      </c>
    </row>
    <row r="36" customFormat="false" ht="15" hidden="false" customHeight="false" outlineLevel="0" collapsed="false">
      <c r="A36" s="15" t="s">
        <v>703</v>
      </c>
      <c r="B36" s="26" t="n">
        <v>45716</v>
      </c>
      <c r="C36" s="17"/>
    </row>
    <row r="37" customFormat="false" ht="15" hidden="false" customHeight="false" outlineLevel="0" collapsed="false">
      <c r="A37" s="15" t="s">
        <v>704</v>
      </c>
      <c r="B37" s="16" t="n">
        <f aca="false">COUNTIFS(WF_Raw!B2:B1561,"&lt;&gt;ST-99*",WF_Raw!E2:E1561,"&gt;="&amp;B35,WF_Raw!E2:E1561,"&lt;="&amp;B36)</f>
        <v>782</v>
      </c>
      <c r="C37" s="17"/>
    </row>
    <row r="38" customFormat="false" ht="15" hidden="false" customHeight="false" outlineLevel="0" collapsed="false">
      <c r="A38" s="15" t="s">
        <v>705</v>
      </c>
      <c r="B38" s="16" t="n">
        <f aca="false">COUNTIFS(WF_Raw!B2:B1561,"&lt;&gt;ST-99*",WF_Raw!E2:E1561,"&gt;="&amp;B35,WF_Raw!E2:E1561,"&lt;="&amp;B36,WF_Raw!I2:I1561,"Y")</f>
        <v>128</v>
      </c>
      <c r="C38" s="17"/>
    </row>
    <row r="39" customFormat="false" ht="15" hidden="false" customHeight="false" outlineLevel="0" collapsed="false">
      <c r="A39" s="15" t="s">
        <v>706</v>
      </c>
      <c r="B39" s="16" t="n">
        <f aca="false">COUNTIFS(WF_Raw!B2:B1561,"&lt;&gt;ST-99*",WF_Raw!E2:E1561,"&gt;="&amp;B35,WF_Raw!E2:E1561,"&lt;="&amp;B36,WF_Raw!I2:I1561,"N")</f>
        <v>643</v>
      </c>
      <c r="C39" s="17"/>
    </row>
    <row r="40" customFormat="false" ht="15" hidden="false" customHeight="false" outlineLevel="0" collapsed="false">
      <c r="A40" s="15" t="s">
        <v>707</v>
      </c>
      <c r="B40" s="16" t="n">
        <f aca="false">COUNTIFS(WF_Raw!B2:B1561,"&lt;&gt;ST-99*",WF_Raw!E2:E1561,"&gt;="&amp;B35,WF_Raw!E2:E1561,"&lt;="&amp;B36,WF_Raw!I2:I1561,"")</f>
        <v>11</v>
      </c>
      <c r="C40" s="17"/>
    </row>
    <row r="41" customFormat="false" ht="15" hidden="false" customHeight="false" outlineLevel="0" collapsed="false">
      <c r="A41" s="15" t="s">
        <v>708</v>
      </c>
      <c r="B41" s="18" t="n">
        <f aca="false">B40/B37</f>
        <v>0.0140664961636829</v>
      </c>
      <c r="C41" s="17"/>
    </row>
    <row r="42" customFormat="false" ht="15" hidden="false" customHeight="false" outlineLevel="0" collapsed="false">
      <c r="A42" s="15" t="s">
        <v>709</v>
      </c>
      <c r="B42" s="22" t="n">
        <v>385</v>
      </c>
      <c r="C42" s="17" t="s">
        <v>690</v>
      </c>
    </row>
    <row r="43" customFormat="false" ht="15" hidden="false" customHeight="false" outlineLevel="0" collapsed="false">
      <c r="A43" s="4" t="s">
        <v>710</v>
      </c>
      <c r="B43" s="24" t="n">
        <f aca="false">B38*B42</f>
        <v>49280</v>
      </c>
      <c r="C43" s="17" t="s">
        <v>711</v>
      </c>
    </row>
    <row r="44" customFormat="false" ht="15" hidden="false" customHeight="false" outlineLevel="0" collapsed="false">
      <c r="A44" s="15" t="s">
        <v>712</v>
      </c>
      <c r="B44" s="23" t="n">
        <f aca="false">(B38+B40*B38/(B38+B39))*B42</f>
        <v>49983.0869001297</v>
      </c>
      <c r="C44" s="17"/>
    </row>
    <row r="45" customFormat="false" ht="15" hidden="false" customHeight="false" outlineLevel="0" collapsed="false">
      <c r="A45" s="4" t="s">
        <v>713</v>
      </c>
      <c r="B45" s="24" t="n">
        <f aca="false">(B38+B40)*B42</f>
        <v>53515</v>
      </c>
      <c r="C45" s="17"/>
    </row>
    <row r="46" customFormat="false" ht="15" hidden="false" customHeight="false" outlineLevel="0" collapsed="false">
      <c r="A46" s="15" t="s">
        <v>714</v>
      </c>
      <c r="B46" s="23" t="n">
        <f aca="false">B40*B42</f>
        <v>4235</v>
      </c>
      <c r="C46" s="17" t="s">
        <v>715</v>
      </c>
    </row>
    <row r="48" customFormat="false" ht="15" hidden="false" customHeight="false" outlineLevel="0" collapsed="false">
      <c r="A48" s="3" t="s">
        <v>716</v>
      </c>
    </row>
    <row r="49" customFormat="false" ht="15" hidden="false" customHeight="false" outlineLevel="0" collapsed="false">
      <c r="A49" s="15" t="s">
        <v>717</v>
      </c>
      <c r="B49" s="18" t="n">
        <f aca="false">COUNTIF(ED_Raw!K2:K970,"N")/COUNTA(ED_Raw!A2:A970)</f>
        <v>0.798761609907121</v>
      </c>
      <c r="C49" s="17"/>
    </row>
    <row r="50" customFormat="false" ht="15" hidden="false" customHeight="false" outlineLevel="0" collapsed="false">
      <c r="A50" s="15" t="s">
        <v>718</v>
      </c>
      <c r="B50" s="18" t="n">
        <f aca="false">COUNTIF(ED_Raw!K2:K970,"N")/(COUNTIF(ED_Raw!K2:K970,"Y")+COUNTIF(ED_Raw!K2:K970,"N"))</f>
        <v>0.832258064516129</v>
      </c>
      <c r="C50" s="17"/>
    </row>
    <row r="51" customFormat="false" ht="15" hidden="false" customHeight="false" outlineLevel="0" collapsed="false">
      <c r="A51" s="15" t="s">
        <v>719</v>
      </c>
      <c r="B51" s="18" t="n">
        <f aca="false">(COUNTIF(ED_Raw!K2:K970,"N")+COUNTBLANK(ED_Raw!K2:K970))/COUNTA(ED_Raw!A2:A970)</f>
        <v>0.839009287925697</v>
      </c>
      <c r="C51" s="17"/>
    </row>
    <row r="52" customFormat="false" ht="15" hidden="false" customHeight="false" outlineLevel="0" collapsed="false">
      <c r="A52" s="4" t="s">
        <v>720</v>
      </c>
      <c r="B52" s="19" t="n">
        <f aca="false">COUNTIFS(ED_Raw!Q2:Q970,"N",ED_Raw!P2:P970,"")/(COUNTIFS(ED_Raw!Q2:Q970,"N",ED_Raw!P2:P970,"")+COUNTIFS(ED_Raw!Q2:Q970,"Y",ED_Raw!P2:P970,""))</f>
        <v>0.831351351351351</v>
      </c>
      <c r="C52" s="17" t="s">
        <v>721</v>
      </c>
    </row>
    <row r="53" customFormat="false" ht="15" hidden="false" customHeight="false" outlineLevel="0" collapsed="false">
      <c r="A53" s="15" t="s">
        <v>722</v>
      </c>
      <c r="B53" s="18" t="n">
        <f aca="false">COUNTIFS(ED_Raw!Q2:Q970,"N",ED_Raw!P2:P970,"")/COUNTIFS(ED_Raw!P2:P970,"")</f>
        <v>0.801041666666667</v>
      </c>
      <c r="C53" s="17"/>
    </row>
    <row r="54" customFormat="false" ht="15" hidden="false" customHeight="false" outlineLevel="0" collapsed="false">
      <c r="A54" s="15" t="s">
        <v>723</v>
      </c>
      <c r="B54" s="18" t="n">
        <f aca="false">(COUNTIFS(ED_Raw!Q2:Q970,"N",ED_Raw!P2:P970,"")+COUNTIFS(ED_Raw!Q2:Q970,"",ED_Raw!P2:P970,""))/COUNTIFS(ED_Raw!P2:P970,"")</f>
        <v>0.8375</v>
      </c>
      <c r="C54" s="17"/>
    </row>
    <row r="55" customFormat="false" ht="15" hidden="false" customHeight="false" outlineLevel="0" collapsed="false">
      <c r="A55" s="15" t="s">
        <v>724</v>
      </c>
      <c r="B55" s="27" t="s">
        <v>725</v>
      </c>
      <c r="C55" s="17"/>
    </row>
    <row r="57" customFormat="false" ht="15" hidden="false" customHeight="false" outlineLevel="0" collapsed="false">
      <c r="A57" s="3" t="s">
        <v>726</v>
      </c>
    </row>
    <row r="58" customFormat="false" ht="15" hidden="false" customHeight="false" outlineLevel="0" collapsed="false">
      <c r="A58" s="15" t="s">
        <v>727</v>
      </c>
      <c r="B58" s="28" t="n">
        <v>4</v>
      </c>
      <c r="C58" s="17" t="s">
        <v>728</v>
      </c>
    </row>
    <row r="59" customFormat="false" ht="15" hidden="false" customHeight="false" outlineLevel="0" collapsed="false">
      <c r="A59" s="15" t="s">
        <v>729</v>
      </c>
      <c r="B59" s="18" t="n">
        <f aca="false">SUM(TH_Raw!D2:D209)/SUM(TH_Raw!C2:C209)</f>
        <v>0.707451701931923</v>
      </c>
      <c r="C59" s="17"/>
    </row>
    <row r="60" customFormat="false" ht="15" hidden="false" customHeight="false" outlineLevel="0" collapsed="false">
      <c r="A60" s="4" t="s">
        <v>730</v>
      </c>
      <c r="B60" s="19" t="n">
        <f aca="false">(SUM(TH_Raw!D2:D209)-SUMIF(TH_Raw!B2:B209,"T4",TH_Raw!D2:D209))/(SUM(TH_Raw!C2:C209)-SUMIF(TH_Raw!B2:B209,"T4",TH_Raw!C2:C209))</f>
        <v>0.656984785615491</v>
      </c>
      <c r="C60" s="17" t="s">
        <v>731</v>
      </c>
    </row>
    <row r="61" customFormat="false" ht="15" hidden="false" customHeight="false" outlineLevel="0" collapsed="false">
      <c r="A61" s="4" t="s">
        <v>732</v>
      </c>
      <c r="B61" s="19" t="n">
        <f aca="false">(SUM(TH_Raw!D2:D209)*B58*60+SUM(TH_Raw!J2:J209))/(SUM(TH_Raw!C2:C209)*B58*60)</f>
        <v>0.723817463968108</v>
      </c>
      <c r="C61" s="17" t="s">
        <v>733</v>
      </c>
    </row>
    <row r="62" customFormat="false" ht="15" hidden="false" customHeight="false" outlineLevel="0" collapsed="false">
      <c r="A62" s="15" t="s">
        <v>734</v>
      </c>
      <c r="B62" s="18" t="n">
        <f aca="false">AVERAGE(TH_Raw!E2:E209)/100</f>
        <v>0.693048076923077</v>
      </c>
      <c r="C62" s="17" t="s">
        <v>735</v>
      </c>
    </row>
    <row r="63" customFormat="false" ht="15" hidden="false" customHeight="false" outlineLevel="0" collapsed="false">
      <c r="A63" s="15" t="s">
        <v>736</v>
      </c>
      <c r="B63" s="29" t="n">
        <f aca="false">SUM(TH_Raw!D2:D209)/SUM(TH_Raw!C2:C209)-B60</f>
        <v>0.0504669163164317</v>
      </c>
      <c r="C63" s="17"/>
    </row>
    <row r="64" customFormat="false" ht="15" hidden="false" customHeight="false" outlineLevel="0" collapsed="false">
      <c r="A64" s="15" t="s">
        <v>737</v>
      </c>
      <c r="B64" s="29" t="n">
        <f aca="false">B61-SUM(TH_Raw!D2:D209)/SUM(TH_Raw!C2:C209)</f>
        <v>0.0163657620361852</v>
      </c>
      <c r="C64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  <col collapsed="false" customWidth="true" hidden="false" outlineLevel="0" max="18" min="16" style="0" width="16"/>
  </cols>
  <sheetData>
    <row r="1" customFormat="false" ht="23.85" hidden="false" customHeight="false" outlineLevel="0" collapsed="false">
      <c r="A1" s="6" t="s">
        <v>204</v>
      </c>
      <c r="B1" s="6" t="s">
        <v>115</v>
      </c>
      <c r="C1" s="6" t="s">
        <v>738</v>
      </c>
      <c r="D1" s="6" t="s">
        <v>622</v>
      </c>
      <c r="E1" s="6" t="s">
        <v>135</v>
      </c>
      <c r="F1" s="6" t="s">
        <v>153</v>
      </c>
      <c r="G1" s="6" t="s">
        <v>143</v>
      </c>
      <c r="H1" s="6" t="s">
        <v>625</v>
      </c>
      <c r="I1" s="6" t="s">
        <v>196</v>
      </c>
      <c r="J1" s="6" t="s">
        <v>82</v>
      </c>
      <c r="K1" s="6" t="s">
        <v>94</v>
      </c>
      <c r="L1" s="6" t="s">
        <v>739</v>
      </c>
      <c r="M1" s="6" t="s">
        <v>740</v>
      </c>
      <c r="N1" s="6" t="s">
        <v>170</v>
      </c>
      <c r="O1" s="6" t="s">
        <v>177</v>
      </c>
      <c r="P1" s="30" t="s">
        <v>741</v>
      </c>
      <c r="Q1" s="30" t="s">
        <v>742</v>
      </c>
      <c r="R1" s="30" t="s">
        <v>743</v>
      </c>
    </row>
    <row r="2" customFormat="false" ht="15" hidden="false" customHeight="false" outlineLevel="0" collapsed="false">
      <c r="A2" s="0" t="s">
        <v>744</v>
      </c>
      <c r="B2" s="0" t="s">
        <v>745</v>
      </c>
      <c r="C2" s="0" t="s">
        <v>746</v>
      </c>
      <c r="D2" s="31" t="n">
        <v>28564</v>
      </c>
      <c r="E2" s="32" t="s">
        <v>747</v>
      </c>
      <c r="F2" s="32" t="s">
        <v>748</v>
      </c>
      <c r="G2" s="32" t="s">
        <v>749</v>
      </c>
      <c r="H2" s="31" t="n">
        <v>45663</v>
      </c>
      <c r="I2" s="32" t="s">
        <v>750</v>
      </c>
      <c r="J2" s="32" t="s">
        <v>751</v>
      </c>
      <c r="K2" s="0" t="n">
        <v>34</v>
      </c>
      <c r="L2" s="32" t="s">
        <v>752</v>
      </c>
      <c r="M2" s="0" t="n">
        <v>4.9</v>
      </c>
      <c r="N2" s="32" t="s">
        <v>753</v>
      </c>
      <c r="O2" s="32" t="s">
        <v>754</v>
      </c>
      <c r="P2" s="32" t="n">
        <f aca="false">IF(AND(ISNUMBER(K2),K2&gt;=0),K2,IF(ISNUMBER(M2),ROUND(M2*7,0),""))</f>
        <v>34</v>
      </c>
      <c r="Q2" s="0" t="str">
        <f aca="false">IF(ISTEXT(K2),"TEXT - recovered",IF(K2&lt;0,"NEGATIVE",IF(K2&gt;728,"&gt;104 WEEKS","OK")))</f>
        <v>OK</v>
      </c>
      <c r="R2" s="0" t="str">
        <f aca="false">IF(E2="GEN","GM",E2)</f>
        <v>GM</v>
      </c>
    </row>
    <row r="3" customFormat="false" ht="15" hidden="false" customHeight="false" outlineLevel="0" collapsed="false">
      <c r="A3" s="0" t="s">
        <v>755</v>
      </c>
      <c r="B3" s="0" t="s">
        <v>756</v>
      </c>
      <c r="C3" s="0" t="s">
        <v>757</v>
      </c>
      <c r="D3" s="31" t="n">
        <v>23945</v>
      </c>
      <c r="E3" s="32" t="s">
        <v>758</v>
      </c>
      <c r="F3" s="32" t="s">
        <v>759</v>
      </c>
      <c r="G3" s="32" t="s">
        <v>760</v>
      </c>
      <c r="H3" s="31" t="n">
        <v>45663</v>
      </c>
      <c r="I3" s="32" t="s">
        <v>761</v>
      </c>
      <c r="J3" s="32" t="s">
        <v>751</v>
      </c>
      <c r="K3" s="0" t="n">
        <v>67</v>
      </c>
      <c r="L3" s="32" t="s">
        <v>752</v>
      </c>
      <c r="M3" s="0" t="n">
        <v>9.6</v>
      </c>
      <c r="N3" s="32" t="s">
        <v>753</v>
      </c>
      <c r="O3" s="32" t="s">
        <v>762</v>
      </c>
      <c r="P3" s="32" t="n">
        <f aca="false">IF(AND(ISNUMBER(K3),K3&gt;=0),K3,IF(ISNUMBER(M3),ROUND(M3*7,0),""))</f>
        <v>67</v>
      </c>
      <c r="Q3" s="0" t="str">
        <f aca="false">IF(ISTEXT(K3),"TEXT - recovered",IF(K3&lt;0,"NEGATIVE",IF(K3&gt;728,"&gt;104 WEEKS","OK")))</f>
        <v>OK</v>
      </c>
      <c r="R3" s="0" t="str">
        <f aca="false">IF(E3="GEN","GM",E3)</f>
        <v>CS</v>
      </c>
    </row>
    <row r="4" customFormat="false" ht="15" hidden="false" customHeight="false" outlineLevel="0" collapsed="false">
      <c r="A4" s="0" t="s">
        <v>763</v>
      </c>
      <c r="B4" s="0" t="s">
        <v>764</v>
      </c>
      <c r="C4" s="0" t="s">
        <v>765</v>
      </c>
      <c r="D4" s="31" t="n">
        <v>32820</v>
      </c>
      <c r="E4" s="32" t="s">
        <v>766</v>
      </c>
      <c r="F4" s="32" t="s">
        <v>767</v>
      </c>
      <c r="G4" s="32" t="s">
        <v>768</v>
      </c>
      <c r="H4" s="31" t="n">
        <v>45663</v>
      </c>
      <c r="I4" s="32" t="s">
        <v>769</v>
      </c>
      <c r="J4" s="32" t="s">
        <v>770</v>
      </c>
      <c r="K4" s="0" t="n">
        <v>145</v>
      </c>
      <c r="L4" s="32" t="s">
        <v>771</v>
      </c>
      <c r="M4" s="0" t="n">
        <v>20.7</v>
      </c>
      <c r="N4" s="32" t="s">
        <v>753</v>
      </c>
      <c r="O4" s="32" t="s">
        <v>772</v>
      </c>
      <c r="P4" s="32" t="n">
        <f aca="false">IF(AND(ISNUMBER(K4),K4&gt;=0),K4,IF(ISNUMBER(M4),ROUND(M4*7,0),""))</f>
        <v>145</v>
      </c>
      <c r="Q4" s="0" t="str">
        <f aca="false">IF(ISTEXT(K4),"TEXT - recovered",IF(K4&lt;0,"NEGATIVE",IF(K4&gt;728,"&gt;104 WEEKS","OK")))</f>
        <v>OK</v>
      </c>
      <c r="R4" s="0" t="str">
        <f aca="false">IF(E4="GEN","GM",E4)</f>
        <v>OR</v>
      </c>
    </row>
    <row r="5" customFormat="false" ht="15" hidden="false" customHeight="false" outlineLevel="0" collapsed="false">
      <c r="A5" s="0" t="s">
        <v>773</v>
      </c>
      <c r="B5" s="0" t="s">
        <v>774</v>
      </c>
      <c r="C5" s="0" t="s">
        <v>775</v>
      </c>
      <c r="D5" s="31" t="n">
        <v>26329</v>
      </c>
      <c r="E5" s="32" t="s">
        <v>776</v>
      </c>
      <c r="F5" s="32" t="s">
        <v>777</v>
      </c>
      <c r="G5" s="32" t="s">
        <v>778</v>
      </c>
      <c r="H5" s="31" t="n">
        <v>45663</v>
      </c>
      <c r="I5" s="32" t="s">
        <v>779</v>
      </c>
      <c r="J5" s="32" t="s">
        <v>751</v>
      </c>
      <c r="K5" s="0" t="n">
        <v>28</v>
      </c>
      <c r="L5" s="32" t="s">
        <v>752</v>
      </c>
      <c r="M5" s="0" t="n">
        <v>4</v>
      </c>
      <c r="N5" s="32" t="s">
        <v>780</v>
      </c>
      <c r="O5" s="32" t="s">
        <v>781</v>
      </c>
      <c r="P5" s="32" t="n">
        <f aca="false">IF(AND(ISNUMBER(K5),K5&gt;=0),K5,IF(ISNUMBER(M5),ROUND(M5*7,0),""))</f>
        <v>28</v>
      </c>
      <c r="Q5" s="0" t="str">
        <f aca="false">IF(ISTEXT(K5),"TEXT - recovered",IF(K5&lt;0,"NEGATIVE",IF(K5&gt;728,"&gt;104 WEEKS","OK")))</f>
        <v>OK</v>
      </c>
      <c r="R5" s="0" t="str">
        <f aca="false">IF(E5="GEN","GM",E5)</f>
        <v>GS</v>
      </c>
    </row>
    <row r="6" customFormat="false" ht="15" hidden="false" customHeight="false" outlineLevel="0" collapsed="false">
      <c r="A6" s="0" t="s">
        <v>782</v>
      </c>
      <c r="B6" s="0" t="s">
        <v>783</v>
      </c>
      <c r="C6" s="0" t="s">
        <v>784</v>
      </c>
      <c r="D6" s="31" t="n">
        <v>20620</v>
      </c>
      <c r="E6" s="32" t="s">
        <v>785</v>
      </c>
      <c r="F6" s="32" t="s">
        <v>786</v>
      </c>
      <c r="G6" s="32" t="s">
        <v>787</v>
      </c>
      <c r="H6" s="31" t="n">
        <v>45663</v>
      </c>
      <c r="I6" s="32" t="s">
        <v>788</v>
      </c>
      <c r="J6" s="32" t="s">
        <v>751</v>
      </c>
      <c r="K6" s="0" t="n">
        <v>89</v>
      </c>
      <c r="L6" s="32" t="s">
        <v>752</v>
      </c>
      <c r="M6" s="0" t="n">
        <v>12.7</v>
      </c>
      <c r="N6" s="32" t="s">
        <v>753</v>
      </c>
      <c r="O6" s="32" t="s">
        <v>789</v>
      </c>
      <c r="P6" s="32" t="n">
        <f aca="false">IF(AND(ISNUMBER(K6),K6&gt;=0),K6,IF(ISNUMBER(M6),ROUND(M6*7,0),""))</f>
        <v>89</v>
      </c>
      <c r="Q6" s="0" t="str">
        <f aca="false">IF(ISTEXT(K6),"TEXT - recovered",IF(K6&lt;0,"NEGATIVE",IF(K6&gt;728,"&gt;104 WEEKS","OK")))</f>
        <v>OK</v>
      </c>
      <c r="R6" s="0" t="str">
        <f aca="false">IF(E6="GEN","GM",E6)</f>
        <v>RS</v>
      </c>
    </row>
    <row r="7" customFormat="false" ht="15" hidden="false" customHeight="false" outlineLevel="0" collapsed="false">
      <c r="A7" s="0" t="s">
        <v>790</v>
      </c>
      <c r="B7" s="0" t="s">
        <v>791</v>
      </c>
      <c r="C7" s="0" t="s">
        <v>792</v>
      </c>
      <c r="D7" s="31" t="n">
        <v>15952</v>
      </c>
      <c r="E7" s="32" t="s">
        <v>793</v>
      </c>
      <c r="F7" s="32" t="s">
        <v>794</v>
      </c>
      <c r="G7" s="32" t="s">
        <v>795</v>
      </c>
      <c r="H7" s="31" t="n">
        <v>45663</v>
      </c>
      <c r="I7" s="32" t="s">
        <v>796</v>
      </c>
      <c r="J7" s="32" t="s">
        <v>797</v>
      </c>
      <c r="K7" s="0" t="n">
        <v>12</v>
      </c>
      <c r="L7" s="32" t="s">
        <v>771</v>
      </c>
      <c r="M7" s="0" t="n">
        <v>1.7</v>
      </c>
      <c r="N7" s="32" t="s">
        <v>330</v>
      </c>
      <c r="O7" s="32" t="s">
        <v>798</v>
      </c>
      <c r="P7" s="32" t="n">
        <f aca="false">IF(AND(ISNUMBER(K7),K7&gt;=0),K7,IF(ISNUMBER(M7),ROUND(M7*7,0),""))</f>
        <v>12</v>
      </c>
      <c r="Q7" s="0" t="str">
        <f aca="false">IF(ISTEXT(K7),"TEXT - recovered",IF(K7&lt;0,"NEGATIVE",IF(K7&gt;728,"&gt;104 WEEKS","OK")))</f>
        <v>OK</v>
      </c>
      <c r="R7" s="0" t="str">
        <f aca="false">IF(E7="GEN","GM",E7)</f>
        <v>EM</v>
      </c>
    </row>
    <row r="8" customFormat="false" ht="15" hidden="false" customHeight="false" outlineLevel="0" collapsed="false">
      <c r="A8" s="0" t="s">
        <v>799</v>
      </c>
      <c r="B8" s="0" t="s">
        <v>800</v>
      </c>
      <c r="C8" s="0" t="s">
        <v>801</v>
      </c>
      <c r="D8" s="31" t="n">
        <v>29703</v>
      </c>
      <c r="E8" s="32" t="s">
        <v>802</v>
      </c>
      <c r="F8" s="32" t="s">
        <v>803</v>
      </c>
      <c r="G8" s="32" t="s">
        <v>804</v>
      </c>
      <c r="H8" s="31" t="n">
        <v>45663</v>
      </c>
      <c r="I8" s="32" t="s">
        <v>805</v>
      </c>
      <c r="J8" s="32" t="s">
        <v>751</v>
      </c>
      <c r="K8" s="0" t="n">
        <v>56</v>
      </c>
      <c r="L8" s="32" t="s">
        <v>752</v>
      </c>
      <c r="M8" s="0" t="n">
        <v>8</v>
      </c>
      <c r="N8" s="32" t="s">
        <v>753</v>
      </c>
      <c r="O8" s="32" t="s">
        <v>806</v>
      </c>
      <c r="P8" s="32" t="n">
        <f aca="false">IF(AND(ISNUMBER(K8),K8&gt;=0),K8,IF(ISNUMBER(M8),ROUND(M8*7,0),""))</f>
        <v>56</v>
      </c>
      <c r="Q8" s="0" t="str">
        <f aca="false">IF(ISTEXT(K8),"TEXT - recovered",IF(K8&lt;0,"NEGATIVE",IF(K8&gt;728,"&gt;104 WEEKS","OK")))</f>
        <v>OK</v>
      </c>
      <c r="R8" s="0" t="str">
        <f aca="false">IF(E8="GEN","GM",E8)</f>
        <v>GYN</v>
      </c>
    </row>
    <row r="9" customFormat="false" ht="15" hidden="false" customHeight="false" outlineLevel="0" collapsed="false">
      <c r="A9" s="0" t="s">
        <v>807</v>
      </c>
      <c r="B9" s="0" t="s">
        <v>808</v>
      </c>
      <c r="C9" s="0" t="s">
        <v>809</v>
      </c>
      <c r="D9" s="31" t="n">
        <v>34687</v>
      </c>
      <c r="E9" s="32" t="s">
        <v>810</v>
      </c>
      <c r="F9" s="32" t="s">
        <v>811</v>
      </c>
      <c r="G9" s="32" t="s">
        <v>812</v>
      </c>
      <c r="H9" s="31" t="n">
        <v>45663</v>
      </c>
      <c r="I9" s="32" t="s">
        <v>813</v>
      </c>
      <c r="J9" s="32" t="s">
        <v>770</v>
      </c>
      <c r="K9" s="0" t="n">
        <v>178</v>
      </c>
      <c r="L9" s="32" t="s">
        <v>771</v>
      </c>
      <c r="M9" s="0" t="n">
        <v>25.4</v>
      </c>
      <c r="N9" s="32" t="s">
        <v>753</v>
      </c>
      <c r="O9" s="32" t="s">
        <v>814</v>
      </c>
      <c r="P9" s="32" t="n">
        <f aca="false">IF(AND(ISNUMBER(K9),K9&gt;=0),K9,IF(ISNUMBER(M9),ROUND(M9*7,0),""))</f>
        <v>178</v>
      </c>
      <c r="Q9" s="0" t="str">
        <f aca="false">IF(ISTEXT(K9),"TEXT - recovered",IF(K9&lt;0,"NEGATIVE",IF(K9&gt;728,"&gt;104 WEEKS","OK")))</f>
        <v>OK</v>
      </c>
      <c r="R9" s="0" t="str">
        <f aca="false">IF(E9="GEN","GM",E9)</f>
        <v>URO</v>
      </c>
    </row>
    <row r="10" customFormat="false" ht="15" hidden="false" customHeight="false" outlineLevel="0" collapsed="false">
      <c r="A10" s="0" t="s">
        <v>815</v>
      </c>
      <c r="B10" s="0" t="s">
        <v>816</v>
      </c>
      <c r="C10" s="0" t="s">
        <v>817</v>
      </c>
      <c r="D10" s="31" t="n">
        <v>24691</v>
      </c>
      <c r="E10" s="32" t="s">
        <v>818</v>
      </c>
      <c r="F10" s="32" t="s">
        <v>819</v>
      </c>
      <c r="G10" s="32" t="s">
        <v>820</v>
      </c>
      <c r="H10" s="31" t="n">
        <v>45663</v>
      </c>
      <c r="I10" s="32" t="s">
        <v>821</v>
      </c>
      <c r="J10" s="32" t="s">
        <v>751</v>
      </c>
      <c r="K10" s="0" t="n">
        <v>45</v>
      </c>
      <c r="L10" s="32" t="s">
        <v>752</v>
      </c>
      <c r="M10" s="0" t="n">
        <v>6.4</v>
      </c>
      <c r="N10" s="32" t="s">
        <v>753</v>
      </c>
      <c r="O10" s="32" t="s">
        <v>822</v>
      </c>
      <c r="P10" s="32" t="n">
        <f aca="false">IF(AND(ISNUMBER(K10),K10&gt;=0),K10,IF(ISNUMBER(M10),ROUND(M10*7,0),""))</f>
        <v>45</v>
      </c>
      <c r="Q10" s="0" t="str">
        <f aca="false">IF(ISTEXT(K10),"TEXT - recovered",IF(K10&lt;0,"NEGATIVE",IF(K10&gt;728,"&gt;104 WEEKS","OK")))</f>
        <v>OK</v>
      </c>
      <c r="R10" s="0" t="str">
        <f aca="false">IF(E10="GEN","GM",E10)</f>
        <v>OPH</v>
      </c>
    </row>
    <row r="11" customFormat="false" ht="15" hidden="false" customHeight="false" outlineLevel="0" collapsed="false">
      <c r="A11" s="0" t="s">
        <v>823</v>
      </c>
      <c r="B11" s="0" t="s">
        <v>824</v>
      </c>
      <c r="C11" s="0" t="s">
        <v>825</v>
      </c>
      <c r="D11" s="31" t="n">
        <v>19049</v>
      </c>
      <c r="E11" s="32" t="s">
        <v>826</v>
      </c>
      <c r="F11" s="32" t="s">
        <v>827</v>
      </c>
      <c r="G11" s="32" t="s">
        <v>828</v>
      </c>
      <c r="H11" s="31" t="n">
        <v>45663</v>
      </c>
      <c r="I11" s="32" t="s">
        <v>829</v>
      </c>
      <c r="J11" s="32" t="s">
        <v>751</v>
      </c>
      <c r="K11" s="0" t="n">
        <v>112</v>
      </c>
      <c r="L11" s="32" t="s">
        <v>752</v>
      </c>
      <c r="M11" s="0" t="n">
        <v>16</v>
      </c>
      <c r="N11" s="32" t="s">
        <v>753</v>
      </c>
      <c r="O11" s="32" t="s">
        <v>830</v>
      </c>
      <c r="P11" s="32" t="n">
        <f aca="false">IF(AND(ISNUMBER(K11),K11&gt;=0),K11,IF(ISNUMBER(M11),ROUND(M11*7,0),""))</f>
        <v>112</v>
      </c>
      <c r="Q11" s="0" t="str">
        <f aca="false">IF(ISTEXT(K11),"TEXT - recovered",IF(K11&lt;0,"NEGATIVE",IF(K11&gt;728,"&gt;104 WEEKS","OK")))</f>
        <v>OK</v>
      </c>
      <c r="R11" s="0" t="str">
        <f aca="false">IF(E11="GEN","GM",E11)</f>
        <v>RHE</v>
      </c>
    </row>
    <row r="12" customFormat="false" ht="15" hidden="false" customHeight="false" outlineLevel="0" collapsed="false">
      <c r="A12" s="0" t="s">
        <v>831</v>
      </c>
      <c r="B12" s="0" t="s">
        <v>832</v>
      </c>
      <c r="C12" s="0" t="s">
        <v>833</v>
      </c>
      <c r="D12" s="31" t="n">
        <v>32427</v>
      </c>
      <c r="E12" s="32" t="s">
        <v>747</v>
      </c>
      <c r="F12" s="32" t="s">
        <v>748</v>
      </c>
      <c r="G12" s="32" t="s">
        <v>749</v>
      </c>
      <c r="H12" s="31" t="n">
        <v>45664</v>
      </c>
      <c r="I12" s="32" t="s">
        <v>750</v>
      </c>
      <c r="J12" s="32" t="s">
        <v>751</v>
      </c>
      <c r="K12" s="0" t="n">
        <v>23</v>
      </c>
      <c r="L12" s="32" t="s">
        <v>752</v>
      </c>
      <c r="M12" s="0" t="n">
        <v>3.3</v>
      </c>
      <c r="N12" s="32" t="s">
        <v>753</v>
      </c>
      <c r="O12" s="32" t="s">
        <v>834</v>
      </c>
      <c r="P12" s="32" t="n">
        <f aca="false">IF(AND(ISNUMBER(K12),K12&gt;=0),K12,IF(ISNUMBER(M12),ROUND(M12*7,0),""))</f>
        <v>23</v>
      </c>
      <c r="Q12" s="0" t="str">
        <f aca="false">IF(ISTEXT(K12),"TEXT - recovered",IF(K12&lt;0,"NEGATIVE",IF(K12&gt;728,"&gt;104 WEEKS","OK")))</f>
        <v>OK</v>
      </c>
      <c r="R12" s="0" t="str">
        <f aca="false">IF(E12="GEN","GM",E12)</f>
        <v>GM</v>
      </c>
    </row>
    <row r="13" customFormat="false" ht="15" hidden="false" customHeight="false" outlineLevel="0" collapsed="false">
      <c r="A13" s="0" t="s">
        <v>835</v>
      </c>
      <c r="B13" s="0" t="s">
        <v>836</v>
      </c>
      <c r="C13" s="0" t="s">
        <v>837</v>
      </c>
      <c r="D13" s="31" t="n">
        <v>26814</v>
      </c>
      <c r="E13" s="32" t="s">
        <v>758</v>
      </c>
      <c r="F13" s="32" t="s">
        <v>759</v>
      </c>
      <c r="G13" s="32" t="s">
        <v>760</v>
      </c>
      <c r="H13" s="31" t="n">
        <v>45664</v>
      </c>
      <c r="I13" s="32" t="s">
        <v>761</v>
      </c>
      <c r="J13" s="32" t="s">
        <v>770</v>
      </c>
      <c r="K13" s="0" t="n">
        <v>134</v>
      </c>
      <c r="L13" s="32" t="s">
        <v>771</v>
      </c>
      <c r="M13" s="0" t="n">
        <v>19.1</v>
      </c>
      <c r="N13" s="32" t="s">
        <v>753</v>
      </c>
      <c r="O13" s="32" t="s">
        <v>838</v>
      </c>
      <c r="P13" s="32" t="n">
        <f aca="false">IF(AND(ISNUMBER(K13),K13&gt;=0),K13,IF(ISNUMBER(M13),ROUND(M13*7,0),""))</f>
        <v>134</v>
      </c>
      <c r="Q13" s="0" t="str">
        <f aca="false">IF(ISTEXT(K13),"TEXT - recovered",IF(K13&lt;0,"NEGATIVE",IF(K13&gt;728,"&gt;104 WEEKS","OK")))</f>
        <v>OK</v>
      </c>
      <c r="R13" s="0" t="str">
        <f aca="false">IF(E13="GEN","GM",E13)</f>
        <v>CS</v>
      </c>
    </row>
    <row r="14" customFormat="false" ht="15" hidden="false" customHeight="false" outlineLevel="0" collapsed="false">
      <c r="A14" s="0" t="s">
        <v>839</v>
      </c>
      <c r="B14" s="0" t="s">
        <v>840</v>
      </c>
      <c r="C14" s="0" t="s">
        <v>841</v>
      </c>
      <c r="D14" s="31" t="n">
        <v>22356</v>
      </c>
      <c r="E14" s="32" t="s">
        <v>766</v>
      </c>
      <c r="F14" s="32" t="s">
        <v>767</v>
      </c>
      <c r="G14" s="32" t="s">
        <v>768</v>
      </c>
      <c r="H14" s="31" t="n">
        <v>45664</v>
      </c>
      <c r="I14" s="32" t="s">
        <v>769</v>
      </c>
      <c r="J14" s="32" t="s">
        <v>751</v>
      </c>
      <c r="K14" s="0" t="n">
        <v>67</v>
      </c>
      <c r="L14" s="32" t="s">
        <v>752</v>
      </c>
      <c r="M14" s="0" t="n">
        <v>9.6</v>
      </c>
      <c r="N14" s="32" t="s">
        <v>780</v>
      </c>
      <c r="O14" s="32" t="s">
        <v>842</v>
      </c>
      <c r="P14" s="32" t="n">
        <f aca="false">IF(AND(ISNUMBER(K14),K14&gt;=0),K14,IF(ISNUMBER(M14),ROUND(M14*7,0),""))</f>
        <v>67</v>
      </c>
      <c r="Q14" s="0" t="str">
        <f aca="false">IF(ISTEXT(K14),"TEXT - recovered",IF(K14&lt;0,"NEGATIVE",IF(K14&gt;728,"&gt;104 WEEKS","OK")))</f>
        <v>OK</v>
      </c>
      <c r="R14" s="0" t="str">
        <f aca="false">IF(E14="GEN","GM",E14)</f>
        <v>OR</v>
      </c>
    </row>
    <row r="15" customFormat="false" ht="15" hidden="false" customHeight="false" outlineLevel="0" collapsed="false">
      <c r="A15" s="0" t="s">
        <v>843</v>
      </c>
      <c r="B15" s="0" t="s">
        <v>844</v>
      </c>
      <c r="C15" s="0" t="s">
        <v>845</v>
      </c>
      <c r="D15" s="31" t="n">
        <v>29102</v>
      </c>
      <c r="E15" s="32" t="s">
        <v>776</v>
      </c>
      <c r="F15" s="32" t="s">
        <v>777</v>
      </c>
      <c r="G15" s="32" t="s">
        <v>778</v>
      </c>
      <c r="H15" s="31" t="n">
        <v>45664</v>
      </c>
      <c r="I15" s="32" t="s">
        <v>779</v>
      </c>
      <c r="J15" s="32" t="s">
        <v>751</v>
      </c>
      <c r="K15" s="0" t="n">
        <v>41</v>
      </c>
      <c r="L15" s="32" t="s">
        <v>752</v>
      </c>
      <c r="M15" s="0" t="n">
        <v>5.9</v>
      </c>
      <c r="N15" s="32" t="s">
        <v>753</v>
      </c>
      <c r="O15" s="32" t="s">
        <v>846</v>
      </c>
      <c r="P15" s="32" t="n">
        <f aca="false">IF(AND(ISNUMBER(K15),K15&gt;=0),K15,IF(ISNUMBER(M15),ROUND(M15*7,0),""))</f>
        <v>41</v>
      </c>
      <c r="Q15" s="0" t="str">
        <f aca="false">IF(ISTEXT(K15),"TEXT - recovered",IF(K15&lt;0,"NEGATIVE",IF(K15&gt;728,"&gt;104 WEEKS","OK")))</f>
        <v>OK</v>
      </c>
      <c r="R15" s="0" t="str">
        <f aca="false">IF(E15="GEN","GM",E15)</f>
        <v>GS</v>
      </c>
    </row>
    <row r="16" customFormat="false" ht="15" hidden="false" customHeight="false" outlineLevel="0" collapsed="false">
      <c r="A16" s="0" t="s">
        <v>847</v>
      </c>
      <c r="B16" s="0" t="s">
        <v>848</v>
      </c>
      <c r="C16" s="0" t="s">
        <v>849</v>
      </c>
      <c r="D16" s="31" t="n">
        <v>16639</v>
      </c>
      <c r="E16" s="32" t="s">
        <v>785</v>
      </c>
      <c r="F16" s="32" t="s">
        <v>786</v>
      </c>
      <c r="G16" s="32" t="s">
        <v>787</v>
      </c>
      <c r="H16" s="31" t="n">
        <v>45664</v>
      </c>
      <c r="I16" s="32" t="s">
        <v>788</v>
      </c>
      <c r="J16" s="32" t="s">
        <v>770</v>
      </c>
      <c r="K16" s="0" t="n">
        <v>189</v>
      </c>
      <c r="L16" s="32" t="s">
        <v>771</v>
      </c>
      <c r="M16" s="0" t="n">
        <v>27</v>
      </c>
      <c r="N16" s="32" t="s">
        <v>753</v>
      </c>
      <c r="O16" s="32" t="s">
        <v>850</v>
      </c>
      <c r="P16" s="32" t="n">
        <f aca="false">IF(AND(ISNUMBER(K16),K16&gt;=0),K16,IF(ISNUMBER(M16),ROUND(M16*7,0),""))</f>
        <v>189</v>
      </c>
      <c r="Q16" s="0" t="str">
        <f aca="false">IF(ISTEXT(K16),"TEXT - recovered",IF(K16&lt;0,"NEGATIVE",IF(K16&gt;728,"&gt;104 WEEKS","OK")))</f>
        <v>OK</v>
      </c>
      <c r="R16" s="0" t="str">
        <f aca="false">IF(E16="GEN","GM",E16)</f>
        <v>RS</v>
      </c>
    </row>
    <row r="17" customFormat="false" ht="15" hidden="false" customHeight="false" outlineLevel="0" collapsed="false">
      <c r="A17" s="0" t="s">
        <v>851</v>
      </c>
      <c r="B17" s="0" t="s">
        <v>852</v>
      </c>
      <c r="C17" s="0" t="s">
        <v>853</v>
      </c>
      <c r="D17" s="31" t="n">
        <v>30293</v>
      </c>
      <c r="E17" s="32" t="s">
        <v>793</v>
      </c>
      <c r="F17" s="32" t="s">
        <v>794</v>
      </c>
      <c r="G17" s="32" t="s">
        <v>795</v>
      </c>
      <c r="H17" s="31" t="n">
        <v>45664</v>
      </c>
      <c r="I17" s="32" t="s">
        <v>796</v>
      </c>
      <c r="J17" s="32" t="s">
        <v>751</v>
      </c>
      <c r="K17" s="0" t="n">
        <v>15</v>
      </c>
      <c r="L17" s="32" t="s">
        <v>771</v>
      </c>
      <c r="M17" s="0" t="n">
        <v>2.1</v>
      </c>
      <c r="N17" s="32" t="s">
        <v>330</v>
      </c>
      <c r="O17" s="32" t="s">
        <v>854</v>
      </c>
      <c r="P17" s="32" t="n">
        <f aca="false">IF(AND(ISNUMBER(K17),K17&gt;=0),K17,IF(ISNUMBER(M17),ROUND(M17*7,0),""))</f>
        <v>15</v>
      </c>
      <c r="Q17" s="0" t="str">
        <f aca="false">IF(ISTEXT(K17),"TEXT - recovered",IF(K17&lt;0,"NEGATIVE",IF(K17&gt;728,"&gt;104 WEEKS","OK")))</f>
        <v>OK</v>
      </c>
      <c r="R17" s="0" t="str">
        <f aca="false">IF(E17="GEN","GM",E17)</f>
        <v>EM</v>
      </c>
    </row>
    <row r="18" customFormat="false" ht="15" hidden="false" customHeight="false" outlineLevel="0" collapsed="false">
      <c r="A18" s="0" t="s">
        <v>855</v>
      </c>
      <c r="B18" s="0" t="s">
        <v>856</v>
      </c>
      <c r="C18" s="0" t="s">
        <v>857</v>
      </c>
      <c r="D18" s="31" t="n">
        <v>25307</v>
      </c>
      <c r="E18" s="32" t="s">
        <v>802</v>
      </c>
      <c r="F18" s="32" t="s">
        <v>803</v>
      </c>
      <c r="G18" s="32" t="s">
        <v>804</v>
      </c>
      <c r="H18" s="31" t="n">
        <v>45664</v>
      </c>
      <c r="I18" s="32" t="s">
        <v>805</v>
      </c>
      <c r="J18" s="32" t="s">
        <v>858</v>
      </c>
      <c r="K18" s="0" t="n">
        <v>78</v>
      </c>
      <c r="L18" s="32" t="s">
        <v>771</v>
      </c>
      <c r="M18" s="0" t="n">
        <v>11.1</v>
      </c>
      <c r="N18" s="32" t="s">
        <v>753</v>
      </c>
      <c r="O18" s="32" t="s">
        <v>859</v>
      </c>
      <c r="P18" s="32" t="n">
        <f aca="false">IF(AND(ISNUMBER(K18),K18&gt;=0),K18,IF(ISNUMBER(M18),ROUND(M18*7,0),""))</f>
        <v>78</v>
      </c>
      <c r="Q18" s="0" t="str">
        <f aca="false">IF(ISTEXT(K18),"TEXT - recovered",IF(K18&lt;0,"NEGATIVE",IF(K18&gt;728,"&gt;104 WEEKS","OK")))</f>
        <v>OK</v>
      </c>
      <c r="R18" s="0" t="str">
        <f aca="false">IF(E18="GEN","GM",E18)</f>
        <v>GYN</v>
      </c>
    </row>
    <row r="19" customFormat="false" ht="15" hidden="false" customHeight="false" outlineLevel="0" collapsed="false">
      <c r="A19" s="0" t="s">
        <v>860</v>
      </c>
      <c r="B19" s="0" t="s">
        <v>861</v>
      </c>
      <c r="C19" s="0" t="s">
        <v>862</v>
      </c>
      <c r="D19" s="31" t="n">
        <v>33114</v>
      </c>
      <c r="E19" s="32" t="s">
        <v>810</v>
      </c>
      <c r="F19" s="32" t="s">
        <v>811</v>
      </c>
      <c r="G19" s="32" t="s">
        <v>812</v>
      </c>
      <c r="H19" s="31" t="n">
        <v>45664</v>
      </c>
      <c r="I19" s="32" t="s">
        <v>813</v>
      </c>
      <c r="J19" s="32" t="s">
        <v>751</v>
      </c>
      <c r="K19" s="0" t="n">
        <v>34</v>
      </c>
      <c r="L19" s="32" t="s">
        <v>752</v>
      </c>
      <c r="M19" s="0" t="n">
        <v>4.9</v>
      </c>
      <c r="N19" s="32" t="s">
        <v>753</v>
      </c>
      <c r="O19" s="32" t="s">
        <v>863</v>
      </c>
      <c r="P19" s="32" t="n">
        <f aca="false">IF(AND(ISNUMBER(K19),K19&gt;=0),K19,IF(ISNUMBER(M19),ROUND(M19*7,0),""))</f>
        <v>34</v>
      </c>
      <c r="Q19" s="0" t="str">
        <f aca="false">IF(ISTEXT(K19),"TEXT - recovered",IF(K19&lt;0,"NEGATIVE",IF(K19&gt;728,"&gt;104 WEEKS","OK")))</f>
        <v>OK</v>
      </c>
      <c r="R19" s="0" t="str">
        <f aca="false">IF(E19="GEN","GM",E19)</f>
        <v>URO</v>
      </c>
    </row>
    <row r="20" customFormat="false" ht="15" hidden="false" customHeight="false" outlineLevel="0" collapsed="false">
      <c r="A20" s="0" t="s">
        <v>864</v>
      </c>
      <c r="B20" s="0" t="s">
        <v>865</v>
      </c>
      <c r="C20" s="0" t="s">
        <v>866</v>
      </c>
      <c r="D20" s="31" t="n">
        <v>21191</v>
      </c>
      <c r="E20" s="32" t="s">
        <v>818</v>
      </c>
      <c r="F20" s="32" t="s">
        <v>819</v>
      </c>
      <c r="G20" s="32" t="s">
        <v>820</v>
      </c>
      <c r="H20" s="31" t="n">
        <v>45664</v>
      </c>
      <c r="I20" s="32" t="s">
        <v>821</v>
      </c>
      <c r="J20" s="32" t="s">
        <v>751</v>
      </c>
      <c r="K20" s="0" t="n">
        <v>56</v>
      </c>
      <c r="L20" s="32" t="s">
        <v>752</v>
      </c>
      <c r="M20" s="0" t="n">
        <v>8</v>
      </c>
      <c r="N20" s="32" t="s">
        <v>753</v>
      </c>
      <c r="O20" s="32" t="s">
        <v>867</v>
      </c>
      <c r="P20" s="32" t="n">
        <f aca="false">IF(AND(ISNUMBER(K20),K20&gt;=0),K20,IF(ISNUMBER(M20),ROUND(M20*7,0),""))</f>
        <v>56</v>
      </c>
      <c r="Q20" s="0" t="str">
        <f aca="false">IF(ISTEXT(K20),"TEXT - recovered",IF(K20&lt;0,"NEGATIVE",IF(K20&gt;728,"&gt;104 WEEKS","OK")))</f>
        <v>OK</v>
      </c>
      <c r="R20" s="0" t="str">
        <f aca="false">IF(E20="GEN","GM",E20)</f>
        <v>OPH</v>
      </c>
    </row>
    <row r="21" customFormat="false" ht="15" hidden="false" customHeight="false" outlineLevel="0" collapsed="false">
      <c r="A21" s="0" t="s">
        <v>868</v>
      </c>
      <c r="B21" s="0" t="s">
        <v>869</v>
      </c>
      <c r="C21" s="0" t="s">
        <v>870</v>
      </c>
      <c r="D21" s="31" t="n">
        <v>28087</v>
      </c>
      <c r="E21" s="32" t="s">
        <v>826</v>
      </c>
      <c r="F21" s="32" t="s">
        <v>827</v>
      </c>
      <c r="G21" s="32" t="s">
        <v>828</v>
      </c>
      <c r="H21" s="31" t="n">
        <v>45664</v>
      </c>
      <c r="I21" s="32" t="s">
        <v>829</v>
      </c>
      <c r="J21" s="32" t="s">
        <v>770</v>
      </c>
      <c r="K21" s="0" t="n">
        <v>167</v>
      </c>
      <c r="L21" s="32" t="s">
        <v>771</v>
      </c>
      <c r="M21" s="0" t="n">
        <v>23.9</v>
      </c>
      <c r="N21" s="32" t="s">
        <v>753</v>
      </c>
      <c r="O21" s="32" t="s">
        <v>871</v>
      </c>
      <c r="P21" s="32" t="n">
        <f aca="false">IF(AND(ISNUMBER(K21),K21&gt;=0),K21,IF(ISNUMBER(M21),ROUND(M21*7,0),""))</f>
        <v>167</v>
      </c>
      <c r="Q21" s="0" t="str">
        <f aca="false">IF(ISTEXT(K21),"TEXT - recovered",IF(K21&lt;0,"NEGATIVE",IF(K21&gt;728,"&gt;104 WEEKS","OK")))</f>
        <v>OK</v>
      </c>
      <c r="R21" s="0" t="str">
        <f aca="false">IF(E21="GEN","GM",E21)</f>
        <v>RHE</v>
      </c>
    </row>
    <row r="22" customFormat="false" ht="15" hidden="false" customHeight="false" outlineLevel="0" collapsed="false">
      <c r="A22" s="0" t="s">
        <v>872</v>
      </c>
      <c r="B22" s="0" t="s">
        <v>873</v>
      </c>
      <c r="C22" s="0" t="s">
        <v>874</v>
      </c>
      <c r="D22" s="31" t="n">
        <v>19885</v>
      </c>
      <c r="E22" s="32" t="s">
        <v>747</v>
      </c>
      <c r="F22" s="32" t="s">
        <v>748</v>
      </c>
      <c r="G22" s="32" t="s">
        <v>749</v>
      </c>
      <c r="H22" s="31" t="n">
        <v>45665</v>
      </c>
      <c r="I22" s="32" t="s">
        <v>750</v>
      </c>
      <c r="J22" s="32" t="s">
        <v>751</v>
      </c>
      <c r="K22" s="0" t="n">
        <v>89</v>
      </c>
      <c r="L22" s="32" t="s">
        <v>752</v>
      </c>
      <c r="M22" s="0" t="n">
        <v>12.7</v>
      </c>
      <c r="N22" s="32" t="s">
        <v>753</v>
      </c>
      <c r="O22" s="32" t="s">
        <v>875</v>
      </c>
      <c r="P22" s="32" t="n">
        <f aca="false">IF(AND(ISNUMBER(K22),K22&gt;=0),K22,IF(ISNUMBER(M22),ROUND(M22*7,0),""))</f>
        <v>89</v>
      </c>
      <c r="Q22" s="0" t="str">
        <f aca="false">IF(ISTEXT(K22),"TEXT - recovered",IF(K22&lt;0,"NEGATIVE",IF(K22&gt;728,"&gt;104 WEEKS","OK")))</f>
        <v>OK</v>
      </c>
      <c r="R22" s="0" t="str">
        <f aca="false">IF(E22="GEN","GM",E22)</f>
        <v>GM</v>
      </c>
    </row>
    <row r="23" customFormat="false" ht="15" hidden="false" customHeight="false" outlineLevel="0" collapsed="false">
      <c r="A23" s="0" t="s">
        <v>876</v>
      </c>
      <c r="B23" s="0" t="s">
        <v>877</v>
      </c>
      <c r="C23" s="0" t="s">
        <v>878</v>
      </c>
      <c r="D23" s="31" t="n">
        <v>31471</v>
      </c>
      <c r="E23" s="32" t="s">
        <v>758</v>
      </c>
      <c r="F23" s="32" t="s">
        <v>759</v>
      </c>
      <c r="G23" s="32" t="s">
        <v>760</v>
      </c>
      <c r="H23" s="31" t="n">
        <v>45665</v>
      </c>
      <c r="I23" s="32" t="s">
        <v>761</v>
      </c>
      <c r="J23" s="32" t="s">
        <v>751</v>
      </c>
      <c r="K23" s="0" t="n">
        <v>45</v>
      </c>
      <c r="L23" s="32" t="s">
        <v>752</v>
      </c>
      <c r="M23" s="0" t="n">
        <v>6.4</v>
      </c>
      <c r="N23" s="32" t="s">
        <v>780</v>
      </c>
      <c r="O23" s="32" t="s">
        <v>879</v>
      </c>
      <c r="P23" s="32" t="n">
        <f aca="false">IF(AND(ISNUMBER(K23),K23&gt;=0),K23,IF(ISNUMBER(M23),ROUND(M23*7,0),""))</f>
        <v>45</v>
      </c>
      <c r="Q23" s="0" t="str">
        <f aca="false">IF(ISTEXT(K23),"TEXT - recovered",IF(K23&lt;0,"NEGATIVE",IF(K23&gt;728,"&gt;104 WEEKS","OK")))</f>
        <v>OK</v>
      </c>
      <c r="R23" s="0" t="str">
        <f aca="false">IF(E23="GEN","GM",E23)</f>
        <v>CS</v>
      </c>
    </row>
    <row r="24" customFormat="false" ht="15" hidden="false" customHeight="false" outlineLevel="0" collapsed="false">
      <c r="A24" s="0" t="s">
        <v>880</v>
      </c>
      <c r="B24" s="0" t="s">
        <v>881</v>
      </c>
      <c r="C24" s="0" t="s">
        <v>882</v>
      </c>
      <c r="D24" s="31" t="n">
        <v>25826</v>
      </c>
      <c r="E24" s="32" t="s">
        <v>766</v>
      </c>
      <c r="F24" s="32" t="s">
        <v>767</v>
      </c>
      <c r="G24" s="32" t="s">
        <v>768</v>
      </c>
      <c r="H24" s="31" t="n">
        <v>45665</v>
      </c>
      <c r="I24" s="32" t="s">
        <v>769</v>
      </c>
      <c r="J24" s="32" t="s">
        <v>770</v>
      </c>
      <c r="K24" s="0" t="n">
        <v>223</v>
      </c>
      <c r="L24" s="32" t="s">
        <v>771</v>
      </c>
      <c r="M24" s="0" t="n">
        <v>31.9</v>
      </c>
      <c r="N24" s="32" t="s">
        <v>753</v>
      </c>
      <c r="O24" s="32" t="s">
        <v>883</v>
      </c>
      <c r="P24" s="32" t="n">
        <f aca="false">IF(AND(ISNUMBER(K24),K24&gt;=0),K24,IF(ISNUMBER(M24),ROUND(M24*7,0),""))</f>
        <v>223</v>
      </c>
      <c r="Q24" s="0" t="str">
        <f aca="false">IF(ISTEXT(K24),"TEXT - recovered",IF(K24&lt;0,"NEGATIVE",IF(K24&gt;728,"&gt;104 WEEKS","OK")))</f>
        <v>OK</v>
      </c>
      <c r="R24" s="0" t="str">
        <f aca="false">IF(E24="GEN","GM",E24)</f>
        <v>OR</v>
      </c>
    </row>
    <row r="25" customFormat="false" ht="15" hidden="false" customHeight="false" outlineLevel="0" collapsed="false">
      <c r="A25" s="0" t="s">
        <v>884</v>
      </c>
      <c r="B25" s="0" t="s">
        <v>885</v>
      </c>
      <c r="C25" s="0" t="s">
        <v>886</v>
      </c>
      <c r="D25" s="31" t="n">
        <v>17626</v>
      </c>
      <c r="E25" s="32" t="s">
        <v>776</v>
      </c>
      <c r="F25" s="32" t="s">
        <v>777</v>
      </c>
      <c r="G25" s="32" t="s">
        <v>778</v>
      </c>
      <c r="H25" s="31" t="n">
        <v>45665</v>
      </c>
      <c r="I25" s="32" t="s">
        <v>779</v>
      </c>
      <c r="J25" s="32" t="s">
        <v>751</v>
      </c>
      <c r="K25" s="0" t="n">
        <v>34</v>
      </c>
      <c r="L25" s="32" t="s">
        <v>752</v>
      </c>
      <c r="M25" s="0" t="n">
        <v>4.9</v>
      </c>
      <c r="N25" s="32" t="s">
        <v>753</v>
      </c>
      <c r="O25" s="32" t="s">
        <v>887</v>
      </c>
      <c r="P25" s="32" t="n">
        <f aca="false">IF(AND(ISNUMBER(K25),K25&gt;=0),K25,IF(ISNUMBER(M25),ROUND(M25*7,0),""))</f>
        <v>34</v>
      </c>
      <c r="Q25" s="0" t="str">
        <f aca="false">IF(ISTEXT(K25),"TEXT - recovered",IF(K25&lt;0,"NEGATIVE",IF(K25&gt;728,"&gt;104 WEEKS","OK")))</f>
        <v>OK</v>
      </c>
      <c r="R25" s="0" t="str">
        <f aca="false">IF(E25="GEN","GM",E25)</f>
        <v>GS</v>
      </c>
    </row>
    <row r="26" customFormat="false" ht="15" hidden="false" customHeight="false" outlineLevel="0" collapsed="false">
      <c r="A26" s="0" t="s">
        <v>888</v>
      </c>
      <c r="B26" s="0" t="s">
        <v>889</v>
      </c>
      <c r="C26" s="0" t="s">
        <v>890</v>
      </c>
      <c r="D26" s="31" t="n">
        <v>30670</v>
      </c>
      <c r="E26" s="32" t="s">
        <v>785</v>
      </c>
      <c r="F26" s="32" t="s">
        <v>786</v>
      </c>
      <c r="G26" s="32" t="s">
        <v>787</v>
      </c>
      <c r="H26" s="31" t="n">
        <v>45665</v>
      </c>
      <c r="I26" s="32" t="s">
        <v>788</v>
      </c>
      <c r="J26" s="32" t="s">
        <v>751</v>
      </c>
      <c r="K26" s="0" t="n">
        <v>78</v>
      </c>
      <c r="L26" s="32" t="s">
        <v>752</v>
      </c>
      <c r="M26" s="0" t="n">
        <v>11.1</v>
      </c>
      <c r="N26" s="32" t="s">
        <v>753</v>
      </c>
      <c r="O26" s="32" t="s">
        <v>891</v>
      </c>
      <c r="P26" s="32" t="n">
        <f aca="false">IF(AND(ISNUMBER(K26),K26&gt;=0),K26,IF(ISNUMBER(M26),ROUND(M26*7,0),""))</f>
        <v>78</v>
      </c>
      <c r="Q26" s="0" t="str">
        <f aca="false">IF(ISTEXT(K26),"TEXT - recovered",IF(K26&lt;0,"NEGATIVE",IF(K26&gt;728,"&gt;104 WEEKS","OK")))</f>
        <v>OK</v>
      </c>
      <c r="R26" s="0" t="str">
        <f aca="false">IF(E26="GEN","GM",E26)</f>
        <v>RS</v>
      </c>
    </row>
    <row r="27" customFormat="false" ht="15" hidden="false" customHeight="false" outlineLevel="0" collapsed="false">
      <c r="A27" s="0" t="s">
        <v>892</v>
      </c>
      <c r="B27" s="0" t="s">
        <v>893</v>
      </c>
      <c r="C27" s="0" t="s">
        <v>894</v>
      </c>
      <c r="D27" s="31" t="n">
        <v>23930</v>
      </c>
      <c r="E27" s="32" t="s">
        <v>793</v>
      </c>
      <c r="F27" s="32" t="s">
        <v>794</v>
      </c>
      <c r="G27" s="32" t="s">
        <v>795</v>
      </c>
      <c r="H27" s="31" t="n">
        <v>45665</v>
      </c>
      <c r="I27" s="32" t="s">
        <v>796</v>
      </c>
      <c r="J27" s="32" t="s">
        <v>797</v>
      </c>
      <c r="K27" s="0" t="n">
        <v>19</v>
      </c>
      <c r="L27" s="32" t="s">
        <v>771</v>
      </c>
      <c r="M27" s="0" t="n">
        <v>2.7</v>
      </c>
      <c r="N27" s="32" t="s">
        <v>330</v>
      </c>
      <c r="O27" s="32" t="s">
        <v>895</v>
      </c>
      <c r="P27" s="32" t="n">
        <f aca="false">IF(AND(ISNUMBER(K27),K27&gt;=0),K27,IF(ISNUMBER(M27),ROUND(M27*7,0),""))</f>
        <v>19</v>
      </c>
      <c r="Q27" s="0" t="str">
        <f aca="false">IF(ISTEXT(K27),"TEXT - recovered",IF(K27&lt;0,"NEGATIVE",IF(K27&gt;728,"&gt;104 WEEKS","OK")))</f>
        <v>OK</v>
      </c>
      <c r="R27" s="0" t="str">
        <f aca="false">IF(E27="GEN","GM",E27)</f>
        <v>EM</v>
      </c>
    </row>
    <row r="28" customFormat="false" ht="15" hidden="false" customHeight="false" outlineLevel="0" collapsed="false">
      <c r="A28" s="0" t="s">
        <v>896</v>
      </c>
      <c r="B28" s="0" t="s">
        <v>897</v>
      </c>
      <c r="C28" s="0" t="s">
        <v>898</v>
      </c>
      <c r="D28" s="31" t="n">
        <v>33322</v>
      </c>
      <c r="E28" s="32" t="s">
        <v>802</v>
      </c>
      <c r="F28" s="32" t="s">
        <v>803</v>
      </c>
      <c r="G28" s="32" t="s">
        <v>804</v>
      </c>
      <c r="H28" s="31" t="n">
        <v>45665</v>
      </c>
      <c r="I28" s="32" t="s">
        <v>805</v>
      </c>
      <c r="J28" s="32" t="s">
        <v>751</v>
      </c>
      <c r="K28" s="0" t="n">
        <v>23</v>
      </c>
      <c r="L28" s="32" t="s">
        <v>752</v>
      </c>
      <c r="M28" s="0" t="n">
        <v>3.3</v>
      </c>
      <c r="N28" s="32" t="s">
        <v>753</v>
      </c>
      <c r="O28" s="32" t="s">
        <v>899</v>
      </c>
      <c r="P28" s="32" t="n">
        <f aca="false">IF(AND(ISNUMBER(K28),K28&gt;=0),K28,IF(ISNUMBER(M28),ROUND(M28*7,0),""))</f>
        <v>23</v>
      </c>
      <c r="Q28" s="0" t="str">
        <f aca="false">IF(ISTEXT(K28),"TEXT - recovered",IF(K28&lt;0,"NEGATIVE",IF(K28&gt;728,"&gt;104 WEEKS","OK")))</f>
        <v>OK</v>
      </c>
      <c r="R28" s="0" t="str">
        <f aca="false">IF(E28="GEN","GM",E28)</f>
        <v>GYN</v>
      </c>
    </row>
    <row r="29" customFormat="false" ht="15" hidden="false" customHeight="false" outlineLevel="0" collapsed="false">
      <c r="A29" s="0" t="s">
        <v>900</v>
      </c>
      <c r="B29" s="0" t="s">
        <v>901</v>
      </c>
      <c r="C29" s="0" t="s">
        <v>902</v>
      </c>
      <c r="D29" s="31" t="n">
        <v>21835</v>
      </c>
      <c r="E29" s="32" t="s">
        <v>810</v>
      </c>
      <c r="F29" s="32" t="s">
        <v>811</v>
      </c>
      <c r="G29" s="32" t="s">
        <v>812</v>
      </c>
      <c r="H29" s="31" t="n">
        <v>45665</v>
      </c>
      <c r="I29" s="32" t="s">
        <v>813</v>
      </c>
      <c r="J29" s="32" t="s">
        <v>770</v>
      </c>
      <c r="K29" s="0" t="n">
        <v>156</v>
      </c>
      <c r="L29" s="32" t="s">
        <v>771</v>
      </c>
      <c r="M29" s="0" t="n">
        <v>22.3</v>
      </c>
      <c r="N29" s="32" t="s">
        <v>753</v>
      </c>
      <c r="O29" s="32" t="s">
        <v>903</v>
      </c>
      <c r="P29" s="32" t="n">
        <f aca="false">IF(AND(ISNUMBER(K29),K29&gt;=0),K29,IF(ISNUMBER(M29),ROUND(M29*7,0),""))</f>
        <v>156</v>
      </c>
      <c r="Q29" s="0" t="str">
        <f aca="false">IF(ISTEXT(K29),"TEXT - recovered",IF(K29&lt;0,"NEGATIVE",IF(K29&gt;728,"&gt;104 WEEKS","OK")))</f>
        <v>OK</v>
      </c>
      <c r="R29" s="0" t="str">
        <f aca="false">IF(E29="GEN","GM",E29)</f>
        <v>URO</v>
      </c>
    </row>
    <row r="30" customFormat="false" ht="15" hidden="false" customHeight="false" outlineLevel="0" collapsed="false">
      <c r="A30" s="0" t="s">
        <v>904</v>
      </c>
      <c r="B30" s="0" t="s">
        <v>905</v>
      </c>
      <c r="C30" s="0" t="s">
        <v>906</v>
      </c>
      <c r="D30" s="31" t="n">
        <v>28306</v>
      </c>
      <c r="E30" s="32" t="s">
        <v>818</v>
      </c>
      <c r="F30" s="32" t="s">
        <v>819</v>
      </c>
      <c r="G30" s="32" t="s">
        <v>820</v>
      </c>
      <c r="H30" s="31" t="n">
        <v>45665</v>
      </c>
      <c r="I30" s="32" t="s">
        <v>821</v>
      </c>
      <c r="J30" s="32" t="s">
        <v>751</v>
      </c>
      <c r="K30" s="0" t="n">
        <v>67</v>
      </c>
      <c r="L30" s="32" t="s">
        <v>752</v>
      </c>
      <c r="M30" s="0" t="n">
        <v>9.6</v>
      </c>
      <c r="N30" s="32" t="s">
        <v>753</v>
      </c>
      <c r="O30" s="32" t="s">
        <v>907</v>
      </c>
      <c r="P30" s="32" t="n">
        <f aca="false">IF(AND(ISNUMBER(K30),K30&gt;=0),K30,IF(ISNUMBER(M30),ROUND(M30*7,0),""))</f>
        <v>67</v>
      </c>
      <c r="Q30" s="0" t="str">
        <f aca="false">IF(ISTEXT(K30),"TEXT - recovered",IF(K30&lt;0,"NEGATIVE",IF(K30&gt;728,"&gt;104 WEEKS","OK")))</f>
        <v>OK</v>
      </c>
      <c r="R30" s="0" t="str">
        <f aca="false">IF(E30="GEN","GM",E30)</f>
        <v>OPH</v>
      </c>
    </row>
    <row r="31" customFormat="false" ht="15" hidden="false" customHeight="false" outlineLevel="0" collapsed="false">
      <c r="A31" s="0" t="s">
        <v>908</v>
      </c>
      <c r="B31" s="0" t="s">
        <v>909</v>
      </c>
      <c r="C31" s="0" t="s">
        <v>910</v>
      </c>
      <c r="D31" s="31" t="n">
        <v>19010</v>
      </c>
      <c r="E31" s="32" t="s">
        <v>826</v>
      </c>
      <c r="F31" s="32" t="s">
        <v>827</v>
      </c>
      <c r="G31" s="32" t="s">
        <v>828</v>
      </c>
      <c r="H31" s="31" t="n">
        <v>45665</v>
      </c>
      <c r="I31" s="32" t="s">
        <v>829</v>
      </c>
      <c r="J31" s="32" t="s">
        <v>751</v>
      </c>
      <c r="K31" s="0" t="n">
        <v>134</v>
      </c>
      <c r="L31" s="32" t="s">
        <v>752</v>
      </c>
      <c r="M31" s="0" t="n">
        <v>19.1</v>
      </c>
      <c r="N31" s="32" t="s">
        <v>753</v>
      </c>
      <c r="O31" s="32" t="s">
        <v>911</v>
      </c>
      <c r="P31" s="32" t="n">
        <f aca="false">IF(AND(ISNUMBER(K31),K31&gt;=0),K31,IF(ISNUMBER(M31),ROUND(M31*7,0),""))</f>
        <v>134</v>
      </c>
      <c r="Q31" s="0" t="str">
        <f aca="false">IF(ISTEXT(K31),"TEXT - recovered",IF(K31&lt;0,"NEGATIVE",IF(K31&gt;728,"&gt;104 WEEKS","OK")))</f>
        <v>OK</v>
      </c>
      <c r="R31" s="0" t="str">
        <f aca="false">IF(E31="GEN","GM",E31)</f>
        <v>RHE</v>
      </c>
    </row>
    <row r="32" customFormat="false" ht="15" hidden="false" customHeight="false" outlineLevel="0" collapsed="false">
      <c r="A32" s="0" t="s">
        <v>912</v>
      </c>
      <c r="B32" s="0" t="s">
        <v>913</v>
      </c>
      <c r="C32" s="0" t="s">
        <v>914</v>
      </c>
      <c r="D32" s="31" t="n">
        <v>30898</v>
      </c>
      <c r="E32" s="32" t="s">
        <v>747</v>
      </c>
      <c r="F32" s="32" t="s">
        <v>748</v>
      </c>
      <c r="G32" s="32" t="s">
        <v>749</v>
      </c>
      <c r="H32" s="31" t="n">
        <v>45666</v>
      </c>
      <c r="I32" s="32" t="s">
        <v>750</v>
      </c>
      <c r="J32" s="32" t="s">
        <v>751</v>
      </c>
      <c r="K32" s="0" t="n">
        <v>34</v>
      </c>
      <c r="L32" s="32" t="s">
        <v>752</v>
      </c>
      <c r="M32" s="0" t="n">
        <v>4.9</v>
      </c>
      <c r="N32" s="32" t="s">
        <v>753</v>
      </c>
      <c r="O32" s="32" t="s">
        <v>915</v>
      </c>
      <c r="P32" s="32" t="n">
        <f aca="false">IF(AND(ISNUMBER(K32),K32&gt;=0),K32,IF(ISNUMBER(M32),ROUND(M32*7,0),""))</f>
        <v>34</v>
      </c>
      <c r="Q32" s="0" t="str">
        <f aca="false">IF(ISTEXT(K32),"TEXT - recovered",IF(K32&lt;0,"NEGATIVE",IF(K32&gt;728,"&gt;104 WEEKS","OK")))</f>
        <v>OK</v>
      </c>
      <c r="R32" s="0" t="str">
        <f aca="false">IF(E32="GEN","GM",E32)</f>
        <v>GM</v>
      </c>
    </row>
    <row r="33" customFormat="false" ht="15" hidden="false" customHeight="false" outlineLevel="0" collapsed="false">
      <c r="A33" s="0" t="s">
        <v>916</v>
      </c>
      <c r="B33" s="0" t="s">
        <v>917</v>
      </c>
      <c r="C33" s="0" t="s">
        <v>918</v>
      </c>
      <c r="D33" s="31" t="n">
        <v>24949</v>
      </c>
      <c r="E33" s="32" t="s">
        <v>758</v>
      </c>
      <c r="F33" s="32" t="s">
        <v>759</v>
      </c>
      <c r="G33" s="32" t="s">
        <v>760</v>
      </c>
      <c r="H33" s="31" t="n">
        <v>45666</v>
      </c>
      <c r="I33" s="32" t="s">
        <v>761</v>
      </c>
      <c r="J33" s="32" t="s">
        <v>770</v>
      </c>
      <c r="K33" s="0" t="n">
        <v>201</v>
      </c>
      <c r="L33" s="32" t="s">
        <v>771</v>
      </c>
      <c r="M33" s="0" t="n">
        <v>28.7</v>
      </c>
      <c r="N33" s="32" t="s">
        <v>753</v>
      </c>
      <c r="O33" s="32" t="s">
        <v>919</v>
      </c>
      <c r="P33" s="32" t="n">
        <f aca="false">IF(AND(ISNUMBER(K33),K33&gt;=0),K33,IF(ISNUMBER(M33),ROUND(M33*7,0),""))</f>
        <v>201</v>
      </c>
      <c r="Q33" s="0" t="str">
        <f aca="false">IF(ISTEXT(K33),"TEXT - recovered",IF(K33&lt;0,"NEGATIVE",IF(K33&gt;728,"&gt;104 WEEKS","OK")))</f>
        <v>OK</v>
      </c>
      <c r="R33" s="0" t="str">
        <f aca="false">IF(E33="GEN","GM",E33)</f>
        <v>CS</v>
      </c>
    </row>
    <row r="34" customFormat="false" ht="15" hidden="false" customHeight="false" outlineLevel="0" collapsed="false">
      <c r="A34" s="0" t="s">
        <v>920</v>
      </c>
      <c r="B34" s="0" t="s">
        <v>921</v>
      </c>
      <c r="C34" s="0" t="s">
        <v>922</v>
      </c>
      <c r="D34" s="31" t="n">
        <v>16750</v>
      </c>
      <c r="E34" s="32" t="s">
        <v>766</v>
      </c>
      <c r="F34" s="32" t="s">
        <v>767</v>
      </c>
      <c r="G34" s="32" t="s">
        <v>768</v>
      </c>
      <c r="H34" s="31" t="n">
        <v>45666</v>
      </c>
      <c r="I34" s="32" t="s">
        <v>769</v>
      </c>
      <c r="J34" s="32" t="s">
        <v>751</v>
      </c>
      <c r="K34" s="0" t="n">
        <v>89</v>
      </c>
      <c r="L34" s="32" t="s">
        <v>752</v>
      </c>
      <c r="M34" s="0" t="n">
        <v>12.7</v>
      </c>
      <c r="N34" s="32" t="s">
        <v>780</v>
      </c>
      <c r="O34" s="32" t="s">
        <v>923</v>
      </c>
      <c r="P34" s="32" t="n">
        <f aca="false">IF(AND(ISNUMBER(K34),K34&gt;=0),K34,IF(ISNUMBER(M34),ROUND(M34*7,0),""))</f>
        <v>89</v>
      </c>
      <c r="Q34" s="0" t="str">
        <f aca="false">IF(ISTEXT(K34),"TEXT - recovered",IF(K34&lt;0,"NEGATIVE",IF(K34&gt;728,"&gt;104 WEEKS","OK")))</f>
        <v>OK</v>
      </c>
      <c r="R34" s="0" t="str">
        <f aca="false">IF(E34="GEN","GM",E34)</f>
        <v>OR</v>
      </c>
    </row>
    <row r="35" customFormat="false" ht="15" hidden="false" customHeight="false" outlineLevel="0" collapsed="false">
      <c r="A35" s="0" t="s">
        <v>924</v>
      </c>
      <c r="B35" s="0" t="s">
        <v>925</v>
      </c>
      <c r="C35" s="0" t="s">
        <v>926</v>
      </c>
      <c r="D35" s="31" t="n">
        <v>29063</v>
      </c>
      <c r="E35" s="32" t="s">
        <v>776</v>
      </c>
      <c r="F35" s="32" t="s">
        <v>777</v>
      </c>
      <c r="G35" s="32" t="s">
        <v>778</v>
      </c>
      <c r="H35" s="31" t="n">
        <v>45666</v>
      </c>
      <c r="I35" s="32" t="s">
        <v>779</v>
      </c>
      <c r="J35" s="32" t="s">
        <v>751</v>
      </c>
      <c r="K35" s="0" t="n">
        <v>56</v>
      </c>
      <c r="L35" s="32" t="s">
        <v>752</v>
      </c>
      <c r="M35" s="0" t="n">
        <v>8</v>
      </c>
      <c r="N35" s="32" t="s">
        <v>753</v>
      </c>
      <c r="O35" s="32" t="s">
        <v>927</v>
      </c>
      <c r="P35" s="32" t="n">
        <f aca="false">IF(AND(ISNUMBER(K35),K35&gt;=0),K35,IF(ISNUMBER(M35),ROUND(M35*7,0),""))</f>
        <v>56</v>
      </c>
      <c r="Q35" s="0" t="str">
        <f aca="false">IF(ISTEXT(K35),"TEXT - recovered",IF(K35&lt;0,"NEGATIVE",IF(K35&gt;728,"&gt;104 WEEKS","OK")))</f>
        <v>OK</v>
      </c>
      <c r="R35" s="0" t="str">
        <f aca="false">IF(E35="GEN","GM",E35)</f>
        <v>GS</v>
      </c>
    </row>
    <row r="36" customFormat="false" ht="15" hidden="false" customHeight="false" outlineLevel="0" collapsed="false">
      <c r="A36" s="0" t="s">
        <v>928</v>
      </c>
      <c r="B36" s="0" t="s">
        <v>929</v>
      </c>
      <c r="C36" s="0" t="s">
        <v>930</v>
      </c>
      <c r="D36" s="31" t="n">
        <v>34014</v>
      </c>
      <c r="E36" s="32" t="s">
        <v>785</v>
      </c>
      <c r="F36" s="32" t="s">
        <v>786</v>
      </c>
      <c r="G36" s="32" t="s">
        <v>787</v>
      </c>
      <c r="H36" s="31" t="n">
        <v>45666</v>
      </c>
      <c r="I36" s="32" t="s">
        <v>788</v>
      </c>
      <c r="J36" s="32" t="s">
        <v>770</v>
      </c>
      <c r="K36" s="0" t="n">
        <v>145</v>
      </c>
      <c r="L36" s="32" t="s">
        <v>771</v>
      </c>
      <c r="M36" s="0" t="n">
        <v>20.7</v>
      </c>
      <c r="N36" s="32" t="s">
        <v>753</v>
      </c>
      <c r="O36" s="32" t="s">
        <v>931</v>
      </c>
      <c r="P36" s="32" t="n">
        <f aca="false">IF(AND(ISNUMBER(K36),K36&gt;=0),K36,IF(ISNUMBER(M36),ROUND(M36*7,0),""))</f>
        <v>145</v>
      </c>
      <c r="Q36" s="0" t="str">
        <f aca="false">IF(ISTEXT(K36),"TEXT - recovered",IF(K36&lt;0,"NEGATIVE",IF(K36&gt;728,"&gt;104 WEEKS","OK")))</f>
        <v>OK</v>
      </c>
      <c r="R36" s="0" t="str">
        <f aca="false">IF(E36="GEN","GM",E36)</f>
        <v>RS</v>
      </c>
    </row>
    <row r="37" customFormat="false" ht="15" hidden="false" customHeight="false" outlineLevel="0" collapsed="false">
      <c r="A37" s="0" t="s">
        <v>932</v>
      </c>
      <c r="B37" s="0" t="s">
        <v>933</v>
      </c>
      <c r="C37" s="0" t="s">
        <v>934</v>
      </c>
      <c r="D37" s="31" t="n">
        <v>22526</v>
      </c>
      <c r="E37" s="32" t="s">
        <v>793</v>
      </c>
      <c r="F37" s="32" t="s">
        <v>794</v>
      </c>
      <c r="G37" s="32" t="s">
        <v>795</v>
      </c>
      <c r="H37" s="31" t="n">
        <v>45666</v>
      </c>
      <c r="I37" s="32" t="s">
        <v>796</v>
      </c>
      <c r="J37" s="32" t="s">
        <v>751</v>
      </c>
      <c r="K37" s="0" t="n">
        <v>22</v>
      </c>
      <c r="L37" s="32" t="s">
        <v>771</v>
      </c>
      <c r="M37" s="0" t="n">
        <v>3.1</v>
      </c>
      <c r="N37" s="32" t="s">
        <v>330</v>
      </c>
      <c r="O37" s="32" t="s">
        <v>935</v>
      </c>
      <c r="P37" s="32" t="n">
        <f aca="false">IF(AND(ISNUMBER(K37),K37&gt;=0),K37,IF(ISNUMBER(M37),ROUND(M37*7,0),""))</f>
        <v>22</v>
      </c>
      <c r="Q37" s="0" t="str">
        <f aca="false">IF(ISTEXT(K37),"TEXT - recovered",IF(K37&lt;0,"NEGATIVE",IF(K37&gt;728,"&gt;104 WEEKS","OK")))</f>
        <v>OK</v>
      </c>
      <c r="R37" s="0" t="str">
        <f aca="false">IF(E37="GEN","GM",E37)</f>
        <v>EM</v>
      </c>
    </row>
    <row r="38" customFormat="false" ht="15" hidden="false" customHeight="false" outlineLevel="0" collapsed="false">
      <c r="A38" s="0" t="s">
        <v>936</v>
      </c>
      <c r="B38" s="0" t="s">
        <v>937</v>
      </c>
      <c r="C38" s="0" t="s">
        <v>938</v>
      </c>
      <c r="D38" s="31" t="n">
        <v>27168</v>
      </c>
      <c r="E38" s="32" t="s">
        <v>802</v>
      </c>
      <c r="F38" s="32" t="s">
        <v>803</v>
      </c>
      <c r="G38" s="32" t="s">
        <v>804</v>
      </c>
      <c r="H38" s="31" t="n">
        <v>45666</v>
      </c>
      <c r="I38" s="32" t="s">
        <v>805</v>
      </c>
      <c r="J38" s="32" t="s">
        <v>751</v>
      </c>
      <c r="K38" s="0" t="n">
        <v>45</v>
      </c>
      <c r="L38" s="32" t="s">
        <v>752</v>
      </c>
      <c r="M38" s="0" t="n">
        <v>6.4</v>
      </c>
      <c r="N38" s="32" t="s">
        <v>753</v>
      </c>
      <c r="O38" s="32" t="s">
        <v>939</v>
      </c>
      <c r="P38" s="32" t="n">
        <f aca="false">IF(AND(ISNUMBER(K38),K38&gt;=0),K38,IF(ISNUMBER(M38),ROUND(M38*7,0),""))</f>
        <v>45</v>
      </c>
      <c r="Q38" s="0" t="str">
        <f aca="false">IF(ISTEXT(K38),"TEXT - recovered",IF(K38&lt;0,"NEGATIVE",IF(K38&gt;728,"&gt;104 WEEKS","OK")))</f>
        <v>OK</v>
      </c>
      <c r="R38" s="0" t="str">
        <f aca="false">IF(E38="GEN","GM",E38)</f>
        <v>GYN</v>
      </c>
    </row>
    <row r="39" customFormat="false" ht="15" hidden="false" customHeight="false" outlineLevel="0" collapsed="false">
      <c r="A39" s="0" t="s">
        <v>940</v>
      </c>
      <c r="B39" s="0" t="s">
        <v>941</v>
      </c>
      <c r="C39" s="0" t="s">
        <v>942</v>
      </c>
      <c r="D39" s="31" t="n">
        <v>32118</v>
      </c>
      <c r="E39" s="32" t="s">
        <v>810</v>
      </c>
      <c r="F39" s="32" t="s">
        <v>811</v>
      </c>
      <c r="G39" s="32" t="s">
        <v>812</v>
      </c>
      <c r="H39" s="31" t="n">
        <v>45666</v>
      </c>
      <c r="I39" s="32" t="s">
        <v>813</v>
      </c>
      <c r="J39" s="32" t="s">
        <v>751</v>
      </c>
      <c r="K39" s="0" t="n">
        <v>34</v>
      </c>
      <c r="L39" s="32" t="s">
        <v>752</v>
      </c>
      <c r="M39" s="0" t="n">
        <v>4.9</v>
      </c>
      <c r="N39" s="32" t="s">
        <v>753</v>
      </c>
      <c r="O39" s="32" t="s">
        <v>943</v>
      </c>
      <c r="P39" s="32" t="n">
        <f aca="false">IF(AND(ISNUMBER(K39),K39&gt;=0),K39,IF(ISNUMBER(M39),ROUND(M39*7,0),""))</f>
        <v>34</v>
      </c>
      <c r="Q39" s="0" t="str">
        <f aca="false">IF(ISTEXT(K39),"TEXT - recovered",IF(K39&lt;0,"NEGATIVE",IF(K39&gt;728,"&gt;104 WEEKS","OK")))</f>
        <v>OK</v>
      </c>
      <c r="R39" s="0" t="str">
        <f aca="false">IF(E39="GEN","GM",E39)</f>
        <v>URO</v>
      </c>
    </row>
    <row r="40" customFormat="false" ht="15" hidden="false" customHeight="false" outlineLevel="0" collapsed="false">
      <c r="A40" s="0" t="s">
        <v>944</v>
      </c>
      <c r="B40" s="0" t="s">
        <v>945</v>
      </c>
      <c r="C40" s="0" t="s">
        <v>946</v>
      </c>
      <c r="D40" s="31" t="n">
        <v>20691</v>
      </c>
      <c r="E40" s="32" t="s">
        <v>818</v>
      </c>
      <c r="F40" s="32" t="s">
        <v>819</v>
      </c>
      <c r="G40" s="32" t="s">
        <v>820</v>
      </c>
      <c r="H40" s="31" t="n">
        <v>45666</v>
      </c>
      <c r="I40" s="32" t="s">
        <v>821</v>
      </c>
      <c r="J40" s="32" t="s">
        <v>770</v>
      </c>
      <c r="K40" s="0" t="n">
        <v>178</v>
      </c>
      <c r="L40" s="32" t="s">
        <v>771</v>
      </c>
      <c r="M40" s="0" t="n">
        <v>25.4</v>
      </c>
      <c r="N40" s="32" t="s">
        <v>753</v>
      </c>
      <c r="O40" s="32" t="s">
        <v>947</v>
      </c>
      <c r="P40" s="32" t="n">
        <f aca="false">IF(AND(ISNUMBER(K40),K40&gt;=0),K40,IF(ISNUMBER(M40),ROUND(M40*7,0),""))</f>
        <v>178</v>
      </c>
      <c r="Q40" s="0" t="str">
        <f aca="false">IF(ISTEXT(K40),"TEXT - recovered",IF(K40&lt;0,"NEGATIVE",IF(K40&gt;728,"&gt;104 WEEKS","OK")))</f>
        <v>OK</v>
      </c>
      <c r="R40" s="0" t="str">
        <f aca="false">IF(E40="GEN","GM",E40)</f>
        <v>OPH</v>
      </c>
    </row>
    <row r="41" customFormat="false" ht="15" hidden="false" customHeight="false" outlineLevel="0" collapsed="false">
      <c r="A41" s="0" t="s">
        <v>948</v>
      </c>
      <c r="B41" s="0" t="s">
        <v>949</v>
      </c>
      <c r="C41" s="0" t="s">
        <v>950</v>
      </c>
      <c r="D41" s="31" t="n">
        <v>26003</v>
      </c>
      <c r="E41" s="32" t="s">
        <v>826</v>
      </c>
      <c r="F41" s="32" t="s">
        <v>827</v>
      </c>
      <c r="G41" s="32" t="s">
        <v>828</v>
      </c>
      <c r="H41" s="31" t="n">
        <v>45666</v>
      </c>
      <c r="I41" s="32" t="s">
        <v>829</v>
      </c>
      <c r="J41" s="32" t="s">
        <v>751</v>
      </c>
      <c r="K41" s="0" t="n">
        <v>67</v>
      </c>
      <c r="L41" s="32" t="s">
        <v>752</v>
      </c>
      <c r="M41" s="0" t="n">
        <v>9.6</v>
      </c>
      <c r="N41" s="32" t="s">
        <v>753</v>
      </c>
      <c r="O41" s="32" t="s">
        <v>951</v>
      </c>
      <c r="P41" s="32" t="n">
        <f aca="false">IF(AND(ISNUMBER(K41),K41&gt;=0),K41,IF(ISNUMBER(M41),ROUND(M41*7,0),""))</f>
        <v>67</v>
      </c>
      <c r="Q41" s="0" t="str">
        <f aca="false">IF(ISTEXT(K41),"TEXT - recovered",IF(K41&lt;0,"NEGATIVE",IF(K41&gt;728,"&gt;104 WEEKS","OK")))</f>
        <v>OK</v>
      </c>
      <c r="R41" s="0" t="str">
        <f aca="false">IF(E41="GEN","GM",E41)</f>
        <v>RHE</v>
      </c>
    </row>
    <row r="42" customFormat="false" ht="15" hidden="false" customHeight="false" outlineLevel="0" collapsed="false">
      <c r="A42" s="0" t="s">
        <v>952</v>
      </c>
      <c r="B42" s="0" t="s">
        <v>953</v>
      </c>
      <c r="C42" s="0" t="s">
        <v>954</v>
      </c>
      <c r="D42" s="31" t="n">
        <v>17561</v>
      </c>
      <c r="E42" s="32" t="s">
        <v>747</v>
      </c>
      <c r="F42" s="32" t="s">
        <v>748</v>
      </c>
      <c r="G42" s="32" t="s">
        <v>749</v>
      </c>
      <c r="H42" s="31" t="n">
        <v>45667</v>
      </c>
      <c r="I42" s="32" t="s">
        <v>750</v>
      </c>
      <c r="J42" s="32" t="s">
        <v>751</v>
      </c>
      <c r="K42" s="0" t="n">
        <v>112</v>
      </c>
      <c r="L42" s="32" t="s">
        <v>752</v>
      </c>
      <c r="M42" s="0" t="n">
        <v>16</v>
      </c>
      <c r="N42" s="32" t="s">
        <v>753</v>
      </c>
      <c r="O42" s="32" t="s">
        <v>955</v>
      </c>
      <c r="P42" s="32" t="n">
        <f aca="false">IF(AND(ISNUMBER(K42),K42&gt;=0),K42,IF(ISNUMBER(M42),ROUND(M42*7,0),""))</f>
        <v>112</v>
      </c>
      <c r="Q42" s="0" t="str">
        <f aca="false">IF(ISTEXT(K42),"TEXT - recovered",IF(K42&lt;0,"NEGATIVE",IF(K42&gt;728,"&gt;104 WEEKS","OK")))</f>
        <v>OK</v>
      </c>
      <c r="R42" s="0" t="str">
        <f aca="false">IF(E42="GEN","GM",E42)</f>
        <v>GM</v>
      </c>
    </row>
    <row r="43" customFormat="false" ht="15" hidden="false" customHeight="false" outlineLevel="0" collapsed="false">
      <c r="A43" s="0" t="s">
        <v>956</v>
      </c>
      <c r="B43" s="0" t="s">
        <v>957</v>
      </c>
      <c r="C43" s="0" t="s">
        <v>958</v>
      </c>
      <c r="D43" s="31" t="n">
        <v>30210</v>
      </c>
      <c r="E43" s="32" t="s">
        <v>758</v>
      </c>
      <c r="F43" s="32" t="s">
        <v>759</v>
      </c>
      <c r="G43" s="32" t="s">
        <v>760</v>
      </c>
      <c r="H43" s="31" t="n">
        <v>45667</v>
      </c>
      <c r="I43" s="32" t="s">
        <v>761</v>
      </c>
      <c r="J43" s="32" t="s">
        <v>751</v>
      </c>
      <c r="K43" s="0" t="n">
        <v>78</v>
      </c>
      <c r="L43" s="32" t="s">
        <v>752</v>
      </c>
      <c r="M43" s="0" t="n">
        <v>11.1</v>
      </c>
      <c r="N43" s="32" t="s">
        <v>780</v>
      </c>
      <c r="O43" s="32" t="s">
        <v>959</v>
      </c>
      <c r="P43" s="32" t="n">
        <f aca="false">IF(AND(ISNUMBER(K43),K43&gt;=0),K43,IF(ISNUMBER(M43),ROUND(M43*7,0),""))</f>
        <v>78</v>
      </c>
      <c r="Q43" s="0" t="str">
        <f aca="false">IF(ISTEXT(K43),"TEXT - recovered",IF(K43&lt;0,"NEGATIVE",IF(K43&gt;728,"&gt;104 WEEKS","OK")))</f>
        <v>OK</v>
      </c>
      <c r="R43" s="0" t="str">
        <f aca="false">IF(E43="GEN","GM",E43)</f>
        <v>CS</v>
      </c>
    </row>
    <row r="44" customFormat="false" ht="15" hidden="false" customHeight="false" outlineLevel="0" collapsed="false">
      <c r="A44" s="0" t="s">
        <v>960</v>
      </c>
      <c r="B44" s="0" t="s">
        <v>961</v>
      </c>
      <c r="C44" s="0" t="s">
        <v>962</v>
      </c>
      <c r="D44" s="31" t="n">
        <v>25358</v>
      </c>
      <c r="E44" s="32" t="s">
        <v>766</v>
      </c>
      <c r="F44" s="32" t="s">
        <v>767</v>
      </c>
      <c r="G44" s="32" t="s">
        <v>768</v>
      </c>
      <c r="H44" s="31" t="n">
        <v>45667</v>
      </c>
      <c r="I44" s="32" t="s">
        <v>769</v>
      </c>
      <c r="J44" s="32" t="s">
        <v>770</v>
      </c>
      <c r="K44" s="0" t="n">
        <v>267</v>
      </c>
      <c r="L44" s="32" t="s">
        <v>771</v>
      </c>
      <c r="M44" s="0" t="n">
        <v>38.1</v>
      </c>
      <c r="N44" s="32" t="s">
        <v>753</v>
      </c>
      <c r="O44" s="32" t="s">
        <v>963</v>
      </c>
      <c r="P44" s="32" t="n">
        <f aca="false">IF(AND(ISNUMBER(K44),K44&gt;=0),K44,IF(ISNUMBER(M44),ROUND(M44*7,0),""))</f>
        <v>267</v>
      </c>
      <c r="Q44" s="0" t="str">
        <f aca="false">IF(ISTEXT(K44),"TEXT - recovered",IF(K44&lt;0,"NEGATIVE",IF(K44&gt;728,"&gt;104 WEEKS","OK")))</f>
        <v>OK</v>
      </c>
      <c r="R44" s="0" t="str">
        <f aca="false">IF(E44="GEN","GM",E44)</f>
        <v>OR</v>
      </c>
    </row>
    <row r="45" customFormat="false" ht="15" hidden="false" customHeight="false" outlineLevel="0" collapsed="false">
      <c r="A45" s="0" t="s">
        <v>964</v>
      </c>
      <c r="B45" s="0" t="s">
        <v>965</v>
      </c>
      <c r="C45" s="0" t="s">
        <v>966</v>
      </c>
      <c r="D45" s="31" t="n">
        <v>20142</v>
      </c>
      <c r="E45" s="32" t="s">
        <v>776</v>
      </c>
      <c r="F45" s="32" t="s">
        <v>777</v>
      </c>
      <c r="G45" s="32" t="s">
        <v>778</v>
      </c>
      <c r="H45" s="31" t="n">
        <v>45667</v>
      </c>
      <c r="I45" s="32" t="s">
        <v>779</v>
      </c>
      <c r="J45" s="32" t="s">
        <v>751</v>
      </c>
      <c r="K45" s="0" t="n">
        <v>34</v>
      </c>
      <c r="L45" s="32" t="s">
        <v>752</v>
      </c>
      <c r="M45" s="0" t="n">
        <v>4.9</v>
      </c>
      <c r="N45" s="32" t="s">
        <v>753</v>
      </c>
      <c r="O45" s="32" t="s">
        <v>967</v>
      </c>
      <c r="P45" s="32" t="n">
        <f aca="false">IF(AND(ISNUMBER(K45),K45&gt;=0),K45,IF(ISNUMBER(M45),ROUND(M45*7,0),""))</f>
        <v>34</v>
      </c>
      <c r="Q45" s="0" t="str">
        <f aca="false">IF(ISTEXT(K45),"TEXT - recovered",IF(K45&lt;0,"NEGATIVE",IF(K45&gt;728,"&gt;104 WEEKS","OK")))</f>
        <v>OK</v>
      </c>
      <c r="R45" s="0" t="str">
        <f aca="false">IF(E45="GEN","GM",E45)</f>
        <v>GS</v>
      </c>
    </row>
    <row r="46" customFormat="false" ht="15" hidden="false" customHeight="false" outlineLevel="0" collapsed="false">
      <c r="A46" s="0" t="s">
        <v>968</v>
      </c>
      <c r="B46" s="0" t="s">
        <v>969</v>
      </c>
      <c r="C46" s="0" t="s">
        <v>970</v>
      </c>
      <c r="D46" s="31" t="n">
        <v>33155</v>
      </c>
      <c r="E46" s="32" t="s">
        <v>785</v>
      </c>
      <c r="F46" s="32" t="s">
        <v>786</v>
      </c>
      <c r="G46" s="32" t="s">
        <v>787</v>
      </c>
      <c r="H46" s="31" t="n">
        <v>45667</v>
      </c>
      <c r="I46" s="32" t="s">
        <v>788</v>
      </c>
      <c r="J46" s="32" t="s">
        <v>751</v>
      </c>
      <c r="K46" s="0" t="n">
        <v>56</v>
      </c>
      <c r="L46" s="32" t="s">
        <v>752</v>
      </c>
      <c r="M46" s="0" t="n">
        <v>8</v>
      </c>
      <c r="N46" s="32" t="s">
        <v>753</v>
      </c>
      <c r="O46" s="32" t="s">
        <v>971</v>
      </c>
      <c r="P46" s="32" t="n">
        <f aca="false">IF(AND(ISNUMBER(K46),K46&gt;=0),K46,IF(ISNUMBER(M46),ROUND(M46*7,0),""))</f>
        <v>56</v>
      </c>
      <c r="Q46" s="0" t="str">
        <f aca="false">IF(ISTEXT(K46),"TEXT - recovered",IF(K46&lt;0,"NEGATIVE",IF(K46&gt;728,"&gt;104 WEEKS","OK")))</f>
        <v>OK</v>
      </c>
      <c r="R46" s="0" t="str">
        <f aca="false">IF(E46="GEN","GM",E46)</f>
        <v>RS</v>
      </c>
    </row>
    <row r="47" customFormat="false" ht="15" hidden="false" customHeight="false" outlineLevel="0" collapsed="false">
      <c r="A47" s="0" t="s">
        <v>972</v>
      </c>
      <c r="B47" s="0" t="s">
        <v>973</v>
      </c>
      <c r="C47" s="0" t="s">
        <v>837</v>
      </c>
      <c r="D47" s="31" t="n">
        <v>23555</v>
      </c>
      <c r="E47" s="32" t="s">
        <v>793</v>
      </c>
      <c r="F47" s="32" t="s">
        <v>794</v>
      </c>
      <c r="G47" s="32" t="s">
        <v>795</v>
      </c>
      <c r="H47" s="31" t="n">
        <v>45667</v>
      </c>
      <c r="I47" s="32" t="s">
        <v>796</v>
      </c>
      <c r="J47" s="32" t="s">
        <v>797</v>
      </c>
      <c r="K47" s="0" t="n">
        <v>8</v>
      </c>
      <c r="L47" s="32" t="s">
        <v>771</v>
      </c>
      <c r="M47" s="0" t="n">
        <v>1.1</v>
      </c>
      <c r="N47" s="32" t="s">
        <v>330</v>
      </c>
      <c r="O47" s="32" t="s">
        <v>974</v>
      </c>
      <c r="P47" s="32" t="n">
        <f aca="false">IF(AND(ISNUMBER(K47),K47&gt;=0),K47,IF(ISNUMBER(M47),ROUND(M47*7,0),""))</f>
        <v>8</v>
      </c>
      <c r="Q47" s="0" t="str">
        <f aca="false">IF(ISTEXT(K47),"TEXT - recovered",IF(K47&lt;0,"NEGATIVE",IF(K47&gt;728,"&gt;104 WEEKS","OK")))</f>
        <v>OK</v>
      </c>
      <c r="R47" s="0" t="str">
        <f aca="false">IF(E47="GEN","GM",E47)</f>
        <v>EM</v>
      </c>
    </row>
    <row r="48" customFormat="false" ht="15" hidden="false" customHeight="false" outlineLevel="0" collapsed="false">
      <c r="A48" s="0" t="s">
        <v>975</v>
      </c>
      <c r="B48" s="0" t="s">
        <v>976</v>
      </c>
      <c r="C48" s="0" t="s">
        <v>977</v>
      </c>
      <c r="D48" s="31" t="n">
        <v>28504</v>
      </c>
      <c r="E48" s="32" t="s">
        <v>802</v>
      </c>
      <c r="F48" s="32" t="s">
        <v>803</v>
      </c>
      <c r="G48" s="32" t="s">
        <v>804</v>
      </c>
      <c r="H48" s="31" t="n">
        <v>45667</v>
      </c>
      <c r="I48" s="32" t="s">
        <v>805</v>
      </c>
      <c r="J48" s="32" t="s">
        <v>770</v>
      </c>
      <c r="K48" s="0" t="n">
        <v>134</v>
      </c>
      <c r="L48" s="32" t="s">
        <v>771</v>
      </c>
      <c r="M48" s="0" t="n">
        <v>19.1</v>
      </c>
      <c r="N48" s="32" t="s">
        <v>753</v>
      </c>
      <c r="O48" s="32" t="s">
        <v>978</v>
      </c>
      <c r="P48" s="32" t="n">
        <f aca="false">IF(AND(ISNUMBER(K48),K48&gt;=0),K48,IF(ISNUMBER(M48),ROUND(M48*7,0),""))</f>
        <v>134</v>
      </c>
      <c r="Q48" s="0" t="str">
        <f aca="false">IF(ISTEXT(K48),"TEXT - recovered",IF(K48&lt;0,"NEGATIVE",IF(K48&gt;728,"&gt;104 WEEKS","OK")))</f>
        <v>OK</v>
      </c>
      <c r="R48" s="0" t="str">
        <f aca="false">IF(E48="GEN","GM",E48)</f>
        <v>GYN</v>
      </c>
    </row>
    <row r="49" customFormat="false" ht="15" hidden="false" customHeight="false" outlineLevel="0" collapsed="false">
      <c r="A49" s="0" t="s">
        <v>979</v>
      </c>
      <c r="B49" s="0" t="s">
        <v>980</v>
      </c>
      <c r="C49" s="0" t="s">
        <v>981</v>
      </c>
      <c r="D49" s="31" t="n">
        <v>31626</v>
      </c>
      <c r="E49" s="32" t="s">
        <v>810</v>
      </c>
      <c r="F49" s="32" t="s">
        <v>811</v>
      </c>
      <c r="G49" s="32" t="s">
        <v>812</v>
      </c>
      <c r="H49" s="31" t="n">
        <v>45667</v>
      </c>
      <c r="I49" s="32" t="s">
        <v>813</v>
      </c>
      <c r="J49" s="32" t="s">
        <v>751</v>
      </c>
      <c r="K49" s="0" t="n">
        <v>45</v>
      </c>
      <c r="L49" s="32" t="s">
        <v>752</v>
      </c>
      <c r="M49" s="0" t="n">
        <v>6.4</v>
      </c>
      <c r="N49" s="32" t="s">
        <v>753</v>
      </c>
      <c r="O49" s="32" t="s">
        <v>982</v>
      </c>
      <c r="P49" s="32" t="n">
        <f aca="false">IF(AND(ISNUMBER(K49),K49&gt;=0),K49,IF(ISNUMBER(M49),ROUND(M49*7,0),""))</f>
        <v>45</v>
      </c>
      <c r="Q49" s="0" t="str">
        <f aca="false">IF(ISTEXT(K49),"TEXT - recovered",IF(K49&lt;0,"NEGATIVE",IF(K49&gt;728,"&gt;104 WEEKS","OK")))</f>
        <v>OK</v>
      </c>
      <c r="R49" s="0" t="str">
        <f aca="false">IF(E49="GEN","GM",E49)</f>
        <v>URO</v>
      </c>
    </row>
    <row r="50" customFormat="false" ht="15" hidden="false" customHeight="false" outlineLevel="0" collapsed="false">
      <c r="A50" s="0" t="s">
        <v>983</v>
      </c>
      <c r="B50" s="0" t="s">
        <v>984</v>
      </c>
      <c r="C50" s="0" t="s">
        <v>985</v>
      </c>
      <c r="D50" s="31" t="n">
        <v>19469</v>
      </c>
      <c r="E50" s="32" t="s">
        <v>818</v>
      </c>
      <c r="F50" s="32" t="s">
        <v>819</v>
      </c>
      <c r="G50" s="32" t="s">
        <v>820</v>
      </c>
      <c r="H50" s="31" t="n">
        <v>45667</v>
      </c>
      <c r="I50" s="32" t="s">
        <v>821</v>
      </c>
      <c r="J50" s="32" t="s">
        <v>751</v>
      </c>
      <c r="K50" s="0" t="n">
        <v>89</v>
      </c>
      <c r="L50" s="32" t="s">
        <v>752</v>
      </c>
      <c r="M50" s="0" t="n">
        <v>12.7</v>
      </c>
      <c r="N50" s="32" t="s">
        <v>753</v>
      </c>
      <c r="O50" s="32" t="s">
        <v>986</v>
      </c>
      <c r="P50" s="32" t="n">
        <f aca="false">IF(AND(ISNUMBER(K50),K50&gt;=0),K50,IF(ISNUMBER(M50),ROUND(M50*7,0),""))</f>
        <v>89</v>
      </c>
      <c r="Q50" s="0" t="str">
        <f aca="false">IF(ISTEXT(K50),"TEXT - recovered",IF(K50&lt;0,"NEGATIVE",IF(K50&gt;728,"&gt;104 WEEKS","OK")))</f>
        <v>OK</v>
      </c>
      <c r="R50" s="0" t="str">
        <f aca="false">IF(E50="GEN","GM",E50)</f>
        <v>OPH</v>
      </c>
    </row>
    <row r="51" customFormat="false" ht="15" hidden="false" customHeight="false" outlineLevel="0" collapsed="false">
      <c r="A51" s="0" t="s">
        <v>987</v>
      </c>
      <c r="B51" s="0" t="s">
        <v>988</v>
      </c>
      <c r="C51" s="0" t="s">
        <v>989</v>
      </c>
      <c r="D51" s="31" t="n">
        <v>24783</v>
      </c>
      <c r="E51" s="32" t="s">
        <v>826</v>
      </c>
      <c r="F51" s="32" t="s">
        <v>827</v>
      </c>
      <c r="G51" s="32" t="s">
        <v>828</v>
      </c>
      <c r="H51" s="31" t="n">
        <v>45667</v>
      </c>
      <c r="I51" s="32" t="s">
        <v>829</v>
      </c>
      <c r="J51" s="32" t="s">
        <v>751</v>
      </c>
      <c r="K51" s="0" t="n">
        <v>23</v>
      </c>
      <c r="L51" s="32" t="s">
        <v>752</v>
      </c>
      <c r="M51" s="0" t="n">
        <v>3.3</v>
      </c>
      <c r="N51" s="32" t="s">
        <v>753</v>
      </c>
      <c r="O51" s="32" t="s">
        <v>990</v>
      </c>
      <c r="P51" s="32" t="n">
        <f aca="false">IF(AND(ISNUMBER(K51),K51&gt;=0),K51,IF(ISNUMBER(M51),ROUND(M51*7,0),""))</f>
        <v>23</v>
      </c>
      <c r="Q51" s="0" t="str">
        <f aca="false">IF(ISTEXT(K51),"TEXT - recovered",IF(K51&lt;0,"NEGATIVE",IF(K51&gt;728,"&gt;104 WEEKS","OK")))</f>
        <v>OK</v>
      </c>
      <c r="R51" s="0" t="str">
        <f aca="false">IF(E51="GEN","GM",E51)</f>
        <v>RHE</v>
      </c>
    </row>
    <row r="52" customFormat="false" ht="15" hidden="false" customHeight="false" outlineLevel="0" collapsed="false">
      <c r="A52" s="0" t="s">
        <v>991</v>
      </c>
      <c r="B52" s="0" t="s">
        <v>992</v>
      </c>
      <c r="C52" s="0" t="s">
        <v>993</v>
      </c>
      <c r="D52" s="31" t="n">
        <v>29427</v>
      </c>
      <c r="E52" s="32" t="s">
        <v>747</v>
      </c>
      <c r="F52" s="32" t="s">
        <v>748</v>
      </c>
      <c r="G52" s="32" t="s">
        <v>749</v>
      </c>
      <c r="H52" s="31" t="n">
        <v>45670</v>
      </c>
      <c r="I52" s="32" t="s">
        <v>750</v>
      </c>
      <c r="J52" s="32" t="s">
        <v>751</v>
      </c>
      <c r="K52" s="0" t="n">
        <v>56</v>
      </c>
      <c r="L52" s="32" t="s">
        <v>752</v>
      </c>
      <c r="M52" s="0" t="n">
        <v>8</v>
      </c>
      <c r="N52" s="32" t="s">
        <v>753</v>
      </c>
      <c r="O52" s="32" t="s">
        <v>994</v>
      </c>
      <c r="P52" s="32" t="n">
        <f aca="false">IF(AND(ISNUMBER(K52),K52&gt;=0),K52,IF(ISNUMBER(M52),ROUND(M52*7,0),""))</f>
        <v>56</v>
      </c>
      <c r="Q52" s="0" t="str">
        <f aca="false">IF(ISTEXT(K52),"TEXT - recovered",IF(K52&lt;0,"NEGATIVE",IF(K52&gt;728,"&gt;104 WEEKS","OK")))</f>
        <v>OK</v>
      </c>
      <c r="R52" s="0" t="str">
        <f aca="false">IF(E52="GEN","GM",E52)</f>
        <v>GM</v>
      </c>
    </row>
    <row r="53" customFormat="false" ht="15" hidden="false" customHeight="false" outlineLevel="0" collapsed="false">
      <c r="A53" s="0" t="s">
        <v>995</v>
      </c>
      <c r="B53" s="0" t="s">
        <v>996</v>
      </c>
      <c r="C53" s="0" t="s">
        <v>997</v>
      </c>
      <c r="D53" s="31" t="n">
        <v>20891</v>
      </c>
      <c r="E53" s="32" t="s">
        <v>758</v>
      </c>
      <c r="F53" s="32" t="s">
        <v>759</v>
      </c>
      <c r="G53" s="32" t="s">
        <v>760</v>
      </c>
      <c r="H53" s="31" t="n">
        <v>45670</v>
      </c>
      <c r="I53" s="32" t="s">
        <v>761</v>
      </c>
      <c r="J53" s="32" t="s">
        <v>770</v>
      </c>
      <c r="K53" s="0" t="n">
        <v>189</v>
      </c>
      <c r="L53" s="32" t="s">
        <v>771</v>
      </c>
      <c r="M53" s="0" t="n">
        <v>27</v>
      </c>
      <c r="N53" s="32" t="s">
        <v>753</v>
      </c>
      <c r="O53" s="32" t="s">
        <v>998</v>
      </c>
      <c r="P53" s="32" t="n">
        <f aca="false">IF(AND(ISNUMBER(K53),K53&gt;=0),K53,IF(ISNUMBER(M53),ROUND(M53*7,0),""))</f>
        <v>189</v>
      </c>
      <c r="Q53" s="0" t="str">
        <f aca="false">IF(ISTEXT(K53),"TEXT - recovered",IF(K53&lt;0,"NEGATIVE",IF(K53&gt;728,"&gt;104 WEEKS","OK")))</f>
        <v>OK</v>
      </c>
      <c r="R53" s="0" t="str">
        <f aca="false">IF(E53="GEN","GM",E53)</f>
        <v>CS</v>
      </c>
    </row>
    <row r="54" customFormat="false" ht="15" hidden="false" customHeight="false" outlineLevel="0" collapsed="false">
      <c r="A54" s="0" t="s">
        <v>999</v>
      </c>
      <c r="B54" s="0" t="s">
        <v>1000</v>
      </c>
      <c r="C54" s="0" t="s">
        <v>1001</v>
      </c>
      <c r="D54" s="31" t="n">
        <v>26998</v>
      </c>
      <c r="E54" s="32" t="s">
        <v>766</v>
      </c>
      <c r="F54" s="32" t="s">
        <v>767</v>
      </c>
      <c r="G54" s="32" t="s">
        <v>768</v>
      </c>
      <c r="H54" s="31" t="n">
        <v>45670</v>
      </c>
      <c r="I54" s="32" t="s">
        <v>769</v>
      </c>
      <c r="J54" s="32" t="s">
        <v>751</v>
      </c>
      <c r="K54" s="0" t="n">
        <v>67</v>
      </c>
      <c r="L54" s="32" t="s">
        <v>752</v>
      </c>
      <c r="M54" s="0" t="n">
        <v>9.6</v>
      </c>
      <c r="N54" s="32" t="s">
        <v>780</v>
      </c>
      <c r="O54" s="32" t="s">
        <v>1002</v>
      </c>
      <c r="P54" s="32" t="n">
        <f aca="false">IF(AND(ISNUMBER(K54),K54&gt;=0),K54,IF(ISNUMBER(M54),ROUND(M54*7,0),""))</f>
        <v>67</v>
      </c>
      <c r="Q54" s="0" t="str">
        <f aca="false">IF(ISTEXT(K54),"TEXT - recovered",IF(K54&lt;0,"NEGATIVE",IF(K54&gt;728,"&gt;104 WEEKS","OK")))</f>
        <v>OK</v>
      </c>
      <c r="R54" s="0" t="str">
        <f aca="false">IF(E54="GEN","GM",E54)</f>
        <v>OR</v>
      </c>
    </row>
    <row r="55" customFormat="false" ht="15" hidden="false" customHeight="false" outlineLevel="0" collapsed="false">
      <c r="A55" s="0" t="s">
        <v>1003</v>
      </c>
      <c r="B55" s="0" t="s">
        <v>1004</v>
      </c>
      <c r="C55" s="0" t="s">
        <v>1005</v>
      </c>
      <c r="D55" s="31" t="n">
        <v>22510</v>
      </c>
      <c r="E55" s="32" t="s">
        <v>776</v>
      </c>
      <c r="F55" s="32" t="s">
        <v>777</v>
      </c>
      <c r="G55" s="32" t="s">
        <v>778</v>
      </c>
      <c r="H55" s="31" t="n">
        <v>45670</v>
      </c>
      <c r="I55" s="32" t="s">
        <v>779</v>
      </c>
      <c r="J55" s="32" t="s">
        <v>751</v>
      </c>
      <c r="K55" s="0" t="n">
        <v>78</v>
      </c>
      <c r="L55" s="32" t="s">
        <v>752</v>
      </c>
      <c r="M55" s="0" t="n">
        <v>11.1</v>
      </c>
      <c r="N55" s="32" t="s">
        <v>753</v>
      </c>
      <c r="O55" s="32" t="s">
        <v>1006</v>
      </c>
      <c r="P55" s="32" t="n">
        <f aca="false">IF(AND(ISNUMBER(K55),K55&gt;=0),K55,IF(ISNUMBER(M55),ROUND(M55*7,0),""))</f>
        <v>78</v>
      </c>
      <c r="Q55" s="0" t="str">
        <f aca="false">IF(ISTEXT(K55),"TEXT - recovered",IF(K55&lt;0,"NEGATIVE",IF(K55&gt;728,"&gt;104 WEEKS","OK")))</f>
        <v>OK</v>
      </c>
      <c r="R55" s="0" t="str">
        <f aca="false">IF(E55="GEN","GM",E55)</f>
        <v>GS</v>
      </c>
    </row>
    <row r="56" customFormat="false" ht="15" hidden="false" customHeight="false" outlineLevel="0" collapsed="false">
      <c r="A56" s="0" t="s">
        <v>1007</v>
      </c>
      <c r="B56" s="0" t="s">
        <v>1008</v>
      </c>
      <c r="C56" s="0" t="s">
        <v>1009</v>
      </c>
      <c r="D56" s="31" t="n">
        <v>32633</v>
      </c>
      <c r="E56" s="32" t="s">
        <v>785</v>
      </c>
      <c r="F56" s="32" t="s">
        <v>786</v>
      </c>
      <c r="G56" s="32" t="s">
        <v>787</v>
      </c>
      <c r="H56" s="31" t="n">
        <v>45670</v>
      </c>
      <c r="I56" s="32" t="s">
        <v>788</v>
      </c>
      <c r="J56" s="32" t="s">
        <v>751</v>
      </c>
      <c r="K56" s="0" t="n">
        <v>34</v>
      </c>
      <c r="L56" s="32" t="s">
        <v>752</v>
      </c>
      <c r="M56" s="0" t="n">
        <v>4.9</v>
      </c>
      <c r="N56" s="32" t="s">
        <v>753</v>
      </c>
      <c r="O56" s="32" t="s">
        <v>1010</v>
      </c>
      <c r="P56" s="32" t="n">
        <f aca="false">IF(AND(ISNUMBER(K56),K56&gt;=0),K56,IF(ISNUMBER(M56),ROUND(M56*7,0),""))</f>
        <v>34</v>
      </c>
      <c r="Q56" s="0" t="str">
        <f aca="false">IF(ISTEXT(K56),"TEXT - recovered",IF(K56&lt;0,"NEGATIVE",IF(K56&gt;728,"&gt;104 WEEKS","OK")))</f>
        <v>OK</v>
      </c>
      <c r="R56" s="0" t="str">
        <f aca="false">IF(E56="GEN","GM",E56)</f>
        <v>RS</v>
      </c>
    </row>
    <row r="57" customFormat="false" ht="15" hidden="false" customHeight="false" outlineLevel="0" collapsed="false">
      <c r="A57" s="0" t="s">
        <v>1011</v>
      </c>
      <c r="B57" s="0" t="s">
        <v>1012</v>
      </c>
      <c r="C57" s="0" t="s">
        <v>1013</v>
      </c>
      <c r="D57" s="31" t="n">
        <v>16094</v>
      </c>
      <c r="E57" s="32" t="s">
        <v>793</v>
      </c>
      <c r="F57" s="32" t="s">
        <v>794</v>
      </c>
      <c r="G57" s="32" t="s">
        <v>795</v>
      </c>
      <c r="H57" s="31" t="n">
        <v>45670</v>
      </c>
      <c r="I57" s="32" t="s">
        <v>796</v>
      </c>
      <c r="J57" s="32" t="s">
        <v>751</v>
      </c>
      <c r="K57" s="0" t="n">
        <v>18</v>
      </c>
      <c r="L57" s="32" t="s">
        <v>771</v>
      </c>
      <c r="M57" s="0" t="n">
        <v>2.6</v>
      </c>
      <c r="N57" s="32" t="s">
        <v>330</v>
      </c>
      <c r="O57" s="32" t="s">
        <v>1014</v>
      </c>
      <c r="P57" s="32" t="n">
        <f aca="false">IF(AND(ISNUMBER(K57),K57&gt;=0),K57,IF(ISNUMBER(M57),ROUND(M57*7,0),""))</f>
        <v>18</v>
      </c>
      <c r="Q57" s="0" t="str">
        <f aca="false">IF(ISTEXT(K57),"TEXT - recovered",IF(K57&lt;0,"NEGATIVE",IF(K57&gt;728,"&gt;104 WEEKS","OK")))</f>
        <v>OK</v>
      </c>
      <c r="R57" s="0" t="str">
        <f aca="false">IF(E57="GEN","GM",E57)</f>
        <v>EM</v>
      </c>
    </row>
    <row r="58" customFormat="false" ht="15" hidden="false" customHeight="false" outlineLevel="0" collapsed="false">
      <c r="A58" s="0" t="s">
        <v>1015</v>
      </c>
      <c r="B58" s="0" t="s">
        <v>1016</v>
      </c>
      <c r="C58" s="0" t="s">
        <v>1017</v>
      </c>
      <c r="D58" s="31" t="n">
        <v>28013</v>
      </c>
      <c r="E58" s="32" t="s">
        <v>802</v>
      </c>
      <c r="F58" s="32" t="s">
        <v>803</v>
      </c>
      <c r="G58" s="32" t="s">
        <v>804</v>
      </c>
      <c r="H58" s="31" t="n">
        <v>45670</v>
      </c>
      <c r="I58" s="32" t="s">
        <v>805</v>
      </c>
      <c r="J58" s="32" t="s">
        <v>751</v>
      </c>
      <c r="K58" s="0" t="n">
        <v>45</v>
      </c>
      <c r="L58" s="32" t="s">
        <v>752</v>
      </c>
      <c r="M58" s="0" t="n">
        <v>6.4</v>
      </c>
      <c r="N58" s="32" t="s">
        <v>753</v>
      </c>
      <c r="O58" s="32" t="s">
        <v>1018</v>
      </c>
      <c r="P58" s="32" t="n">
        <f aca="false">IF(AND(ISNUMBER(K58),K58&gt;=0),K58,IF(ISNUMBER(M58),ROUND(M58*7,0),""))</f>
        <v>45</v>
      </c>
      <c r="Q58" s="0" t="str">
        <f aca="false">IF(ISTEXT(K58),"TEXT - recovered",IF(K58&lt;0,"NEGATIVE",IF(K58&gt;728,"&gt;104 WEEKS","OK")))</f>
        <v>OK</v>
      </c>
      <c r="R58" s="0" t="str">
        <f aca="false">IF(E58="GEN","GM",E58)</f>
        <v>GYN</v>
      </c>
    </row>
    <row r="59" customFormat="false" ht="15" hidden="false" customHeight="false" outlineLevel="0" collapsed="false">
      <c r="A59" s="0" t="s">
        <v>1019</v>
      </c>
      <c r="B59" s="0" t="s">
        <v>1020</v>
      </c>
      <c r="C59" s="0" t="s">
        <v>1021</v>
      </c>
      <c r="D59" s="31" t="n">
        <v>33783</v>
      </c>
      <c r="E59" s="32" t="s">
        <v>810</v>
      </c>
      <c r="F59" s="32" t="s">
        <v>811</v>
      </c>
      <c r="G59" s="32" t="s">
        <v>812</v>
      </c>
      <c r="H59" s="31" t="n">
        <v>45670</v>
      </c>
      <c r="I59" s="32" t="s">
        <v>813</v>
      </c>
      <c r="J59" s="32" t="s">
        <v>770</v>
      </c>
      <c r="K59" s="0" t="n">
        <v>212</v>
      </c>
      <c r="L59" s="32" t="s">
        <v>771</v>
      </c>
      <c r="M59" s="0" t="n">
        <v>30.3</v>
      </c>
      <c r="N59" s="32" t="s">
        <v>753</v>
      </c>
      <c r="O59" s="32" t="s">
        <v>1022</v>
      </c>
      <c r="P59" s="32" t="n">
        <f aca="false">IF(AND(ISNUMBER(K59),K59&gt;=0),K59,IF(ISNUMBER(M59),ROUND(M59*7,0),""))</f>
        <v>212</v>
      </c>
      <c r="Q59" s="0" t="str">
        <f aca="false">IF(ISTEXT(K59),"TEXT - recovered",IF(K59&lt;0,"NEGATIVE",IF(K59&gt;728,"&gt;104 WEEKS","OK")))</f>
        <v>OK</v>
      </c>
      <c r="R59" s="0" t="str">
        <f aca="false">IF(E59="GEN","GM",E59)</f>
        <v>URO</v>
      </c>
    </row>
    <row r="60" customFormat="false" ht="15" hidden="false" customHeight="false" outlineLevel="0" collapsed="false">
      <c r="A60" s="0" t="s">
        <v>1023</v>
      </c>
      <c r="B60" s="0" t="s">
        <v>1024</v>
      </c>
      <c r="C60" s="0" t="s">
        <v>1025</v>
      </c>
      <c r="D60" s="31" t="n">
        <v>21961</v>
      </c>
      <c r="E60" s="32" t="s">
        <v>818</v>
      </c>
      <c r="F60" s="32" t="s">
        <v>819</v>
      </c>
      <c r="G60" s="32" t="s">
        <v>820</v>
      </c>
      <c r="H60" s="31" t="n">
        <v>45670</v>
      </c>
      <c r="I60" s="32" t="s">
        <v>821</v>
      </c>
      <c r="J60" s="32" t="s">
        <v>751</v>
      </c>
      <c r="K60" s="0" t="n">
        <v>56</v>
      </c>
      <c r="L60" s="32" t="s">
        <v>752</v>
      </c>
      <c r="M60" s="0" t="n">
        <v>8</v>
      </c>
      <c r="N60" s="32" t="s">
        <v>753</v>
      </c>
      <c r="O60" s="32" t="s">
        <v>1026</v>
      </c>
      <c r="P60" s="32" t="n">
        <f aca="false">IF(AND(ISNUMBER(K60),K60&gt;=0),K60,IF(ISNUMBER(M60),ROUND(M60*7,0),""))</f>
        <v>56</v>
      </c>
      <c r="Q60" s="0" t="str">
        <f aca="false">IF(ISTEXT(K60),"TEXT - recovered",IF(K60&lt;0,"NEGATIVE",IF(K60&gt;728,"&gt;104 WEEKS","OK")))</f>
        <v>OK</v>
      </c>
      <c r="R60" s="0" t="str">
        <f aca="false">IF(E60="GEN","GM",E60)</f>
        <v>OPH</v>
      </c>
    </row>
    <row r="61" customFormat="false" ht="15" hidden="false" customHeight="false" outlineLevel="0" collapsed="false">
      <c r="A61" s="0" t="s">
        <v>1027</v>
      </c>
      <c r="B61" s="0" t="s">
        <v>1028</v>
      </c>
      <c r="C61" s="0" t="s">
        <v>1029</v>
      </c>
      <c r="D61" s="31" t="n">
        <v>27305</v>
      </c>
      <c r="E61" s="32" t="s">
        <v>826</v>
      </c>
      <c r="F61" s="32" t="s">
        <v>827</v>
      </c>
      <c r="G61" s="32" t="s">
        <v>828</v>
      </c>
      <c r="H61" s="31" t="n">
        <v>45670</v>
      </c>
      <c r="I61" s="32" t="s">
        <v>829</v>
      </c>
      <c r="J61" s="32" t="s">
        <v>751</v>
      </c>
      <c r="K61" s="0" t="n">
        <v>89</v>
      </c>
      <c r="L61" s="32" t="s">
        <v>752</v>
      </c>
      <c r="M61" s="0" t="n">
        <v>12.7</v>
      </c>
      <c r="N61" s="32" t="s">
        <v>753</v>
      </c>
      <c r="O61" s="32" t="s">
        <v>1030</v>
      </c>
      <c r="P61" s="32" t="n">
        <f aca="false">IF(AND(ISNUMBER(K61),K61&gt;=0),K61,IF(ISNUMBER(M61),ROUND(M61*7,0),""))</f>
        <v>89</v>
      </c>
      <c r="Q61" s="0" t="str">
        <f aca="false">IF(ISTEXT(K61),"TEXT - recovered",IF(K61&lt;0,"NEGATIVE",IF(K61&gt;728,"&gt;104 WEEKS","OK")))</f>
        <v>OK</v>
      </c>
      <c r="R61" s="0" t="str">
        <f aca="false">IF(E61="GEN","GM",E61)</f>
        <v>RHE</v>
      </c>
    </row>
    <row r="62" customFormat="false" ht="15" hidden="false" customHeight="false" outlineLevel="0" collapsed="false">
      <c r="A62" s="0" t="s">
        <v>1031</v>
      </c>
      <c r="B62" s="0" t="s">
        <v>1032</v>
      </c>
      <c r="C62" s="0" t="s">
        <v>1033</v>
      </c>
      <c r="D62" s="31" t="n">
        <v>18800</v>
      </c>
      <c r="E62" s="32" t="s">
        <v>747</v>
      </c>
      <c r="F62" s="32" t="s">
        <v>748</v>
      </c>
      <c r="G62" s="32" t="s">
        <v>749</v>
      </c>
      <c r="H62" s="31" t="n">
        <v>45671</v>
      </c>
      <c r="I62" s="32" t="s">
        <v>750</v>
      </c>
      <c r="J62" s="32" t="s">
        <v>770</v>
      </c>
      <c r="K62" s="0" t="n">
        <v>245</v>
      </c>
      <c r="L62" s="32" t="s">
        <v>771</v>
      </c>
      <c r="M62" s="0" t="n">
        <v>35</v>
      </c>
      <c r="N62" s="32" t="s">
        <v>753</v>
      </c>
      <c r="O62" s="32" t="s">
        <v>1034</v>
      </c>
      <c r="P62" s="32" t="n">
        <f aca="false">IF(AND(ISNUMBER(K62),K62&gt;=0),K62,IF(ISNUMBER(M62),ROUND(M62*7,0),""))</f>
        <v>245</v>
      </c>
      <c r="Q62" s="0" t="str">
        <f aca="false">IF(ISTEXT(K62),"TEXT - recovered",IF(K62&lt;0,"NEGATIVE",IF(K62&gt;728,"&gt;104 WEEKS","OK")))</f>
        <v>OK</v>
      </c>
      <c r="R62" s="0" t="str">
        <f aca="false">IF(E62="GEN","GM",E62)</f>
        <v>GM</v>
      </c>
    </row>
    <row r="63" customFormat="false" ht="15" hidden="false" customHeight="false" outlineLevel="0" collapsed="false">
      <c r="A63" s="0" t="s">
        <v>1035</v>
      </c>
      <c r="B63" s="0" t="s">
        <v>1036</v>
      </c>
      <c r="C63" s="0" t="s">
        <v>1037</v>
      </c>
      <c r="D63" s="31" t="n">
        <v>31086</v>
      </c>
      <c r="E63" s="32" t="s">
        <v>758</v>
      </c>
      <c r="F63" s="32" t="s">
        <v>759</v>
      </c>
      <c r="G63" s="32" t="s">
        <v>760</v>
      </c>
      <c r="H63" s="31" t="n">
        <v>45671</v>
      </c>
      <c r="I63" s="32" t="s">
        <v>761</v>
      </c>
      <c r="J63" s="32" t="s">
        <v>751</v>
      </c>
      <c r="K63" s="0" t="n">
        <v>34</v>
      </c>
      <c r="L63" s="32" t="s">
        <v>752</v>
      </c>
      <c r="M63" s="0" t="n">
        <v>4.9</v>
      </c>
      <c r="N63" s="32" t="s">
        <v>780</v>
      </c>
      <c r="O63" s="32" t="s">
        <v>1038</v>
      </c>
      <c r="P63" s="32" t="n">
        <f aca="false">IF(AND(ISNUMBER(K63),K63&gt;=0),K63,IF(ISNUMBER(M63),ROUND(M63*7,0),""))</f>
        <v>34</v>
      </c>
      <c r="Q63" s="0" t="str">
        <f aca="false">IF(ISTEXT(K63),"TEXT - recovered",IF(K63&lt;0,"NEGATIVE",IF(K63&gt;728,"&gt;104 WEEKS","OK")))</f>
        <v>OK</v>
      </c>
      <c r="R63" s="0" t="str">
        <f aca="false">IF(E63="GEN","GM",E63)</f>
        <v>CS</v>
      </c>
    </row>
    <row r="64" customFormat="false" ht="15" hidden="false" customHeight="false" outlineLevel="0" collapsed="false">
      <c r="A64" s="0" t="s">
        <v>1039</v>
      </c>
      <c r="B64" s="0" t="s">
        <v>1040</v>
      </c>
      <c r="C64" s="0" t="s">
        <v>1041</v>
      </c>
      <c r="D64" s="31" t="n">
        <v>25502</v>
      </c>
      <c r="E64" s="32" t="s">
        <v>766</v>
      </c>
      <c r="F64" s="32" t="s">
        <v>767</v>
      </c>
      <c r="G64" s="32" t="s">
        <v>768</v>
      </c>
      <c r="H64" s="31" t="n">
        <v>45671</v>
      </c>
      <c r="I64" s="32" t="s">
        <v>769</v>
      </c>
      <c r="J64" s="32" t="s">
        <v>751</v>
      </c>
      <c r="K64" s="0" t="n">
        <v>112</v>
      </c>
      <c r="L64" s="32" t="s">
        <v>752</v>
      </c>
      <c r="M64" s="0" t="n">
        <v>16</v>
      </c>
      <c r="N64" s="32" t="s">
        <v>753</v>
      </c>
      <c r="O64" s="32" t="s">
        <v>1042</v>
      </c>
      <c r="P64" s="32" t="n">
        <f aca="false">IF(AND(ISNUMBER(K64),K64&gt;=0),K64,IF(ISNUMBER(M64),ROUND(M64*7,0),""))</f>
        <v>112</v>
      </c>
      <c r="Q64" s="0" t="str">
        <f aca="false">IF(ISTEXT(K64),"TEXT - recovered",IF(K64&lt;0,"NEGATIVE",IF(K64&gt;728,"&gt;104 WEEKS","OK")))</f>
        <v>OK</v>
      </c>
      <c r="R64" s="0" t="str">
        <f aca="false">IF(E64="GEN","GM",E64)</f>
        <v>OR</v>
      </c>
    </row>
    <row r="65" customFormat="false" ht="15" hidden="false" customHeight="false" outlineLevel="0" collapsed="false">
      <c r="A65" s="0" t="s">
        <v>1043</v>
      </c>
      <c r="B65" s="0" t="s">
        <v>1044</v>
      </c>
      <c r="C65" s="0" t="s">
        <v>1045</v>
      </c>
      <c r="D65" s="31" t="n">
        <v>21379</v>
      </c>
      <c r="E65" s="32" t="s">
        <v>776</v>
      </c>
      <c r="F65" s="32" t="s">
        <v>777</v>
      </c>
      <c r="G65" s="32" t="s">
        <v>778</v>
      </c>
      <c r="H65" s="31" t="n">
        <v>45671</v>
      </c>
      <c r="I65" s="32" t="s">
        <v>779</v>
      </c>
      <c r="J65" s="32" t="s">
        <v>770</v>
      </c>
      <c r="K65" s="0" t="n">
        <v>178</v>
      </c>
      <c r="L65" s="32" t="s">
        <v>771</v>
      </c>
      <c r="M65" s="0" t="n">
        <v>25.4</v>
      </c>
      <c r="N65" s="32" t="s">
        <v>753</v>
      </c>
      <c r="O65" s="32" t="s">
        <v>1046</v>
      </c>
      <c r="P65" s="32" t="n">
        <f aca="false">IF(AND(ISNUMBER(K65),K65&gt;=0),K65,IF(ISNUMBER(M65),ROUND(M65*7,0),""))</f>
        <v>178</v>
      </c>
      <c r="Q65" s="0" t="str">
        <f aca="false">IF(ISTEXT(K65),"TEXT - recovered",IF(K65&lt;0,"NEGATIVE",IF(K65&gt;728,"&gt;104 WEEKS","OK")))</f>
        <v>OK</v>
      </c>
      <c r="R65" s="0" t="str">
        <f aca="false">IF(E65="GEN","GM",E65)</f>
        <v>GS</v>
      </c>
    </row>
    <row r="66" customFormat="false" ht="15" hidden="false" customHeight="false" outlineLevel="0" collapsed="false">
      <c r="A66" s="0" t="s">
        <v>1047</v>
      </c>
      <c r="B66" s="0" t="s">
        <v>1048</v>
      </c>
      <c r="C66" s="0" t="s">
        <v>1049</v>
      </c>
      <c r="D66" s="31" t="n">
        <v>29676</v>
      </c>
      <c r="E66" s="32" t="s">
        <v>785</v>
      </c>
      <c r="F66" s="32" t="s">
        <v>786</v>
      </c>
      <c r="G66" s="32" t="s">
        <v>787</v>
      </c>
      <c r="H66" s="31" t="n">
        <v>45671</v>
      </c>
      <c r="I66" s="32" t="s">
        <v>788</v>
      </c>
      <c r="J66" s="32" t="s">
        <v>751</v>
      </c>
      <c r="K66" s="0" t="n">
        <v>56</v>
      </c>
      <c r="L66" s="32" t="s">
        <v>752</v>
      </c>
      <c r="M66" s="0" t="n">
        <v>8</v>
      </c>
      <c r="N66" s="32" t="s">
        <v>753</v>
      </c>
      <c r="O66" s="32" t="s">
        <v>1050</v>
      </c>
      <c r="P66" s="32" t="n">
        <f aca="false">IF(AND(ISNUMBER(K66),K66&gt;=0),K66,IF(ISNUMBER(M66),ROUND(M66*7,0),""))</f>
        <v>56</v>
      </c>
      <c r="Q66" s="0" t="str">
        <f aca="false">IF(ISTEXT(K66),"TEXT - recovered",IF(K66&lt;0,"NEGATIVE",IF(K66&gt;728,"&gt;104 WEEKS","OK")))</f>
        <v>OK</v>
      </c>
      <c r="R66" s="0" t="str">
        <f aca="false">IF(E66="GEN","GM",E66)</f>
        <v>RS</v>
      </c>
    </row>
    <row r="67" customFormat="false" ht="15" hidden="false" customHeight="false" outlineLevel="0" collapsed="false">
      <c r="A67" s="0" t="s">
        <v>1051</v>
      </c>
      <c r="B67" s="0" t="s">
        <v>1052</v>
      </c>
      <c r="C67" s="0" t="s">
        <v>1053</v>
      </c>
      <c r="D67" s="31" t="n">
        <v>17154</v>
      </c>
      <c r="E67" s="32" t="s">
        <v>793</v>
      </c>
      <c r="F67" s="32" t="s">
        <v>794</v>
      </c>
      <c r="G67" s="32" t="s">
        <v>795</v>
      </c>
      <c r="H67" s="31" t="n">
        <v>45671</v>
      </c>
      <c r="I67" s="32" t="s">
        <v>796</v>
      </c>
      <c r="J67" s="32" t="s">
        <v>797</v>
      </c>
      <c r="K67" s="0" t="n">
        <v>14</v>
      </c>
      <c r="L67" s="32" t="s">
        <v>771</v>
      </c>
      <c r="M67" s="0" t="n">
        <v>2</v>
      </c>
      <c r="N67" s="32" t="s">
        <v>330</v>
      </c>
      <c r="O67" s="32" t="s">
        <v>1054</v>
      </c>
      <c r="P67" s="32" t="n">
        <f aca="false">IF(AND(ISNUMBER(K67),K67&gt;=0),K67,IF(ISNUMBER(M67),ROUND(M67*7,0),""))</f>
        <v>14</v>
      </c>
      <c r="Q67" s="0" t="str">
        <f aca="false">IF(ISTEXT(K67),"TEXT - recovered",IF(K67&lt;0,"NEGATIVE",IF(K67&gt;728,"&gt;104 WEEKS","OK")))</f>
        <v>OK</v>
      </c>
      <c r="R67" s="0" t="str">
        <f aca="false">IF(E67="GEN","GM",E67)</f>
        <v>EM</v>
      </c>
    </row>
    <row r="68" customFormat="false" ht="15" hidden="false" customHeight="false" outlineLevel="0" collapsed="false">
      <c r="A68" s="0" t="s">
        <v>1055</v>
      </c>
      <c r="B68" s="0" t="s">
        <v>1056</v>
      </c>
      <c r="C68" s="0" t="s">
        <v>1057</v>
      </c>
      <c r="D68" s="31" t="n">
        <v>28343</v>
      </c>
      <c r="E68" s="32" t="s">
        <v>802</v>
      </c>
      <c r="F68" s="32" t="s">
        <v>803</v>
      </c>
      <c r="G68" s="32" t="s">
        <v>804</v>
      </c>
      <c r="H68" s="31" t="n">
        <v>45671</v>
      </c>
      <c r="I68" s="32" t="s">
        <v>805</v>
      </c>
      <c r="J68" s="32" t="s">
        <v>751</v>
      </c>
      <c r="K68" s="0" t="n">
        <v>67</v>
      </c>
      <c r="L68" s="32" t="s">
        <v>752</v>
      </c>
      <c r="M68" s="0" t="n">
        <v>9.6</v>
      </c>
      <c r="N68" s="32" t="s">
        <v>753</v>
      </c>
      <c r="O68" s="32" t="s">
        <v>1058</v>
      </c>
      <c r="P68" s="32" t="n">
        <f aca="false">IF(AND(ISNUMBER(K68),K68&gt;=0),K68,IF(ISNUMBER(M68),ROUND(M68*7,0),""))</f>
        <v>67</v>
      </c>
      <c r="Q68" s="0" t="str">
        <f aca="false">IF(ISTEXT(K68),"TEXT - recovered",IF(K68&lt;0,"NEGATIVE",IF(K68&gt;728,"&gt;104 WEEKS","OK")))</f>
        <v>OK</v>
      </c>
      <c r="R68" s="0" t="str">
        <f aca="false">IF(E68="GEN","GM",E68)</f>
        <v>GYN</v>
      </c>
    </row>
    <row r="69" customFormat="false" ht="15" hidden="false" customHeight="false" outlineLevel="0" collapsed="false">
      <c r="A69" s="0" t="s">
        <v>1059</v>
      </c>
      <c r="B69" s="0" t="s">
        <v>1060</v>
      </c>
      <c r="C69" s="0" t="s">
        <v>1061</v>
      </c>
      <c r="D69" s="31" t="n">
        <v>34083</v>
      </c>
      <c r="E69" s="32" t="s">
        <v>810</v>
      </c>
      <c r="F69" s="32" t="s">
        <v>811</v>
      </c>
      <c r="G69" s="32" t="s">
        <v>812</v>
      </c>
      <c r="H69" s="31" t="n">
        <v>45671</v>
      </c>
      <c r="I69" s="32" t="s">
        <v>813</v>
      </c>
      <c r="J69" s="32" t="s">
        <v>751</v>
      </c>
      <c r="K69" s="0" t="n">
        <v>23</v>
      </c>
      <c r="L69" s="32" t="s">
        <v>752</v>
      </c>
      <c r="M69" s="0" t="n">
        <v>3.3</v>
      </c>
      <c r="N69" s="32" t="s">
        <v>753</v>
      </c>
      <c r="O69" s="32" t="s">
        <v>1062</v>
      </c>
      <c r="P69" s="32" t="n">
        <f aca="false">IF(AND(ISNUMBER(K69),K69&gt;=0),K69,IF(ISNUMBER(M69),ROUND(M69*7,0),""))</f>
        <v>23</v>
      </c>
      <c r="Q69" s="0" t="str">
        <f aca="false">IF(ISTEXT(K69),"TEXT - recovered",IF(K69&lt;0,"NEGATIVE",IF(K69&gt;728,"&gt;104 WEEKS","OK")))</f>
        <v>OK</v>
      </c>
      <c r="R69" s="0" t="str">
        <f aca="false">IF(E69="GEN","GM",E69)</f>
        <v>URO</v>
      </c>
    </row>
    <row r="70" customFormat="false" ht="15" hidden="false" customHeight="false" outlineLevel="0" collapsed="false">
      <c r="A70" s="0" t="s">
        <v>1063</v>
      </c>
      <c r="B70" s="0" t="s">
        <v>1064</v>
      </c>
      <c r="C70" s="0" t="s">
        <v>1065</v>
      </c>
      <c r="D70" s="31" t="n">
        <v>20100</v>
      </c>
      <c r="E70" s="32" t="s">
        <v>818</v>
      </c>
      <c r="F70" s="32" t="s">
        <v>819</v>
      </c>
      <c r="G70" s="32" t="s">
        <v>820</v>
      </c>
      <c r="H70" s="31" t="n">
        <v>45671</v>
      </c>
      <c r="I70" s="32" t="s">
        <v>821</v>
      </c>
      <c r="J70" s="32" t="s">
        <v>770</v>
      </c>
      <c r="K70" s="0" t="n">
        <v>156</v>
      </c>
      <c r="L70" s="32" t="s">
        <v>771</v>
      </c>
      <c r="M70" s="0" t="n">
        <v>22.3</v>
      </c>
      <c r="N70" s="32" t="s">
        <v>753</v>
      </c>
      <c r="O70" s="32" t="s">
        <v>1066</v>
      </c>
      <c r="P70" s="32" t="n">
        <f aca="false">IF(AND(ISNUMBER(K70),K70&gt;=0),K70,IF(ISNUMBER(M70),ROUND(M70*7,0),""))</f>
        <v>156</v>
      </c>
      <c r="Q70" s="0" t="str">
        <f aca="false">IF(ISTEXT(K70),"TEXT - recovered",IF(K70&lt;0,"NEGATIVE",IF(K70&gt;728,"&gt;104 WEEKS","OK")))</f>
        <v>OK</v>
      </c>
      <c r="R70" s="0" t="str">
        <f aca="false">IF(E70="GEN","GM",E70)</f>
        <v>OPH</v>
      </c>
    </row>
    <row r="71" customFormat="false" ht="15" hidden="false" customHeight="false" outlineLevel="0" collapsed="false">
      <c r="A71" s="0" t="s">
        <v>1067</v>
      </c>
      <c r="B71" s="0" t="s">
        <v>1068</v>
      </c>
      <c r="C71" s="0" t="s">
        <v>1069</v>
      </c>
      <c r="D71" s="31" t="n">
        <v>25840</v>
      </c>
      <c r="E71" s="32" t="s">
        <v>826</v>
      </c>
      <c r="F71" s="32" t="s">
        <v>827</v>
      </c>
      <c r="G71" s="32" t="s">
        <v>828</v>
      </c>
      <c r="H71" s="31" t="n">
        <v>45671</v>
      </c>
      <c r="I71" s="32" t="s">
        <v>829</v>
      </c>
      <c r="J71" s="32" t="s">
        <v>751</v>
      </c>
      <c r="K71" s="0" t="n">
        <v>45</v>
      </c>
      <c r="L71" s="32" t="s">
        <v>752</v>
      </c>
      <c r="M71" s="0" t="n">
        <v>6.4</v>
      </c>
      <c r="N71" s="32" t="s">
        <v>753</v>
      </c>
      <c r="O71" s="32" t="s">
        <v>1070</v>
      </c>
      <c r="P71" s="32" t="n">
        <f aca="false">IF(AND(ISNUMBER(K71),K71&gt;=0),K71,IF(ISNUMBER(M71),ROUND(M71*7,0),""))</f>
        <v>45</v>
      </c>
      <c r="Q71" s="0" t="str">
        <f aca="false">IF(ISTEXT(K71),"TEXT - recovered",IF(K71&lt;0,"NEGATIVE",IF(K71&gt;728,"&gt;104 WEEKS","OK")))</f>
        <v>OK</v>
      </c>
      <c r="R71" s="0" t="str">
        <f aca="false">IF(E71="GEN","GM",E71)</f>
        <v>RHE</v>
      </c>
    </row>
    <row r="72" customFormat="false" ht="15" hidden="false" customHeight="false" outlineLevel="0" collapsed="false">
      <c r="A72" s="0" t="s">
        <v>1071</v>
      </c>
      <c r="B72" s="0" t="s">
        <v>1072</v>
      </c>
      <c r="C72" s="0" t="s">
        <v>1073</v>
      </c>
      <c r="D72" s="31" t="n">
        <v>30819</v>
      </c>
      <c r="E72" s="32" t="s">
        <v>747</v>
      </c>
      <c r="F72" s="32" t="s">
        <v>748</v>
      </c>
      <c r="G72" s="32" t="s">
        <v>749</v>
      </c>
      <c r="H72" s="31" t="n">
        <v>45672</v>
      </c>
      <c r="I72" s="32" t="s">
        <v>750</v>
      </c>
      <c r="J72" s="32" t="s">
        <v>751</v>
      </c>
      <c r="K72" s="0" t="n">
        <v>78</v>
      </c>
      <c r="L72" s="32" t="s">
        <v>752</v>
      </c>
      <c r="M72" s="0" t="n">
        <v>11.1</v>
      </c>
      <c r="N72" s="32" t="s">
        <v>753</v>
      </c>
      <c r="O72" s="32" t="s">
        <v>1074</v>
      </c>
      <c r="P72" s="32" t="n">
        <f aca="false">IF(AND(ISNUMBER(K72),K72&gt;=0),K72,IF(ISNUMBER(M72),ROUND(M72*7,0),""))</f>
        <v>78</v>
      </c>
      <c r="Q72" s="0" t="str">
        <f aca="false">IF(ISTEXT(K72),"TEXT - recovered",IF(K72&lt;0,"NEGATIVE",IF(K72&gt;728,"&gt;104 WEEKS","OK")))</f>
        <v>OK</v>
      </c>
      <c r="R72" s="0" t="str">
        <f aca="false">IF(E72="GEN","GM",E72)</f>
        <v>GM</v>
      </c>
    </row>
    <row r="73" customFormat="false" ht="15" hidden="false" customHeight="false" outlineLevel="0" collapsed="false">
      <c r="A73" s="0" t="s">
        <v>1075</v>
      </c>
      <c r="B73" s="0" t="s">
        <v>1076</v>
      </c>
      <c r="C73" s="0" t="s">
        <v>1077</v>
      </c>
      <c r="D73" s="31" t="n">
        <v>22681</v>
      </c>
      <c r="E73" s="32" t="s">
        <v>758</v>
      </c>
      <c r="F73" s="32" t="s">
        <v>759</v>
      </c>
      <c r="G73" s="32" t="s">
        <v>760</v>
      </c>
      <c r="H73" s="31" t="n">
        <v>45672</v>
      </c>
      <c r="I73" s="32" t="s">
        <v>761</v>
      </c>
      <c r="J73" s="32" t="s">
        <v>751</v>
      </c>
      <c r="K73" s="0" t="n">
        <v>34</v>
      </c>
      <c r="L73" s="32" t="s">
        <v>752</v>
      </c>
      <c r="M73" s="0" t="n">
        <v>4.9</v>
      </c>
      <c r="N73" s="32" t="s">
        <v>780</v>
      </c>
      <c r="O73" s="32" t="s">
        <v>1078</v>
      </c>
      <c r="P73" s="32" t="n">
        <f aca="false">IF(AND(ISNUMBER(K73),K73&gt;=0),K73,IF(ISNUMBER(M73),ROUND(M73*7,0),""))</f>
        <v>34</v>
      </c>
      <c r="Q73" s="0" t="str">
        <f aca="false">IF(ISTEXT(K73),"TEXT - recovered",IF(K73&lt;0,"NEGATIVE",IF(K73&gt;728,"&gt;104 WEEKS","OK")))</f>
        <v>OK</v>
      </c>
      <c r="R73" s="0" t="str">
        <f aca="false">IF(E73="GEN","GM",E73)</f>
        <v>CS</v>
      </c>
    </row>
    <row r="74" customFormat="false" ht="15" hidden="false" customHeight="false" outlineLevel="0" collapsed="false">
      <c r="A74" s="0" t="s">
        <v>1079</v>
      </c>
      <c r="B74" s="0" t="s">
        <v>1080</v>
      </c>
      <c r="C74" s="0" t="s">
        <v>1081</v>
      </c>
      <c r="D74" s="31" t="n">
        <v>28785</v>
      </c>
      <c r="E74" s="32" t="s">
        <v>766</v>
      </c>
      <c r="F74" s="32" t="s">
        <v>767</v>
      </c>
      <c r="G74" s="32" t="s">
        <v>768</v>
      </c>
      <c r="H74" s="31" t="n">
        <v>45672</v>
      </c>
      <c r="I74" s="32" t="s">
        <v>769</v>
      </c>
      <c r="J74" s="32" t="s">
        <v>770</v>
      </c>
      <c r="K74" s="0" t="n">
        <v>289</v>
      </c>
      <c r="L74" s="32" t="s">
        <v>771</v>
      </c>
      <c r="M74" s="0" t="n">
        <v>41.3</v>
      </c>
      <c r="N74" s="32" t="s">
        <v>753</v>
      </c>
      <c r="O74" s="32" t="s">
        <v>1082</v>
      </c>
      <c r="P74" s="32" t="n">
        <f aca="false">IF(AND(ISNUMBER(K74),K74&gt;=0),K74,IF(ISNUMBER(M74),ROUND(M74*7,0),""))</f>
        <v>289</v>
      </c>
      <c r="Q74" s="0" t="str">
        <f aca="false">IF(ISTEXT(K74),"TEXT - recovered",IF(K74&lt;0,"NEGATIVE",IF(K74&gt;728,"&gt;104 WEEKS","OK")))</f>
        <v>OK</v>
      </c>
      <c r="R74" s="0" t="str">
        <f aca="false">IF(E74="GEN","GM",E74)</f>
        <v>OR</v>
      </c>
    </row>
    <row r="75" customFormat="false" ht="15" hidden="false" customHeight="false" outlineLevel="0" collapsed="false">
      <c r="A75" s="0" t="s">
        <v>1083</v>
      </c>
      <c r="B75" s="0" t="s">
        <v>1084</v>
      </c>
      <c r="C75" s="0" t="s">
        <v>1085</v>
      </c>
      <c r="D75" s="31" t="n">
        <v>18453</v>
      </c>
      <c r="E75" s="32" t="s">
        <v>776</v>
      </c>
      <c r="F75" s="32" t="s">
        <v>777</v>
      </c>
      <c r="G75" s="32" t="s">
        <v>778</v>
      </c>
      <c r="H75" s="31" t="n">
        <v>45672</v>
      </c>
      <c r="I75" s="32" t="s">
        <v>779</v>
      </c>
      <c r="J75" s="32" t="s">
        <v>751</v>
      </c>
      <c r="K75" s="0" t="n">
        <v>89</v>
      </c>
      <c r="L75" s="32" t="s">
        <v>752</v>
      </c>
      <c r="M75" s="0" t="n">
        <v>12.7</v>
      </c>
      <c r="N75" s="32" t="s">
        <v>753</v>
      </c>
      <c r="O75" s="32" t="s">
        <v>1086</v>
      </c>
      <c r="P75" s="32" t="n">
        <f aca="false">IF(AND(ISNUMBER(K75),K75&gt;=0),K75,IF(ISNUMBER(M75),ROUND(M75*7,0),""))</f>
        <v>89</v>
      </c>
      <c r="Q75" s="0" t="str">
        <f aca="false">IF(ISTEXT(K75),"TEXT - recovered",IF(K75&lt;0,"NEGATIVE",IF(K75&gt;728,"&gt;104 WEEKS","OK")))</f>
        <v>OK</v>
      </c>
      <c r="R75" s="0" t="str">
        <f aca="false">IF(E75="GEN","GM",E75)</f>
        <v>GS</v>
      </c>
    </row>
    <row r="76" customFormat="false" ht="15" hidden="false" customHeight="false" outlineLevel="0" collapsed="false">
      <c r="A76" s="0" t="s">
        <v>1087</v>
      </c>
      <c r="B76" s="0" t="s">
        <v>1088</v>
      </c>
      <c r="C76" s="0" t="s">
        <v>1089</v>
      </c>
      <c r="D76" s="31" t="n">
        <v>31863</v>
      </c>
      <c r="E76" s="32" t="s">
        <v>785</v>
      </c>
      <c r="F76" s="32" t="s">
        <v>786</v>
      </c>
      <c r="G76" s="32" t="s">
        <v>787</v>
      </c>
      <c r="H76" s="31" t="n">
        <v>45672</v>
      </c>
      <c r="I76" s="32" t="s">
        <v>788</v>
      </c>
      <c r="J76" s="32" t="s">
        <v>751</v>
      </c>
      <c r="K76" s="0" t="n">
        <v>45</v>
      </c>
      <c r="L76" s="32" t="s">
        <v>752</v>
      </c>
      <c r="M76" s="0" t="n">
        <v>6.4</v>
      </c>
      <c r="N76" s="32" t="s">
        <v>753</v>
      </c>
      <c r="O76" s="32" t="s">
        <v>1090</v>
      </c>
      <c r="P76" s="32" t="n">
        <f aca="false">IF(AND(ISNUMBER(K76),K76&gt;=0),K76,IF(ISNUMBER(M76),ROUND(M76*7,0),""))</f>
        <v>45</v>
      </c>
      <c r="Q76" s="0" t="str">
        <f aca="false">IF(ISTEXT(K76),"TEXT - recovered",IF(K76&lt;0,"NEGATIVE",IF(K76&gt;728,"&gt;104 WEEKS","OK")))</f>
        <v>OK</v>
      </c>
      <c r="R76" s="0" t="str">
        <f aca="false">IF(E76="GEN","GM",E76)</f>
        <v>RS</v>
      </c>
    </row>
    <row r="77" customFormat="false" ht="15" hidden="false" customHeight="false" outlineLevel="0" collapsed="false">
      <c r="A77" s="0" t="s">
        <v>1091</v>
      </c>
      <c r="B77" s="0" t="s">
        <v>1092</v>
      </c>
      <c r="C77" s="0" t="s">
        <v>1093</v>
      </c>
      <c r="D77" s="31" t="n">
        <v>23329</v>
      </c>
      <c r="E77" s="32" t="s">
        <v>793</v>
      </c>
      <c r="F77" s="32" t="s">
        <v>794</v>
      </c>
      <c r="G77" s="32" t="s">
        <v>795</v>
      </c>
      <c r="H77" s="31" t="n">
        <v>45672</v>
      </c>
      <c r="I77" s="32" t="s">
        <v>796</v>
      </c>
      <c r="J77" s="32" t="s">
        <v>751</v>
      </c>
      <c r="K77" s="0" t="n">
        <v>25</v>
      </c>
      <c r="L77" s="32" t="s">
        <v>771</v>
      </c>
      <c r="M77" s="0" t="n">
        <v>3.6</v>
      </c>
      <c r="N77" s="32" t="s">
        <v>330</v>
      </c>
      <c r="O77" s="32" t="s">
        <v>1094</v>
      </c>
      <c r="P77" s="32" t="n">
        <f aca="false">IF(AND(ISNUMBER(K77),K77&gt;=0),K77,IF(ISNUMBER(M77),ROUND(M77*7,0),""))</f>
        <v>25</v>
      </c>
      <c r="Q77" s="0" t="str">
        <f aca="false">IF(ISTEXT(K77),"TEXT - recovered",IF(K77&lt;0,"NEGATIVE",IF(K77&gt;728,"&gt;104 WEEKS","OK")))</f>
        <v>OK</v>
      </c>
      <c r="R77" s="0" t="str">
        <f aca="false">IF(E77="GEN","GM",E77)</f>
        <v>EM</v>
      </c>
    </row>
    <row r="78" customFormat="false" ht="15" hidden="false" customHeight="false" outlineLevel="0" collapsed="false">
      <c r="A78" s="0" t="s">
        <v>1095</v>
      </c>
      <c r="B78" s="0" t="s">
        <v>1096</v>
      </c>
      <c r="C78" s="0" t="s">
        <v>1097</v>
      </c>
      <c r="D78" s="31" t="n">
        <v>33452</v>
      </c>
      <c r="E78" s="32" t="s">
        <v>802</v>
      </c>
      <c r="F78" s="32" t="s">
        <v>803</v>
      </c>
      <c r="G78" s="32" t="s">
        <v>804</v>
      </c>
      <c r="H78" s="31" t="n">
        <v>45672</v>
      </c>
      <c r="I78" s="32" t="s">
        <v>805</v>
      </c>
      <c r="J78" s="32" t="s">
        <v>770</v>
      </c>
      <c r="K78" s="0" t="n">
        <v>167</v>
      </c>
      <c r="L78" s="32" t="s">
        <v>771</v>
      </c>
      <c r="M78" s="0" t="n">
        <v>23.9</v>
      </c>
      <c r="N78" s="32" t="s">
        <v>753</v>
      </c>
      <c r="O78" s="32" t="s">
        <v>1098</v>
      </c>
      <c r="P78" s="32" t="n">
        <f aca="false">IF(AND(ISNUMBER(K78),K78&gt;=0),K78,IF(ISNUMBER(M78),ROUND(M78*7,0),""))</f>
        <v>167</v>
      </c>
      <c r="Q78" s="0" t="str">
        <f aca="false">IF(ISTEXT(K78),"TEXT - recovered",IF(K78&lt;0,"NEGATIVE",IF(K78&gt;728,"&gt;104 WEEKS","OK")))</f>
        <v>OK</v>
      </c>
      <c r="R78" s="0" t="str">
        <f aca="false">IF(E78="GEN","GM",E78)</f>
        <v>GYN</v>
      </c>
    </row>
    <row r="79" customFormat="false" ht="15" hidden="false" customHeight="false" outlineLevel="0" collapsed="false">
      <c r="A79" s="0" t="s">
        <v>1099</v>
      </c>
      <c r="B79" s="0" t="s">
        <v>1100</v>
      </c>
      <c r="C79" s="0" t="s">
        <v>1101</v>
      </c>
      <c r="D79" s="31" t="n">
        <v>21660</v>
      </c>
      <c r="E79" s="32" t="s">
        <v>810</v>
      </c>
      <c r="F79" s="32" t="s">
        <v>811</v>
      </c>
      <c r="G79" s="32" t="s">
        <v>812</v>
      </c>
      <c r="H79" s="31" t="n">
        <v>45672</v>
      </c>
      <c r="I79" s="32" t="s">
        <v>813</v>
      </c>
      <c r="J79" s="32" t="s">
        <v>751</v>
      </c>
      <c r="K79" s="0" t="n">
        <v>56</v>
      </c>
      <c r="L79" s="32" t="s">
        <v>752</v>
      </c>
      <c r="M79" s="0" t="n">
        <v>8</v>
      </c>
      <c r="N79" s="32" t="s">
        <v>753</v>
      </c>
      <c r="O79" s="32" t="s">
        <v>1102</v>
      </c>
      <c r="P79" s="32" t="n">
        <f aca="false">IF(AND(ISNUMBER(K79),K79&gt;=0),K79,IF(ISNUMBER(M79),ROUND(M79*7,0),""))</f>
        <v>56</v>
      </c>
      <c r="Q79" s="0" t="str">
        <f aca="false">IF(ISTEXT(K79),"TEXT - recovered",IF(K79&lt;0,"NEGATIVE",IF(K79&gt;728,"&gt;104 WEEKS","OK")))</f>
        <v>OK</v>
      </c>
      <c r="R79" s="0" t="str">
        <f aca="false">IF(E79="GEN","GM",E79)</f>
        <v>URO</v>
      </c>
    </row>
    <row r="80" customFormat="false" ht="15" hidden="false" customHeight="false" outlineLevel="0" collapsed="false">
      <c r="A80" s="0" t="s">
        <v>1103</v>
      </c>
      <c r="B80" s="0" t="s">
        <v>1104</v>
      </c>
      <c r="C80" s="0" t="s">
        <v>1105</v>
      </c>
      <c r="D80" s="31" t="n">
        <v>27401</v>
      </c>
      <c r="E80" s="32" t="s">
        <v>818</v>
      </c>
      <c r="F80" s="32" t="s">
        <v>819</v>
      </c>
      <c r="G80" s="32" t="s">
        <v>820</v>
      </c>
      <c r="H80" s="31" t="n">
        <v>45672</v>
      </c>
      <c r="I80" s="32" t="s">
        <v>821</v>
      </c>
      <c r="J80" s="32" t="s">
        <v>751</v>
      </c>
      <c r="K80" s="0" t="n">
        <v>112</v>
      </c>
      <c r="L80" s="32" t="s">
        <v>752</v>
      </c>
      <c r="M80" s="0" t="n">
        <v>16</v>
      </c>
      <c r="N80" s="32" t="s">
        <v>753</v>
      </c>
      <c r="O80" s="32" t="s">
        <v>1106</v>
      </c>
      <c r="P80" s="32" t="n">
        <f aca="false">IF(AND(ISNUMBER(K80),K80&gt;=0),K80,IF(ISNUMBER(M80),ROUND(M80*7,0),""))</f>
        <v>112</v>
      </c>
      <c r="Q80" s="0" t="str">
        <f aca="false">IF(ISTEXT(K80),"TEXT - recovered",IF(K80&lt;0,"NEGATIVE",IF(K80&gt;728,"&gt;104 WEEKS","OK")))</f>
        <v>OK</v>
      </c>
      <c r="R80" s="0" t="str">
        <f aca="false">IF(E80="GEN","GM",E80)</f>
        <v>OPH</v>
      </c>
    </row>
    <row r="81" customFormat="false" ht="15" hidden="false" customHeight="false" outlineLevel="0" collapsed="false">
      <c r="A81" s="0" t="s">
        <v>1107</v>
      </c>
      <c r="B81" s="0" t="s">
        <v>1108</v>
      </c>
      <c r="C81" s="0" t="s">
        <v>1109</v>
      </c>
      <c r="D81" s="31" t="n">
        <v>17801</v>
      </c>
      <c r="E81" s="32" t="s">
        <v>826</v>
      </c>
      <c r="F81" s="32" t="s">
        <v>827</v>
      </c>
      <c r="G81" s="32" t="s">
        <v>828</v>
      </c>
      <c r="H81" s="31" t="n">
        <v>45672</v>
      </c>
      <c r="I81" s="32" t="s">
        <v>829</v>
      </c>
      <c r="J81" s="32" t="s">
        <v>770</v>
      </c>
      <c r="K81" s="0" t="n">
        <v>201</v>
      </c>
      <c r="L81" s="32" t="s">
        <v>771</v>
      </c>
      <c r="M81" s="0" t="n">
        <v>28.7</v>
      </c>
      <c r="N81" s="32" t="s">
        <v>753</v>
      </c>
      <c r="O81" s="32" t="s">
        <v>1110</v>
      </c>
      <c r="P81" s="32" t="n">
        <f aca="false">IF(AND(ISNUMBER(K81),K81&gt;=0),K81,IF(ISNUMBER(M81),ROUND(M81*7,0),""))</f>
        <v>201</v>
      </c>
      <c r="Q81" s="0" t="str">
        <f aca="false">IF(ISTEXT(K81),"TEXT - recovered",IF(K81&lt;0,"NEGATIVE",IF(K81&gt;728,"&gt;104 WEEKS","OK")))</f>
        <v>OK</v>
      </c>
      <c r="R81" s="0" t="str">
        <f aca="false">IF(E81="GEN","GM",E81)</f>
        <v>RHE</v>
      </c>
    </row>
    <row r="82" customFormat="false" ht="15" hidden="false" customHeight="false" outlineLevel="0" collapsed="false">
      <c r="A82" s="0" t="s">
        <v>1111</v>
      </c>
      <c r="B82" s="0" t="s">
        <v>1112</v>
      </c>
      <c r="C82" s="0" t="s">
        <v>1113</v>
      </c>
      <c r="D82" s="31" t="n">
        <v>30114</v>
      </c>
      <c r="E82" s="32" t="s">
        <v>747</v>
      </c>
      <c r="F82" s="32" t="s">
        <v>748</v>
      </c>
      <c r="G82" s="32" t="s">
        <v>749</v>
      </c>
      <c r="H82" s="31" t="n">
        <v>45673</v>
      </c>
      <c r="I82" s="32" t="s">
        <v>750</v>
      </c>
      <c r="J82" s="32" t="s">
        <v>751</v>
      </c>
      <c r="K82" s="0" t="n">
        <v>34</v>
      </c>
      <c r="L82" s="32" t="s">
        <v>752</v>
      </c>
      <c r="M82" s="0" t="n">
        <v>4.9</v>
      </c>
      <c r="N82" s="32" t="s">
        <v>753</v>
      </c>
      <c r="O82" s="32" t="s">
        <v>1114</v>
      </c>
      <c r="P82" s="32" t="n">
        <f aca="false">IF(AND(ISNUMBER(K82),K82&gt;=0),K82,IF(ISNUMBER(M82),ROUND(M82*7,0),""))</f>
        <v>34</v>
      </c>
      <c r="Q82" s="0" t="str">
        <f aca="false">IF(ISTEXT(K82),"TEXT - recovered",IF(K82&lt;0,"NEGATIVE",IF(K82&gt;728,"&gt;104 WEEKS","OK")))</f>
        <v>OK</v>
      </c>
      <c r="R82" s="0" t="str">
        <f aca="false">IF(E82="GEN","GM",E82)</f>
        <v>GM</v>
      </c>
    </row>
    <row r="83" customFormat="false" ht="15" hidden="false" customHeight="false" outlineLevel="0" collapsed="false">
      <c r="A83" s="0" t="s">
        <v>1115</v>
      </c>
      <c r="B83" s="0" t="s">
        <v>1116</v>
      </c>
      <c r="C83" s="0" t="s">
        <v>1117</v>
      </c>
      <c r="D83" s="31" t="n">
        <v>24137</v>
      </c>
      <c r="E83" s="32" t="s">
        <v>758</v>
      </c>
      <c r="F83" s="32" t="s">
        <v>759</v>
      </c>
      <c r="G83" s="32" t="s">
        <v>760</v>
      </c>
      <c r="H83" s="31" t="n">
        <v>45673</v>
      </c>
      <c r="I83" s="32" t="s">
        <v>761</v>
      </c>
      <c r="J83" s="32" t="s">
        <v>751</v>
      </c>
      <c r="K83" s="0" t="n">
        <v>67</v>
      </c>
      <c r="L83" s="32" t="s">
        <v>752</v>
      </c>
      <c r="M83" s="0" t="n">
        <v>9.6</v>
      </c>
      <c r="N83" s="32" t="s">
        <v>780</v>
      </c>
      <c r="O83" s="32" t="s">
        <v>1118</v>
      </c>
      <c r="P83" s="32" t="n">
        <f aca="false">IF(AND(ISNUMBER(K83),K83&gt;=0),K83,IF(ISNUMBER(M83),ROUND(M83*7,0),""))</f>
        <v>67</v>
      </c>
      <c r="Q83" s="0" t="str">
        <f aca="false">IF(ISTEXT(K83),"TEXT - recovered",IF(K83&lt;0,"NEGATIVE",IF(K83&gt;728,"&gt;104 WEEKS","OK")))</f>
        <v>OK</v>
      </c>
      <c r="R83" s="0" t="str">
        <f aca="false">IF(E83="GEN","GM",E83)</f>
        <v>CS</v>
      </c>
    </row>
    <row r="84" customFormat="false" ht="15" hidden="false" customHeight="false" outlineLevel="0" collapsed="false">
      <c r="A84" s="0" t="s">
        <v>1119</v>
      </c>
      <c r="B84" s="0" t="s">
        <v>1120</v>
      </c>
      <c r="C84" s="0" t="s">
        <v>1121</v>
      </c>
      <c r="D84" s="31" t="n">
        <v>29115</v>
      </c>
      <c r="E84" s="32" t="s">
        <v>766</v>
      </c>
      <c r="F84" s="32" t="s">
        <v>767</v>
      </c>
      <c r="G84" s="32" t="s">
        <v>768</v>
      </c>
      <c r="H84" s="31" t="n">
        <v>45673</v>
      </c>
      <c r="I84" s="32" t="s">
        <v>769</v>
      </c>
      <c r="J84" s="32" t="s">
        <v>770</v>
      </c>
      <c r="K84" s="0" t="n">
        <v>312</v>
      </c>
      <c r="L84" s="32" t="s">
        <v>771</v>
      </c>
      <c r="M84" s="0" t="n">
        <v>44.6</v>
      </c>
      <c r="N84" s="32" t="s">
        <v>753</v>
      </c>
      <c r="O84" s="32" t="s">
        <v>1122</v>
      </c>
      <c r="P84" s="32" t="n">
        <f aca="false">IF(AND(ISNUMBER(K84),K84&gt;=0),K84,IF(ISNUMBER(M84),ROUND(M84*7,0),""))</f>
        <v>312</v>
      </c>
      <c r="Q84" s="0" t="str">
        <f aca="false">IF(ISTEXT(K84),"TEXT - recovered",IF(K84&lt;0,"NEGATIVE",IF(K84&gt;728,"&gt;104 WEEKS","OK")))</f>
        <v>OK</v>
      </c>
      <c r="R84" s="0" t="str">
        <f aca="false">IF(E84="GEN","GM",E84)</f>
        <v>OR</v>
      </c>
    </row>
    <row r="85" customFormat="false" ht="15" hidden="false" customHeight="false" outlineLevel="0" collapsed="false">
      <c r="A85" s="0" t="s">
        <v>1123</v>
      </c>
      <c r="B85" s="0" t="s">
        <v>1124</v>
      </c>
      <c r="C85" s="0" t="s">
        <v>1125</v>
      </c>
      <c r="D85" s="31" t="n">
        <v>19849</v>
      </c>
      <c r="E85" s="32" t="s">
        <v>776</v>
      </c>
      <c r="F85" s="32" t="s">
        <v>777</v>
      </c>
      <c r="G85" s="32" t="s">
        <v>778</v>
      </c>
      <c r="H85" s="31" t="n">
        <v>45673</v>
      </c>
      <c r="I85" s="32" t="s">
        <v>779</v>
      </c>
      <c r="J85" s="32" t="s">
        <v>751</v>
      </c>
      <c r="K85" s="0" t="n">
        <v>78</v>
      </c>
      <c r="L85" s="32" t="s">
        <v>752</v>
      </c>
      <c r="M85" s="0" t="n">
        <v>11.1</v>
      </c>
      <c r="N85" s="32" t="s">
        <v>753</v>
      </c>
      <c r="O85" s="32" t="s">
        <v>1126</v>
      </c>
      <c r="P85" s="32" t="n">
        <f aca="false">IF(AND(ISNUMBER(K85),K85&gt;=0),K85,IF(ISNUMBER(M85),ROUND(M85*7,0),""))</f>
        <v>78</v>
      </c>
      <c r="Q85" s="0" t="str">
        <f aca="false">IF(ISTEXT(K85),"TEXT - recovered",IF(K85&lt;0,"NEGATIVE",IF(K85&gt;728,"&gt;104 WEEKS","OK")))</f>
        <v>OK</v>
      </c>
      <c r="R85" s="0" t="str">
        <f aca="false">IF(E85="GEN","GM",E85)</f>
        <v>GS</v>
      </c>
    </row>
    <row r="86" customFormat="false" ht="15" hidden="false" customHeight="false" outlineLevel="0" collapsed="false">
      <c r="A86" s="0" t="s">
        <v>1127</v>
      </c>
      <c r="B86" s="0" t="s">
        <v>1128</v>
      </c>
      <c r="C86" s="0" t="s">
        <v>1129</v>
      </c>
      <c r="D86" s="31" t="n">
        <v>32195</v>
      </c>
      <c r="E86" s="32" t="s">
        <v>785</v>
      </c>
      <c r="F86" s="32" t="s">
        <v>786</v>
      </c>
      <c r="G86" s="32" t="s">
        <v>787</v>
      </c>
      <c r="H86" s="31" t="n">
        <v>45673</v>
      </c>
      <c r="I86" s="32" t="s">
        <v>788</v>
      </c>
      <c r="J86" s="32" t="s">
        <v>751</v>
      </c>
      <c r="K86" s="0" t="n">
        <v>45</v>
      </c>
      <c r="L86" s="32" t="s">
        <v>752</v>
      </c>
      <c r="M86" s="0" t="n">
        <v>6.4</v>
      </c>
      <c r="N86" s="32" t="s">
        <v>753</v>
      </c>
      <c r="O86" s="32" t="s">
        <v>1130</v>
      </c>
      <c r="P86" s="32" t="n">
        <f aca="false">IF(AND(ISNUMBER(K86),K86&gt;=0),K86,IF(ISNUMBER(M86),ROUND(M86*7,0),""))</f>
        <v>45</v>
      </c>
      <c r="Q86" s="0" t="str">
        <f aca="false">IF(ISTEXT(K86),"TEXT - recovered",IF(K86&lt;0,"NEGATIVE",IF(K86&gt;728,"&gt;104 WEEKS","OK")))</f>
        <v>OK</v>
      </c>
      <c r="R86" s="0" t="str">
        <f aca="false">IF(E86="GEN","GM",E86)</f>
        <v>RS</v>
      </c>
    </row>
    <row r="87" customFormat="false" ht="15" hidden="false" customHeight="false" outlineLevel="0" collapsed="false">
      <c r="A87" s="0" t="s">
        <v>1131</v>
      </c>
      <c r="B87" s="0" t="s">
        <v>1132</v>
      </c>
      <c r="C87" s="0" t="s">
        <v>1133</v>
      </c>
      <c r="D87" s="31" t="n">
        <v>26215</v>
      </c>
      <c r="E87" s="32" t="s">
        <v>793</v>
      </c>
      <c r="F87" s="32" t="s">
        <v>794</v>
      </c>
      <c r="G87" s="32" t="s">
        <v>795</v>
      </c>
      <c r="H87" s="31" t="n">
        <v>45673</v>
      </c>
      <c r="I87" s="32" t="s">
        <v>796</v>
      </c>
      <c r="J87" s="32" t="s">
        <v>797</v>
      </c>
      <c r="K87" s="0" t="n">
        <v>7</v>
      </c>
      <c r="L87" s="32" t="s">
        <v>771</v>
      </c>
      <c r="M87" s="0" t="n">
        <v>1</v>
      </c>
      <c r="N87" s="32" t="s">
        <v>330</v>
      </c>
      <c r="O87" s="32" t="s">
        <v>1134</v>
      </c>
      <c r="P87" s="32" t="n">
        <f aca="false">IF(AND(ISNUMBER(K87),K87&gt;=0),K87,IF(ISNUMBER(M87),ROUND(M87*7,0),""))</f>
        <v>7</v>
      </c>
      <c r="Q87" s="0" t="str">
        <f aca="false">IF(ISTEXT(K87),"TEXT - recovered",IF(K87&lt;0,"NEGATIVE",IF(K87&gt;728,"&gt;104 WEEKS","OK")))</f>
        <v>OK</v>
      </c>
      <c r="R87" s="0" t="str">
        <f aca="false">IF(E87="GEN","GM",E87)</f>
        <v>EM</v>
      </c>
    </row>
    <row r="88" customFormat="false" ht="15" hidden="false" customHeight="false" outlineLevel="0" collapsed="false">
      <c r="A88" s="0" t="s">
        <v>1135</v>
      </c>
      <c r="B88" s="0" t="s">
        <v>1136</v>
      </c>
      <c r="C88" s="0" t="s">
        <v>1137</v>
      </c>
      <c r="D88" s="31" t="n">
        <v>34542</v>
      </c>
      <c r="E88" s="32" t="s">
        <v>802</v>
      </c>
      <c r="F88" s="32" t="s">
        <v>803</v>
      </c>
      <c r="G88" s="32" t="s">
        <v>804</v>
      </c>
      <c r="H88" s="31" t="n">
        <v>45673</v>
      </c>
      <c r="I88" s="32" t="s">
        <v>805</v>
      </c>
      <c r="J88" s="32" t="s">
        <v>751</v>
      </c>
      <c r="K88" s="0" t="n">
        <v>23</v>
      </c>
      <c r="L88" s="32" t="s">
        <v>752</v>
      </c>
      <c r="M88" s="0" t="n">
        <v>3.3</v>
      </c>
      <c r="N88" s="32" t="s">
        <v>753</v>
      </c>
      <c r="O88" s="32" t="s">
        <v>1138</v>
      </c>
      <c r="P88" s="32" t="n">
        <f aca="false">IF(AND(ISNUMBER(K88),K88&gt;=0),K88,IF(ISNUMBER(M88),ROUND(M88*7,0),""))</f>
        <v>23</v>
      </c>
      <c r="Q88" s="0" t="str">
        <f aca="false">IF(ISTEXT(K88),"TEXT - recovered",IF(K88&lt;0,"NEGATIVE",IF(K88&gt;728,"&gt;104 WEEKS","OK")))</f>
        <v>OK</v>
      </c>
      <c r="R88" s="0" t="str">
        <f aca="false">IF(E88="GEN","GM",E88)</f>
        <v>GYN</v>
      </c>
    </row>
    <row r="89" customFormat="false" ht="15" hidden="false" customHeight="false" outlineLevel="0" collapsed="false">
      <c r="A89" s="0" t="s">
        <v>1139</v>
      </c>
      <c r="B89" s="0" t="s">
        <v>1140</v>
      </c>
      <c r="C89" s="0" t="s">
        <v>1141</v>
      </c>
      <c r="D89" s="31" t="n">
        <v>21989</v>
      </c>
      <c r="E89" s="32" t="s">
        <v>810</v>
      </c>
      <c r="F89" s="32" t="s">
        <v>811</v>
      </c>
      <c r="G89" s="32" t="s">
        <v>812</v>
      </c>
      <c r="H89" s="31" t="n">
        <v>45673</v>
      </c>
      <c r="I89" s="32" t="s">
        <v>813</v>
      </c>
      <c r="J89" s="32" t="s">
        <v>770</v>
      </c>
      <c r="K89" s="0" t="n">
        <v>234</v>
      </c>
      <c r="L89" s="32" t="s">
        <v>771</v>
      </c>
      <c r="M89" s="0" t="n">
        <v>33.4</v>
      </c>
      <c r="N89" s="32" t="s">
        <v>753</v>
      </c>
      <c r="O89" s="32" t="s">
        <v>1142</v>
      </c>
      <c r="P89" s="32" t="n">
        <f aca="false">IF(AND(ISNUMBER(K89),K89&gt;=0),K89,IF(ISNUMBER(M89),ROUND(M89*7,0),""))</f>
        <v>234</v>
      </c>
      <c r="Q89" s="0" t="str">
        <f aca="false">IF(ISTEXT(K89),"TEXT - recovered",IF(K89&lt;0,"NEGATIVE",IF(K89&gt;728,"&gt;104 WEEKS","OK")))</f>
        <v>OK</v>
      </c>
      <c r="R89" s="0" t="str">
        <f aca="false">IF(E89="GEN","GM",E89)</f>
        <v>URO</v>
      </c>
    </row>
    <row r="90" customFormat="false" ht="15" hidden="false" customHeight="false" outlineLevel="0" collapsed="false">
      <c r="A90" s="0" t="s">
        <v>1143</v>
      </c>
      <c r="B90" s="0" t="s">
        <v>1144</v>
      </c>
      <c r="C90" s="0" t="s">
        <v>1145</v>
      </c>
      <c r="D90" s="31" t="n">
        <v>28096</v>
      </c>
      <c r="E90" s="32" t="s">
        <v>818</v>
      </c>
      <c r="F90" s="32" t="s">
        <v>819</v>
      </c>
      <c r="G90" s="32" t="s">
        <v>820</v>
      </c>
      <c r="H90" s="31" t="n">
        <v>45673</v>
      </c>
      <c r="I90" s="32" t="s">
        <v>821</v>
      </c>
      <c r="J90" s="32" t="s">
        <v>751</v>
      </c>
      <c r="K90" s="0" t="n">
        <v>89</v>
      </c>
      <c r="L90" s="32" t="s">
        <v>752</v>
      </c>
      <c r="M90" s="0" t="n">
        <v>12.7</v>
      </c>
      <c r="N90" s="32" t="s">
        <v>753</v>
      </c>
      <c r="O90" s="32" t="s">
        <v>1146</v>
      </c>
      <c r="P90" s="32" t="n">
        <f aca="false">IF(AND(ISNUMBER(K90),K90&gt;=0),K90,IF(ISNUMBER(M90),ROUND(M90*7,0),""))</f>
        <v>89</v>
      </c>
      <c r="Q90" s="0" t="str">
        <f aca="false">IF(ISTEXT(K90),"TEXT - recovered",IF(K90&lt;0,"NEGATIVE",IF(K90&gt;728,"&gt;104 WEEKS","OK")))</f>
        <v>OK</v>
      </c>
      <c r="R90" s="0" t="str">
        <f aca="false">IF(E90="GEN","GM",E90)</f>
        <v>OPH</v>
      </c>
    </row>
    <row r="91" customFormat="false" ht="15" hidden="false" customHeight="false" outlineLevel="0" collapsed="false">
      <c r="A91" s="0" t="s">
        <v>1147</v>
      </c>
      <c r="B91" s="0" t="s">
        <v>1148</v>
      </c>
      <c r="C91" s="0" t="s">
        <v>1149</v>
      </c>
      <c r="D91" s="31" t="n">
        <v>15938</v>
      </c>
      <c r="E91" s="32" t="s">
        <v>826</v>
      </c>
      <c r="F91" s="32" t="s">
        <v>827</v>
      </c>
      <c r="G91" s="32" t="s">
        <v>828</v>
      </c>
      <c r="H91" s="31" t="n">
        <v>45673</v>
      </c>
      <c r="I91" s="32" t="s">
        <v>829</v>
      </c>
      <c r="J91" s="32" t="s">
        <v>751</v>
      </c>
      <c r="K91" s="0" t="n">
        <v>134</v>
      </c>
      <c r="L91" s="32" t="s">
        <v>752</v>
      </c>
      <c r="M91" s="0" t="n">
        <v>19.1</v>
      </c>
      <c r="N91" s="32" t="s">
        <v>753</v>
      </c>
      <c r="O91" s="32" t="s">
        <v>1150</v>
      </c>
      <c r="P91" s="32" t="n">
        <f aca="false">IF(AND(ISNUMBER(K91),K91&gt;=0),K91,IF(ISNUMBER(M91),ROUND(M91*7,0),""))</f>
        <v>134</v>
      </c>
      <c r="Q91" s="0" t="str">
        <f aca="false">IF(ISTEXT(K91),"TEXT - recovered",IF(K91&lt;0,"NEGATIVE",IF(K91&gt;728,"&gt;104 WEEKS","OK")))</f>
        <v>OK</v>
      </c>
      <c r="R91" s="0" t="str">
        <f aca="false">IF(E91="GEN","GM",E91)</f>
        <v>RHE</v>
      </c>
    </row>
    <row r="92" customFormat="false" ht="15" hidden="false" customHeight="false" outlineLevel="0" collapsed="false">
      <c r="A92" s="0" t="s">
        <v>1151</v>
      </c>
      <c r="B92" s="0" t="s">
        <v>1152</v>
      </c>
      <c r="C92" s="0" t="s">
        <v>1153</v>
      </c>
      <c r="D92" s="31" t="n">
        <v>31144</v>
      </c>
      <c r="E92" s="32" t="s">
        <v>747</v>
      </c>
      <c r="F92" s="32" t="s">
        <v>748</v>
      </c>
      <c r="G92" s="32" t="s">
        <v>749</v>
      </c>
      <c r="H92" s="31" t="n">
        <v>45674</v>
      </c>
      <c r="I92" s="32" t="s">
        <v>750</v>
      </c>
      <c r="J92" s="32" t="s">
        <v>751</v>
      </c>
      <c r="K92" s="0" t="n">
        <v>56</v>
      </c>
      <c r="L92" s="32" t="s">
        <v>752</v>
      </c>
      <c r="M92" s="0" t="n">
        <v>8</v>
      </c>
      <c r="N92" s="32" t="s">
        <v>753</v>
      </c>
      <c r="O92" s="32" t="s">
        <v>1154</v>
      </c>
      <c r="P92" s="32" t="n">
        <f aca="false">IF(AND(ISNUMBER(K92),K92&gt;=0),K92,IF(ISNUMBER(M92),ROUND(M92*7,0),""))</f>
        <v>56</v>
      </c>
      <c r="Q92" s="0" t="str">
        <f aca="false">IF(ISTEXT(K92),"TEXT - recovered",IF(K92&lt;0,"NEGATIVE",IF(K92&gt;728,"&gt;104 WEEKS","OK")))</f>
        <v>OK</v>
      </c>
      <c r="R92" s="0" t="str">
        <f aca="false">IF(E92="GEN","GM",E92)</f>
        <v>GM</v>
      </c>
    </row>
    <row r="93" customFormat="false" ht="15" hidden="false" customHeight="false" outlineLevel="0" collapsed="false">
      <c r="A93" s="0" t="s">
        <v>1155</v>
      </c>
      <c r="B93" s="0" t="s">
        <v>1156</v>
      </c>
      <c r="C93" s="0" t="s">
        <v>1157</v>
      </c>
      <c r="D93" s="31" t="n">
        <v>21179</v>
      </c>
      <c r="E93" s="32" t="s">
        <v>758</v>
      </c>
      <c r="F93" s="32" t="s">
        <v>759</v>
      </c>
      <c r="G93" s="32" t="s">
        <v>760</v>
      </c>
      <c r="H93" s="31" t="n">
        <v>45674</v>
      </c>
      <c r="I93" s="32" t="s">
        <v>761</v>
      </c>
      <c r="J93" s="32" t="s">
        <v>770</v>
      </c>
      <c r="K93" s="0" t="n">
        <v>178</v>
      </c>
      <c r="L93" s="32" t="s">
        <v>771</v>
      </c>
      <c r="M93" s="0" t="n">
        <v>25.4</v>
      </c>
      <c r="N93" s="32" t="s">
        <v>753</v>
      </c>
      <c r="O93" s="32" t="s">
        <v>1158</v>
      </c>
      <c r="P93" s="32" t="n">
        <f aca="false">IF(AND(ISNUMBER(K93),K93&gt;=0),K93,IF(ISNUMBER(M93),ROUND(M93*7,0),""))</f>
        <v>178</v>
      </c>
      <c r="Q93" s="0" t="str">
        <f aca="false">IF(ISTEXT(K93),"TEXT - recovered",IF(K93&lt;0,"NEGATIVE",IF(K93&gt;728,"&gt;104 WEEKS","OK")))</f>
        <v>OK</v>
      </c>
      <c r="R93" s="0" t="str">
        <f aca="false">IF(E93="GEN","GM",E93)</f>
        <v>CS</v>
      </c>
    </row>
    <row r="94" customFormat="false" ht="15" hidden="false" customHeight="false" outlineLevel="0" collapsed="false">
      <c r="A94" s="0" t="s">
        <v>1159</v>
      </c>
      <c r="B94" s="0" t="s">
        <v>1160</v>
      </c>
      <c r="C94" s="0" t="s">
        <v>1161</v>
      </c>
      <c r="D94" s="31" t="n">
        <v>26919</v>
      </c>
      <c r="E94" s="32" t="s">
        <v>766</v>
      </c>
      <c r="F94" s="32" t="s">
        <v>767</v>
      </c>
      <c r="G94" s="32" t="s">
        <v>768</v>
      </c>
      <c r="H94" s="31" t="n">
        <v>45674</v>
      </c>
      <c r="I94" s="32" t="s">
        <v>769</v>
      </c>
      <c r="J94" s="32" t="s">
        <v>751</v>
      </c>
      <c r="K94" s="0" t="n">
        <v>67</v>
      </c>
      <c r="L94" s="32" t="s">
        <v>752</v>
      </c>
      <c r="M94" s="0" t="n">
        <v>9.6</v>
      </c>
      <c r="N94" s="32" t="s">
        <v>780</v>
      </c>
      <c r="O94" s="32" t="s">
        <v>1162</v>
      </c>
      <c r="P94" s="32" t="n">
        <f aca="false">IF(AND(ISNUMBER(K94),K94&gt;=0),K94,IF(ISNUMBER(M94),ROUND(M94*7,0),""))</f>
        <v>67</v>
      </c>
      <c r="Q94" s="0" t="str">
        <f aca="false">IF(ISTEXT(K94),"TEXT - recovered",IF(K94&lt;0,"NEGATIVE",IF(K94&gt;728,"&gt;104 WEEKS","OK")))</f>
        <v>OK</v>
      </c>
      <c r="R94" s="0" t="str">
        <f aca="false">IF(E94="GEN","GM",E94)</f>
        <v>OR</v>
      </c>
    </row>
    <row r="95" customFormat="false" ht="15" hidden="false" customHeight="false" outlineLevel="0" collapsed="false">
      <c r="A95" s="0" t="s">
        <v>1163</v>
      </c>
      <c r="B95" s="0" t="s">
        <v>1164</v>
      </c>
      <c r="C95" s="0" t="s">
        <v>1165</v>
      </c>
      <c r="D95" s="31" t="n">
        <v>22432</v>
      </c>
      <c r="E95" s="32" t="s">
        <v>776</v>
      </c>
      <c r="F95" s="32" t="s">
        <v>777</v>
      </c>
      <c r="G95" s="32" t="s">
        <v>778</v>
      </c>
      <c r="H95" s="31" t="n">
        <v>45674</v>
      </c>
      <c r="I95" s="32" t="s">
        <v>779</v>
      </c>
      <c r="J95" s="32" t="s">
        <v>751</v>
      </c>
      <c r="K95" s="0" t="n">
        <v>34</v>
      </c>
      <c r="L95" s="32" t="s">
        <v>752</v>
      </c>
      <c r="M95" s="0" t="n">
        <v>4.9</v>
      </c>
      <c r="N95" s="32" t="s">
        <v>753</v>
      </c>
      <c r="O95" s="32" t="s">
        <v>1166</v>
      </c>
      <c r="P95" s="32" t="n">
        <f aca="false">IF(AND(ISNUMBER(K95),K95&gt;=0),K95,IF(ISNUMBER(M95),ROUND(M95*7,0),""))</f>
        <v>34</v>
      </c>
      <c r="Q95" s="0" t="str">
        <f aca="false">IF(ISTEXT(K95),"TEXT - recovered",IF(K95&lt;0,"NEGATIVE",IF(K95&gt;728,"&gt;104 WEEKS","OK")))</f>
        <v>OK</v>
      </c>
      <c r="R95" s="0" t="str">
        <f aca="false">IF(E95="GEN","GM",E95)</f>
        <v>GS</v>
      </c>
    </row>
    <row r="96" customFormat="false" ht="15" hidden="false" customHeight="false" outlineLevel="0" collapsed="false">
      <c r="A96" s="0" t="s">
        <v>1167</v>
      </c>
      <c r="B96" s="0" t="s">
        <v>1168</v>
      </c>
      <c r="C96" s="0" t="s">
        <v>1169</v>
      </c>
      <c r="D96" s="31" t="n">
        <v>32557</v>
      </c>
      <c r="E96" s="32" t="s">
        <v>785</v>
      </c>
      <c r="F96" s="32" t="s">
        <v>786</v>
      </c>
      <c r="G96" s="32" t="s">
        <v>787</v>
      </c>
      <c r="H96" s="31" t="n">
        <v>45674</v>
      </c>
      <c r="I96" s="32" t="s">
        <v>788</v>
      </c>
      <c r="J96" s="32" t="s">
        <v>770</v>
      </c>
      <c r="K96" s="0" t="n">
        <v>145</v>
      </c>
      <c r="L96" s="32" t="s">
        <v>771</v>
      </c>
      <c r="M96" s="0" t="n">
        <v>20.7</v>
      </c>
      <c r="N96" s="32" t="s">
        <v>753</v>
      </c>
      <c r="O96" s="32" t="s">
        <v>1170</v>
      </c>
      <c r="P96" s="32" t="n">
        <f aca="false">IF(AND(ISNUMBER(K96),K96&gt;=0),K96,IF(ISNUMBER(M96),ROUND(M96*7,0),""))</f>
        <v>145</v>
      </c>
      <c r="Q96" s="0" t="str">
        <f aca="false">IF(ISTEXT(K96),"TEXT - recovered",IF(K96&lt;0,"NEGATIVE",IF(K96&gt;728,"&gt;104 WEEKS","OK")))</f>
        <v>OK</v>
      </c>
      <c r="R96" s="0" t="str">
        <f aca="false">IF(E96="GEN","GM",E96)</f>
        <v>RS</v>
      </c>
    </row>
    <row r="97" customFormat="false" ht="15" hidden="false" customHeight="false" outlineLevel="0" collapsed="false">
      <c r="A97" s="0" t="s">
        <v>1171</v>
      </c>
      <c r="B97" s="0" t="s">
        <v>1172</v>
      </c>
      <c r="C97" s="0" t="s">
        <v>1173</v>
      </c>
      <c r="D97" s="31" t="n">
        <v>24751</v>
      </c>
      <c r="E97" s="32" t="s">
        <v>793</v>
      </c>
      <c r="F97" s="32" t="s">
        <v>794</v>
      </c>
      <c r="G97" s="32" t="s">
        <v>795</v>
      </c>
      <c r="H97" s="31" t="n">
        <v>45674</v>
      </c>
      <c r="I97" s="32" t="s">
        <v>796</v>
      </c>
      <c r="J97" s="32" t="s">
        <v>751</v>
      </c>
      <c r="K97" s="0" t="n">
        <v>31</v>
      </c>
      <c r="L97" s="32" t="s">
        <v>771</v>
      </c>
      <c r="M97" s="0" t="n">
        <v>4.4</v>
      </c>
      <c r="N97" s="32" t="s">
        <v>330</v>
      </c>
      <c r="O97" s="32" t="s">
        <v>1174</v>
      </c>
      <c r="P97" s="32" t="n">
        <f aca="false">IF(AND(ISNUMBER(K97),K97&gt;=0),K97,IF(ISNUMBER(M97),ROUND(M97*7,0),""))</f>
        <v>31</v>
      </c>
      <c r="Q97" s="0" t="str">
        <f aca="false">IF(ISTEXT(K97),"TEXT - recovered",IF(K97&lt;0,"NEGATIVE",IF(K97&gt;728,"&gt;104 WEEKS","OK")))</f>
        <v>OK</v>
      </c>
      <c r="R97" s="0" t="str">
        <f aca="false">IF(E97="GEN","GM",E97)</f>
        <v>EM</v>
      </c>
    </row>
    <row r="98" customFormat="false" ht="15" hidden="false" customHeight="false" outlineLevel="0" collapsed="false">
      <c r="A98" s="0" t="s">
        <v>1175</v>
      </c>
      <c r="B98" s="0" t="s">
        <v>1176</v>
      </c>
      <c r="C98" s="0" t="s">
        <v>1177</v>
      </c>
      <c r="D98" s="31" t="n">
        <v>29396</v>
      </c>
      <c r="E98" s="32" t="s">
        <v>802</v>
      </c>
      <c r="F98" s="32" t="s">
        <v>803</v>
      </c>
      <c r="G98" s="32" t="s">
        <v>804</v>
      </c>
      <c r="H98" s="31" t="n">
        <v>45674</v>
      </c>
      <c r="I98" s="32" t="s">
        <v>805</v>
      </c>
      <c r="J98" s="32" t="s">
        <v>751</v>
      </c>
      <c r="K98" s="0" t="n">
        <v>78</v>
      </c>
      <c r="L98" s="32" t="s">
        <v>752</v>
      </c>
      <c r="M98" s="0" t="n">
        <v>11.1</v>
      </c>
      <c r="N98" s="32" t="s">
        <v>753</v>
      </c>
      <c r="O98" s="32" t="s">
        <v>1178</v>
      </c>
      <c r="P98" s="32" t="n">
        <f aca="false">IF(AND(ISNUMBER(K98),K98&gt;=0),K98,IF(ISNUMBER(M98),ROUND(M98*7,0),""))</f>
        <v>78</v>
      </c>
      <c r="Q98" s="0" t="str">
        <f aca="false">IF(ISTEXT(K98),"TEXT - recovered",IF(K98&lt;0,"NEGATIVE",IF(K98&gt;728,"&gt;104 WEEKS","OK")))</f>
        <v>OK</v>
      </c>
      <c r="R98" s="0" t="str">
        <f aca="false">IF(E98="GEN","GM",E98)</f>
        <v>GYN</v>
      </c>
    </row>
    <row r="99" customFormat="false" ht="15" hidden="false" customHeight="false" outlineLevel="0" collapsed="false">
      <c r="A99" s="0" t="s">
        <v>1179</v>
      </c>
      <c r="B99" s="0" t="s">
        <v>1180</v>
      </c>
      <c r="C99" s="0" t="s">
        <v>1181</v>
      </c>
      <c r="D99" s="31" t="n">
        <v>19370</v>
      </c>
      <c r="E99" s="32" t="s">
        <v>810</v>
      </c>
      <c r="F99" s="32" t="s">
        <v>811</v>
      </c>
      <c r="G99" s="32" t="s">
        <v>812</v>
      </c>
      <c r="H99" s="31" t="n">
        <v>45674</v>
      </c>
      <c r="I99" s="32" t="s">
        <v>813</v>
      </c>
      <c r="J99" s="32" t="s">
        <v>751</v>
      </c>
      <c r="K99" s="0" t="n">
        <v>89</v>
      </c>
      <c r="L99" s="32" t="s">
        <v>752</v>
      </c>
      <c r="M99" s="0" t="n">
        <v>12.7</v>
      </c>
      <c r="N99" s="32" t="s">
        <v>753</v>
      </c>
      <c r="O99" s="32" t="s">
        <v>1182</v>
      </c>
      <c r="P99" s="32" t="n">
        <f aca="false">IF(AND(ISNUMBER(K99),K99&gt;=0),K99,IF(ISNUMBER(M99),ROUND(M99*7,0),""))</f>
        <v>89</v>
      </c>
      <c r="Q99" s="0" t="str">
        <f aca="false">IF(ISTEXT(K99),"TEXT - recovered",IF(K99&lt;0,"NEGATIVE",IF(K99&gt;728,"&gt;104 WEEKS","OK")))</f>
        <v>OK</v>
      </c>
      <c r="R99" s="0" t="str">
        <f aca="false">IF(E99="GEN","GM",E99)</f>
        <v>URO</v>
      </c>
    </row>
    <row r="100" customFormat="false" ht="15" hidden="false" customHeight="false" outlineLevel="0" collapsed="false">
      <c r="A100" s="0" t="s">
        <v>1183</v>
      </c>
      <c r="B100" s="0" t="s">
        <v>1184</v>
      </c>
      <c r="C100" s="0" t="s">
        <v>1185</v>
      </c>
      <c r="D100" s="31" t="n">
        <v>28397</v>
      </c>
      <c r="E100" s="32" t="s">
        <v>818</v>
      </c>
      <c r="F100" s="32" t="s">
        <v>819</v>
      </c>
      <c r="G100" s="32" t="s">
        <v>820</v>
      </c>
      <c r="H100" s="31" t="n">
        <v>45674</v>
      </c>
      <c r="I100" s="32" t="s">
        <v>821</v>
      </c>
      <c r="J100" s="32" t="s">
        <v>770</v>
      </c>
      <c r="K100" s="0" t="n">
        <v>189</v>
      </c>
      <c r="L100" s="32" t="s">
        <v>771</v>
      </c>
      <c r="M100" s="0" t="n">
        <v>27</v>
      </c>
      <c r="N100" s="32" t="s">
        <v>753</v>
      </c>
      <c r="O100" s="32" t="s">
        <v>1186</v>
      </c>
      <c r="P100" s="32" t="n">
        <f aca="false">IF(AND(ISNUMBER(K100),K100&gt;=0),K100,IF(ISNUMBER(M100),ROUND(M100*7,0),""))</f>
        <v>189</v>
      </c>
      <c r="Q100" s="0" t="str">
        <f aca="false">IF(ISTEXT(K100),"TEXT - recovered",IF(K100&lt;0,"NEGATIVE",IF(K100&gt;728,"&gt;104 WEEKS","OK")))</f>
        <v>OK</v>
      </c>
      <c r="R100" s="0" t="str">
        <f aca="false">IF(E100="GEN","GM",E100)</f>
        <v>OPH</v>
      </c>
    </row>
    <row r="101" customFormat="false" ht="15" hidden="false" customHeight="false" outlineLevel="0" collapsed="false">
      <c r="A101" s="0" t="s">
        <v>1187</v>
      </c>
      <c r="B101" s="0" t="s">
        <v>1188</v>
      </c>
      <c r="C101" s="0" t="s">
        <v>1189</v>
      </c>
      <c r="D101" s="31" t="n">
        <v>23514</v>
      </c>
      <c r="E101" s="32" t="s">
        <v>826</v>
      </c>
      <c r="F101" s="32" t="s">
        <v>827</v>
      </c>
      <c r="G101" s="32" t="s">
        <v>828</v>
      </c>
      <c r="H101" s="31" t="n">
        <v>45674</v>
      </c>
      <c r="I101" s="32" t="s">
        <v>829</v>
      </c>
      <c r="J101" s="32" t="s">
        <v>751</v>
      </c>
      <c r="K101" s="0" t="n">
        <v>45</v>
      </c>
      <c r="L101" s="32" t="s">
        <v>752</v>
      </c>
      <c r="M101" s="0" t="n">
        <v>6.4</v>
      </c>
      <c r="N101" s="32" t="s">
        <v>753</v>
      </c>
      <c r="O101" s="32" t="s">
        <v>1190</v>
      </c>
      <c r="P101" s="32" t="n">
        <f aca="false">IF(AND(ISNUMBER(K101),K101&gt;=0),K101,IF(ISNUMBER(M101),ROUND(M101*7,0),""))</f>
        <v>45</v>
      </c>
      <c r="Q101" s="0" t="str">
        <f aca="false">IF(ISTEXT(K101),"TEXT - recovered",IF(K101&lt;0,"NEGATIVE",IF(K101&gt;728,"&gt;104 WEEKS","OK")))</f>
        <v>OK</v>
      </c>
      <c r="R101" s="0" t="str">
        <f aca="false">IF(E101="GEN","GM",E101)</f>
        <v>RHE</v>
      </c>
    </row>
    <row r="102" customFormat="false" ht="15" hidden="false" customHeight="false" outlineLevel="0" collapsed="false">
      <c r="A102" s="0" t="s">
        <v>1191</v>
      </c>
      <c r="B102" s="0" t="s">
        <v>1192</v>
      </c>
      <c r="C102" s="0" t="s">
        <v>1193</v>
      </c>
      <c r="D102" s="31" t="n">
        <v>17567</v>
      </c>
      <c r="E102" s="32" t="s">
        <v>747</v>
      </c>
      <c r="F102" s="32" t="s">
        <v>748</v>
      </c>
      <c r="G102" s="32" t="s">
        <v>749</v>
      </c>
      <c r="H102" s="31" t="n">
        <v>45677</v>
      </c>
      <c r="I102" s="32" t="s">
        <v>750</v>
      </c>
      <c r="J102" s="32" t="s">
        <v>751</v>
      </c>
      <c r="K102" s="0" t="n">
        <v>112</v>
      </c>
      <c r="L102" s="32" t="s">
        <v>752</v>
      </c>
      <c r="M102" s="0" t="n">
        <v>16</v>
      </c>
      <c r="N102" s="32" t="s">
        <v>753</v>
      </c>
      <c r="O102" s="32" t="s">
        <v>1194</v>
      </c>
      <c r="P102" s="32" t="n">
        <f aca="false">IF(AND(ISNUMBER(K102),K102&gt;=0),K102,IF(ISNUMBER(M102),ROUND(M102*7,0),""))</f>
        <v>112</v>
      </c>
      <c r="Q102" s="0" t="str">
        <f aca="false">IF(ISTEXT(K102),"TEXT - recovered",IF(K102&lt;0,"NEGATIVE",IF(K102&gt;728,"&gt;104 WEEKS","OK")))</f>
        <v>OK</v>
      </c>
      <c r="R102" s="0" t="str">
        <f aca="false">IF(E102="GEN","GM",E102)</f>
        <v>GM</v>
      </c>
    </row>
    <row r="103" customFormat="false" ht="15" hidden="false" customHeight="false" outlineLevel="0" collapsed="false">
      <c r="A103" s="0" t="s">
        <v>1195</v>
      </c>
      <c r="B103" s="0" t="s">
        <v>1196</v>
      </c>
      <c r="C103" s="0" t="s">
        <v>1197</v>
      </c>
      <c r="D103" s="31" t="n">
        <v>30611</v>
      </c>
      <c r="E103" s="32" t="s">
        <v>758</v>
      </c>
      <c r="F103" s="32" t="s">
        <v>759</v>
      </c>
      <c r="G103" s="32" t="s">
        <v>760</v>
      </c>
      <c r="H103" s="31" t="n">
        <v>45677</v>
      </c>
      <c r="I103" s="32" t="s">
        <v>761</v>
      </c>
      <c r="J103" s="32" t="s">
        <v>751</v>
      </c>
      <c r="K103" s="0" t="n">
        <v>56</v>
      </c>
      <c r="L103" s="32" t="s">
        <v>752</v>
      </c>
      <c r="M103" s="0" t="n">
        <v>8</v>
      </c>
      <c r="N103" s="32" t="s">
        <v>780</v>
      </c>
      <c r="O103" s="32" t="s">
        <v>1198</v>
      </c>
      <c r="P103" s="32" t="n">
        <f aca="false">IF(AND(ISNUMBER(K103),K103&gt;=0),K103,IF(ISNUMBER(M103),ROUND(M103*7,0),""))</f>
        <v>56</v>
      </c>
      <c r="Q103" s="0" t="str">
        <f aca="false">IF(ISTEXT(K103),"TEXT - recovered",IF(K103&lt;0,"NEGATIVE",IF(K103&gt;728,"&gt;104 WEEKS","OK")))</f>
        <v>OK</v>
      </c>
      <c r="R103" s="0" t="str">
        <f aca="false">IF(E103="GEN","GM",E103)</f>
        <v>CS</v>
      </c>
    </row>
    <row r="104" customFormat="false" ht="15" hidden="false" customHeight="false" outlineLevel="0" collapsed="false">
      <c r="A104" s="0" t="s">
        <v>1199</v>
      </c>
      <c r="B104" s="0" t="s">
        <v>1200</v>
      </c>
      <c r="C104" s="0" t="s">
        <v>1201</v>
      </c>
      <c r="D104" s="31" t="n">
        <v>26123</v>
      </c>
      <c r="E104" s="32" t="s">
        <v>766</v>
      </c>
      <c r="F104" s="32" t="s">
        <v>767</v>
      </c>
      <c r="G104" s="32" t="s">
        <v>768</v>
      </c>
      <c r="H104" s="31" t="n">
        <v>45677</v>
      </c>
      <c r="I104" s="32" t="s">
        <v>769</v>
      </c>
      <c r="J104" s="32" t="s">
        <v>770</v>
      </c>
      <c r="K104" s="0" t="n">
        <v>356</v>
      </c>
      <c r="L104" s="32" t="s">
        <v>771</v>
      </c>
      <c r="M104" s="0" t="n">
        <v>50.9</v>
      </c>
      <c r="N104" s="32" t="s">
        <v>753</v>
      </c>
      <c r="O104" s="32" t="s">
        <v>1202</v>
      </c>
      <c r="P104" s="32" t="n">
        <f aca="false">IF(AND(ISNUMBER(K104),K104&gt;=0),K104,IF(ISNUMBER(M104),ROUND(M104*7,0),""))</f>
        <v>356</v>
      </c>
      <c r="Q104" s="0" t="str">
        <f aca="false">IF(ISTEXT(K104),"TEXT - recovered",IF(K104&lt;0,"NEGATIVE",IF(K104&gt;728,"&gt;104 WEEKS","OK")))</f>
        <v>OK</v>
      </c>
      <c r="R104" s="0" t="str">
        <f aca="false">IF(E104="GEN","GM",E104)</f>
        <v>OR</v>
      </c>
    </row>
    <row r="105" customFormat="false" ht="15" hidden="false" customHeight="false" outlineLevel="0" collapsed="false">
      <c r="A105" s="0" t="s">
        <v>1203</v>
      </c>
      <c r="B105" s="0" t="s">
        <v>1204</v>
      </c>
      <c r="C105" s="0" t="s">
        <v>1205</v>
      </c>
      <c r="D105" s="31" t="n">
        <v>20175</v>
      </c>
      <c r="E105" s="32" t="s">
        <v>776</v>
      </c>
      <c r="F105" s="32" t="s">
        <v>777</v>
      </c>
      <c r="G105" s="32" t="s">
        <v>778</v>
      </c>
      <c r="H105" s="31" t="n">
        <v>45677</v>
      </c>
      <c r="I105" s="32" t="s">
        <v>779</v>
      </c>
      <c r="J105" s="32" t="s">
        <v>751</v>
      </c>
      <c r="K105" s="0" t="n">
        <v>34</v>
      </c>
      <c r="L105" s="32" t="s">
        <v>752</v>
      </c>
      <c r="M105" s="0" t="n">
        <v>4.9</v>
      </c>
      <c r="N105" s="32" t="s">
        <v>753</v>
      </c>
      <c r="O105" s="32" t="s">
        <v>1206</v>
      </c>
      <c r="P105" s="32" t="n">
        <f aca="false">IF(AND(ISNUMBER(K105),K105&gt;=0),K105,IF(ISNUMBER(M105),ROUND(M105*7,0),""))</f>
        <v>34</v>
      </c>
      <c r="Q105" s="0" t="str">
        <f aca="false">IF(ISTEXT(K105),"TEXT - recovered",IF(K105&lt;0,"NEGATIVE",IF(K105&gt;728,"&gt;104 WEEKS","OK")))</f>
        <v>OK</v>
      </c>
      <c r="R105" s="0" t="str">
        <f aca="false">IF(E105="GEN","GM",E105)</f>
        <v>GS</v>
      </c>
    </row>
    <row r="106" customFormat="false" ht="15" hidden="false" customHeight="false" outlineLevel="0" collapsed="false">
      <c r="A106" s="0" t="s">
        <v>1207</v>
      </c>
      <c r="B106" s="0" t="s">
        <v>1208</v>
      </c>
      <c r="C106" s="0" t="s">
        <v>1209</v>
      </c>
      <c r="D106" s="31" t="n">
        <v>33191</v>
      </c>
      <c r="E106" s="32" t="s">
        <v>785</v>
      </c>
      <c r="F106" s="32" t="s">
        <v>786</v>
      </c>
      <c r="G106" s="32" t="s">
        <v>787</v>
      </c>
      <c r="H106" s="31" t="n">
        <v>45677</v>
      </c>
      <c r="I106" s="32" t="s">
        <v>788</v>
      </c>
      <c r="J106" s="32" t="s">
        <v>751</v>
      </c>
      <c r="K106" s="0" t="n">
        <v>67</v>
      </c>
      <c r="L106" s="32" t="s">
        <v>752</v>
      </c>
      <c r="M106" s="0" t="n">
        <v>9.6</v>
      </c>
      <c r="N106" s="32" t="s">
        <v>753</v>
      </c>
      <c r="O106" s="32" t="s">
        <v>1210</v>
      </c>
      <c r="P106" s="32" t="n">
        <f aca="false">IF(AND(ISNUMBER(K106),K106&gt;=0),K106,IF(ISNUMBER(M106),ROUND(M106*7,0),""))</f>
        <v>67</v>
      </c>
      <c r="Q106" s="0" t="str">
        <f aca="false">IF(ISTEXT(K106),"TEXT - recovered",IF(K106&lt;0,"NEGATIVE",IF(K106&gt;728,"&gt;104 WEEKS","OK")))</f>
        <v>OK</v>
      </c>
      <c r="R106" s="0" t="str">
        <f aca="false">IF(E106="GEN","GM",E106)</f>
        <v>RS</v>
      </c>
    </row>
    <row r="107" customFormat="false" ht="15" hidden="false" customHeight="false" outlineLevel="0" collapsed="false">
      <c r="A107" s="0" t="s">
        <v>1211</v>
      </c>
      <c r="B107" s="0" t="s">
        <v>1212</v>
      </c>
      <c r="C107" s="0" t="s">
        <v>1213</v>
      </c>
      <c r="D107" s="31" t="n">
        <v>22860</v>
      </c>
      <c r="E107" s="32" t="s">
        <v>793</v>
      </c>
      <c r="F107" s="32" t="s">
        <v>794</v>
      </c>
      <c r="G107" s="32" t="s">
        <v>795</v>
      </c>
      <c r="H107" s="31" t="n">
        <v>45677</v>
      </c>
      <c r="I107" s="32" t="s">
        <v>796</v>
      </c>
      <c r="J107" s="32" t="s">
        <v>797</v>
      </c>
      <c r="K107" s="0" t="n">
        <v>11</v>
      </c>
      <c r="L107" s="32" t="s">
        <v>771</v>
      </c>
      <c r="M107" s="0" t="n">
        <v>1.6</v>
      </c>
      <c r="N107" s="32" t="s">
        <v>330</v>
      </c>
      <c r="O107" s="32" t="s">
        <v>1214</v>
      </c>
      <c r="P107" s="32" t="n">
        <f aca="false">IF(AND(ISNUMBER(K107),K107&gt;=0),K107,IF(ISNUMBER(M107),ROUND(M107*7,0),""))</f>
        <v>11</v>
      </c>
      <c r="Q107" s="0" t="str">
        <f aca="false">IF(ISTEXT(K107),"TEXT - recovered",IF(K107&lt;0,"NEGATIVE",IF(K107&gt;728,"&gt;104 WEEKS","OK")))</f>
        <v>OK</v>
      </c>
      <c r="R107" s="0" t="str">
        <f aca="false">IF(E107="GEN","GM",E107)</f>
        <v>EM</v>
      </c>
    </row>
    <row r="108" customFormat="false" ht="15" hidden="false" customHeight="false" outlineLevel="0" collapsed="false">
      <c r="A108" s="0" t="s">
        <v>1215</v>
      </c>
      <c r="B108" s="0" t="s">
        <v>1216</v>
      </c>
      <c r="C108" s="0" t="s">
        <v>1217</v>
      </c>
      <c r="D108" s="31" t="n">
        <v>28600</v>
      </c>
      <c r="E108" s="32" t="s">
        <v>802</v>
      </c>
      <c r="F108" s="32" t="s">
        <v>803</v>
      </c>
      <c r="G108" s="32" t="s">
        <v>804</v>
      </c>
      <c r="H108" s="31" t="n">
        <v>45677</v>
      </c>
      <c r="I108" s="32" t="s">
        <v>805</v>
      </c>
      <c r="J108" s="32" t="s">
        <v>751</v>
      </c>
      <c r="K108" s="0" t="n">
        <v>45</v>
      </c>
      <c r="L108" s="32" t="s">
        <v>752</v>
      </c>
      <c r="M108" s="0" t="n">
        <v>6.4</v>
      </c>
      <c r="N108" s="32" t="s">
        <v>753</v>
      </c>
      <c r="O108" s="32" t="s">
        <v>1218</v>
      </c>
      <c r="P108" s="32" t="n">
        <f aca="false">IF(AND(ISNUMBER(K108),K108&gt;=0),K108,IF(ISNUMBER(M108),ROUND(M108*7,0),""))</f>
        <v>45</v>
      </c>
      <c r="Q108" s="0" t="str">
        <f aca="false">IF(ISTEXT(K108),"TEXT - recovered",IF(K108&lt;0,"NEGATIVE",IF(K108&gt;728,"&gt;104 WEEKS","OK")))</f>
        <v>OK</v>
      </c>
      <c r="R108" s="0" t="str">
        <f aca="false">IF(E108="GEN","GM",E108)</f>
        <v>GYN</v>
      </c>
    </row>
    <row r="109" customFormat="false" ht="15" hidden="false" customHeight="false" outlineLevel="0" collapsed="false">
      <c r="A109" s="0" t="s">
        <v>1219</v>
      </c>
      <c r="B109" s="0" t="s">
        <v>1220</v>
      </c>
      <c r="C109" s="0" t="s">
        <v>1221</v>
      </c>
      <c r="D109" s="31" t="n">
        <v>31419</v>
      </c>
      <c r="E109" s="32" t="s">
        <v>810</v>
      </c>
      <c r="F109" s="32" t="s">
        <v>811</v>
      </c>
      <c r="G109" s="32" t="s">
        <v>812</v>
      </c>
      <c r="H109" s="31" t="n">
        <v>45677</v>
      </c>
      <c r="I109" s="32" t="s">
        <v>813</v>
      </c>
      <c r="J109" s="32" t="s">
        <v>770</v>
      </c>
      <c r="K109" s="0" t="n">
        <v>223</v>
      </c>
      <c r="L109" s="32" t="s">
        <v>771</v>
      </c>
      <c r="M109" s="0" t="n">
        <v>31.9</v>
      </c>
      <c r="N109" s="32" t="s">
        <v>753</v>
      </c>
      <c r="O109" s="32" t="s">
        <v>1222</v>
      </c>
      <c r="P109" s="32" t="n">
        <f aca="false">IF(AND(ISNUMBER(K109),K109&gt;=0),K109,IF(ISNUMBER(M109),ROUND(M109*7,0),""))</f>
        <v>223</v>
      </c>
      <c r="Q109" s="0" t="str">
        <f aca="false">IF(ISTEXT(K109),"TEXT - recovered",IF(K109&lt;0,"NEGATIVE",IF(K109&gt;728,"&gt;104 WEEKS","OK")))</f>
        <v>OK</v>
      </c>
      <c r="R109" s="0" t="str">
        <f aca="false">IF(E109="GEN","GM",E109)</f>
        <v>URO</v>
      </c>
    </row>
    <row r="110" customFormat="false" ht="15" hidden="false" customHeight="false" outlineLevel="0" collapsed="false">
      <c r="A110" s="0" t="s">
        <v>1223</v>
      </c>
      <c r="B110" s="0" t="s">
        <v>1224</v>
      </c>
      <c r="C110" s="0" t="s">
        <v>1225</v>
      </c>
      <c r="D110" s="31" t="n">
        <v>18531</v>
      </c>
      <c r="E110" s="32" t="s">
        <v>818</v>
      </c>
      <c r="F110" s="32" t="s">
        <v>819</v>
      </c>
      <c r="G110" s="32" t="s">
        <v>820</v>
      </c>
      <c r="H110" s="31" t="n">
        <v>45677</v>
      </c>
      <c r="I110" s="32" t="s">
        <v>821</v>
      </c>
      <c r="J110" s="32" t="s">
        <v>751</v>
      </c>
      <c r="K110" s="0" t="n">
        <v>78</v>
      </c>
      <c r="L110" s="32" t="s">
        <v>752</v>
      </c>
      <c r="M110" s="0" t="n">
        <v>11.1</v>
      </c>
      <c r="N110" s="32" t="s">
        <v>753</v>
      </c>
      <c r="O110" s="32" t="s">
        <v>1226</v>
      </c>
      <c r="P110" s="32" t="n">
        <f aca="false">IF(AND(ISNUMBER(K110),K110&gt;=0),K110,IF(ISNUMBER(M110),ROUND(M110*7,0),""))</f>
        <v>78</v>
      </c>
      <c r="Q110" s="0" t="str">
        <f aca="false">IF(ISTEXT(K110),"TEXT - recovered",IF(K110&lt;0,"NEGATIVE",IF(K110&gt;728,"&gt;104 WEEKS","OK")))</f>
        <v>OK</v>
      </c>
      <c r="R110" s="0" t="str">
        <f aca="false">IF(E110="GEN","GM",E110)</f>
        <v>OPH</v>
      </c>
    </row>
    <row r="111" customFormat="false" ht="15" hidden="false" customHeight="false" outlineLevel="0" collapsed="false">
      <c r="A111" s="0" t="s">
        <v>1227</v>
      </c>
      <c r="B111" s="0" t="s">
        <v>1228</v>
      </c>
      <c r="C111" s="0" t="s">
        <v>1229</v>
      </c>
      <c r="D111" s="31" t="n">
        <v>27192</v>
      </c>
      <c r="E111" s="32" t="s">
        <v>826</v>
      </c>
      <c r="F111" s="32" t="s">
        <v>827</v>
      </c>
      <c r="G111" s="32" t="s">
        <v>828</v>
      </c>
      <c r="H111" s="31" t="n">
        <v>45677</v>
      </c>
      <c r="I111" s="32" t="s">
        <v>829</v>
      </c>
      <c r="J111" s="32" t="s">
        <v>751</v>
      </c>
      <c r="K111" s="0" t="n">
        <v>34</v>
      </c>
      <c r="L111" s="32" t="s">
        <v>752</v>
      </c>
      <c r="M111" s="0" t="n">
        <v>4.9</v>
      </c>
      <c r="N111" s="32" t="s">
        <v>753</v>
      </c>
      <c r="O111" s="32" t="s">
        <v>1230</v>
      </c>
      <c r="P111" s="32" t="n">
        <f aca="false">IF(AND(ISNUMBER(K111),K111&gt;=0),K111,IF(ISNUMBER(M111),ROUND(M111*7,0),""))</f>
        <v>34</v>
      </c>
      <c r="Q111" s="0" t="str">
        <f aca="false">IF(ISTEXT(K111),"TEXT - recovered",IF(K111&lt;0,"NEGATIVE",IF(K111&gt;728,"&gt;104 WEEKS","OK")))</f>
        <v>OK</v>
      </c>
      <c r="R111" s="0" t="str">
        <f aca="false">IF(E111="GEN","GM",E111)</f>
        <v>RHE</v>
      </c>
    </row>
    <row r="112" customFormat="false" ht="15" hidden="false" customHeight="false" outlineLevel="0" collapsed="false">
      <c r="A112" s="0" t="s">
        <v>1231</v>
      </c>
      <c r="B112" s="0" t="s">
        <v>1232</v>
      </c>
      <c r="C112" s="0" t="s">
        <v>1233</v>
      </c>
      <c r="D112" s="31" t="n">
        <v>32172</v>
      </c>
      <c r="E112" s="32" t="s">
        <v>747</v>
      </c>
      <c r="F112" s="32" t="s">
        <v>748</v>
      </c>
      <c r="G112" s="32" t="s">
        <v>749</v>
      </c>
      <c r="H112" s="31" t="n">
        <v>45678</v>
      </c>
      <c r="I112" s="32" t="s">
        <v>750</v>
      </c>
      <c r="J112" s="32" t="s">
        <v>751</v>
      </c>
      <c r="K112" s="0" t="n">
        <v>23</v>
      </c>
      <c r="L112" s="32" t="s">
        <v>752</v>
      </c>
      <c r="M112" s="0" t="n">
        <v>3.3</v>
      </c>
      <c r="N112" s="32" t="s">
        <v>753</v>
      </c>
      <c r="O112" s="32" t="s">
        <v>1234</v>
      </c>
      <c r="P112" s="32" t="n">
        <f aca="false">IF(AND(ISNUMBER(K112),K112&gt;=0),K112,IF(ISNUMBER(M112),ROUND(M112*7,0),""))</f>
        <v>23</v>
      </c>
      <c r="Q112" s="0" t="str">
        <f aca="false">IF(ISTEXT(K112),"TEXT - recovered",IF(K112&lt;0,"NEGATIVE",IF(K112&gt;728,"&gt;104 WEEKS","OK")))</f>
        <v>OK</v>
      </c>
      <c r="R112" s="0" t="str">
        <f aca="false">IF(E112="GEN","GM",E112)</f>
        <v>GM</v>
      </c>
    </row>
    <row r="113" customFormat="false" ht="15" hidden="false" customHeight="false" outlineLevel="0" collapsed="false">
      <c r="A113" s="0" t="s">
        <v>1235</v>
      </c>
      <c r="B113" s="0" t="s">
        <v>1236</v>
      </c>
      <c r="C113" s="0" t="s">
        <v>1237</v>
      </c>
      <c r="D113" s="31" t="n">
        <v>24002</v>
      </c>
      <c r="E113" s="32" t="s">
        <v>758</v>
      </c>
      <c r="F113" s="32" t="s">
        <v>759</v>
      </c>
      <c r="G113" s="32" t="s">
        <v>760</v>
      </c>
      <c r="H113" s="31" t="n">
        <v>45678</v>
      </c>
      <c r="I113" s="32" t="s">
        <v>761</v>
      </c>
      <c r="J113" s="32" t="s">
        <v>770</v>
      </c>
      <c r="K113" s="0" t="n">
        <v>201</v>
      </c>
      <c r="L113" s="32" t="s">
        <v>771</v>
      </c>
      <c r="M113" s="0" t="n">
        <v>28.7</v>
      </c>
      <c r="N113" s="32" t="s">
        <v>753</v>
      </c>
      <c r="O113" s="32" t="s">
        <v>1238</v>
      </c>
      <c r="P113" s="32" t="n">
        <f aca="false">IF(AND(ISNUMBER(K113),K113&gt;=0),K113,IF(ISNUMBER(M113),ROUND(M113*7,0),""))</f>
        <v>201</v>
      </c>
      <c r="Q113" s="0" t="str">
        <f aca="false">IF(ISTEXT(K113),"TEXT - recovered",IF(K113&lt;0,"NEGATIVE",IF(K113&gt;728,"&gt;104 WEEKS","OK")))</f>
        <v>OK</v>
      </c>
      <c r="R113" s="0" t="str">
        <f aca="false">IF(E113="GEN","GM",E113)</f>
        <v>CS</v>
      </c>
    </row>
    <row r="114" customFormat="false" ht="15" hidden="false" customHeight="false" outlineLevel="0" collapsed="false">
      <c r="A114" s="0" t="s">
        <v>1239</v>
      </c>
      <c r="B114" s="0" t="s">
        <v>1240</v>
      </c>
      <c r="C114" s="0" t="s">
        <v>1241</v>
      </c>
      <c r="D114" s="31" t="n">
        <v>19119</v>
      </c>
      <c r="E114" s="32" t="s">
        <v>766</v>
      </c>
      <c r="F114" s="32" t="s">
        <v>767</v>
      </c>
      <c r="G114" s="32" t="s">
        <v>768</v>
      </c>
      <c r="H114" s="31" t="n">
        <v>45678</v>
      </c>
      <c r="I114" s="32" t="s">
        <v>769</v>
      </c>
      <c r="J114" s="32" t="s">
        <v>751</v>
      </c>
      <c r="K114" s="0" t="n">
        <v>89</v>
      </c>
      <c r="L114" s="32" t="s">
        <v>752</v>
      </c>
      <c r="M114" s="0" t="n">
        <v>12.7</v>
      </c>
      <c r="N114" s="32" t="s">
        <v>780</v>
      </c>
      <c r="O114" s="32" t="s">
        <v>1242</v>
      </c>
      <c r="P114" s="32" t="n">
        <f aca="false">IF(AND(ISNUMBER(K114),K114&gt;=0),K114,IF(ISNUMBER(M114),ROUND(M114*7,0),""))</f>
        <v>89</v>
      </c>
      <c r="Q114" s="0" t="str">
        <f aca="false">IF(ISTEXT(K114),"TEXT - recovered",IF(K114&lt;0,"NEGATIVE",IF(K114&gt;728,"&gt;104 WEEKS","OK")))</f>
        <v>OK</v>
      </c>
      <c r="R114" s="0" t="str">
        <f aca="false">IF(E114="GEN","GM",E114)</f>
        <v>OR</v>
      </c>
    </row>
    <row r="115" customFormat="false" ht="15" hidden="false" customHeight="false" outlineLevel="0" collapsed="false">
      <c r="A115" s="0" t="s">
        <v>1243</v>
      </c>
      <c r="B115" s="0" t="s">
        <v>1244</v>
      </c>
      <c r="C115" s="0" t="s">
        <v>1245</v>
      </c>
      <c r="D115" s="31" t="n">
        <v>27812</v>
      </c>
      <c r="E115" s="32" t="s">
        <v>776</v>
      </c>
      <c r="F115" s="32" t="s">
        <v>777</v>
      </c>
      <c r="G115" s="32" t="s">
        <v>778</v>
      </c>
      <c r="H115" s="31" t="n">
        <v>45678</v>
      </c>
      <c r="I115" s="32" t="s">
        <v>779</v>
      </c>
      <c r="J115" s="32" t="s">
        <v>751</v>
      </c>
      <c r="K115" s="0" t="n">
        <v>56</v>
      </c>
      <c r="L115" s="32" t="s">
        <v>752</v>
      </c>
      <c r="M115" s="0" t="n">
        <v>8</v>
      </c>
      <c r="N115" s="32" t="s">
        <v>753</v>
      </c>
      <c r="O115" s="32" t="s">
        <v>1246</v>
      </c>
      <c r="P115" s="32" t="n">
        <f aca="false">IF(AND(ISNUMBER(K115),K115&gt;=0),K115,IF(ISNUMBER(M115),ROUND(M115*7,0),""))</f>
        <v>56</v>
      </c>
      <c r="Q115" s="0" t="str">
        <f aca="false">IF(ISTEXT(K115),"TEXT - recovered",IF(K115&lt;0,"NEGATIVE",IF(K115&gt;728,"&gt;104 WEEKS","OK")))</f>
        <v>OK</v>
      </c>
      <c r="R115" s="0" t="str">
        <f aca="false">IF(E115="GEN","GM",E115)</f>
        <v>GS</v>
      </c>
    </row>
    <row r="116" customFormat="false" ht="15" hidden="false" customHeight="false" outlineLevel="0" collapsed="false">
      <c r="A116" s="0" t="s">
        <v>1247</v>
      </c>
      <c r="B116" s="0" t="s">
        <v>1248</v>
      </c>
      <c r="C116" s="0" t="s">
        <v>1249</v>
      </c>
      <c r="D116" s="31" t="n">
        <v>32790</v>
      </c>
      <c r="E116" s="32" t="s">
        <v>785</v>
      </c>
      <c r="F116" s="32" t="s">
        <v>786</v>
      </c>
      <c r="G116" s="32" t="s">
        <v>787</v>
      </c>
      <c r="H116" s="31" t="n">
        <v>45678</v>
      </c>
      <c r="I116" s="32" t="s">
        <v>788</v>
      </c>
      <c r="J116" s="32" t="s">
        <v>770</v>
      </c>
      <c r="K116" s="0" t="n">
        <v>167</v>
      </c>
      <c r="L116" s="32" t="s">
        <v>771</v>
      </c>
      <c r="M116" s="0" t="n">
        <v>23.9</v>
      </c>
      <c r="N116" s="32" t="s">
        <v>753</v>
      </c>
      <c r="O116" s="32" t="s">
        <v>1250</v>
      </c>
      <c r="P116" s="32" t="n">
        <f aca="false">IF(AND(ISNUMBER(K116),K116&gt;=0),K116,IF(ISNUMBER(M116),ROUND(M116*7,0),""))</f>
        <v>167</v>
      </c>
      <c r="Q116" s="0" t="str">
        <f aca="false">IF(ISTEXT(K116),"TEXT - recovered",IF(K116&lt;0,"NEGATIVE",IF(K116&gt;728,"&gt;104 WEEKS","OK")))</f>
        <v>OK</v>
      </c>
      <c r="R116" s="0" t="str">
        <f aca="false">IF(E116="GEN","GM",E116)</f>
        <v>RS</v>
      </c>
    </row>
    <row r="117" customFormat="false" ht="15" hidden="false" customHeight="false" outlineLevel="0" collapsed="false">
      <c r="A117" s="0" t="s">
        <v>1251</v>
      </c>
      <c r="B117" s="0" t="s">
        <v>1252</v>
      </c>
      <c r="C117" s="0" t="s">
        <v>1253</v>
      </c>
      <c r="D117" s="31" t="n">
        <v>21028</v>
      </c>
      <c r="E117" s="32" t="s">
        <v>793</v>
      </c>
      <c r="F117" s="32" t="s">
        <v>794</v>
      </c>
      <c r="G117" s="32" t="s">
        <v>795</v>
      </c>
      <c r="H117" s="31" t="n">
        <v>45678</v>
      </c>
      <c r="I117" s="32" t="s">
        <v>796</v>
      </c>
      <c r="J117" s="32" t="s">
        <v>751</v>
      </c>
      <c r="K117" s="0" t="n">
        <v>28</v>
      </c>
      <c r="L117" s="32" t="s">
        <v>771</v>
      </c>
      <c r="M117" s="0" t="n">
        <v>4</v>
      </c>
      <c r="N117" s="32" t="s">
        <v>330</v>
      </c>
      <c r="O117" s="32" t="s">
        <v>1254</v>
      </c>
      <c r="P117" s="32" t="n">
        <f aca="false">IF(AND(ISNUMBER(K117),K117&gt;=0),K117,IF(ISNUMBER(M117),ROUND(M117*7,0),""))</f>
        <v>28</v>
      </c>
      <c r="Q117" s="0" t="str">
        <f aca="false">IF(ISTEXT(K117),"TEXT - recovered",IF(K117&lt;0,"NEGATIVE",IF(K117&gt;728,"&gt;104 WEEKS","OK")))</f>
        <v>OK</v>
      </c>
      <c r="R117" s="0" t="str">
        <f aca="false">IF(E117="GEN","GM",E117)</f>
        <v>EM</v>
      </c>
    </row>
    <row r="118" customFormat="false" ht="15" hidden="false" customHeight="false" outlineLevel="0" collapsed="false">
      <c r="A118" s="0" t="s">
        <v>1255</v>
      </c>
      <c r="B118" s="0" t="s">
        <v>1256</v>
      </c>
      <c r="C118" s="0" t="s">
        <v>1257</v>
      </c>
      <c r="D118" s="31" t="n">
        <v>26372</v>
      </c>
      <c r="E118" s="32" t="s">
        <v>802</v>
      </c>
      <c r="F118" s="32" t="s">
        <v>803</v>
      </c>
      <c r="G118" s="32" t="s">
        <v>804</v>
      </c>
      <c r="H118" s="31" t="n">
        <v>45678</v>
      </c>
      <c r="I118" s="32" t="s">
        <v>805</v>
      </c>
      <c r="J118" s="32" t="s">
        <v>751</v>
      </c>
      <c r="K118" s="0" t="n">
        <v>67</v>
      </c>
      <c r="L118" s="32" t="s">
        <v>752</v>
      </c>
      <c r="M118" s="0" t="n">
        <v>9.6</v>
      </c>
      <c r="N118" s="32" t="s">
        <v>753</v>
      </c>
      <c r="O118" s="32" t="s">
        <v>1258</v>
      </c>
      <c r="P118" s="32" t="n">
        <f aca="false">IF(AND(ISNUMBER(K118),K118&gt;=0),K118,IF(ISNUMBER(M118),ROUND(M118*7,0),""))</f>
        <v>67</v>
      </c>
      <c r="Q118" s="0" t="str">
        <f aca="false">IF(ISTEXT(K118),"TEXT - recovered",IF(K118&lt;0,"NEGATIVE",IF(K118&gt;728,"&gt;104 WEEKS","OK")))</f>
        <v>OK</v>
      </c>
      <c r="R118" s="0" t="str">
        <f aca="false">IF(E118="GEN","GM",E118)</f>
        <v>GYN</v>
      </c>
    </row>
    <row r="119" customFormat="false" ht="15" hidden="false" customHeight="false" outlineLevel="0" collapsed="false">
      <c r="A119" s="0" t="s">
        <v>1259</v>
      </c>
      <c r="B119" s="0" t="s">
        <v>1260</v>
      </c>
      <c r="C119" s="0" t="s">
        <v>1261</v>
      </c>
      <c r="D119" s="31" t="n">
        <v>31018</v>
      </c>
      <c r="E119" s="32" t="s">
        <v>810</v>
      </c>
      <c r="F119" s="32" t="s">
        <v>811</v>
      </c>
      <c r="G119" s="32" t="s">
        <v>812</v>
      </c>
      <c r="H119" s="31" t="n">
        <v>45678</v>
      </c>
      <c r="I119" s="32" t="s">
        <v>813</v>
      </c>
      <c r="J119" s="32" t="s">
        <v>751</v>
      </c>
      <c r="K119" s="0" t="n">
        <v>34</v>
      </c>
      <c r="L119" s="32" t="s">
        <v>752</v>
      </c>
      <c r="M119" s="0" t="n">
        <v>4.9</v>
      </c>
      <c r="N119" s="32" t="s">
        <v>753</v>
      </c>
      <c r="O119" s="32" t="s">
        <v>1262</v>
      </c>
      <c r="P119" s="32" t="n">
        <f aca="false">IF(AND(ISNUMBER(K119),K119&gt;=0),K119,IF(ISNUMBER(M119),ROUND(M119*7,0),""))</f>
        <v>34</v>
      </c>
      <c r="Q119" s="0" t="str">
        <f aca="false">IF(ISTEXT(K119),"TEXT - recovered",IF(K119&lt;0,"NEGATIVE",IF(K119&gt;728,"&gt;104 WEEKS","OK")))</f>
        <v>OK</v>
      </c>
      <c r="R119" s="0" t="str">
        <f aca="false">IF(E119="GEN","GM",E119)</f>
        <v>URO</v>
      </c>
    </row>
    <row r="120" customFormat="false" ht="15" hidden="false" customHeight="false" outlineLevel="0" collapsed="false">
      <c r="A120" s="0" t="s">
        <v>1263</v>
      </c>
      <c r="B120" s="0" t="s">
        <v>1264</v>
      </c>
      <c r="C120" s="0" t="s">
        <v>1265</v>
      </c>
      <c r="D120" s="31" t="n">
        <v>22513</v>
      </c>
      <c r="E120" s="32" t="s">
        <v>818</v>
      </c>
      <c r="F120" s="32" t="s">
        <v>819</v>
      </c>
      <c r="G120" s="32" t="s">
        <v>820</v>
      </c>
      <c r="H120" s="31" t="n">
        <v>45678</v>
      </c>
      <c r="I120" s="32" t="s">
        <v>821</v>
      </c>
      <c r="J120" s="32" t="s">
        <v>770</v>
      </c>
      <c r="K120" s="0" t="n">
        <v>245</v>
      </c>
      <c r="L120" s="32" t="s">
        <v>771</v>
      </c>
      <c r="M120" s="0" t="n">
        <v>35</v>
      </c>
      <c r="N120" s="32" t="s">
        <v>753</v>
      </c>
      <c r="O120" s="32" t="s">
        <v>1266</v>
      </c>
      <c r="P120" s="32" t="n">
        <f aca="false">IF(AND(ISNUMBER(K120),K120&gt;=0),K120,IF(ISNUMBER(M120),ROUND(M120*7,0),""))</f>
        <v>245</v>
      </c>
      <c r="Q120" s="0" t="str">
        <f aca="false">IF(ISTEXT(K120),"TEXT - recovered",IF(K120&lt;0,"NEGATIVE",IF(K120&gt;728,"&gt;104 WEEKS","OK")))</f>
        <v>OK</v>
      </c>
      <c r="R120" s="0" t="str">
        <f aca="false">IF(E120="GEN","GM",E120)</f>
        <v>OPH</v>
      </c>
    </row>
    <row r="121" customFormat="false" ht="15" hidden="false" customHeight="false" outlineLevel="0" collapsed="false">
      <c r="A121" s="0" t="s">
        <v>1267</v>
      </c>
      <c r="B121" s="0" t="s">
        <v>1268</v>
      </c>
      <c r="C121" s="0" t="s">
        <v>1269</v>
      </c>
      <c r="D121" s="31" t="n">
        <v>28222</v>
      </c>
      <c r="E121" s="32" t="s">
        <v>826</v>
      </c>
      <c r="F121" s="32" t="s">
        <v>827</v>
      </c>
      <c r="G121" s="32" t="s">
        <v>828</v>
      </c>
      <c r="H121" s="31" t="n">
        <v>45678</v>
      </c>
      <c r="I121" s="32" t="s">
        <v>829</v>
      </c>
      <c r="J121" s="32" t="s">
        <v>751</v>
      </c>
      <c r="K121" s="0" t="n">
        <v>78</v>
      </c>
      <c r="L121" s="32" t="s">
        <v>752</v>
      </c>
      <c r="M121" s="0" t="n">
        <v>11.1</v>
      </c>
      <c r="N121" s="32" t="s">
        <v>753</v>
      </c>
      <c r="O121" s="32" t="s">
        <v>1270</v>
      </c>
      <c r="P121" s="32" t="n">
        <f aca="false">IF(AND(ISNUMBER(K121),K121&gt;=0),K121,IF(ISNUMBER(M121),ROUND(M121*7,0),""))</f>
        <v>78</v>
      </c>
      <c r="Q121" s="0" t="str">
        <f aca="false">IF(ISTEXT(K121),"TEXT - recovered",IF(K121&lt;0,"NEGATIVE",IF(K121&gt;728,"&gt;104 WEEKS","OK")))</f>
        <v>OK</v>
      </c>
      <c r="R121" s="0" t="str">
        <f aca="false">IF(E121="GEN","GM",E121)</f>
        <v>RHE</v>
      </c>
    </row>
    <row r="122" customFormat="false" ht="15" hidden="false" customHeight="false" outlineLevel="0" collapsed="false">
      <c r="A122" s="0" t="s">
        <v>1271</v>
      </c>
      <c r="B122" s="0" t="s">
        <v>1272</v>
      </c>
      <c r="C122" s="0" t="s">
        <v>1273</v>
      </c>
      <c r="D122" s="31" t="n">
        <v>16065</v>
      </c>
      <c r="E122" s="32" t="s">
        <v>747</v>
      </c>
      <c r="F122" s="32" t="s">
        <v>748</v>
      </c>
      <c r="G122" s="32" t="s">
        <v>749</v>
      </c>
      <c r="H122" s="31" t="n">
        <v>45679</v>
      </c>
      <c r="I122" s="32" t="s">
        <v>750</v>
      </c>
      <c r="J122" s="32" t="s">
        <v>751</v>
      </c>
      <c r="K122" s="0" t="n">
        <v>134</v>
      </c>
      <c r="L122" s="32" t="s">
        <v>752</v>
      </c>
      <c r="M122" s="0" t="n">
        <v>19.1</v>
      </c>
      <c r="N122" s="32" t="s">
        <v>753</v>
      </c>
      <c r="O122" s="32" t="s">
        <v>1274</v>
      </c>
      <c r="P122" s="32" t="n">
        <f aca="false">IF(AND(ISNUMBER(K122),K122&gt;=0),K122,IF(ISNUMBER(M122),ROUND(M122*7,0),""))</f>
        <v>134</v>
      </c>
      <c r="Q122" s="0" t="str">
        <f aca="false">IF(ISTEXT(K122),"TEXT - recovered",IF(K122&lt;0,"NEGATIVE",IF(K122&gt;728,"&gt;104 WEEKS","OK")))</f>
        <v>OK</v>
      </c>
      <c r="R122" s="0" t="str">
        <f aca="false">IF(E122="GEN","GM",E122)</f>
        <v>GM</v>
      </c>
    </row>
    <row r="123" customFormat="false" ht="15" hidden="false" customHeight="false" outlineLevel="0" collapsed="false">
      <c r="A123" s="0" t="s">
        <v>1275</v>
      </c>
      <c r="B123" s="0" t="s">
        <v>1276</v>
      </c>
      <c r="C123" s="0" t="s">
        <v>1277</v>
      </c>
      <c r="D123" s="31" t="n">
        <v>25458</v>
      </c>
      <c r="E123" s="32" t="s">
        <v>758</v>
      </c>
      <c r="F123" s="32" t="s">
        <v>759</v>
      </c>
      <c r="G123" s="32" t="s">
        <v>760</v>
      </c>
      <c r="H123" s="31" t="n">
        <v>45679</v>
      </c>
      <c r="I123" s="32" t="s">
        <v>761</v>
      </c>
      <c r="J123" s="32" t="s">
        <v>751</v>
      </c>
      <c r="K123" s="0" t="n">
        <v>45</v>
      </c>
      <c r="L123" s="32" t="s">
        <v>752</v>
      </c>
      <c r="M123" s="0" t="n">
        <v>6.4</v>
      </c>
      <c r="N123" s="32" t="s">
        <v>780</v>
      </c>
      <c r="O123" s="32" t="s">
        <v>1278</v>
      </c>
      <c r="P123" s="32" t="n">
        <f aca="false">IF(AND(ISNUMBER(K123),K123&gt;=0),K123,IF(ISNUMBER(M123),ROUND(M123*7,0),""))</f>
        <v>45</v>
      </c>
      <c r="Q123" s="0" t="str">
        <f aca="false">IF(ISTEXT(K123),"TEXT - recovered",IF(K123&lt;0,"NEGATIVE",IF(K123&gt;728,"&gt;104 WEEKS","OK")))</f>
        <v>OK</v>
      </c>
      <c r="R123" s="0" t="str">
        <f aca="false">IF(E123="GEN","GM",E123)</f>
        <v>CS</v>
      </c>
    </row>
    <row r="124" customFormat="false" ht="15" hidden="false" customHeight="false" outlineLevel="0" collapsed="false">
      <c r="A124" s="0" t="s">
        <v>1279</v>
      </c>
      <c r="B124" s="0" t="s">
        <v>1280</v>
      </c>
      <c r="C124" s="0" t="s">
        <v>1281</v>
      </c>
      <c r="D124" s="31" t="n">
        <v>31198</v>
      </c>
      <c r="E124" s="32" t="s">
        <v>766</v>
      </c>
      <c r="F124" s="32" t="s">
        <v>767</v>
      </c>
      <c r="G124" s="32" t="s">
        <v>768</v>
      </c>
      <c r="H124" s="31" t="n">
        <v>45679</v>
      </c>
      <c r="I124" s="32" t="s">
        <v>769</v>
      </c>
      <c r="J124" s="32" t="s">
        <v>770</v>
      </c>
      <c r="K124" s="0" t="n">
        <v>378</v>
      </c>
      <c r="L124" s="32" t="s">
        <v>771</v>
      </c>
      <c r="M124" s="0" t="n">
        <v>54</v>
      </c>
      <c r="N124" s="32" t="s">
        <v>753</v>
      </c>
      <c r="O124" s="32" t="s">
        <v>1282</v>
      </c>
      <c r="P124" s="32" t="n">
        <f aca="false">IF(AND(ISNUMBER(K124),K124&gt;=0),K124,IF(ISNUMBER(M124),ROUND(M124*7,0),""))</f>
        <v>378</v>
      </c>
      <c r="Q124" s="0" t="str">
        <f aca="false">IF(ISTEXT(K124),"TEXT - recovered",IF(K124&lt;0,"NEGATIVE",IF(K124&gt;728,"&gt;104 WEEKS","OK")))</f>
        <v>OK</v>
      </c>
      <c r="R124" s="0" t="str">
        <f aca="false">IF(E124="GEN","GM",E124)</f>
        <v>OR</v>
      </c>
    </row>
    <row r="125" customFormat="false" ht="15" hidden="false" customHeight="false" outlineLevel="0" collapsed="false">
      <c r="A125" s="0" t="s">
        <v>1283</v>
      </c>
      <c r="B125" s="0" t="s">
        <v>1284</v>
      </c>
      <c r="C125" s="0" t="s">
        <v>1285</v>
      </c>
      <c r="D125" s="31" t="n">
        <v>19408</v>
      </c>
      <c r="E125" s="32" t="s">
        <v>776</v>
      </c>
      <c r="F125" s="32" t="s">
        <v>777</v>
      </c>
      <c r="G125" s="32" t="s">
        <v>778</v>
      </c>
      <c r="H125" s="31" t="n">
        <v>45679</v>
      </c>
      <c r="I125" s="32" t="s">
        <v>779</v>
      </c>
      <c r="J125" s="32" t="s">
        <v>751</v>
      </c>
      <c r="K125" s="0" t="n">
        <v>89</v>
      </c>
      <c r="L125" s="32" t="s">
        <v>752</v>
      </c>
      <c r="M125" s="0" t="n">
        <v>12.7</v>
      </c>
      <c r="N125" s="32" t="s">
        <v>753</v>
      </c>
      <c r="O125" s="32" t="s">
        <v>1182</v>
      </c>
      <c r="P125" s="32" t="n">
        <f aca="false">IF(AND(ISNUMBER(K125),K125&gt;=0),K125,IF(ISNUMBER(M125),ROUND(M125*7,0),""))</f>
        <v>89</v>
      </c>
      <c r="Q125" s="0" t="str">
        <f aca="false">IF(ISTEXT(K125),"TEXT - recovered",IF(K125&lt;0,"NEGATIVE",IF(K125&gt;728,"&gt;104 WEEKS","OK")))</f>
        <v>OK</v>
      </c>
      <c r="R125" s="0" t="str">
        <f aca="false">IF(E125="GEN","GM",E125)</f>
        <v>GS</v>
      </c>
    </row>
    <row r="126" customFormat="false" ht="15" hidden="false" customHeight="false" outlineLevel="0" collapsed="false">
      <c r="A126" s="0" t="s">
        <v>1286</v>
      </c>
      <c r="B126" s="0" t="s">
        <v>1287</v>
      </c>
      <c r="C126" s="0" t="s">
        <v>1288</v>
      </c>
      <c r="D126" s="31" t="n">
        <v>29865</v>
      </c>
      <c r="E126" s="32" t="s">
        <v>785</v>
      </c>
      <c r="F126" s="32" t="s">
        <v>786</v>
      </c>
      <c r="G126" s="32" t="s">
        <v>787</v>
      </c>
      <c r="H126" s="31" t="n">
        <v>45679</v>
      </c>
      <c r="I126" s="32" t="s">
        <v>788</v>
      </c>
      <c r="J126" s="32" t="s">
        <v>751</v>
      </c>
      <c r="K126" s="0" t="n">
        <v>56</v>
      </c>
      <c r="L126" s="32" t="s">
        <v>752</v>
      </c>
      <c r="M126" s="0" t="n">
        <v>8</v>
      </c>
      <c r="N126" s="32" t="s">
        <v>753</v>
      </c>
      <c r="O126" s="32" t="s">
        <v>1289</v>
      </c>
      <c r="P126" s="32" t="n">
        <f aca="false">IF(AND(ISNUMBER(K126),K126&gt;=0),K126,IF(ISNUMBER(M126),ROUND(M126*7,0),""))</f>
        <v>56</v>
      </c>
      <c r="Q126" s="0" t="str">
        <f aca="false">IF(ISTEXT(K126),"TEXT - recovered",IF(K126&lt;0,"NEGATIVE",IF(K126&gt;728,"&gt;104 WEEKS","OK")))</f>
        <v>OK</v>
      </c>
      <c r="R126" s="0" t="str">
        <f aca="false">IF(E126="GEN","GM",E126)</f>
        <v>RS</v>
      </c>
    </row>
    <row r="127" customFormat="false" ht="15" hidden="false" customHeight="false" outlineLevel="0" collapsed="false">
      <c r="A127" s="0" t="s">
        <v>1290</v>
      </c>
      <c r="B127" s="0" t="s">
        <v>1291</v>
      </c>
      <c r="C127" s="0" t="s">
        <v>1292</v>
      </c>
      <c r="D127" s="31" t="n">
        <v>25013</v>
      </c>
      <c r="E127" s="32" t="s">
        <v>793</v>
      </c>
      <c r="F127" s="32" t="s">
        <v>794</v>
      </c>
      <c r="G127" s="32" t="s">
        <v>795</v>
      </c>
      <c r="H127" s="31" t="n">
        <v>45679</v>
      </c>
      <c r="I127" s="32" t="s">
        <v>796</v>
      </c>
      <c r="J127" s="32" t="s">
        <v>797</v>
      </c>
      <c r="K127" s="0" t="n">
        <v>16</v>
      </c>
      <c r="L127" s="32" t="s">
        <v>771</v>
      </c>
      <c r="M127" s="0" t="n">
        <v>2.3</v>
      </c>
      <c r="N127" s="32" t="s">
        <v>330</v>
      </c>
      <c r="O127" s="32" t="s">
        <v>1293</v>
      </c>
      <c r="P127" s="32" t="n">
        <f aca="false">IF(AND(ISNUMBER(K127),K127&gt;=0),K127,IF(ISNUMBER(M127),ROUND(M127*7,0),""))</f>
        <v>16</v>
      </c>
      <c r="Q127" s="0" t="str">
        <f aca="false">IF(ISTEXT(K127),"TEXT - recovered",IF(K127&lt;0,"NEGATIVE",IF(K127&gt;728,"&gt;104 WEEKS","OK")))</f>
        <v>OK</v>
      </c>
      <c r="R127" s="0" t="str">
        <f aca="false">IF(E127="GEN","GM",E127)</f>
        <v>EM</v>
      </c>
    </row>
    <row r="128" customFormat="false" ht="15" hidden="false" customHeight="false" outlineLevel="0" collapsed="false">
      <c r="A128" s="0" t="s">
        <v>1294</v>
      </c>
      <c r="B128" s="0" t="s">
        <v>1295</v>
      </c>
      <c r="C128" s="0" t="s">
        <v>1296</v>
      </c>
      <c r="D128" s="31" t="n">
        <v>33249</v>
      </c>
      <c r="E128" s="32" t="s">
        <v>802</v>
      </c>
      <c r="F128" s="32" t="s">
        <v>803</v>
      </c>
      <c r="G128" s="32" t="s">
        <v>804</v>
      </c>
      <c r="H128" s="31" t="n">
        <v>45679</v>
      </c>
      <c r="I128" s="32" t="s">
        <v>805</v>
      </c>
      <c r="J128" s="32" t="s">
        <v>751</v>
      </c>
      <c r="K128" s="0" t="n">
        <v>23</v>
      </c>
      <c r="L128" s="32" t="s">
        <v>752</v>
      </c>
      <c r="M128" s="0" t="n">
        <v>3.3</v>
      </c>
      <c r="N128" s="32" t="s">
        <v>753</v>
      </c>
      <c r="O128" s="32" t="s">
        <v>1297</v>
      </c>
      <c r="P128" s="32" t="n">
        <f aca="false">IF(AND(ISNUMBER(K128),K128&gt;=0),K128,IF(ISNUMBER(M128),ROUND(M128*7,0),""))</f>
        <v>23</v>
      </c>
      <c r="Q128" s="0" t="str">
        <f aca="false">IF(ISTEXT(K128),"TEXT - recovered",IF(K128&lt;0,"NEGATIVE",IF(K128&gt;728,"&gt;104 WEEKS","OK")))</f>
        <v>OK</v>
      </c>
      <c r="R128" s="0" t="str">
        <f aca="false">IF(E128="GEN","GM",E128)</f>
        <v>GYN</v>
      </c>
    </row>
    <row r="129" customFormat="false" ht="15" hidden="false" customHeight="false" outlineLevel="0" collapsed="false">
      <c r="A129" s="0" t="s">
        <v>1298</v>
      </c>
      <c r="B129" s="0" t="s">
        <v>1299</v>
      </c>
      <c r="C129" s="0" t="s">
        <v>1300</v>
      </c>
      <c r="D129" s="31" t="n">
        <v>21822</v>
      </c>
      <c r="E129" s="32" t="s">
        <v>810</v>
      </c>
      <c r="F129" s="32" t="s">
        <v>811</v>
      </c>
      <c r="G129" s="32" t="s">
        <v>812</v>
      </c>
      <c r="H129" s="31" t="n">
        <v>45679</v>
      </c>
      <c r="I129" s="32" t="s">
        <v>813</v>
      </c>
      <c r="J129" s="32" t="s">
        <v>770</v>
      </c>
      <c r="K129" s="0" t="n">
        <v>189</v>
      </c>
      <c r="L129" s="32" t="s">
        <v>771</v>
      </c>
      <c r="M129" s="0" t="n">
        <v>27</v>
      </c>
      <c r="N129" s="32" t="s">
        <v>753</v>
      </c>
      <c r="O129" s="32" t="s">
        <v>1301</v>
      </c>
      <c r="P129" s="32" t="n">
        <f aca="false">IF(AND(ISNUMBER(K129),K129&gt;=0),K129,IF(ISNUMBER(M129),ROUND(M129*7,0),""))</f>
        <v>189</v>
      </c>
      <c r="Q129" s="0" t="str">
        <f aca="false">IF(ISTEXT(K129),"TEXT - recovered",IF(K129&lt;0,"NEGATIVE",IF(K129&gt;728,"&gt;104 WEEKS","OK")))</f>
        <v>OK</v>
      </c>
      <c r="R129" s="0" t="str">
        <f aca="false">IF(E129="GEN","GM",E129)</f>
        <v>URO</v>
      </c>
    </row>
    <row r="130" customFormat="false" ht="15" hidden="false" customHeight="false" outlineLevel="0" collapsed="false">
      <c r="A130" s="0" t="s">
        <v>1302</v>
      </c>
      <c r="B130" s="0" t="s">
        <v>1303</v>
      </c>
      <c r="C130" s="0" t="s">
        <v>1304</v>
      </c>
      <c r="D130" s="31" t="n">
        <v>27531</v>
      </c>
      <c r="E130" s="32" t="s">
        <v>818</v>
      </c>
      <c r="F130" s="32" t="s">
        <v>819</v>
      </c>
      <c r="G130" s="32" t="s">
        <v>820</v>
      </c>
      <c r="H130" s="31" t="n">
        <v>45679</v>
      </c>
      <c r="I130" s="32" t="s">
        <v>821</v>
      </c>
      <c r="J130" s="32" t="s">
        <v>751</v>
      </c>
      <c r="K130" s="0" t="n">
        <v>67</v>
      </c>
      <c r="L130" s="32" t="s">
        <v>752</v>
      </c>
      <c r="M130" s="0" t="n">
        <v>9.6</v>
      </c>
      <c r="N130" s="32" t="s">
        <v>753</v>
      </c>
      <c r="O130" s="32" t="s">
        <v>1305</v>
      </c>
      <c r="P130" s="32" t="n">
        <f aca="false">IF(AND(ISNUMBER(K130),K130&gt;=0),K130,IF(ISNUMBER(M130),ROUND(M130*7,0),""))</f>
        <v>67</v>
      </c>
      <c r="Q130" s="0" t="str">
        <f aca="false">IF(ISTEXT(K130),"TEXT - recovered",IF(K130&lt;0,"NEGATIVE",IF(K130&gt;728,"&gt;104 WEEKS","OK")))</f>
        <v>OK</v>
      </c>
      <c r="R130" s="0" t="str">
        <f aca="false">IF(E130="GEN","GM",E130)</f>
        <v>OPH</v>
      </c>
    </row>
    <row r="131" customFormat="false" ht="15" hidden="false" customHeight="false" outlineLevel="0" collapsed="false">
      <c r="A131" s="0" t="s">
        <v>1306</v>
      </c>
      <c r="B131" s="0" t="s">
        <v>1307</v>
      </c>
      <c r="C131" s="0" t="s">
        <v>1308</v>
      </c>
      <c r="D131" s="31" t="n">
        <v>22681</v>
      </c>
      <c r="E131" s="32" t="s">
        <v>826</v>
      </c>
      <c r="F131" s="32" t="s">
        <v>827</v>
      </c>
      <c r="G131" s="32" t="s">
        <v>828</v>
      </c>
      <c r="H131" s="31" t="n">
        <v>45679</v>
      </c>
      <c r="I131" s="32" t="s">
        <v>829</v>
      </c>
      <c r="J131" s="32" t="s">
        <v>751</v>
      </c>
      <c r="K131" s="0" t="n">
        <v>112</v>
      </c>
      <c r="L131" s="32" t="s">
        <v>752</v>
      </c>
      <c r="M131" s="0" t="n">
        <v>16</v>
      </c>
      <c r="N131" s="32" t="s">
        <v>753</v>
      </c>
      <c r="O131" s="32" t="s">
        <v>1309</v>
      </c>
      <c r="P131" s="32" t="n">
        <f aca="false">IF(AND(ISNUMBER(K131),K131&gt;=0),K131,IF(ISNUMBER(M131),ROUND(M131*7,0),""))</f>
        <v>112</v>
      </c>
      <c r="Q131" s="0" t="str">
        <f aca="false">IF(ISTEXT(K131),"TEXT - recovered",IF(K131&lt;0,"NEGATIVE",IF(K131&gt;728,"&gt;104 WEEKS","OK")))</f>
        <v>OK</v>
      </c>
      <c r="R131" s="0" t="str">
        <f aca="false">IF(E131="GEN","GM",E131)</f>
        <v>RHE</v>
      </c>
    </row>
    <row r="132" customFormat="false" ht="15" hidden="false" customHeight="false" outlineLevel="0" collapsed="false">
      <c r="A132" s="0" t="s">
        <v>1310</v>
      </c>
      <c r="B132" s="0" t="s">
        <v>1311</v>
      </c>
      <c r="C132" s="0" t="s">
        <v>1312</v>
      </c>
      <c r="D132" s="31" t="n">
        <v>28785</v>
      </c>
      <c r="E132" s="32" t="s">
        <v>747</v>
      </c>
      <c r="F132" s="32" t="s">
        <v>748</v>
      </c>
      <c r="G132" s="32" t="s">
        <v>749</v>
      </c>
      <c r="H132" s="31" t="n">
        <v>45680</v>
      </c>
      <c r="I132" s="32" t="s">
        <v>750</v>
      </c>
      <c r="J132" s="32" t="s">
        <v>770</v>
      </c>
      <c r="K132" s="0" t="n">
        <v>267</v>
      </c>
      <c r="L132" s="32" t="s">
        <v>771</v>
      </c>
      <c r="M132" s="0" t="n">
        <v>38.1</v>
      </c>
      <c r="N132" s="32" t="s">
        <v>753</v>
      </c>
      <c r="O132" s="32" t="s">
        <v>1313</v>
      </c>
      <c r="P132" s="32" t="n">
        <f aca="false">IF(AND(ISNUMBER(K132),K132&gt;=0),K132,IF(ISNUMBER(M132),ROUND(M132*7,0),""))</f>
        <v>267</v>
      </c>
      <c r="Q132" s="0" t="str">
        <f aca="false">IF(ISTEXT(K132),"TEXT - recovered",IF(K132&lt;0,"NEGATIVE",IF(K132&gt;728,"&gt;104 WEEKS","OK")))</f>
        <v>OK</v>
      </c>
      <c r="R132" s="0" t="str">
        <f aca="false">IF(E132="GEN","GM",E132)</f>
        <v>GM</v>
      </c>
    </row>
    <row r="133" customFormat="false" ht="15" hidden="false" customHeight="false" outlineLevel="0" collapsed="false">
      <c r="A133" s="0" t="s">
        <v>1314</v>
      </c>
      <c r="B133" s="0" t="s">
        <v>1315</v>
      </c>
      <c r="C133" s="0" t="s">
        <v>1316</v>
      </c>
      <c r="D133" s="31" t="n">
        <v>16627</v>
      </c>
      <c r="E133" s="32" t="s">
        <v>758</v>
      </c>
      <c r="F133" s="32" t="s">
        <v>759</v>
      </c>
      <c r="G133" s="32" t="s">
        <v>760</v>
      </c>
      <c r="H133" s="31" t="n">
        <v>45680</v>
      </c>
      <c r="I133" s="32" t="s">
        <v>761</v>
      </c>
      <c r="J133" s="32" t="s">
        <v>751</v>
      </c>
      <c r="K133" s="0" t="n">
        <v>34</v>
      </c>
      <c r="L133" s="32" t="s">
        <v>752</v>
      </c>
      <c r="M133" s="0" t="n">
        <v>4.9</v>
      </c>
      <c r="N133" s="32" t="s">
        <v>780</v>
      </c>
      <c r="O133" s="32" t="s">
        <v>1317</v>
      </c>
      <c r="P133" s="32" t="n">
        <f aca="false">IF(AND(ISNUMBER(K133),K133&gt;=0),K133,IF(ISNUMBER(M133),ROUND(M133*7,0),""))</f>
        <v>34</v>
      </c>
      <c r="Q133" s="0" t="str">
        <f aca="false">IF(ISTEXT(K133),"TEXT - recovered",IF(K133&lt;0,"NEGATIVE",IF(K133&gt;728,"&gt;104 WEEKS","OK")))</f>
        <v>OK</v>
      </c>
      <c r="R133" s="0" t="str">
        <f aca="false">IF(E133="GEN","GM",E133)</f>
        <v>CS</v>
      </c>
    </row>
    <row r="134" customFormat="false" ht="15" hidden="false" customHeight="false" outlineLevel="0" collapsed="false">
      <c r="A134" s="0" t="s">
        <v>1318</v>
      </c>
      <c r="B134" s="0" t="s">
        <v>1319</v>
      </c>
      <c r="C134" s="0" t="s">
        <v>1320</v>
      </c>
      <c r="D134" s="31" t="n">
        <v>30402</v>
      </c>
      <c r="E134" s="32" t="s">
        <v>766</v>
      </c>
      <c r="F134" s="32" t="s">
        <v>767</v>
      </c>
      <c r="G134" s="32" t="s">
        <v>768</v>
      </c>
      <c r="H134" s="31" t="n">
        <v>45680</v>
      </c>
      <c r="I134" s="32" t="s">
        <v>769</v>
      </c>
      <c r="J134" s="32" t="s">
        <v>751</v>
      </c>
      <c r="K134" s="0" t="n">
        <v>78</v>
      </c>
      <c r="L134" s="32" t="s">
        <v>752</v>
      </c>
      <c r="M134" s="0" t="n">
        <v>11.1</v>
      </c>
      <c r="N134" s="32" t="s">
        <v>753</v>
      </c>
      <c r="O134" s="32" t="s">
        <v>1321</v>
      </c>
      <c r="P134" s="32" t="n">
        <f aca="false">IF(AND(ISNUMBER(K134),K134&gt;=0),K134,IF(ISNUMBER(M134),ROUND(M134*7,0),""))</f>
        <v>78</v>
      </c>
      <c r="Q134" s="0" t="str">
        <f aca="false">IF(ISTEXT(K134),"TEXT - recovered",IF(K134&lt;0,"NEGATIVE",IF(K134&gt;728,"&gt;104 WEEKS","OK")))</f>
        <v>OK</v>
      </c>
      <c r="R134" s="0" t="str">
        <f aca="false">IF(E134="GEN","GM",E134)</f>
        <v>OR</v>
      </c>
    </row>
    <row r="135" customFormat="false" ht="15" hidden="false" customHeight="false" outlineLevel="0" collapsed="false">
      <c r="A135" s="0" t="s">
        <v>1322</v>
      </c>
      <c r="B135" s="0" t="s">
        <v>1323</v>
      </c>
      <c r="C135" s="0" t="s">
        <v>1324</v>
      </c>
      <c r="D135" s="31" t="n">
        <v>24790</v>
      </c>
      <c r="E135" s="32" t="s">
        <v>776</v>
      </c>
      <c r="F135" s="32" t="s">
        <v>777</v>
      </c>
      <c r="G135" s="32" t="s">
        <v>778</v>
      </c>
      <c r="H135" s="31" t="n">
        <v>45680</v>
      </c>
      <c r="I135" s="32" t="s">
        <v>779</v>
      </c>
      <c r="J135" s="32" t="s">
        <v>751</v>
      </c>
      <c r="K135" s="0" t="n">
        <v>45</v>
      </c>
      <c r="L135" s="32" t="s">
        <v>752</v>
      </c>
      <c r="M135" s="0" t="n">
        <v>6.4</v>
      </c>
      <c r="N135" s="32" t="s">
        <v>753</v>
      </c>
      <c r="O135" s="32" t="s">
        <v>1325</v>
      </c>
      <c r="P135" s="32" t="n">
        <f aca="false">IF(AND(ISNUMBER(K135),K135&gt;=0),K135,IF(ISNUMBER(M135),ROUND(M135*7,0),""))</f>
        <v>45</v>
      </c>
      <c r="Q135" s="0" t="str">
        <f aca="false">IF(ISTEXT(K135),"TEXT - recovered",IF(K135&lt;0,"NEGATIVE",IF(K135&gt;728,"&gt;104 WEEKS","OK")))</f>
        <v>OK</v>
      </c>
      <c r="R135" s="0" t="str">
        <f aca="false">IF(E135="GEN","GM",E135)</f>
        <v>GS</v>
      </c>
    </row>
    <row r="136" customFormat="false" ht="15" hidden="false" customHeight="false" outlineLevel="0" collapsed="false">
      <c r="A136" s="0" t="s">
        <v>1326</v>
      </c>
      <c r="B136" s="0" t="s">
        <v>1327</v>
      </c>
      <c r="C136" s="0" t="s">
        <v>1328</v>
      </c>
      <c r="D136" s="31" t="n">
        <v>33818</v>
      </c>
      <c r="E136" s="32" t="s">
        <v>785</v>
      </c>
      <c r="F136" s="32" t="s">
        <v>786</v>
      </c>
      <c r="G136" s="32" t="s">
        <v>787</v>
      </c>
      <c r="H136" s="31" t="n">
        <v>45680</v>
      </c>
      <c r="I136" s="32" t="s">
        <v>788</v>
      </c>
      <c r="J136" s="32" t="s">
        <v>770</v>
      </c>
      <c r="K136" s="0" t="n">
        <v>156</v>
      </c>
      <c r="L136" s="32" t="s">
        <v>771</v>
      </c>
      <c r="M136" s="0" t="n">
        <v>22.3</v>
      </c>
      <c r="N136" s="32" t="s">
        <v>753</v>
      </c>
      <c r="O136" s="32" t="s">
        <v>1329</v>
      </c>
      <c r="P136" s="32" t="n">
        <f aca="false">IF(AND(ISNUMBER(K136),K136&gt;=0),K136,IF(ISNUMBER(M136),ROUND(M136*7,0),""))</f>
        <v>156</v>
      </c>
      <c r="Q136" s="0" t="str">
        <f aca="false">IF(ISTEXT(K136),"TEXT - recovered",IF(K136&lt;0,"NEGATIVE",IF(K136&gt;728,"&gt;104 WEEKS","OK")))</f>
        <v>OK</v>
      </c>
      <c r="R136" s="0" t="str">
        <f aca="false">IF(E136="GEN","GM",E136)</f>
        <v>RS</v>
      </c>
    </row>
    <row r="137" customFormat="false" ht="15" hidden="false" customHeight="false" outlineLevel="0" collapsed="false">
      <c r="A137" s="0" t="s">
        <v>1330</v>
      </c>
      <c r="B137" s="0" t="s">
        <v>1331</v>
      </c>
      <c r="C137" s="0" t="s">
        <v>1332</v>
      </c>
      <c r="D137" s="31" t="n">
        <v>22026</v>
      </c>
      <c r="E137" s="32" t="s">
        <v>793</v>
      </c>
      <c r="F137" s="32" t="s">
        <v>794</v>
      </c>
      <c r="G137" s="32" t="s">
        <v>795</v>
      </c>
      <c r="H137" s="31" t="n">
        <v>45680</v>
      </c>
      <c r="I137" s="32" t="s">
        <v>796</v>
      </c>
      <c r="J137" s="32" t="s">
        <v>751</v>
      </c>
      <c r="K137" s="0" t="n">
        <v>34</v>
      </c>
      <c r="L137" s="32" t="s">
        <v>771</v>
      </c>
      <c r="M137" s="0" t="n">
        <v>4.9</v>
      </c>
      <c r="N137" s="32" t="s">
        <v>330</v>
      </c>
      <c r="O137" s="32" t="s">
        <v>1333</v>
      </c>
      <c r="P137" s="32" t="n">
        <f aca="false">IF(AND(ISNUMBER(K137),K137&gt;=0),K137,IF(ISNUMBER(M137),ROUND(M137*7,0),""))</f>
        <v>34</v>
      </c>
      <c r="Q137" s="0" t="str">
        <f aca="false">IF(ISTEXT(K137),"TEXT - recovered",IF(K137&lt;0,"NEGATIVE",IF(K137&gt;728,"&gt;104 WEEKS","OK")))</f>
        <v>OK</v>
      </c>
      <c r="R137" s="0" t="str">
        <f aca="false">IF(E137="GEN","GM",E137)</f>
        <v>EM</v>
      </c>
    </row>
    <row r="138" customFormat="false" ht="15" hidden="false" customHeight="false" outlineLevel="0" collapsed="false">
      <c r="A138" s="0" t="s">
        <v>1334</v>
      </c>
      <c r="B138" s="0" t="s">
        <v>1335</v>
      </c>
      <c r="C138" s="0" t="s">
        <v>1336</v>
      </c>
      <c r="D138" s="31" t="n">
        <v>27766</v>
      </c>
      <c r="E138" s="32" t="s">
        <v>802</v>
      </c>
      <c r="F138" s="32" t="s">
        <v>803</v>
      </c>
      <c r="G138" s="32" t="s">
        <v>804</v>
      </c>
      <c r="H138" s="31" t="n">
        <v>45680</v>
      </c>
      <c r="I138" s="32" t="s">
        <v>805</v>
      </c>
      <c r="J138" s="32" t="s">
        <v>751</v>
      </c>
      <c r="K138" s="0" t="n">
        <v>56</v>
      </c>
      <c r="L138" s="32" t="s">
        <v>752</v>
      </c>
      <c r="M138" s="0" t="n">
        <v>8</v>
      </c>
      <c r="N138" s="32" t="s">
        <v>753</v>
      </c>
      <c r="O138" s="32" t="s">
        <v>1337</v>
      </c>
      <c r="P138" s="32" t="n">
        <f aca="false">IF(AND(ISNUMBER(K138),K138&gt;=0),K138,IF(ISNUMBER(M138),ROUND(M138*7,0),""))</f>
        <v>56</v>
      </c>
      <c r="Q138" s="0" t="str">
        <f aca="false">IF(ISTEXT(K138),"TEXT - recovered",IF(K138&lt;0,"NEGATIVE",IF(K138&gt;728,"&gt;104 WEEKS","OK")))</f>
        <v>OK</v>
      </c>
      <c r="R138" s="0" t="str">
        <f aca="false">IF(E138="GEN","GM",E138)</f>
        <v>GYN</v>
      </c>
    </row>
    <row r="139" customFormat="false" ht="15" hidden="false" customHeight="false" outlineLevel="0" collapsed="false">
      <c r="A139" s="0" t="s">
        <v>1338</v>
      </c>
      <c r="B139" s="0" t="s">
        <v>1339</v>
      </c>
      <c r="C139" s="0" t="s">
        <v>1340</v>
      </c>
      <c r="D139" s="31" t="n">
        <v>32411</v>
      </c>
      <c r="E139" s="32" t="s">
        <v>810</v>
      </c>
      <c r="F139" s="32" t="s">
        <v>811</v>
      </c>
      <c r="G139" s="32" t="s">
        <v>812</v>
      </c>
      <c r="H139" s="31" t="n">
        <v>45680</v>
      </c>
      <c r="I139" s="32" t="s">
        <v>813</v>
      </c>
      <c r="J139" s="32" t="s">
        <v>751</v>
      </c>
      <c r="K139" s="0" t="n">
        <v>34</v>
      </c>
      <c r="L139" s="32" t="s">
        <v>752</v>
      </c>
      <c r="M139" s="0" t="n">
        <v>4.9</v>
      </c>
      <c r="N139" s="32" t="s">
        <v>753</v>
      </c>
      <c r="O139" s="32" t="s">
        <v>1341</v>
      </c>
      <c r="P139" s="32" t="n">
        <f aca="false">IF(AND(ISNUMBER(K139),K139&gt;=0),K139,IF(ISNUMBER(M139),ROUND(M139*7,0),""))</f>
        <v>34</v>
      </c>
      <c r="Q139" s="0" t="str">
        <f aca="false">IF(ISTEXT(K139),"TEXT - recovered",IF(K139&lt;0,"NEGATIVE",IF(K139&gt;728,"&gt;104 WEEKS","OK")))</f>
        <v>OK</v>
      </c>
      <c r="R139" s="0" t="str">
        <f aca="false">IF(E139="GEN","GM",E139)</f>
        <v>URO</v>
      </c>
    </row>
    <row r="140" customFormat="false" ht="15" hidden="false" customHeight="false" outlineLevel="0" collapsed="false">
      <c r="A140" s="0" t="s">
        <v>1342</v>
      </c>
      <c r="B140" s="0" t="s">
        <v>1343</v>
      </c>
      <c r="C140" s="0" t="s">
        <v>1344</v>
      </c>
      <c r="D140" s="31" t="n">
        <v>18791</v>
      </c>
      <c r="E140" s="32" t="s">
        <v>818</v>
      </c>
      <c r="F140" s="32" t="s">
        <v>819</v>
      </c>
      <c r="G140" s="32" t="s">
        <v>820</v>
      </c>
      <c r="H140" s="31" t="n">
        <v>45680</v>
      </c>
      <c r="I140" s="32" t="s">
        <v>821</v>
      </c>
      <c r="J140" s="32" t="s">
        <v>770</v>
      </c>
      <c r="K140" s="0" t="n">
        <v>201</v>
      </c>
      <c r="L140" s="32" t="s">
        <v>771</v>
      </c>
      <c r="M140" s="0" t="n">
        <v>28.7</v>
      </c>
      <c r="N140" s="32" t="s">
        <v>753</v>
      </c>
      <c r="O140" s="32" t="s">
        <v>1345</v>
      </c>
      <c r="P140" s="32" t="n">
        <f aca="false">IF(AND(ISNUMBER(K140),K140&gt;=0),K140,IF(ISNUMBER(M140),ROUND(M140*7,0),""))</f>
        <v>201</v>
      </c>
      <c r="Q140" s="0" t="str">
        <f aca="false">IF(ISTEXT(K140),"TEXT - recovered",IF(K140&lt;0,"NEGATIVE",IF(K140&gt;728,"&gt;104 WEEKS","OK")))</f>
        <v>OK</v>
      </c>
      <c r="R140" s="0" t="str">
        <f aca="false">IF(E140="GEN","GM",E140)</f>
        <v>OPH</v>
      </c>
    </row>
    <row r="141" customFormat="false" ht="15" hidden="false" customHeight="false" outlineLevel="0" collapsed="false">
      <c r="A141" s="0" t="s">
        <v>1346</v>
      </c>
      <c r="B141" s="0" t="s">
        <v>1347</v>
      </c>
      <c r="C141" s="0" t="s">
        <v>1348</v>
      </c>
      <c r="D141" s="31" t="n">
        <v>27059</v>
      </c>
      <c r="E141" s="32" t="s">
        <v>826</v>
      </c>
      <c r="F141" s="32" t="s">
        <v>827</v>
      </c>
      <c r="G141" s="32" t="s">
        <v>828</v>
      </c>
      <c r="H141" s="31" t="n">
        <v>45680</v>
      </c>
      <c r="I141" s="32" t="s">
        <v>829</v>
      </c>
      <c r="J141" s="32" t="s">
        <v>751</v>
      </c>
      <c r="K141" s="0" t="n">
        <v>89</v>
      </c>
      <c r="L141" s="32" t="s">
        <v>752</v>
      </c>
      <c r="M141" s="0" t="n">
        <v>12.7</v>
      </c>
      <c r="N141" s="32" t="s">
        <v>753</v>
      </c>
      <c r="O141" s="32" t="s">
        <v>1349</v>
      </c>
      <c r="P141" s="32" t="n">
        <f aca="false">IF(AND(ISNUMBER(K141),K141&gt;=0),K141,IF(ISNUMBER(M141),ROUND(M141*7,0),""))</f>
        <v>89</v>
      </c>
      <c r="Q141" s="0" t="str">
        <f aca="false">IF(ISTEXT(K141),"TEXT - recovered",IF(K141&lt;0,"NEGATIVE",IF(K141&gt;728,"&gt;104 WEEKS","OK")))</f>
        <v>OK</v>
      </c>
      <c r="R141" s="0" t="str">
        <f aca="false">IF(E141="GEN","GM",E141)</f>
        <v>RHE</v>
      </c>
    </row>
    <row r="142" customFormat="false" ht="15" hidden="false" customHeight="false" outlineLevel="0" collapsed="false">
      <c r="A142" s="0" t="s">
        <v>1350</v>
      </c>
      <c r="B142" s="0" t="s">
        <v>1351</v>
      </c>
      <c r="C142" s="0" t="s">
        <v>1352</v>
      </c>
      <c r="D142" s="31" t="n">
        <v>32037</v>
      </c>
      <c r="E142" s="32" t="s">
        <v>747</v>
      </c>
      <c r="F142" s="32" t="s">
        <v>748</v>
      </c>
      <c r="G142" s="32" t="s">
        <v>749</v>
      </c>
      <c r="H142" s="31" t="n">
        <v>45681</v>
      </c>
      <c r="I142" s="32" t="s">
        <v>750</v>
      </c>
      <c r="J142" s="32" t="s">
        <v>751</v>
      </c>
      <c r="K142" s="0" t="n">
        <v>23</v>
      </c>
      <c r="L142" s="32" t="s">
        <v>752</v>
      </c>
      <c r="M142" s="0" t="n">
        <v>3.3</v>
      </c>
      <c r="N142" s="32" t="s">
        <v>753</v>
      </c>
      <c r="O142" s="32" t="s">
        <v>1353</v>
      </c>
      <c r="P142" s="32" t="n">
        <f aca="false">IF(AND(ISNUMBER(K142),K142&gt;=0),K142,IF(ISNUMBER(M142),ROUND(M142*7,0),""))</f>
        <v>23</v>
      </c>
      <c r="Q142" s="0" t="str">
        <f aca="false">IF(ISTEXT(K142),"TEXT - recovered",IF(K142&lt;0,"NEGATIVE",IF(K142&gt;728,"&gt;104 WEEKS","OK")))</f>
        <v>OK</v>
      </c>
      <c r="R142" s="0" t="str">
        <f aca="false">IF(E142="GEN","GM",E142)</f>
        <v>GM</v>
      </c>
    </row>
    <row r="143" customFormat="false" ht="15" hidden="false" customHeight="false" outlineLevel="0" collapsed="false">
      <c r="A143" s="0" t="s">
        <v>1354</v>
      </c>
      <c r="B143" s="0" t="s">
        <v>1128</v>
      </c>
      <c r="C143" s="0" t="s">
        <v>1355</v>
      </c>
      <c r="D143" s="31" t="n">
        <v>20214</v>
      </c>
      <c r="E143" s="32" t="s">
        <v>758</v>
      </c>
      <c r="F143" s="32" t="s">
        <v>759</v>
      </c>
      <c r="G143" s="32" t="s">
        <v>760</v>
      </c>
      <c r="H143" s="31" t="n">
        <v>45681</v>
      </c>
      <c r="I143" s="32" t="s">
        <v>761</v>
      </c>
      <c r="J143" s="32" t="s">
        <v>751</v>
      </c>
      <c r="K143" s="0" t="n">
        <v>67</v>
      </c>
      <c r="L143" s="32" t="s">
        <v>752</v>
      </c>
      <c r="M143" s="0" t="n">
        <v>9.6</v>
      </c>
      <c r="N143" s="32" t="s">
        <v>780</v>
      </c>
      <c r="O143" s="32" t="s">
        <v>1356</v>
      </c>
      <c r="P143" s="32" t="n">
        <f aca="false">IF(AND(ISNUMBER(K143),K143&gt;=0),K143,IF(ISNUMBER(M143),ROUND(M143*7,0),""))</f>
        <v>67</v>
      </c>
      <c r="Q143" s="0" t="str">
        <f aca="false">IF(ISTEXT(K143),"TEXT - recovered",IF(K143&lt;0,"NEGATIVE",IF(K143&gt;728,"&gt;104 WEEKS","OK")))</f>
        <v>OK</v>
      </c>
      <c r="R143" s="0" t="str">
        <f aca="false">IF(E143="GEN","GM",E143)</f>
        <v>CS</v>
      </c>
    </row>
    <row r="144" customFormat="false" ht="15" hidden="false" customHeight="false" outlineLevel="0" collapsed="false">
      <c r="A144" s="0" t="s">
        <v>1357</v>
      </c>
      <c r="B144" s="0" t="s">
        <v>1358</v>
      </c>
      <c r="C144" s="0" t="s">
        <v>1359</v>
      </c>
      <c r="D144" s="31" t="n">
        <v>25256</v>
      </c>
      <c r="E144" s="32" t="s">
        <v>766</v>
      </c>
      <c r="F144" s="32" t="s">
        <v>767</v>
      </c>
      <c r="G144" s="32" t="s">
        <v>768</v>
      </c>
      <c r="H144" s="31" t="n">
        <v>45681</v>
      </c>
      <c r="I144" s="32" t="s">
        <v>769</v>
      </c>
      <c r="J144" s="32" t="s">
        <v>770</v>
      </c>
      <c r="K144" s="0" t="n">
        <v>423</v>
      </c>
      <c r="L144" s="32" t="s">
        <v>771</v>
      </c>
      <c r="M144" s="0" t="n">
        <v>60.4</v>
      </c>
      <c r="N144" s="32" t="s">
        <v>753</v>
      </c>
      <c r="O144" s="32" t="s">
        <v>1360</v>
      </c>
      <c r="P144" s="32" t="n">
        <f aca="false">IF(AND(ISNUMBER(K144),K144&gt;=0),K144,IF(ISNUMBER(M144),ROUND(M144*7,0),""))</f>
        <v>423</v>
      </c>
      <c r="Q144" s="0" t="str">
        <f aca="false">IF(ISTEXT(K144),"TEXT - recovered",IF(K144&lt;0,"NEGATIVE",IF(K144&gt;728,"&gt;104 WEEKS","OK")))</f>
        <v>OK</v>
      </c>
      <c r="R144" s="0" t="str">
        <f aca="false">IF(E144="GEN","GM",E144)</f>
        <v>OR</v>
      </c>
    </row>
    <row r="145" customFormat="false" ht="15" hidden="false" customHeight="false" outlineLevel="0" collapsed="false">
      <c r="A145" s="0" t="s">
        <v>1361</v>
      </c>
      <c r="B145" s="0" t="s">
        <v>1136</v>
      </c>
      <c r="C145" s="0" t="s">
        <v>1362</v>
      </c>
      <c r="D145" s="31" t="n">
        <v>30598</v>
      </c>
      <c r="E145" s="32" t="s">
        <v>776</v>
      </c>
      <c r="F145" s="32" t="s">
        <v>777</v>
      </c>
      <c r="G145" s="32" t="s">
        <v>778</v>
      </c>
      <c r="H145" s="31" t="n">
        <v>45681</v>
      </c>
      <c r="I145" s="32" t="s">
        <v>779</v>
      </c>
      <c r="J145" s="32" t="s">
        <v>751</v>
      </c>
      <c r="K145" s="0" t="n">
        <v>56</v>
      </c>
      <c r="L145" s="32" t="s">
        <v>752</v>
      </c>
      <c r="M145" s="0" t="n">
        <v>8</v>
      </c>
      <c r="N145" s="32" t="s">
        <v>753</v>
      </c>
      <c r="O145" s="32" t="s">
        <v>1363</v>
      </c>
      <c r="P145" s="32" t="n">
        <f aca="false">IF(AND(ISNUMBER(K145),K145&gt;=0),K145,IF(ISNUMBER(M145),ROUND(M145*7,0),""))</f>
        <v>56</v>
      </c>
      <c r="Q145" s="0" t="str">
        <f aca="false">IF(ISTEXT(K145),"TEXT - recovered",IF(K145&lt;0,"NEGATIVE",IF(K145&gt;728,"&gt;104 WEEKS","OK")))</f>
        <v>OK</v>
      </c>
      <c r="R145" s="0" t="str">
        <f aca="false">IF(E145="GEN","GM",E145)</f>
        <v>GS</v>
      </c>
    </row>
    <row r="146" customFormat="false" ht="15" hidden="false" customHeight="false" outlineLevel="0" collapsed="false">
      <c r="A146" s="0" t="s">
        <v>1364</v>
      </c>
      <c r="B146" s="0" t="s">
        <v>1365</v>
      </c>
      <c r="C146" s="0" t="s">
        <v>1366</v>
      </c>
      <c r="D146" s="31" t="n">
        <v>26141</v>
      </c>
      <c r="E146" s="32" t="s">
        <v>785</v>
      </c>
      <c r="F146" s="32" t="s">
        <v>786</v>
      </c>
      <c r="G146" s="32" t="s">
        <v>787</v>
      </c>
      <c r="H146" s="31" t="n">
        <v>45681</v>
      </c>
      <c r="I146" s="32" t="s">
        <v>788</v>
      </c>
      <c r="J146" s="32" t="s">
        <v>751</v>
      </c>
      <c r="K146" s="0" t="n">
        <v>34</v>
      </c>
      <c r="L146" s="32" t="s">
        <v>752</v>
      </c>
      <c r="M146" s="0" t="n">
        <v>4.9</v>
      </c>
      <c r="N146" s="32" t="s">
        <v>753</v>
      </c>
      <c r="O146" s="32" t="s">
        <v>1367</v>
      </c>
      <c r="P146" s="32" t="n">
        <f aca="false">IF(AND(ISNUMBER(K146),K146&gt;=0),K146,IF(ISNUMBER(M146),ROUND(M146*7,0),""))</f>
        <v>34</v>
      </c>
      <c r="Q146" s="0" t="str">
        <f aca="false">IF(ISTEXT(K146),"TEXT - recovered",IF(K146&lt;0,"NEGATIVE",IF(K146&gt;728,"&gt;104 WEEKS","OK")))</f>
        <v>OK</v>
      </c>
      <c r="R146" s="0" t="str">
        <f aca="false">IF(E146="GEN","GM",E146)</f>
        <v>RS</v>
      </c>
    </row>
    <row r="147" customFormat="false" ht="15" hidden="false" customHeight="false" outlineLevel="0" collapsed="false">
      <c r="A147" s="0" t="s">
        <v>1368</v>
      </c>
      <c r="B147" s="0" t="s">
        <v>1369</v>
      </c>
      <c r="C147" s="0" t="s">
        <v>1370</v>
      </c>
      <c r="D147" s="31" t="n">
        <v>16875</v>
      </c>
      <c r="E147" s="32" t="s">
        <v>793</v>
      </c>
      <c r="F147" s="32" t="s">
        <v>794</v>
      </c>
      <c r="G147" s="32" t="s">
        <v>795</v>
      </c>
      <c r="H147" s="31" t="n">
        <v>45681</v>
      </c>
      <c r="I147" s="32" t="s">
        <v>796</v>
      </c>
      <c r="J147" s="32" t="s">
        <v>797</v>
      </c>
      <c r="K147" s="0" t="n">
        <v>9</v>
      </c>
      <c r="L147" s="32" t="s">
        <v>771</v>
      </c>
      <c r="M147" s="0" t="n">
        <v>1.3</v>
      </c>
      <c r="N147" s="32" t="s">
        <v>330</v>
      </c>
      <c r="O147" s="32" t="s">
        <v>1371</v>
      </c>
      <c r="P147" s="32" t="n">
        <f aca="false">IF(AND(ISNUMBER(K147),K147&gt;=0),K147,IF(ISNUMBER(M147),ROUND(M147*7,0),""))</f>
        <v>9</v>
      </c>
      <c r="Q147" s="0" t="str">
        <f aca="false">IF(ISTEXT(K147),"TEXT - recovered",IF(K147&lt;0,"NEGATIVE",IF(K147&gt;728,"&gt;104 WEEKS","OK")))</f>
        <v>OK</v>
      </c>
      <c r="R147" s="0" t="str">
        <f aca="false">IF(E147="GEN","GM",E147)</f>
        <v>EM</v>
      </c>
    </row>
    <row r="148" customFormat="false" ht="15" hidden="false" customHeight="false" outlineLevel="0" collapsed="false">
      <c r="A148" s="0" t="s">
        <v>1372</v>
      </c>
      <c r="B148" s="0" t="s">
        <v>1148</v>
      </c>
      <c r="C148" s="0" t="s">
        <v>1373</v>
      </c>
      <c r="D148" s="31" t="n">
        <v>29557</v>
      </c>
      <c r="E148" s="32" t="s">
        <v>802</v>
      </c>
      <c r="F148" s="32" t="s">
        <v>803</v>
      </c>
      <c r="G148" s="32" t="s">
        <v>804</v>
      </c>
      <c r="H148" s="31" t="n">
        <v>45681</v>
      </c>
      <c r="I148" s="32" t="s">
        <v>805</v>
      </c>
      <c r="J148" s="32" t="s">
        <v>751</v>
      </c>
      <c r="K148" s="0" t="n">
        <v>78</v>
      </c>
      <c r="L148" s="32" t="s">
        <v>752</v>
      </c>
      <c r="M148" s="0" t="n">
        <v>11.1</v>
      </c>
      <c r="N148" s="32" t="s">
        <v>753</v>
      </c>
      <c r="O148" s="32" t="s">
        <v>1374</v>
      </c>
      <c r="P148" s="32" t="n">
        <f aca="false">IF(AND(ISNUMBER(K148),K148&gt;=0),K148,IF(ISNUMBER(M148),ROUND(M148*7,0),""))</f>
        <v>78</v>
      </c>
      <c r="Q148" s="0" t="str">
        <f aca="false">IF(ISTEXT(K148),"TEXT - recovered",IF(K148&lt;0,"NEGATIVE",IF(K148&gt;728,"&gt;104 WEEKS","OK")))</f>
        <v>OK</v>
      </c>
      <c r="R148" s="0" t="str">
        <f aca="false">IF(E148="GEN","GM",E148)</f>
        <v>GYN</v>
      </c>
    </row>
    <row r="149" customFormat="false" ht="15" hidden="false" customHeight="false" outlineLevel="0" collapsed="false">
      <c r="A149" s="0" t="s">
        <v>1375</v>
      </c>
      <c r="B149" s="0" t="s">
        <v>1376</v>
      </c>
      <c r="C149" s="0" t="s">
        <v>1377</v>
      </c>
      <c r="D149" s="31" t="n">
        <v>34566</v>
      </c>
      <c r="E149" s="32" t="s">
        <v>810</v>
      </c>
      <c r="F149" s="32" t="s">
        <v>811</v>
      </c>
      <c r="G149" s="32" t="s">
        <v>812</v>
      </c>
      <c r="H149" s="31" t="n">
        <v>45681</v>
      </c>
      <c r="I149" s="32" t="s">
        <v>813</v>
      </c>
      <c r="J149" s="32" t="s">
        <v>770</v>
      </c>
      <c r="K149" s="0" t="n">
        <v>167</v>
      </c>
      <c r="L149" s="32" t="s">
        <v>771</v>
      </c>
      <c r="M149" s="0" t="n">
        <v>23.9</v>
      </c>
      <c r="N149" s="32" t="s">
        <v>753</v>
      </c>
      <c r="O149" s="32" t="s">
        <v>1378</v>
      </c>
      <c r="P149" s="32" t="n">
        <f aca="false">IF(AND(ISNUMBER(K149),K149&gt;=0),K149,IF(ISNUMBER(M149),ROUND(M149*7,0),""))</f>
        <v>167</v>
      </c>
      <c r="Q149" s="0" t="str">
        <f aca="false">IF(ISTEXT(K149),"TEXT - recovered",IF(K149&lt;0,"NEGATIVE",IF(K149&gt;728,"&gt;104 WEEKS","OK")))</f>
        <v>OK</v>
      </c>
      <c r="R149" s="0" t="str">
        <f aca="false">IF(E149="GEN","GM",E149)</f>
        <v>URO</v>
      </c>
    </row>
    <row r="150" customFormat="false" ht="15" hidden="false" customHeight="false" outlineLevel="0" collapsed="false">
      <c r="A150" s="0" t="s">
        <v>1379</v>
      </c>
      <c r="B150" s="0" t="s">
        <v>1380</v>
      </c>
      <c r="C150" s="0" t="s">
        <v>1381</v>
      </c>
      <c r="D150" s="31" t="n">
        <v>22743</v>
      </c>
      <c r="E150" s="32" t="s">
        <v>818</v>
      </c>
      <c r="F150" s="32" t="s">
        <v>819</v>
      </c>
      <c r="G150" s="32" t="s">
        <v>820</v>
      </c>
      <c r="H150" s="31" t="n">
        <v>45681</v>
      </c>
      <c r="I150" s="32" t="s">
        <v>821</v>
      </c>
      <c r="J150" s="32" t="s">
        <v>751</v>
      </c>
      <c r="K150" s="0" t="n">
        <v>45</v>
      </c>
      <c r="L150" s="32" t="s">
        <v>752</v>
      </c>
      <c r="M150" s="0" t="n">
        <v>6.4</v>
      </c>
      <c r="N150" s="32" t="s">
        <v>753</v>
      </c>
      <c r="O150" s="32" t="s">
        <v>1382</v>
      </c>
      <c r="P150" s="32" t="n">
        <f aca="false">IF(AND(ISNUMBER(K150),K150&gt;=0),K150,IF(ISNUMBER(M150),ROUND(M150*7,0),""))</f>
        <v>45</v>
      </c>
      <c r="Q150" s="0" t="str">
        <f aca="false">IF(ISTEXT(K150),"TEXT - recovered",IF(K150&lt;0,"NEGATIVE",IF(K150&gt;728,"&gt;104 WEEKS","OK")))</f>
        <v>OK</v>
      </c>
      <c r="R150" s="0" t="str">
        <f aca="false">IF(E150="GEN","GM",E150)</f>
        <v>OPH</v>
      </c>
    </row>
    <row r="151" customFormat="false" ht="15" hidden="false" customHeight="false" outlineLevel="0" collapsed="false">
      <c r="A151" s="0" t="s">
        <v>1383</v>
      </c>
      <c r="B151" s="0" t="s">
        <v>1384</v>
      </c>
      <c r="C151" s="0" t="s">
        <v>1385</v>
      </c>
      <c r="D151" s="31" t="n">
        <v>28119</v>
      </c>
      <c r="E151" s="32" t="s">
        <v>826</v>
      </c>
      <c r="F151" s="32" t="s">
        <v>827</v>
      </c>
      <c r="G151" s="32" t="s">
        <v>828</v>
      </c>
      <c r="H151" s="31" t="n">
        <v>45681</v>
      </c>
      <c r="I151" s="32" t="s">
        <v>829</v>
      </c>
      <c r="J151" s="32" t="s">
        <v>751</v>
      </c>
      <c r="K151" s="0" t="n">
        <v>112</v>
      </c>
      <c r="L151" s="32" t="s">
        <v>752</v>
      </c>
      <c r="M151" s="0" t="n">
        <v>16</v>
      </c>
      <c r="N151" s="32" t="s">
        <v>753</v>
      </c>
      <c r="O151" s="32" t="s">
        <v>1386</v>
      </c>
      <c r="P151" s="32" t="n">
        <f aca="false">IF(AND(ISNUMBER(K151),K151&gt;=0),K151,IF(ISNUMBER(M151),ROUND(M151*7,0),""))</f>
        <v>112</v>
      </c>
      <c r="Q151" s="0" t="str">
        <f aca="false">IF(ISTEXT(K151),"TEXT - recovered",IF(K151&lt;0,"NEGATIVE",IF(K151&gt;728,"&gt;104 WEEKS","OK")))</f>
        <v>OK</v>
      </c>
      <c r="R151" s="0" t="str">
        <f aca="false">IF(E151="GEN","GM",E151)</f>
        <v>RHE</v>
      </c>
    </row>
    <row r="152" customFormat="false" ht="15" hidden="false" customHeight="false" outlineLevel="0" collapsed="false">
      <c r="A152" s="0" t="s">
        <v>1387</v>
      </c>
      <c r="B152" s="0" t="s">
        <v>774</v>
      </c>
      <c r="C152" s="0" t="s">
        <v>775</v>
      </c>
      <c r="D152" s="31" t="n">
        <v>26329</v>
      </c>
      <c r="E152" s="32" t="s">
        <v>776</v>
      </c>
      <c r="F152" s="32" t="s">
        <v>777</v>
      </c>
      <c r="G152" s="32" t="s">
        <v>778</v>
      </c>
      <c r="H152" s="31" t="n">
        <v>45684</v>
      </c>
      <c r="I152" s="32" t="s">
        <v>750</v>
      </c>
      <c r="J152" s="32" t="s">
        <v>751</v>
      </c>
      <c r="K152" s="0" t="n">
        <v>35</v>
      </c>
      <c r="L152" s="32" t="s">
        <v>752</v>
      </c>
      <c r="M152" s="0" t="n">
        <v>5</v>
      </c>
      <c r="N152" s="32" t="s">
        <v>780</v>
      </c>
      <c r="O152" s="32" t="s">
        <v>781</v>
      </c>
      <c r="P152" s="32" t="n">
        <f aca="false">IF(AND(ISNUMBER(K152),K152&gt;=0),K152,IF(ISNUMBER(M152),ROUND(M152*7,0),""))</f>
        <v>35</v>
      </c>
      <c r="Q152" s="0" t="str">
        <f aca="false">IF(ISTEXT(K152),"TEXT - recovered",IF(K152&lt;0,"NEGATIVE",IF(K152&gt;728,"&gt;104 WEEKS","OK")))</f>
        <v>OK</v>
      </c>
      <c r="R152" s="0" t="str">
        <f aca="false">IF(E152="GEN","GM",E152)</f>
        <v>GS</v>
      </c>
    </row>
    <row r="153" customFormat="false" ht="15" hidden="false" customHeight="false" outlineLevel="0" collapsed="false">
      <c r="A153" s="0" t="s">
        <v>1388</v>
      </c>
      <c r="B153" s="0" t="s">
        <v>1335</v>
      </c>
      <c r="C153" s="0" t="s">
        <v>1336</v>
      </c>
      <c r="D153" s="31" t="n">
        <v>27766</v>
      </c>
      <c r="E153" s="32" t="s">
        <v>802</v>
      </c>
      <c r="F153" s="32" t="s">
        <v>803</v>
      </c>
      <c r="G153" s="32" t="s">
        <v>804</v>
      </c>
      <c r="H153" s="31" t="n">
        <v>45684</v>
      </c>
      <c r="I153" s="32" t="s">
        <v>761</v>
      </c>
      <c r="J153" s="32" t="s">
        <v>751</v>
      </c>
      <c r="K153" s="0" t="n">
        <v>57</v>
      </c>
      <c r="L153" s="32" t="s">
        <v>752</v>
      </c>
      <c r="M153" s="0" t="n">
        <v>8.1</v>
      </c>
      <c r="N153" s="32" t="s">
        <v>753</v>
      </c>
      <c r="O153" s="32" t="s">
        <v>1337</v>
      </c>
      <c r="P153" s="32" t="n">
        <f aca="false">IF(AND(ISNUMBER(K153),K153&gt;=0),K153,IF(ISNUMBER(M153),ROUND(M153*7,0),""))</f>
        <v>57</v>
      </c>
      <c r="Q153" s="0" t="str">
        <f aca="false">IF(ISTEXT(K153),"TEXT - recovered",IF(K153&lt;0,"NEGATIVE",IF(K153&gt;728,"&gt;104 WEEKS","OK")))</f>
        <v>OK</v>
      </c>
      <c r="R153" s="0" t="str">
        <f aca="false">IF(E153="GEN","GM",E153)</f>
        <v>GYN</v>
      </c>
    </row>
    <row r="154" customFormat="false" ht="15" hidden="false" customHeight="false" outlineLevel="0" collapsed="false">
      <c r="A154" s="0" t="s">
        <v>1389</v>
      </c>
      <c r="C154" s="0" t="s">
        <v>1390</v>
      </c>
      <c r="D154" s="31" t="n">
        <v>29329</v>
      </c>
      <c r="E154" s="32" t="s">
        <v>1391</v>
      </c>
      <c r="F154" s="32" t="s">
        <v>767</v>
      </c>
      <c r="G154" s="32" t="s">
        <v>768</v>
      </c>
      <c r="H154" s="31" t="n">
        <v>45684</v>
      </c>
      <c r="I154" s="32" t="s">
        <v>769</v>
      </c>
      <c r="J154" s="32" t="s">
        <v>751</v>
      </c>
      <c r="K154" s="0" t="n">
        <v>78</v>
      </c>
      <c r="M154" s="0" t="n">
        <v>11.1</v>
      </c>
      <c r="N154" s="32" t="s">
        <v>753</v>
      </c>
      <c r="O154" s="32" t="s">
        <v>772</v>
      </c>
      <c r="P154" s="32" t="n">
        <f aca="false">IF(AND(ISNUMBER(K154),K154&gt;=0),K154,IF(ISNUMBER(M154),ROUND(M154*7,0),""))</f>
        <v>78</v>
      </c>
      <c r="Q154" s="0" t="str">
        <f aca="false">IF(ISTEXT(K154),"TEXT - recovered",IF(K154&lt;0,"NEGATIVE",IF(K154&gt;728,"&gt;104 WEEKS","OK")))</f>
        <v>OK</v>
      </c>
      <c r="R154" s="0" t="str">
        <f aca="false">IF(E154="GEN","GM",E154)</f>
        <v>GM</v>
      </c>
    </row>
    <row r="155" customFormat="false" ht="15" hidden="false" customHeight="false" outlineLevel="0" collapsed="false">
      <c r="A155" s="0" t="s">
        <v>664</v>
      </c>
      <c r="B155" s="0" t="s">
        <v>1392</v>
      </c>
      <c r="C155" s="0" t="s">
        <v>1393</v>
      </c>
      <c r="D155" s="31" t="n">
        <v>21492</v>
      </c>
      <c r="E155" s="32" t="s">
        <v>758</v>
      </c>
      <c r="F155" s="32" t="s">
        <v>759</v>
      </c>
      <c r="G155" s="32" t="s">
        <v>760</v>
      </c>
      <c r="H155" s="31" t="n">
        <v>45684</v>
      </c>
      <c r="I155" s="32" t="s">
        <v>779</v>
      </c>
      <c r="J155" s="32" t="s">
        <v>1394</v>
      </c>
      <c r="K155" s="0" t="n">
        <v>34</v>
      </c>
      <c r="L155" s="32" t="s">
        <v>752</v>
      </c>
      <c r="M155" s="0" t="n">
        <v>4.9</v>
      </c>
      <c r="N155" s="32" t="s">
        <v>753</v>
      </c>
      <c r="O155" s="32" t="s">
        <v>762</v>
      </c>
      <c r="P155" s="32" t="n">
        <f aca="false">IF(AND(ISNUMBER(K155),K155&gt;=0),K155,IF(ISNUMBER(M155),ROUND(M155*7,0),""))</f>
        <v>34</v>
      </c>
      <c r="Q155" s="0" t="str">
        <f aca="false">IF(ISTEXT(K155),"TEXT - recovered",IF(K155&lt;0,"NEGATIVE",IF(K155&gt;728,"&gt;104 WEEKS","OK")))</f>
        <v>OK</v>
      </c>
      <c r="R155" s="0" t="str">
        <f aca="false">IF(E155="GEN","GM",E155)</f>
        <v>CS</v>
      </c>
    </row>
    <row r="156" customFormat="false" ht="15" hidden="false" customHeight="false" outlineLevel="0" collapsed="false">
      <c r="A156" s="0" t="s">
        <v>1395</v>
      </c>
      <c r="B156" s="0" t="s">
        <v>1072</v>
      </c>
      <c r="C156" s="0" t="s">
        <v>1073</v>
      </c>
      <c r="D156" s="31" t="n">
        <v>30112</v>
      </c>
      <c r="E156" s="32" t="s">
        <v>747</v>
      </c>
      <c r="F156" s="32" t="s">
        <v>748</v>
      </c>
      <c r="G156" s="32" t="s">
        <v>749</v>
      </c>
      <c r="H156" s="31" t="n">
        <v>45684</v>
      </c>
      <c r="I156" s="32" t="s">
        <v>788</v>
      </c>
      <c r="J156" s="32" t="s">
        <v>751</v>
      </c>
      <c r="K156" s="0" t="n">
        <v>45</v>
      </c>
      <c r="L156" s="32" t="s">
        <v>752</v>
      </c>
      <c r="M156" s="0" t="n">
        <v>6.4</v>
      </c>
      <c r="N156" s="32" t="s">
        <v>753</v>
      </c>
      <c r="O156" s="32" t="s">
        <v>1074</v>
      </c>
      <c r="P156" s="32" t="n">
        <f aca="false">IF(AND(ISNUMBER(K156),K156&gt;=0),K156,IF(ISNUMBER(M156),ROUND(M156*7,0),""))</f>
        <v>45</v>
      </c>
      <c r="Q156" s="0" t="str">
        <f aca="false">IF(ISTEXT(K156),"TEXT - recovered",IF(K156&lt;0,"NEGATIVE",IF(K156&gt;728,"&gt;104 WEEKS","OK")))</f>
        <v>OK</v>
      </c>
      <c r="R156" s="0" t="str">
        <f aca="false">IF(E156="GEN","GM",E156)</f>
        <v>GM</v>
      </c>
    </row>
    <row r="157" customFormat="false" ht="15" hidden="false" customHeight="false" outlineLevel="0" collapsed="false">
      <c r="A157" s="0" t="s">
        <v>1396</v>
      </c>
      <c r="B157" s="0" t="s">
        <v>1397</v>
      </c>
      <c r="C157" s="0" t="s">
        <v>1398</v>
      </c>
      <c r="D157" s="31" t="n">
        <v>33444</v>
      </c>
      <c r="E157" s="32" t="s">
        <v>766</v>
      </c>
      <c r="G157" s="32" t="s">
        <v>768</v>
      </c>
      <c r="H157" s="31" t="n">
        <v>45684</v>
      </c>
      <c r="I157" s="32" t="s">
        <v>796</v>
      </c>
      <c r="J157" s="32" t="s">
        <v>770</v>
      </c>
      <c r="K157" s="0" t="n">
        <v>145</v>
      </c>
      <c r="L157" s="32" t="s">
        <v>771</v>
      </c>
      <c r="M157" s="0" t="n">
        <v>20.7</v>
      </c>
      <c r="N157" s="32" t="s">
        <v>753</v>
      </c>
      <c r="P157" s="32" t="n">
        <f aca="false">IF(AND(ISNUMBER(K157),K157&gt;=0),K157,IF(ISNUMBER(M157),ROUND(M157*7,0),""))</f>
        <v>145</v>
      </c>
      <c r="Q157" s="0" t="str">
        <f aca="false">IF(ISTEXT(K157),"TEXT - recovered",IF(K157&lt;0,"NEGATIVE",IF(K157&gt;728,"&gt;104 WEEKS","OK")))</f>
        <v>OK</v>
      </c>
      <c r="R157" s="0" t="str">
        <f aca="false">IF(E157="GEN","GM",E157)</f>
        <v>OR</v>
      </c>
    </row>
    <row r="158" customFormat="false" ht="15" hidden="false" customHeight="false" outlineLevel="0" collapsed="false">
      <c r="A158" s="0" t="s">
        <v>1399</v>
      </c>
      <c r="B158" s="0" t="s">
        <v>844</v>
      </c>
      <c r="C158" s="0" t="s">
        <v>845</v>
      </c>
      <c r="D158" s="31" t="n">
        <v>29102</v>
      </c>
      <c r="E158" s="32" t="s">
        <v>776</v>
      </c>
      <c r="F158" s="32" t="s">
        <v>777</v>
      </c>
      <c r="G158" s="32" t="s">
        <v>778</v>
      </c>
      <c r="H158" s="31" t="n">
        <v>45684</v>
      </c>
      <c r="I158" s="32" t="s">
        <v>805</v>
      </c>
      <c r="J158" s="32" t="s">
        <v>751</v>
      </c>
      <c r="K158" s="0" t="n">
        <v>42</v>
      </c>
      <c r="L158" s="32" t="s">
        <v>752</v>
      </c>
      <c r="M158" s="0" t="n">
        <v>6</v>
      </c>
      <c r="N158" s="32" t="s">
        <v>753</v>
      </c>
      <c r="O158" s="32" t="s">
        <v>846</v>
      </c>
      <c r="P158" s="32" t="n">
        <f aca="false">IF(AND(ISNUMBER(K158),K158&gt;=0),K158,IF(ISNUMBER(M158),ROUND(M158*7,0),""))</f>
        <v>42</v>
      </c>
      <c r="Q158" s="0" t="str">
        <f aca="false">IF(ISTEXT(K158),"TEXT - recovered",IF(K158&lt;0,"NEGATIVE",IF(K158&gt;728,"&gt;104 WEEKS","OK")))</f>
        <v>OK</v>
      </c>
      <c r="R158" s="0" t="str">
        <f aca="false">IF(E158="GEN","GM",E158)</f>
        <v>GS</v>
      </c>
    </row>
    <row r="159" customFormat="false" ht="15" hidden="false" customHeight="false" outlineLevel="0" collapsed="false">
      <c r="A159" s="0" t="s">
        <v>1400</v>
      </c>
      <c r="B159" s="0" t="s">
        <v>1401</v>
      </c>
      <c r="C159" s="0" t="s">
        <v>1402</v>
      </c>
      <c r="D159" s="31" t="n">
        <v>23813</v>
      </c>
      <c r="E159" s="32" t="s">
        <v>785</v>
      </c>
      <c r="F159" s="32" t="s">
        <v>786</v>
      </c>
      <c r="G159" s="32" t="s">
        <v>787</v>
      </c>
      <c r="H159" s="31" t="n">
        <v>45684</v>
      </c>
      <c r="I159" s="32" t="s">
        <v>813</v>
      </c>
      <c r="J159" s="32" t="s">
        <v>770</v>
      </c>
      <c r="K159" s="0" t="n">
        <v>189</v>
      </c>
      <c r="L159" s="32" t="s">
        <v>771</v>
      </c>
      <c r="M159" s="0" t="n">
        <v>27</v>
      </c>
      <c r="N159" s="32" t="s">
        <v>753</v>
      </c>
      <c r="O159" s="32" t="s">
        <v>1403</v>
      </c>
      <c r="P159" s="32" t="n">
        <f aca="false">IF(AND(ISNUMBER(K159),K159&gt;=0),K159,IF(ISNUMBER(M159),ROUND(M159*7,0),""))</f>
        <v>189</v>
      </c>
      <c r="Q159" s="0" t="str">
        <f aca="false">IF(ISTEXT(K159),"TEXT - recovered",IF(K159&lt;0,"NEGATIVE",IF(K159&gt;728,"&gt;104 WEEKS","OK")))</f>
        <v>OK</v>
      </c>
      <c r="R159" s="0" t="str">
        <f aca="false">IF(E159="GEN","GM",E159)</f>
        <v>RS</v>
      </c>
    </row>
    <row r="160" customFormat="false" ht="15" hidden="false" customHeight="false" outlineLevel="0" collapsed="false">
      <c r="A160" s="0" t="s">
        <v>1404</v>
      </c>
      <c r="B160" s="0" t="s">
        <v>869</v>
      </c>
      <c r="C160" s="0" t="s">
        <v>870</v>
      </c>
      <c r="D160" s="31" t="n">
        <v>28087</v>
      </c>
      <c r="E160" s="32" t="s">
        <v>826</v>
      </c>
      <c r="F160" s="32" t="s">
        <v>827</v>
      </c>
      <c r="G160" s="32" t="s">
        <v>828</v>
      </c>
      <c r="H160" s="31" t="n">
        <v>45684</v>
      </c>
      <c r="I160" s="32" t="s">
        <v>821</v>
      </c>
      <c r="J160" s="32" t="s">
        <v>770</v>
      </c>
      <c r="K160" s="0" t="n">
        <v>168</v>
      </c>
      <c r="L160" s="32" t="s">
        <v>771</v>
      </c>
      <c r="M160" s="0" t="n">
        <v>24</v>
      </c>
      <c r="N160" s="32" t="s">
        <v>753</v>
      </c>
      <c r="O160" s="32" t="s">
        <v>871</v>
      </c>
      <c r="P160" s="32" t="n">
        <f aca="false">IF(AND(ISNUMBER(K160),K160&gt;=0),K160,IF(ISNUMBER(M160),ROUND(M160*7,0),""))</f>
        <v>168</v>
      </c>
      <c r="Q160" s="0" t="str">
        <f aca="false">IF(ISTEXT(K160),"TEXT - recovered",IF(K160&lt;0,"NEGATIVE",IF(K160&gt;728,"&gt;104 WEEKS","OK")))</f>
        <v>OK</v>
      </c>
      <c r="R160" s="0" t="str">
        <f aca="false">IF(E160="GEN","GM",E160)</f>
        <v>RHE</v>
      </c>
    </row>
    <row r="161" customFormat="false" ht="15" hidden="false" customHeight="false" outlineLevel="0" collapsed="false">
      <c r="A161" s="0" t="s">
        <v>1405</v>
      </c>
      <c r="B161" s="0" t="s">
        <v>848</v>
      </c>
      <c r="C161" s="0" t="s">
        <v>849</v>
      </c>
      <c r="D161" s="31" t="n">
        <v>16639</v>
      </c>
      <c r="E161" s="32" t="s">
        <v>1391</v>
      </c>
      <c r="F161" s="32" t="s">
        <v>786</v>
      </c>
      <c r="G161" s="32" t="s">
        <v>787</v>
      </c>
      <c r="H161" s="31" t="n">
        <v>45684</v>
      </c>
      <c r="I161" s="32" t="s">
        <v>829</v>
      </c>
      <c r="J161" s="32" t="s">
        <v>751</v>
      </c>
      <c r="K161" s="0" t="n">
        <v>56</v>
      </c>
      <c r="L161" s="32" t="s">
        <v>752</v>
      </c>
      <c r="M161" s="0" t="n">
        <v>8</v>
      </c>
      <c r="N161" s="32" t="s">
        <v>753</v>
      </c>
      <c r="O161" s="32" t="s">
        <v>850</v>
      </c>
      <c r="P161" s="32" t="n">
        <f aca="false">IF(AND(ISNUMBER(K161),K161&gt;=0),K161,IF(ISNUMBER(M161),ROUND(M161*7,0),""))</f>
        <v>56</v>
      </c>
      <c r="Q161" s="0" t="str">
        <f aca="false">IF(ISTEXT(K161),"TEXT - recovered",IF(K161&lt;0,"NEGATIVE",IF(K161&gt;728,"&gt;104 WEEKS","OK")))</f>
        <v>OK</v>
      </c>
      <c r="R161" s="0" t="str">
        <f aca="false">IF(E161="GEN","GM",E161)</f>
        <v>GM</v>
      </c>
    </row>
    <row r="162" customFormat="false" ht="15" hidden="false" customHeight="false" outlineLevel="0" collapsed="false">
      <c r="A162" s="0" t="s">
        <v>1406</v>
      </c>
      <c r="B162" s="0" t="s">
        <v>913</v>
      </c>
      <c r="C162" s="0" t="s">
        <v>914</v>
      </c>
      <c r="D162" s="31" t="n">
        <v>30898</v>
      </c>
      <c r="E162" s="32" t="s">
        <v>747</v>
      </c>
      <c r="F162" s="32" t="s">
        <v>748</v>
      </c>
      <c r="G162" s="32" t="s">
        <v>749</v>
      </c>
      <c r="H162" s="31" t="n">
        <v>45685</v>
      </c>
      <c r="I162" s="32" t="s">
        <v>750</v>
      </c>
      <c r="J162" s="32" t="s">
        <v>751</v>
      </c>
      <c r="K162" s="0" t="n">
        <v>35</v>
      </c>
      <c r="L162" s="32" t="s">
        <v>752</v>
      </c>
      <c r="M162" s="0" t="n">
        <v>5</v>
      </c>
      <c r="N162" s="32" t="s">
        <v>753</v>
      </c>
      <c r="O162" s="32" t="s">
        <v>915</v>
      </c>
      <c r="P162" s="32" t="n">
        <f aca="false">IF(AND(ISNUMBER(K162),K162&gt;=0),K162,IF(ISNUMBER(M162),ROUND(M162*7,0),""))</f>
        <v>35</v>
      </c>
      <c r="Q162" s="0" t="str">
        <f aca="false">IF(ISTEXT(K162),"TEXT - recovered",IF(K162&lt;0,"NEGATIVE",IF(K162&gt;728,"&gt;104 WEEKS","OK")))</f>
        <v>OK</v>
      </c>
      <c r="R162" s="0" t="str">
        <f aca="false">IF(E162="GEN","GM",E162)</f>
        <v>GM</v>
      </c>
    </row>
    <row r="163" customFormat="false" ht="15" hidden="false" customHeight="false" outlineLevel="0" collapsed="false">
      <c r="A163" s="0" t="s">
        <v>1407</v>
      </c>
      <c r="B163" s="0" t="s">
        <v>917</v>
      </c>
      <c r="C163" s="0" t="s">
        <v>918</v>
      </c>
      <c r="D163" s="31" t="n">
        <v>24949</v>
      </c>
      <c r="E163" s="32" t="s">
        <v>758</v>
      </c>
      <c r="F163" s="32" t="s">
        <v>759</v>
      </c>
      <c r="G163" s="32" t="s">
        <v>760</v>
      </c>
      <c r="H163" s="31" t="n">
        <v>45685</v>
      </c>
      <c r="I163" s="32" t="s">
        <v>761</v>
      </c>
      <c r="J163" s="32" t="s">
        <v>770</v>
      </c>
      <c r="K163" s="0" t="n">
        <v>202</v>
      </c>
      <c r="L163" s="32" t="s">
        <v>771</v>
      </c>
      <c r="M163" s="0" t="n">
        <v>28.9</v>
      </c>
      <c r="N163" s="32" t="s">
        <v>753</v>
      </c>
      <c r="O163" s="32" t="s">
        <v>919</v>
      </c>
      <c r="P163" s="32" t="n">
        <f aca="false">IF(AND(ISNUMBER(K163),K163&gt;=0),K163,IF(ISNUMBER(M163),ROUND(M163*7,0),""))</f>
        <v>202</v>
      </c>
      <c r="Q163" s="0" t="str">
        <f aca="false">IF(ISTEXT(K163),"TEXT - recovered",IF(K163&lt;0,"NEGATIVE",IF(K163&gt;728,"&gt;104 WEEKS","OK")))</f>
        <v>OK</v>
      </c>
      <c r="R163" s="0" t="str">
        <f aca="false">IF(E163="GEN","GM",E163)</f>
        <v>CS</v>
      </c>
    </row>
    <row r="164" customFormat="false" ht="15" hidden="false" customHeight="false" outlineLevel="0" collapsed="false">
      <c r="A164" s="0" t="s">
        <v>1408</v>
      </c>
      <c r="B164" s="0" t="s">
        <v>816</v>
      </c>
      <c r="C164" s="0" t="s">
        <v>833</v>
      </c>
      <c r="D164" s="31" t="n">
        <v>32427</v>
      </c>
      <c r="E164" s="32" t="s">
        <v>747</v>
      </c>
      <c r="F164" s="32" t="s">
        <v>748</v>
      </c>
      <c r="G164" s="32" t="s">
        <v>749</v>
      </c>
      <c r="H164" s="31" t="n">
        <v>45685</v>
      </c>
      <c r="I164" s="32" t="s">
        <v>769</v>
      </c>
      <c r="J164" s="32" t="s">
        <v>751</v>
      </c>
      <c r="K164" s="0" t="n">
        <v>24</v>
      </c>
      <c r="L164" s="32" t="s">
        <v>752</v>
      </c>
      <c r="M164" s="0" t="n">
        <v>3.4</v>
      </c>
      <c r="N164" s="32" t="s">
        <v>753</v>
      </c>
      <c r="O164" s="32" t="s">
        <v>834</v>
      </c>
      <c r="P164" s="32" t="n">
        <f aca="false">IF(AND(ISNUMBER(K164),K164&gt;=0),K164,IF(ISNUMBER(M164),ROUND(M164*7,0),""))</f>
        <v>24</v>
      </c>
      <c r="Q164" s="0" t="str">
        <f aca="false">IF(ISTEXT(K164),"TEXT - recovered",IF(K164&lt;0,"NEGATIVE",IF(K164&gt;728,"&gt;104 WEEKS","OK")))</f>
        <v>OK</v>
      </c>
      <c r="R164" s="0" t="str">
        <f aca="false">IF(E164="GEN","GM",E164)</f>
        <v>GM</v>
      </c>
    </row>
    <row r="165" customFormat="false" ht="15" hidden="false" customHeight="false" outlineLevel="0" collapsed="false">
      <c r="A165" s="0" t="s">
        <v>1409</v>
      </c>
      <c r="C165" s="0" t="s">
        <v>1410</v>
      </c>
      <c r="D165" s="31" t="n">
        <v>25728</v>
      </c>
      <c r="E165" s="32" t="s">
        <v>766</v>
      </c>
      <c r="F165" s="32" t="s">
        <v>767</v>
      </c>
      <c r="G165" s="32" t="s">
        <v>768</v>
      </c>
      <c r="H165" s="31" t="n">
        <v>45685</v>
      </c>
      <c r="I165" s="32" t="s">
        <v>779</v>
      </c>
      <c r="J165" s="32" t="s">
        <v>770</v>
      </c>
      <c r="K165" s="0" t="n">
        <v>267</v>
      </c>
      <c r="L165" s="32" t="s">
        <v>771</v>
      </c>
      <c r="M165" s="0" t="n">
        <v>38.1</v>
      </c>
      <c r="N165" s="32" t="s">
        <v>753</v>
      </c>
      <c r="O165" s="32" t="s">
        <v>883</v>
      </c>
      <c r="P165" s="32" t="n">
        <f aca="false">IF(AND(ISNUMBER(K165),K165&gt;=0),K165,IF(ISNUMBER(M165),ROUND(M165*7,0),""))</f>
        <v>267</v>
      </c>
      <c r="Q165" s="0" t="str">
        <f aca="false">IF(ISTEXT(K165),"TEXT - recovered",IF(K165&lt;0,"NEGATIVE",IF(K165&gt;728,"&gt;104 WEEKS","OK")))</f>
        <v>OK</v>
      </c>
      <c r="R165" s="0" t="str">
        <f aca="false">IF(E165="GEN","GM",E165)</f>
        <v>OR</v>
      </c>
    </row>
    <row r="166" customFormat="false" ht="15" hidden="false" customHeight="false" outlineLevel="0" collapsed="false">
      <c r="A166" s="0" t="s">
        <v>1411</v>
      </c>
      <c r="B166" s="0" t="s">
        <v>836</v>
      </c>
      <c r="C166" s="0" t="s">
        <v>837</v>
      </c>
      <c r="D166" s="31" t="n">
        <v>26814</v>
      </c>
      <c r="E166" s="32" t="s">
        <v>758</v>
      </c>
      <c r="F166" s="32" t="s">
        <v>759</v>
      </c>
      <c r="G166" s="32" t="s">
        <v>760</v>
      </c>
      <c r="H166" s="31" t="n">
        <v>45685</v>
      </c>
      <c r="I166" s="32" t="s">
        <v>788</v>
      </c>
      <c r="J166" s="32" t="s">
        <v>751</v>
      </c>
      <c r="K166" s="0" t="n">
        <v>56</v>
      </c>
      <c r="L166" s="32" t="s">
        <v>752</v>
      </c>
      <c r="M166" s="0" t="n">
        <v>8</v>
      </c>
      <c r="N166" s="32" t="s">
        <v>780</v>
      </c>
      <c r="O166" s="32" t="s">
        <v>838</v>
      </c>
      <c r="P166" s="32" t="n">
        <f aca="false">IF(AND(ISNUMBER(K166),K166&gt;=0),K166,IF(ISNUMBER(M166),ROUND(M166*7,0),""))</f>
        <v>56</v>
      </c>
      <c r="Q166" s="0" t="str">
        <f aca="false">IF(ISTEXT(K166),"TEXT - recovered",IF(K166&lt;0,"NEGATIVE",IF(K166&gt;728,"&gt;104 WEEKS","OK")))</f>
        <v>OK</v>
      </c>
      <c r="R166" s="0" t="str">
        <f aca="false">IF(E166="GEN","GM",E166)</f>
        <v>CS</v>
      </c>
    </row>
    <row r="167" customFormat="false" ht="15" hidden="false" customHeight="false" outlineLevel="0" collapsed="false">
      <c r="A167" s="0" t="s">
        <v>1412</v>
      </c>
      <c r="B167" s="0" t="s">
        <v>1413</v>
      </c>
      <c r="C167" s="0" t="s">
        <v>1414</v>
      </c>
      <c r="D167" s="31" t="n">
        <v>31460</v>
      </c>
      <c r="E167" s="32" t="s">
        <v>802</v>
      </c>
      <c r="F167" s="32" t="s">
        <v>803</v>
      </c>
      <c r="G167" s="32" t="s">
        <v>804</v>
      </c>
      <c r="H167" s="31" t="n">
        <v>45685</v>
      </c>
      <c r="I167" s="32" t="s">
        <v>796</v>
      </c>
      <c r="J167" s="32" t="s">
        <v>751</v>
      </c>
      <c r="K167" s="0" t="n">
        <v>34</v>
      </c>
      <c r="L167" s="32" t="s">
        <v>752</v>
      </c>
      <c r="M167" s="0" t="n">
        <v>4.9</v>
      </c>
      <c r="N167" s="32" t="s">
        <v>753</v>
      </c>
      <c r="O167" s="32" t="s">
        <v>806</v>
      </c>
      <c r="P167" s="32" t="n">
        <f aca="false">IF(AND(ISNUMBER(K167),K167&gt;=0),K167,IF(ISNUMBER(M167),ROUND(M167*7,0),""))</f>
        <v>34</v>
      </c>
      <c r="Q167" s="0" t="str">
        <f aca="false">IF(ISTEXT(K167),"TEXT - recovered",IF(K167&lt;0,"NEGATIVE",IF(K167&gt;728,"&gt;104 WEEKS","OK")))</f>
        <v>OK</v>
      </c>
      <c r="R167" s="0" t="str">
        <f aca="false">IF(E167="GEN","GM",E167)</f>
        <v>GYN</v>
      </c>
    </row>
    <row r="168" customFormat="false" ht="15" hidden="false" customHeight="false" outlineLevel="0" collapsed="false">
      <c r="A168" s="0" t="s">
        <v>1415</v>
      </c>
      <c r="B168" s="0" t="s">
        <v>1136</v>
      </c>
      <c r="C168" s="0" t="s">
        <v>938</v>
      </c>
      <c r="D168" s="31" t="n">
        <v>27168</v>
      </c>
      <c r="E168" s="32" t="s">
        <v>802</v>
      </c>
      <c r="F168" s="32" t="s">
        <v>803</v>
      </c>
      <c r="G168" s="32" t="s">
        <v>804</v>
      </c>
      <c r="H168" s="31" t="n">
        <v>45685</v>
      </c>
      <c r="I168" s="32" t="s">
        <v>805</v>
      </c>
      <c r="J168" s="32" t="s">
        <v>751</v>
      </c>
      <c r="K168" s="0" t="n">
        <v>46</v>
      </c>
      <c r="L168" s="32" t="s">
        <v>752</v>
      </c>
      <c r="M168" s="0" t="n">
        <v>6.6</v>
      </c>
      <c r="N168" s="32" t="s">
        <v>753</v>
      </c>
      <c r="O168" s="32" t="s">
        <v>939</v>
      </c>
      <c r="P168" s="32" t="n">
        <f aca="false">IF(AND(ISNUMBER(K168),K168&gt;=0),K168,IF(ISNUMBER(M168),ROUND(M168*7,0),""))</f>
        <v>46</v>
      </c>
      <c r="Q168" s="0" t="str">
        <f aca="false">IF(ISTEXT(K168),"TEXT - recovered",IF(K168&lt;0,"NEGATIVE",IF(K168&gt;728,"&gt;104 WEEKS","OK")))</f>
        <v>OK</v>
      </c>
      <c r="R168" s="0" t="str">
        <f aca="false">IF(E168="GEN","GM",E168)</f>
        <v>GYN</v>
      </c>
    </row>
    <row r="169" customFormat="false" ht="15" hidden="false" customHeight="false" outlineLevel="0" collapsed="false">
      <c r="A169" s="0" t="s">
        <v>1416</v>
      </c>
      <c r="B169" s="0" t="s">
        <v>1092</v>
      </c>
      <c r="C169" s="0" t="s">
        <v>1093</v>
      </c>
      <c r="D169" s="31" t="n">
        <v>23329</v>
      </c>
      <c r="E169" s="32" t="s">
        <v>793</v>
      </c>
      <c r="F169" s="32" t="s">
        <v>794</v>
      </c>
      <c r="G169" s="32" t="s">
        <v>795</v>
      </c>
      <c r="H169" s="31" t="n">
        <v>45685</v>
      </c>
      <c r="I169" s="32" t="s">
        <v>813</v>
      </c>
      <c r="J169" s="32" t="s">
        <v>751</v>
      </c>
      <c r="K169" s="0" t="n">
        <v>26</v>
      </c>
      <c r="L169" s="32" t="s">
        <v>771</v>
      </c>
      <c r="M169" s="0" t="n">
        <v>3.7</v>
      </c>
      <c r="N169" s="32" t="s">
        <v>330</v>
      </c>
      <c r="O169" s="32" t="s">
        <v>1094</v>
      </c>
      <c r="P169" s="32" t="n">
        <f aca="false">IF(AND(ISNUMBER(K169),K169&gt;=0),K169,IF(ISNUMBER(M169),ROUND(M169*7,0),""))</f>
        <v>26</v>
      </c>
      <c r="Q169" s="0" t="str">
        <f aca="false">IF(ISTEXT(K169),"TEXT - recovered",IF(K169&lt;0,"NEGATIVE",IF(K169&gt;728,"&gt;104 WEEKS","OK")))</f>
        <v>OK</v>
      </c>
      <c r="R169" s="0" t="str">
        <f aca="false">IF(E169="GEN","GM",E169)</f>
        <v>EM</v>
      </c>
    </row>
    <row r="170" customFormat="false" ht="15" hidden="false" customHeight="false" outlineLevel="0" collapsed="false">
      <c r="A170" s="0" t="s">
        <v>1417</v>
      </c>
      <c r="B170" s="0" t="s">
        <v>1418</v>
      </c>
      <c r="C170" s="0" t="s">
        <v>1419</v>
      </c>
      <c r="D170" s="31" t="n">
        <v>29089</v>
      </c>
      <c r="E170" s="32" t="s">
        <v>776</v>
      </c>
      <c r="G170" s="32" t="s">
        <v>778</v>
      </c>
      <c r="H170" s="31" t="n">
        <v>45685</v>
      </c>
      <c r="I170" s="32" t="s">
        <v>821</v>
      </c>
      <c r="J170" s="32" t="s">
        <v>751</v>
      </c>
      <c r="K170" s="0" t="n">
        <v>67</v>
      </c>
      <c r="L170" s="32" t="s">
        <v>752</v>
      </c>
      <c r="M170" s="0" t="n">
        <v>9.6</v>
      </c>
      <c r="N170" s="32" t="s">
        <v>753</v>
      </c>
      <c r="O170" s="32" t="s">
        <v>1026</v>
      </c>
      <c r="P170" s="32" t="n">
        <f aca="false">IF(AND(ISNUMBER(K170),K170&gt;=0),K170,IF(ISNUMBER(M170),ROUND(M170*7,0),""))</f>
        <v>67</v>
      </c>
      <c r="Q170" s="0" t="str">
        <f aca="false">IF(ISTEXT(K170),"TEXT - recovered",IF(K170&lt;0,"NEGATIVE",IF(K170&gt;728,"&gt;104 WEEKS","OK")))</f>
        <v>OK</v>
      </c>
      <c r="R170" s="0" t="str">
        <f aca="false">IF(E170="GEN","GM",E170)</f>
        <v>GS</v>
      </c>
    </row>
    <row r="171" customFormat="false" ht="15" hidden="false" customHeight="false" outlineLevel="0" collapsed="false">
      <c r="A171" s="0" t="s">
        <v>1420</v>
      </c>
      <c r="B171" s="0" t="s">
        <v>905</v>
      </c>
      <c r="C171" s="0" t="s">
        <v>950</v>
      </c>
      <c r="D171" s="31" t="n">
        <v>26003</v>
      </c>
      <c r="E171" s="32" t="s">
        <v>826</v>
      </c>
      <c r="F171" s="32" t="s">
        <v>827</v>
      </c>
      <c r="G171" s="32" t="s">
        <v>828</v>
      </c>
      <c r="H171" s="31" t="n">
        <v>45685</v>
      </c>
      <c r="I171" s="32" t="s">
        <v>829</v>
      </c>
      <c r="J171" s="32" t="s">
        <v>751</v>
      </c>
      <c r="K171" s="0" t="n">
        <v>68</v>
      </c>
      <c r="L171" s="32" t="s">
        <v>752</v>
      </c>
      <c r="M171" s="0" t="n">
        <v>9.7</v>
      </c>
      <c r="N171" s="32" t="s">
        <v>753</v>
      </c>
      <c r="O171" s="32" t="s">
        <v>951</v>
      </c>
      <c r="P171" s="32" t="n">
        <f aca="false">IF(AND(ISNUMBER(K171),K171&gt;=0),K171,IF(ISNUMBER(M171),ROUND(M171*7,0),""))</f>
        <v>68</v>
      </c>
      <c r="Q171" s="0" t="str">
        <f aca="false">IF(ISTEXT(K171),"TEXT - recovered",IF(K171&lt;0,"NEGATIVE",IF(K171&gt;728,"&gt;104 WEEKS","OK")))</f>
        <v>OK</v>
      </c>
      <c r="R171" s="0" t="str">
        <f aca="false">IF(E171="GEN","GM",E171)</f>
        <v>RHE</v>
      </c>
    </row>
    <row r="172" customFormat="false" ht="15" hidden="false" customHeight="false" outlineLevel="0" collapsed="false">
      <c r="A172" s="0" t="s">
        <v>1421</v>
      </c>
      <c r="B172" s="0" t="s">
        <v>1128</v>
      </c>
      <c r="C172" s="0" t="s">
        <v>1129</v>
      </c>
      <c r="D172" s="31" t="n">
        <v>32195</v>
      </c>
      <c r="E172" s="32" t="s">
        <v>785</v>
      </c>
      <c r="F172" s="32" t="s">
        <v>786</v>
      </c>
      <c r="G172" s="32" t="s">
        <v>787</v>
      </c>
      <c r="H172" s="31" t="n">
        <v>45686</v>
      </c>
      <c r="I172" s="32" t="s">
        <v>750</v>
      </c>
      <c r="J172" s="32" t="s">
        <v>751</v>
      </c>
      <c r="K172" s="0" t="n">
        <v>46</v>
      </c>
      <c r="L172" s="32" t="s">
        <v>752</v>
      </c>
      <c r="M172" s="0" t="n">
        <v>6.6</v>
      </c>
      <c r="N172" s="32" t="s">
        <v>753</v>
      </c>
      <c r="O172" s="32" t="s">
        <v>1130</v>
      </c>
      <c r="P172" s="32" t="n">
        <f aca="false">IF(AND(ISNUMBER(K172),K172&gt;=0),K172,IF(ISNUMBER(M172),ROUND(M172*7,0),""))</f>
        <v>46</v>
      </c>
      <c r="Q172" s="0" t="str">
        <f aca="false">IF(ISTEXT(K172),"TEXT - recovered",IF(K172&lt;0,"NEGATIVE",IF(K172&gt;728,"&gt;104 WEEKS","OK")))</f>
        <v>OK</v>
      </c>
      <c r="R172" s="0" t="str">
        <f aca="false">IF(E172="GEN","GM",E172)</f>
        <v>RS</v>
      </c>
    </row>
    <row r="173" customFormat="false" ht="15" hidden="false" customHeight="false" outlineLevel="0" collapsed="false">
      <c r="A173" s="0" t="s">
        <v>1422</v>
      </c>
      <c r="B173" s="0" t="s">
        <v>844</v>
      </c>
      <c r="C173" s="0" t="s">
        <v>845</v>
      </c>
      <c r="D173" s="31" t="n">
        <v>29102</v>
      </c>
      <c r="E173" s="32" t="s">
        <v>776</v>
      </c>
      <c r="F173" s="32" t="s">
        <v>777</v>
      </c>
      <c r="G173" s="32" t="s">
        <v>778</v>
      </c>
      <c r="H173" s="31" t="n">
        <v>45686</v>
      </c>
      <c r="I173" s="32" t="s">
        <v>761</v>
      </c>
      <c r="J173" s="32" t="s">
        <v>770</v>
      </c>
      <c r="K173" s="0" t="n">
        <v>179</v>
      </c>
      <c r="L173" s="32" t="s">
        <v>771</v>
      </c>
      <c r="M173" s="0" t="n">
        <v>25.6</v>
      </c>
      <c r="N173" s="32" t="s">
        <v>753</v>
      </c>
      <c r="O173" s="32" t="s">
        <v>846</v>
      </c>
      <c r="P173" s="32" t="n">
        <f aca="false">IF(AND(ISNUMBER(K173),K173&gt;=0),K173,IF(ISNUMBER(M173),ROUND(M173*7,0),""))</f>
        <v>179</v>
      </c>
      <c r="Q173" s="0" t="str">
        <f aca="false">IF(ISTEXT(K173),"TEXT - recovered",IF(K173&lt;0,"NEGATIVE",IF(K173&gt;728,"&gt;104 WEEKS","OK")))</f>
        <v>OK</v>
      </c>
      <c r="R173" s="0" t="str">
        <f aca="false">IF(E173="GEN","GM",E173)</f>
        <v>GS</v>
      </c>
    </row>
    <row r="174" customFormat="false" ht="15" hidden="false" customHeight="false" outlineLevel="0" collapsed="false">
      <c r="A174" s="0" t="s">
        <v>1423</v>
      </c>
      <c r="B174" s="0" t="s">
        <v>1016</v>
      </c>
      <c r="C174" s="0" t="s">
        <v>1077</v>
      </c>
      <c r="D174" s="31" t="n">
        <v>28343</v>
      </c>
      <c r="E174" s="32" t="s">
        <v>802</v>
      </c>
      <c r="F174" s="32" t="s">
        <v>803</v>
      </c>
      <c r="G174" s="32" t="s">
        <v>804</v>
      </c>
      <c r="H174" s="31" t="n">
        <v>45686</v>
      </c>
      <c r="I174" s="32" t="s">
        <v>769</v>
      </c>
      <c r="J174" s="32" t="s">
        <v>751</v>
      </c>
      <c r="K174" s="0" t="n">
        <v>46</v>
      </c>
      <c r="L174" s="32" t="s">
        <v>752</v>
      </c>
      <c r="M174" s="0" t="n">
        <v>6.6</v>
      </c>
      <c r="N174" s="32" t="s">
        <v>753</v>
      </c>
      <c r="O174" s="32" t="s">
        <v>1018</v>
      </c>
      <c r="P174" s="32" t="n">
        <f aca="false">IF(AND(ISNUMBER(K174),K174&gt;=0),K174,IF(ISNUMBER(M174),ROUND(M174*7,0),""))</f>
        <v>46</v>
      </c>
      <c r="Q174" s="0" t="str">
        <f aca="false">IF(ISTEXT(K174),"TEXT - recovered",IF(K174&lt;0,"NEGATIVE",IF(K174&gt;728,"&gt;104 WEEKS","OK")))</f>
        <v>OK</v>
      </c>
      <c r="R174" s="0" t="str">
        <f aca="false">IF(E174="GEN","GM",E174)</f>
        <v>GYN</v>
      </c>
    </row>
    <row r="175" customFormat="false" ht="15" hidden="false" customHeight="false" outlineLevel="0" collapsed="false">
      <c r="A175" s="0" t="s">
        <v>1424</v>
      </c>
      <c r="B175" s="0" t="s">
        <v>1068</v>
      </c>
      <c r="C175" s="0" t="s">
        <v>1069</v>
      </c>
      <c r="D175" s="31" t="n">
        <v>25840</v>
      </c>
      <c r="E175" s="32" t="s">
        <v>826</v>
      </c>
      <c r="F175" s="32" t="s">
        <v>827</v>
      </c>
      <c r="G175" s="32" t="s">
        <v>828</v>
      </c>
      <c r="H175" s="31" t="n">
        <v>45686</v>
      </c>
      <c r="I175" s="32" t="s">
        <v>779</v>
      </c>
      <c r="J175" s="32" t="s">
        <v>751</v>
      </c>
      <c r="K175" s="0" t="n">
        <v>46</v>
      </c>
      <c r="L175" s="32" t="s">
        <v>752</v>
      </c>
      <c r="M175" s="0" t="n">
        <v>6.6</v>
      </c>
      <c r="N175" s="32" t="s">
        <v>753</v>
      </c>
      <c r="O175" s="32" t="s">
        <v>1070</v>
      </c>
      <c r="P175" s="32" t="n">
        <f aca="false">IF(AND(ISNUMBER(K175),K175&gt;=0),K175,IF(ISNUMBER(M175),ROUND(M175*7,0),""))</f>
        <v>46</v>
      </c>
      <c r="Q175" s="0" t="str">
        <f aca="false">IF(ISTEXT(K175),"TEXT - recovered",IF(K175&lt;0,"NEGATIVE",IF(K175&gt;728,"&gt;104 WEEKS","OK")))</f>
        <v>OK</v>
      </c>
      <c r="R175" s="0" t="str">
        <f aca="false">IF(E175="GEN","GM",E175)</f>
        <v>RHE</v>
      </c>
    </row>
    <row r="176" customFormat="false" ht="15" hidden="false" customHeight="false" outlineLevel="0" collapsed="false">
      <c r="A176" s="0" t="s">
        <v>1425</v>
      </c>
      <c r="C176" s="0" t="s">
        <v>1426</v>
      </c>
      <c r="D176" s="31" t="n">
        <v>23206</v>
      </c>
      <c r="E176" s="32" t="s">
        <v>747</v>
      </c>
      <c r="F176" s="32" t="s">
        <v>748</v>
      </c>
      <c r="G176" s="32" t="s">
        <v>749</v>
      </c>
      <c r="H176" s="31" t="n">
        <v>45686</v>
      </c>
      <c r="I176" s="32" t="s">
        <v>788</v>
      </c>
      <c r="J176" s="32" t="s">
        <v>770</v>
      </c>
      <c r="K176" s="0" t="n">
        <v>312</v>
      </c>
      <c r="L176" s="32" t="s">
        <v>771</v>
      </c>
      <c r="M176" s="0" t="n">
        <v>44.6</v>
      </c>
      <c r="N176" s="32" t="s">
        <v>753</v>
      </c>
      <c r="O176" s="32" t="s">
        <v>754</v>
      </c>
      <c r="P176" s="32" t="n">
        <f aca="false">IF(AND(ISNUMBER(K176),K176&gt;=0),K176,IF(ISNUMBER(M176),ROUND(M176*7,0),""))</f>
        <v>312</v>
      </c>
      <c r="Q176" s="0" t="str">
        <f aca="false">IF(ISTEXT(K176),"TEXT - recovered",IF(K176&lt;0,"NEGATIVE",IF(K176&gt;728,"&gt;104 WEEKS","OK")))</f>
        <v>OK</v>
      </c>
      <c r="R176" s="0" t="str">
        <f aca="false">IF(E176="GEN","GM",E176)</f>
        <v>GM</v>
      </c>
    </row>
    <row r="177" customFormat="false" ht="15" hidden="false" customHeight="false" outlineLevel="0" collapsed="false">
      <c r="A177" s="0" t="s">
        <v>1427</v>
      </c>
      <c r="B177" s="0" t="s">
        <v>1164</v>
      </c>
      <c r="C177" s="0" t="s">
        <v>1165</v>
      </c>
      <c r="D177" s="31" t="n">
        <v>22432</v>
      </c>
      <c r="E177" s="32" t="s">
        <v>776</v>
      </c>
      <c r="F177" s="32" t="s">
        <v>777</v>
      </c>
      <c r="G177" s="32" t="s">
        <v>778</v>
      </c>
      <c r="H177" s="31" t="n">
        <v>45686</v>
      </c>
      <c r="I177" s="32" t="s">
        <v>796</v>
      </c>
      <c r="J177" s="32" t="s">
        <v>751</v>
      </c>
      <c r="K177" s="0" t="n">
        <v>35</v>
      </c>
      <c r="L177" s="32" t="s">
        <v>752</v>
      </c>
      <c r="M177" s="0" t="n">
        <v>5</v>
      </c>
      <c r="N177" s="32" t="s">
        <v>753</v>
      </c>
      <c r="O177" s="32" t="s">
        <v>1166</v>
      </c>
      <c r="P177" s="32" t="n">
        <f aca="false">IF(AND(ISNUMBER(K177),K177&gt;=0),K177,IF(ISNUMBER(M177),ROUND(M177*7,0),""))</f>
        <v>35</v>
      </c>
      <c r="Q177" s="0" t="str">
        <f aca="false">IF(ISTEXT(K177),"TEXT - recovered",IF(K177&lt;0,"NEGATIVE",IF(K177&gt;728,"&gt;104 WEEKS","OK")))</f>
        <v>OK</v>
      </c>
      <c r="R177" s="0" t="str">
        <f aca="false">IF(E177="GEN","GM",E177)</f>
        <v>GS</v>
      </c>
    </row>
    <row r="178" customFormat="false" ht="15" hidden="false" customHeight="false" outlineLevel="0" collapsed="false">
      <c r="A178" s="0" t="s">
        <v>1428</v>
      </c>
      <c r="B178" s="0" t="s">
        <v>925</v>
      </c>
      <c r="C178" s="0" t="s">
        <v>926</v>
      </c>
      <c r="D178" s="31" t="n">
        <v>29063</v>
      </c>
      <c r="E178" s="32" t="s">
        <v>776</v>
      </c>
      <c r="F178" s="32" t="s">
        <v>777</v>
      </c>
      <c r="G178" s="32" t="s">
        <v>778</v>
      </c>
      <c r="H178" s="31" t="n">
        <v>45686</v>
      </c>
      <c r="I178" s="32" t="s">
        <v>805</v>
      </c>
      <c r="J178" s="32" t="s">
        <v>751</v>
      </c>
      <c r="K178" s="0" t="n">
        <v>57</v>
      </c>
      <c r="L178" s="32" t="s">
        <v>752</v>
      </c>
      <c r="M178" s="0" t="n">
        <v>8.1</v>
      </c>
      <c r="N178" s="32" t="s">
        <v>753</v>
      </c>
      <c r="O178" s="32" t="s">
        <v>927</v>
      </c>
      <c r="P178" s="32" t="n">
        <f aca="false">IF(AND(ISNUMBER(K178),K178&gt;=0),K178,IF(ISNUMBER(M178),ROUND(M178*7,0),""))</f>
        <v>57</v>
      </c>
      <c r="Q178" s="0" t="str">
        <f aca="false">IF(ISTEXT(K178),"TEXT - recovered",IF(K178&lt;0,"NEGATIVE",IF(K178&gt;728,"&gt;104 WEEKS","OK")))</f>
        <v>OK</v>
      </c>
      <c r="R178" s="0" t="str">
        <f aca="false">IF(E178="GEN","GM",E178)</f>
        <v>GS</v>
      </c>
    </row>
    <row r="179" customFormat="false" ht="15" hidden="false" customHeight="false" outlineLevel="0" collapsed="false">
      <c r="A179" s="0" t="s">
        <v>1429</v>
      </c>
      <c r="B179" s="0" t="s">
        <v>1232</v>
      </c>
      <c r="C179" s="0" t="s">
        <v>1308</v>
      </c>
      <c r="D179" s="31" t="n">
        <v>22681</v>
      </c>
      <c r="E179" s="32" t="s">
        <v>826</v>
      </c>
      <c r="F179" s="32" t="s">
        <v>827</v>
      </c>
      <c r="G179" s="32" t="s">
        <v>828</v>
      </c>
      <c r="H179" s="31" t="n">
        <v>45686</v>
      </c>
      <c r="I179" s="32" t="s">
        <v>813</v>
      </c>
      <c r="J179" s="32" t="s">
        <v>751</v>
      </c>
      <c r="K179" s="0" t="n">
        <v>113</v>
      </c>
      <c r="L179" s="32" t="s">
        <v>752</v>
      </c>
      <c r="M179" s="0" t="n">
        <v>16.1</v>
      </c>
      <c r="N179" s="32" t="s">
        <v>753</v>
      </c>
      <c r="O179" s="32" t="s">
        <v>1309</v>
      </c>
      <c r="P179" s="32" t="n">
        <f aca="false">IF(AND(ISNUMBER(K179),K179&gt;=0),K179,IF(ISNUMBER(M179),ROUND(M179*7,0),""))</f>
        <v>113</v>
      </c>
      <c r="Q179" s="0" t="str">
        <f aca="false">IF(ISTEXT(K179),"TEXT - recovered",IF(K179&lt;0,"NEGATIVE",IF(K179&gt;728,"&gt;104 WEEKS","OK")))</f>
        <v>OK</v>
      </c>
      <c r="R179" s="0" t="str">
        <f aca="false">IF(E179="GEN","GM",E179)</f>
        <v>RHE</v>
      </c>
    </row>
    <row r="180" customFormat="false" ht="15" hidden="false" customHeight="false" outlineLevel="0" collapsed="false">
      <c r="A180" s="0" t="s">
        <v>1430</v>
      </c>
      <c r="B180" s="0" t="s">
        <v>1100</v>
      </c>
      <c r="C180" s="0" t="s">
        <v>853</v>
      </c>
      <c r="D180" s="31" t="n">
        <v>30293</v>
      </c>
      <c r="E180" s="32" t="s">
        <v>793</v>
      </c>
      <c r="F180" s="32" t="s">
        <v>794</v>
      </c>
      <c r="G180" s="32" t="s">
        <v>795</v>
      </c>
      <c r="H180" s="31" t="n">
        <v>45686</v>
      </c>
      <c r="I180" s="32" t="s">
        <v>821</v>
      </c>
      <c r="J180" s="32" t="s">
        <v>751</v>
      </c>
      <c r="K180" s="0" t="n">
        <v>16</v>
      </c>
      <c r="L180" s="32" t="s">
        <v>771</v>
      </c>
      <c r="M180" s="0" t="n">
        <v>2.3</v>
      </c>
      <c r="N180" s="32" t="s">
        <v>330</v>
      </c>
      <c r="O180" s="32" t="s">
        <v>854</v>
      </c>
      <c r="P180" s="32" t="n">
        <f aca="false">IF(AND(ISNUMBER(K180),K180&gt;=0),K180,IF(ISNUMBER(M180),ROUND(M180*7,0),""))</f>
        <v>16</v>
      </c>
      <c r="Q180" s="0" t="str">
        <f aca="false">IF(ISTEXT(K180),"TEXT - recovered",IF(K180&lt;0,"NEGATIVE",IF(K180&gt;728,"&gt;104 WEEKS","OK")))</f>
        <v>OK</v>
      </c>
      <c r="R180" s="0" t="str">
        <f aca="false">IF(E180="GEN","GM",E180)</f>
        <v>EM</v>
      </c>
    </row>
    <row r="181" customFormat="false" ht="15" hidden="false" customHeight="false" outlineLevel="0" collapsed="false">
      <c r="A181" s="0" t="s">
        <v>1431</v>
      </c>
      <c r="B181" s="0" t="s">
        <v>1020</v>
      </c>
      <c r="C181" s="0" t="s">
        <v>1021</v>
      </c>
      <c r="D181" s="31" t="n">
        <v>31626</v>
      </c>
      <c r="E181" s="32" t="s">
        <v>810</v>
      </c>
      <c r="F181" s="32" t="s">
        <v>811</v>
      </c>
      <c r="G181" s="32" t="s">
        <v>812</v>
      </c>
      <c r="H181" s="31" t="n">
        <v>45686</v>
      </c>
      <c r="I181" s="32" t="s">
        <v>829</v>
      </c>
      <c r="J181" s="32" t="s">
        <v>770</v>
      </c>
      <c r="K181" s="0" t="n">
        <v>213</v>
      </c>
      <c r="L181" s="32" t="s">
        <v>771</v>
      </c>
      <c r="M181" s="0" t="n">
        <v>30.4</v>
      </c>
      <c r="N181" s="32" t="s">
        <v>753</v>
      </c>
      <c r="O181" s="32" t="s">
        <v>1022</v>
      </c>
      <c r="P181" s="32" t="n">
        <f aca="false">IF(AND(ISNUMBER(K181),K181&gt;=0),K181,IF(ISNUMBER(M181),ROUND(M181*7,0),""))</f>
        <v>213</v>
      </c>
      <c r="Q181" s="0" t="str">
        <f aca="false">IF(ISTEXT(K181),"TEXT - recovered",IF(K181&lt;0,"NEGATIVE",IF(K181&gt;728,"&gt;104 WEEKS","OK")))</f>
        <v>OK</v>
      </c>
      <c r="R181" s="0" t="str">
        <f aca="false">IF(E181="GEN","GM",E181)</f>
        <v>URO</v>
      </c>
    </row>
    <row r="182" customFormat="false" ht="15" hidden="false" customHeight="false" outlineLevel="0" collapsed="false">
      <c r="A182" s="0" t="s">
        <v>1432</v>
      </c>
      <c r="B182" s="0" t="s">
        <v>745</v>
      </c>
      <c r="C182" s="0" t="s">
        <v>746</v>
      </c>
      <c r="D182" s="31" t="n">
        <v>28564</v>
      </c>
      <c r="E182" s="32" t="s">
        <v>747</v>
      </c>
      <c r="F182" s="32" t="s">
        <v>748</v>
      </c>
      <c r="G182" s="32" t="s">
        <v>749</v>
      </c>
      <c r="H182" s="31" t="n">
        <v>45687</v>
      </c>
      <c r="I182" s="32" t="s">
        <v>750</v>
      </c>
      <c r="J182" s="32" t="s">
        <v>751</v>
      </c>
      <c r="K182" s="0" t="n">
        <v>35</v>
      </c>
      <c r="L182" s="32" t="s">
        <v>752</v>
      </c>
      <c r="M182" s="0" t="n">
        <v>5</v>
      </c>
      <c r="N182" s="32" t="s">
        <v>753</v>
      </c>
      <c r="O182" s="32" t="s">
        <v>754</v>
      </c>
      <c r="P182" s="32" t="n">
        <f aca="false">IF(AND(ISNUMBER(K182),K182&gt;=0),K182,IF(ISNUMBER(M182),ROUND(M182*7,0),""))</f>
        <v>35</v>
      </c>
      <c r="Q182" s="0" t="str">
        <f aca="false">IF(ISTEXT(K182),"TEXT - recovered",IF(K182&lt;0,"NEGATIVE",IF(K182&gt;728,"&gt;104 WEEKS","OK")))</f>
        <v>OK</v>
      </c>
      <c r="R182" s="0" t="str">
        <f aca="false">IF(E182="GEN","GM",E182)</f>
        <v>GM</v>
      </c>
    </row>
    <row r="183" customFormat="false" ht="15" hidden="false" customHeight="false" outlineLevel="0" collapsed="false">
      <c r="A183" s="0" t="s">
        <v>1433</v>
      </c>
      <c r="B183" s="0" t="s">
        <v>756</v>
      </c>
      <c r="C183" s="0" t="s">
        <v>757</v>
      </c>
      <c r="D183" s="31" t="n">
        <v>23945</v>
      </c>
      <c r="E183" s="32" t="s">
        <v>758</v>
      </c>
      <c r="F183" s="32" t="s">
        <v>759</v>
      </c>
      <c r="G183" s="32" t="s">
        <v>760</v>
      </c>
      <c r="H183" s="31" t="n">
        <v>45687</v>
      </c>
      <c r="I183" s="32" t="s">
        <v>761</v>
      </c>
      <c r="J183" s="32" t="s">
        <v>751</v>
      </c>
      <c r="K183" s="0" t="n">
        <v>68</v>
      </c>
      <c r="L183" s="32" t="s">
        <v>752</v>
      </c>
      <c r="M183" s="0" t="n">
        <v>9.7</v>
      </c>
      <c r="N183" s="32" t="s">
        <v>753</v>
      </c>
      <c r="O183" s="32" t="s">
        <v>762</v>
      </c>
      <c r="P183" s="32" t="n">
        <f aca="false">IF(AND(ISNUMBER(K183),K183&gt;=0),K183,IF(ISNUMBER(M183),ROUND(M183*7,0),""))</f>
        <v>68</v>
      </c>
      <c r="Q183" s="0" t="str">
        <f aca="false">IF(ISTEXT(K183),"TEXT - recovered",IF(K183&lt;0,"NEGATIVE",IF(K183&gt;728,"&gt;104 WEEKS","OK")))</f>
        <v>OK</v>
      </c>
      <c r="R183" s="0" t="str">
        <f aca="false">IF(E183="GEN","GM",E183)</f>
        <v>CS</v>
      </c>
    </row>
    <row r="184" customFormat="false" ht="15" hidden="false" customHeight="false" outlineLevel="0" collapsed="false">
      <c r="A184" s="0" t="s">
        <v>1434</v>
      </c>
      <c r="B184" s="0" t="s">
        <v>808</v>
      </c>
      <c r="C184" s="0" t="s">
        <v>809</v>
      </c>
      <c r="D184" s="31" t="n">
        <v>34687</v>
      </c>
      <c r="E184" s="32" t="s">
        <v>810</v>
      </c>
      <c r="F184" s="32" t="s">
        <v>811</v>
      </c>
      <c r="G184" s="32" t="s">
        <v>812</v>
      </c>
      <c r="H184" s="31" t="n">
        <v>45687</v>
      </c>
      <c r="I184" s="32" t="s">
        <v>769</v>
      </c>
      <c r="J184" s="32" t="s">
        <v>751</v>
      </c>
      <c r="K184" s="0" t="n">
        <v>35</v>
      </c>
      <c r="L184" s="32" t="s">
        <v>752</v>
      </c>
      <c r="M184" s="0" t="n">
        <v>5</v>
      </c>
      <c r="N184" s="32" t="s">
        <v>753</v>
      </c>
      <c r="O184" s="32" t="s">
        <v>814</v>
      </c>
      <c r="P184" s="32" t="n">
        <f aca="false">IF(AND(ISNUMBER(K184),K184&gt;=0),K184,IF(ISNUMBER(M184),ROUND(M184*7,0),""))</f>
        <v>35</v>
      </c>
      <c r="Q184" s="0" t="str">
        <f aca="false">IF(ISTEXT(K184),"TEXT - recovered",IF(K184&lt;0,"NEGATIVE",IF(K184&gt;728,"&gt;104 WEEKS","OK")))</f>
        <v>OK</v>
      </c>
      <c r="R184" s="0" t="str">
        <f aca="false">IF(E184="GEN","GM",E184)</f>
        <v>URO</v>
      </c>
    </row>
    <row r="185" customFormat="false" ht="15" hidden="false" customHeight="false" outlineLevel="0" collapsed="false">
      <c r="A185" s="0" t="s">
        <v>1435</v>
      </c>
      <c r="B185" s="0" t="s">
        <v>1084</v>
      </c>
      <c r="C185" s="0" t="s">
        <v>1085</v>
      </c>
      <c r="D185" s="31" t="n">
        <v>18453</v>
      </c>
      <c r="E185" s="32" t="s">
        <v>776</v>
      </c>
      <c r="F185" s="32" t="s">
        <v>777</v>
      </c>
      <c r="G185" s="32" t="s">
        <v>778</v>
      </c>
      <c r="H185" s="31" t="n">
        <v>45687</v>
      </c>
      <c r="I185" s="32" t="s">
        <v>779</v>
      </c>
      <c r="J185" s="32" t="s">
        <v>751</v>
      </c>
      <c r="K185" s="0" t="n">
        <v>90</v>
      </c>
      <c r="L185" s="32" t="s">
        <v>752</v>
      </c>
      <c r="M185" s="0" t="n">
        <v>12.9</v>
      </c>
      <c r="N185" s="32" t="s">
        <v>753</v>
      </c>
      <c r="O185" s="32" t="s">
        <v>1086</v>
      </c>
      <c r="P185" s="32" t="n">
        <f aca="false">IF(AND(ISNUMBER(K185),K185&gt;=0),K185,IF(ISNUMBER(M185),ROUND(M185*7,0),""))</f>
        <v>90</v>
      </c>
      <c r="Q185" s="0" t="str">
        <f aca="false">IF(ISTEXT(K185),"TEXT - recovered",IF(K185&lt;0,"NEGATIVE",IF(K185&gt;728,"&gt;104 WEEKS","OK")))</f>
        <v>OK</v>
      </c>
      <c r="R185" s="0" t="str">
        <f aca="false">IF(E185="GEN","GM",E185)</f>
        <v>GS</v>
      </c>
    </row>
    <row r="186" customFormat="false" ht="15" hidden="false" customHeight="false" outlineLevel="0" collapsed="false">
      <c r="A186" s="0" t="s">
        <v>1436</v>
      </c>
      <c r="B186" s="0" t="s">
        <v>1000</v>
      </c>
      <c r="C186" s="0" t="s">
        <v>1001</v>
      </c>
      <c r="D186" s="31" t="n">
        <v>26998</v>
      </c>
      <c r="E186" s="32" t="s">
        <v>766</v>
      </c>
      <c r="F186" s="32" t="s">
        <v>767</v>
      </c>
      <c r="G186" s="32" t="s">
        <v>768</v>
      </c>
      <c r="H186" s="31" t="n">
        <v>45687</v>
      </c>
      <c r="I186" s="32" t="s">
        <v>788</v>
      </c>
      <c r="J186" s="32" t="s">
        <v>770</v>
      </c>
      <c r="K186" s="0" t="n">
        <v>312</v>
      </c>
      <c r="L186" s="32" t="s">
        <v>771</v>
      </c>
      <c r="M186" s="0" t="n">
        <v>44.6</v>
      </c>
      <c r="N186" s="32" t="s">
        <v>753</v>
      </c>
      <c r="O186" s="32" t="s">
        <v>1002</v>
      </c>
      <c r="P186" s="32" t="n">
        <f aca="false">IF(AND(ISNUMBER(K186),K186&gt;=0),K186,IF(ISNUMBER(M186),ROUND(M186*7,0),""))</f>
        <v>312</v>
      </c>
      <c r="Q186" s="0" t="str">
        <f aca="false">IF(ISTEXT(K186),"TEXT - recovered",IF(K186&lt;0,"NEGATIVE",IF(K186&gt;728,"&gt;104 WEEKS","OK")))</f>
        <v>OK</v>
      </c>
      <c r="R186" s="0" t="str">
        <f aca="false">IF(E186="GEN","GM",E186)</f>
        <v>OR</v>
      </c>
    </row>
    <row r="187" customFormat="false" ht="15" hidden="false" customHeight="false" outlineLevel="0" collapsed="false">
      <c r="A187" s="0" t="s">
        <v>1437</v>
      </c>
      <c r="B187" s="0" t="s">
        <v>774</v>
      </c>
      <c r="C187" s="0" t="s">
        <v>775</v>
      </c>
      <c r="D187" s="31" t="n">
        <v>26329</v>
      </c>
      <c r="E187" s="32" t="s">
        <v>776</v>
      </c>
      <c r="F187" s="32" t="s">
        <v>777</v>
      </c>
      <c r="G187" s="32" t="s">
        <v>1438</v>
      </c>
      <c r="H187" s="31" t="n">
        <v>45687</v>
      </c>
      <c r="I187" s="32" t="s">
        <v>796</v>
      </c>
      <c r="J187" s="32" t="s">
        <v>751</v>
      </c>
      <c r="K187" s="0" t="n">
        <v>28</v>
      </c>
      <c r="L187" s="32" t="s">
        <v>752</v>
      </c>
      <c r="M187" s="0" t="n">
        <v>4</v>
      </c>
      <c r="N187" s="32" t="s">
        <v>780</v>
      </c>
      <c r="O187" s="32" t="s">
        <v>781</v>
      </c>
      <c r="P187" s="32" t="n">
        <f aca="false">IF(AND(ISNUMBER(K187),K187&gt;=0),K187,IF(ISNUMBER(M187),ROUND(M187*7,0),""))</f>
        <v>28</v>
      </c>
      <c r="Q187" s="0" t="str">
        <f aca="false">IF(ISTEXT(K187),"TEXT - recovered",IF(K187&lt;0,"NEGATIVE",IF(K187&gt;728,"&gt;104 WEEKS","OK")))</f>
        <v>OK</v>
      </c>
      <c r="R187" s="0" t="str">
        <f aca="false">IF(E187="GEN","GM",E187)</f>
        <v>GS</v>
      </c>
    </row>
    <row r="188" customFormat="false" ht="15" hidden="false" customHeight="false" outlineLevel="0" collapsed="false">
      <c r="A188" s="0" t="s">
        <v>1439</v>
      </c>
      <c r="B188" s="0" t="s">
        <v>1008</v>
      </c>
      <c r="C188" s="0" t="s">
        <v>1009</v>
      </c>
      <c r="D188" s="31" t="n">
        <v>32633</v>
      </c>
      <c r="E188" s="32" t="s">
        <v>785</v>
      </c>
      <c r="F188" s="32" t="s">
        <v>786</v>
      </c>
      <c r="G188" s="32" t="s">
        <v>787</v>
      </c>
      <c r="H188" s="31" t="n">
        <v>45687</v>
      </c>
      <c r="I188" s="32" t="s">
        <v>805</v>
      </c>
      <c r="J188" s="32" t="s">
        <v>751</v>
      </c>
      <c r="K188" s="0" t="n">
        <v>35</v>
      </c>
      <c r="L188" s="32" t="s">
        <v>752</v>
      </c>
      <c r="M188" s="0" t="n">
        <v>5</v>
      </c>
      <c r="N188" s="32" t="s">
        <v>753</v>
      </c>
      <c r="O188" s="32" t="s">
        <v>1010</v>
      </c>
      <c r="P188" s="32" t="n">
        <f aca="false">IF(AND(ISNUMBER(K188),K188&gt;=0),K188,IF(ISNUMBER(M188),ROUND(M188*7,0),""))</f>
        <v>35</v>
      </c>
      <c r="Q188" s="0" t="str">
        <f aca="false">IF(ISTEXT(K188),"TEXT - recovered",IF(K188&lt;0,"NEGATIVE",IF(K188&gt;728,"&gt;104 WEEKS","OK")))</f>
        <v>OK</v>
      </c>
      <c r="R188" s="0" t="str">
        <f aca="false">IF(E188="GEN","GM",E188)</f>
        <v>RS</v>
      </c>
    </row>
    <row r="189" customFormat="false" ht="15" hidden="false" customHeight="false" outlineLevel="0" collapsed="false">
      <c r="A189" s="0" t="s">
        <v>1440</v>
      </c>
      <c r="B189" s="0" t="s">
        <v>1012</v>
      </c>
      <c r="C189" s="0" t="s">
        <v>1013</v>
      </c>
      <c r="D189" s="31" t="n">
        <v>16094</v>
      </c>
      <c r="E189" s="32" t="s">
        <v>793</v>
      </c>
      <c r="F189" s="32" t="s">
        <v>794</v>
      </c>
      <c r="G189" s="32" t="s">
        <v>795</v>
      </c>
      <c r="H189" s="31" t="n">
        <v>45687</v>
      </c>
      <c r="I189" s="32" t="s">
        <v>813</v>
      </c>
      <c r="J189" s="32" t="s">
        <v>751</v>
      </c>
      <c r="K189" s="0" t="n">
        <v>19</v>
      </c>
      <c r="L189" s="32" t="s">
        <v>771</v>
      </c>
      <c r="M189" s="0" t="n">
        <v>2.7</v>
      </c>
      <c r="N189" s="32" t="s">
        <v>330</v>
      </c>
      <c r="O189" s="32" t="s">
        <v>1014</v>
      </c>
      <c r="P189" s="32" t="n">
        <f aca="false">IF(AND(ISNUMBER(K189),K189&gt;=0),K189,IF(ISNUMBER(M189),ROUND(M189*7,0),""))</f>
        <v>19</v>
      </c>
      <c r="Q189" s="0" t="str">
        <f aca="false">IF(ISTEXT(K189),"TEXT - recovered",IF(K189&lt;0,"NEGATIVE",IF(K189&gt;728,"&gt;104 WEEKS","OK")))</f>
        <v>OK</v>
      </c>
      <c r="R189" s="0" t="str">
        <f aca="false">IF(E189="GEN","GM",E189)</f>
        <v>EM</v>
      </c>
    </row>
    <row r="190" customFormat="false" ht="15" hidden="false" customHeight="false" outlineLevel="0" collapsed="false">
      <c r="A190" s="0" t="s">
        <v>1441</v>
      </c>
      <c r="B190" s="0" t="s">
        <v>1024</v>
      </c>
      <c r="C190" s="0" t="s">
        <v>1025</v>
      </c>
      <c r="D190" s="31" t="n">
        <v>21961</v>
      </c>
      <c r="E190" s="32" t="s">
        <v>818</v>
      </c>
      <c r="F190" s="32" t="s">
        <v>819</v>
      </c>
      <c r="G190" s="32" t="s">
        <v>820</v>
      </c>
      <c r="H190" s="31" t="n">
        <v>45687</v>
      </c>
      <c r="I190" s="32" t="s">
        <v>821</v>
      </c>
      <c r="J190" s="32" t="s">
        <v>751</v>
      </c>
      <c r="K190" s="0" t="n">
        <v>57</v>
      </c>
      <c r="L190" s="32" t="s">
        <v>752</v>
      </c>
      <c r="M190" s="0" t="n">
        <v>8.1</v>
      </c>
      <c r="N190" s="32" t="s">
        <v>753</v>
      </c>
      <c r="O190" s="32" t="s">
        <v>1026</v>
      </c>
      <c r="P190" s="32" t="n">
        <f aca="false">IF(AND(ISNUMBER(K190),K190&gt;=0),K190,IF(ISNUMBER(M190),ROUND(M190*7,0),""))</f>
        <v>57</v>
      </c>
      <c r="Q190" s="0" t="str">
        <f aca="false">IF(ISTEXT(K190),"TEXT - recovered",IF(K190&lt;0,"NEGATIVE",IF(K190&gt;728,"&gt;104 WEEKS","OK")))</f>
        <v>OK</v>
      </c>
      <c r="R190" s="0" t="str">
        <f aca="false">IF(E190="GEN","GM",E190)</f>
        <v>OPH</v>
      </c>
    </row>
    <row r="191" customFormat="false" ht="15" hidden="false" customHeight="false" outlineLevel="0" collapsed="false">
      <c r="A191" s="0" t="s">
        <v>1442</v>
      </c>
      <c r="B191" s="0" t="s">
        <v>1028</v>
      </c>
      <c r="C191" s="0" t="s">
        <v>1029</v>
      </c>
      <c r="D191" s="31" t="n">
        <v>27305</v>
      </c>
      <c r="E191" s="32" t="s">
        <v>826</v>
      </c>
      <c r="F191" s="32" t="s">
        <v>827</v>
      </c>
      <c r="G191" s="32" t="s">
        <v>828</v>
      </c>
      <c r="H191" s="31" t="n">
        <v>45687</v>
      </c>
      <c r="I191" s="32" t="s">
        <v>829</v>
      </c>
      <c r="J191" s="32" t="s">
        <v>751</v>
      </c>
      <c r="K191" s="0" t="n">
        <v>90</v>
      </c>
      <c r="L191" s="32" t="s">
        <v>752</v>
      </c>
      <c r="M191" s="0" t="n">
        <v>12.9</v>
      </c>
      <c r="N191" s="32" t="s">
        <v>753</v>
      </c>
      <c r="O191" s="32" t="s">
        <v>1030</v>
      </c>
      <c r="P191" s="32" t="n">
        <f aca="false">IF(AND(ISNUMBER(K191),K191&gt;=0),K191,IF(ISNUMBER(M191),ROUND(M191*7,0),""))</f>
        <v>90</v>
      </c>
      <c r="Q191" s="0" t="str">
        <f aca="false">IF(ISTEXT(K191),"TEXT - recovered",IF(K191&lt;0,"NEGATIVE",IF(K191&gt;728,"&gt;104 WEEKS","OK")))</f>
        <v>OK</v>
      </c>
      <c r="R191" s="0" t="str">
        <f aca="false">IF(E191="GEN","GM",E191)</f>
        <v>RHE</v>
      </c>
    </row>
    <row r="192" customFormat="false" ht="15" hidden="false" customHeight="false" outlineLevel="0" collapsed="false">
      <c r="A192" s="0" t="s">
        <v>1443</v>
      </c>
      <c r="B192" s="0" t="s">
        <v>1397</v>
      </c>
      <c r="C192" s="0" t="s">
        <v>1398</v>
      </c>
      <c r="D192" s="31" t="n">
        <v>33444</v>
      </c>
      <c r="E192" s="32" t="s">
        <v>766</v>
      </c>
      <c r="G192" s="32" t="s">
        <v>768</v>
      </c>
      <c r="H192" s="31" t="n">
        <v>45688</v>
      </c>
      <c r="I192" s="32" t="s">
        <v>750</v>
      </c>
      <c r="J192" s="32" t="s">
        <v>770</v>
      </c>
      <c r="K192" s="0" t="n">
        <v>146</v>
      </c>
      <c r="L192" s="32" t="s">
        <v>771</v>
      </c>
      <c r="M192" s="0" t="n">
        <v>20.9</v>
      </c>
      <c r="N192" s="32" t="s">
        <v>753</v>
      </c>
      <c r="P192" s="32" t="n">
        <f aca="false">IF(AND(ISNUMBER(K192),K192&gt;=0),K192,IF(ISNUMBER(M192),ROUND(M192*7,0),""))</f>
        <v>146</v>
      </c>
      <c r="Q192" s="0" t="str">
        <f aca="false">IF(ISTEXT(K192),"TEXT - recovered",IF(K192&lt;0,"NEGATIVE",IF(K192&gt;728,"&gt;104 WEEKS","OK")))</f>
        <v>OK</v>
      </c>
      <c r="R192" s="0" t="str">
        <f aca="false">IF(E192="GEN","GM",E192)</f>
        <v>OR</v>
      </c>
    </row>
    <row r="193" customFormat="false" ht="15" hidden="false" customHeight="false" outlineLevel="0" collapsed="false">
      <c r="A193" s="0" t="s">
        <v>1444</v>
      </c>
      <c r="B193" s="0" t="s">
        <v>976</v>
      </c>
      <c r="C193" s="0" t="s">
        <v>977</v>
      </c>
      <c r="D193" s="31" t="n">
        <v>28504</v>
      </c>
      <c r="E193" s="32" t="s">
        <v>802</v>
      </c>
      <c r="F193" s="32" t="s">
        <v>803</v>
      </c>
      <c r="G193" s="32" t="s">
        <v>804</v>
      </c>
      <c r="H193" s="31" t="n">
        <v>45688</v>
      </c>
      <c r="I193" s="32" t="s">
        <v>761</v>
      </c>
      <c r="J193" s="32" t="s">
        <v>770</v>
      </c>
      <c r="K193" s="0" t="n">
        <v>135</v>
      </c>
      <c r="L193" s="32" t="s">
        <v>771</v>
      </c>
      <c r="M193" s="0" t="n">
        <v>19.3</v>
      </c>
      <c r="N193" s="32" t="s">
        <v>753</v>
      </c>
      <c r="O193" s="32" t="s">
        <v>978</v>
      </c>
      <c r="P193" s="32" t="n">
        <f aca="false">IF(AND(ISNUMBER(K193),K193&gt;=0),K193,IF(ISNUMBER(M193),ROUND(M193*7,0),""))</f>
        <v>135</v>
      </c>
      <c r="Q193" s="0" t="str">
        <f aca="false">IF(ISTEXT(K193),"TEXT - recovered",IF(K193&lt;0,"NEGATIVE",IF(K193&gt;728,"&gt;104 WEEKS","OK")))</f>
        <v>OK</v>
      </c>
      <c r="R193" s="0" t="str">
        <f aca="false">IF(E193="GEN","GM",E193)</f>
        <v>GYN</v>
      </c>
    </row>
    <row r="194" customFormat="false" ht="15" hidden="false" customHeight="false" outlineLevel="0" collapsed="false">
      <c r="A194" s="0" t="s">
        <v>1445</v>
      </c>
      <c r="B194" s="0" t="s">
        <v>961</v>
      </c>
      <c r="C194" s="0" t="s">
        <v>962</v>
      </c>
      <c r="D194" s="31" t="n">
        <v>25358</v>
      </c>
      <c r="E194" s="32" t="s">
        <v>766</v>
      </c>
      <c r="F194" s="32" t="s">
        <v>767</v>
      </c>
      <c r="G194" s="32" t="s">
        <v>768</v>
      </c>
      <c r="H194" s="31" t="n">
        <v>45688</v>
      </c>
      <c r="I194" s="32" t="s">
        <v>769</v>
      </c>
      <c r="J194" s="32" t="s">
        <v>751</v>
      </c>
      <c r="K194" s="0" t="n">
        <v>90</v>
      </c>
      <c r="L194" s="32" t="s">
        <v>752</v>
      </c>
      <c r="M194" s="0" t="n">
        <v>12.9</v>
      </c>
      <c r="N194" s="32" t="s">
        <v>780</v>
      </c>
      <c r="O194" s="32" t="s">
        <v>963</v>
      </c>
      <c r="P194" s="32" t="n">
        <f aca="false">IF(AND(ISNUMBER(K194),K194&gt;=0),K194,IF(ISNUMBER(M194),ROUND(M194*7,0),""))</f>
        <v>90</v>
      </c>
      <c r="Q194" s="0" t="str">
        <f aca="false">IF(ISTEXT(K194),"TEXT - recovered",IF(K194&lt;0,"NEGATIVE",IF(K194&gt;728,"&gt;104 WEEKS","OK")))</f>
        <v>OK</v>
      </c>
      <c r="R194" s="0" t="str">
        <f aca="false">IF(E194="GEN","GM",E194)</f>
        <v>OR</v>
      </c>
    </row>
    <row r="195" customFormat="false" ht="15" hidden="false" customHeight="false" outlineLevel="0" collapsed="false">
      <c r="A195" s="0" t="s">
        <v>1446</v>
      </c>
      <c r="B195" s="0" t="s">
        <v>1052</v>
      </c>
      <c r="C195" s="0" t="s">
        <v>1053</v>
      </c>
      <c r="D195" s="31" t="n">
        <v>17154</v>
      </c>
      <c r="E195" s="32" t="s">
        <v>793</v>
      </c>
      <c r="F195" s="32" t="s">
        <v>794</v>
      </c>
      <c r="G195" s="32" t="s">
        <v>795</v>
      </c>
      <c r="H195" s="31" t="n">
        <v>45688</v>
      </c>
      <c r="I195" s="32" t="s">
        <v>779</v>
      </c>
      <c r="J195" s="32" t="s">
        <v>797</v>
      </c>
      <c r="K195" s="0" t="n">
        <v>15</v>
      </c>
      <c r="L195" s="32" t="s">
        <v>771</v>
      </c>
      <c r="M195" s="0" t="n">
        <v>2.1</v>
      </c>
      <c r="N195" s="32" t="s">
        <v>330</v>
      </c>
      <c r="O195" s="32" t="s">
        <v>1054</v>
      </c>
      <c r="P195" s="32" t="n">
        <f aca="false">IF(AND(ISNUMBER(K195),K195&gt;=0),K195,IF(ISNUMBER(M195),ROUND(M195*7,0),""))</f>
        <v>15</v>
      </c>
      <c r="Q195" s="0" t="str">
        <f aca="false">IF(ISTEXT(K195),"TEXT - recovered",IF(K195&lt;0,"NEGATIVE",IF(K195&gt;728,"&gt;104 WEEKS","OK")))</f>
        <v>OK</v>
      </c>
      <c r="R195" s="0" t="str">
        <f aca="false">IF(E195="GEN","GM",E195)</f>
        <v>EM</v>
      </c>
    </row>
    <row r="196" customFormat="false" ht="15" hidden="false" customHeight="false" outlineLevel="0" collapsed="false">
      <c r="A196" s="0" t="s">
        <v>1447</v>
      </c>
      <c r="B196" s="0" t="s">
        <v>1056</v>
      </c>
      <c r="C196" s="0" t="s">
        <v>1057</v>
      </c>
      <c r="D196" s="31" t="n">
        <v>28343</v>
      </c>
      <c r="E196" s="32" t="s">
        <v>802</v>
      </c>
      <c r="F196" s="32" t="s">
        <v>803</v>
      </c>
      <c r="G196" s="32" t="s">
        <v>804</v>
      </c>
      <c r="H196" s="31" t="n">
        <v>45688</v>
      </c>
      <c r="I196" s="32" t="s">
        <v>788</v>
      </c>
      <c r="J196" s="32" t="s">
        <v>751</v>
      </c>
      <c r="K196" s="0" t="n">
        <v>68</v>
      </c>
      <c r="L196" s="32" t="s">
        <v>752</v>
      </c>
      <c r="M196" s="0" t="n">
        <v>9.7</v>
      </c>
      <c r="N196" s="32" t="s">
        <v>753</v>
      </c>
      <c r="O196" s="32" t="s">
        <v>1058</v>
      </c>
      <c r="P196" s="32" t="n">
        <f aca="false">IF(AND(ISNUMBER(K196),K196&gt;=0),K196,IF(ISNUMBER(M196),ROUND(M196*7,0),""))</f>
        <v>68</v>
      </c>
      <c r="Q196" s="0" t="str">
        <f aca="false">IF(ISTEXT(K196),"TEXT - recovered",IF(K196&lt;0,"NEGATIVE",IF(K196&gt;728,"&gt;104 WEEKS","OK")))</f>
        <v>OK</v>
      </c>
      <c r="R196" s="0" t="str">
        <f aca="false">IF(E196="GEN","GM",E196)</f>
        <v>GYN</v>
      </c>
    </row>
    <row r="197" customFormat="false" ht="15" hidden="false" customHeight="false" outlineLevel="0" collapsed="false">
      <c r="A197" s="0" t="s">
        <v>1448</v>
      </c>
      <c r="B197" s="0" t="s">
        <v>1401</v>
      </c>
      <c r="C197" s="0" t="s">
        <v>1402</v>
      </c>
      <c r="D197" s="31" t="n">
        <v>23813</v>
      </c>
      <c r="E197" s="32" t="s">
        <v>785</v>
      </c>
      <c r="F197" s="32" t="s">
        <v>786</v>
      </c>
      <c r="G197" s="32" t="s">
        <v>787</v>
      </c>
      <c r="H197" s="31" t="n">
        <v>45688</v>
      </c>
      <c r="I197" s="32" t="s">
        <v>796</v>
      </c>
      <c r="J197" s="32" t="s">
        <v>770</v>
      </c>
      <c r="K197" s="0" t="n">
        <v>190</v>
      </c>
      <c r="L197" s="32" t="s">
        <v>771</v>
      </c>
      <c r="M197" s="0" t="n">
        <v>27.1</v>
      </c>
      <c r="N197" s="32" t="s">
        <v>753</v>
      </c>
      <c r="O197" s="32" t="s">
        <v>1403</v>
      </c>
      <c r="P197" s="32" t="n">
        <f aca="false">IF(AND(ISNUMBER(K197),K197&gt;=0),K197,IF(ISNUMBER(M197),ROUND(M197*7,0),""))</f>
        <v>190</v>
      </c>
      <c r="Q197" s="0" t="str">
        <f aca="false">IF(ISTEXT(K197),"TEXT - recovered",IF(K197&lt;0,"NEGATIVE",IF(K197&gt;728,"&gt;104 WEEKS","OK")))</f>
        <v>OK</v>
      </c>
      <c r="R197" s="0" t="str">
        <f aca="false">IF(E197="GEN","GM",E197)</f>
        <v>RS</v>
      </c>
    </row>
    <row r="198" customFormat="false" ht="15" hidden="false" customHeight="false" outlineLevel="0" collapsed="false">
      <c r="A198" s="0" t="s">
        <v>1449</v>
      </c>
      <c r="B198" s="0" t="s">
        <v>1060</v>
      </c>
      <c r="C198" s="0" t="s">
        <v>1061</v>
      </c>
      <c r="D198" s="31" t="n">
        <v>34083</v>
      </c>
      <c r="E198" s="32" t="s">
        <v>810</v>
      </c>
      <c r="F198" s="32" t="s">
        <v>811</v>
      </c>
      <c r="G198" s="32" t="s">
        <v>812</v>
      </c>
      <c r="H198" s="31" t="n">
        <v>45688</v>
      </c>
      <c r="I198" s="32" t="s">
        <v>805</v>
      </c>
      <c r="J198" s="32" t="s">
        <v>751</v>
      </c>
      <c r="K198" s="0" t="n">
        <v>24</v>
      </c>
      <c r="L198" s="32" t="s">
        <v>752</v>
      </c>
      <c r="M198" s="0" t="n">
        <v>3.4</v>
      </c>
      <c r="N198" s="32" t="s">
        <v>753</v>
      </c>
      <c r="O198" s="32" t="s">
        <v>1062</v>
      </c>
      <c r="P198" s="32" t="n">
        <f aca="false">IF(AND(ISNUMBER(K198),K198&gt;=0),K198,IF(ISNUMBER(M198),ROUND(M198*7,0),""))</f>
        <v>24</v>
      </c>
      <c r="Q198" s="0" t="str">
        <f aca="false">IF(ISTEXT(K198),"TEXT - recovered",IF(K198&lt;0,"NEGATIVE",IF(K198&gt;728,"&gt;104 WEEKS","OK")))</f>
        <v>OK</v>
      </c>
      <c r="R198" s="0" t="str">
        <f aca="false">IF(E198="GEN","GM",E198)</f>
        <v>URO</v>
      </c>
    </row>
    <row r="199" customFormat="false" ht="15" hidden="false" customHeight="false" outlineLevel="0" collapsed="false">
      <c r="A199" s="0" t="s">
        <v>1450</v>
      </c>
      <c r="B199" s="0" t="s">
        <v>1413</v>
      </c>
      <c r="C199" s="0" t="s">
        <v>1414</v>
      </c>
      <c r="D199" s="31" t="n">
        <v>31460</v>
      </c>
      <c r="E199" s="32" t="s">
        <v>802</v>
      </c>
      <c r="F199" s="32" t="s">
        <v>803</v>
      </c>
      <c r="G199" s="32" t="s">
        <v>804</v>
      </c>
      <c r="H199" s="31" t="n">
        <v>45688</v>
      </c>
      <c r="I199" s="32" t="s">
        <v>813</v>
      </c>
      <c r="J199" s="32" t="s">
        <v>751</v>
      </c>
      <c r="K199" s="0" t="n">
        <v>35</v>
      </c>
      <c r="L199" s="32" t="s">
        <v>752</v>
      </c>
      <c r="M199" s="0" t="n">
        <v>5</v>
      </c>
      <c r="N199" s="32" t="s">
        <v>753</v>
      </c>
      <c r="O199" s="32" t="s">
        <v>806</v>
      </c>
      <c r="P199" s="32" t="n">
        <f aca="false">IF(AND(ISNUMBER(K199),K199&gt;=0),K199,IF(ISNUMBER(M199),ROUND(M199*7,0),""))</f>
        <v>35</v>
      </c>
      <c r="Q199" s="0" t="str">
        <f aca="false">IF(ISTEXT(K199),"TEXT - recovered",IF(K199&lt;0,"NEGATIVE",IF(K199&gt;728,"&gt;104 WEEKS","OK")))</f>
        <v>OK</v>
      </c>
      <c r="R199" s="0" t="str">
        <f aca="false">IF(E199="GEN","GM",E199)</f>
        <v>GYN</v>
      </c>
    </row>
    <row r="200" customFormat="false" ht="15" hidden="false" customHeight="false" outlineLevel="0" collapsed="false">
      <c r="A200" s="0" t="s">
        <v>1451</v>
      </c>
      <c r="B200" s="0" t="s">
        <v>1452</v>
      </c>
      <c r="C200" s="0" t="s">
        <v>1453</v>
      </c>
      <c r="D200" s="31" t="n">
        <v>26570</v>
      </c>
      <c r="E200" s="32" t="s">
        <v>1391</v>
      </c>
      <c r="G200" s="32" t="s">
        <v>1454</v>
      </c>
      <c r="H200" s="31" t="n">
        <v>45688</v>
      </c>
      <c r="I200" s="32" t="s">
        <v>821</v>
      </c>
      <c r="J200" s="32" t="s">
        <v>1455</v>
      </c>
      <c r="K200" s="0" t="n">
        <v>89</v>
      </c>
      <c r="L200" s="32" t="s">
        <v>771</v>
      </c>
      <c r="M200" s="0" t="n">
        <v>12.7</v>
      </c>
      <c r="N200" s="32" t="s">
        <v>1456</v>
      </c>
      <c r="O200" s="32" t="s">
        <v>1457</v>
      </c>
      <c r="P200" s="32" t="n">
        <f aca="false">IF(AND(ISNUMBER(K200),K200&gt;=0),K200,IF(ISNUMBER(M200),ROUND(M200*7,0),""))</f>
        <v>89</v>
      </c>
      <c r="Q200" s="0" t="str">
        <f aca="false">IF(ISTEXT(K200),"TEXT - recovered",IF(K200&lt;0,"NEGATIVE",IF(K200&gt;728,"&gt;104 WEEKS","OK")))</f>
        <v>OK</v>
      </c>
      <c r="R200" s="0" t="str">
        <f aca="false">IF(E200="GEN","GM",E200)</f>
        <v>GM</v>
      </c>
    </row>
    <row r="201" customFormat="false" ht="15" hidden="false" customHeight="false" outlineLevel="0" collapsed="false">
      <c r="A201" s="0" t="s">
        <v>1458</v>
      </c>
      <c r="B201" s="0" t="s">
        <v>1459</v>
      </c>
      <c r="C201" s="0" t="s">
        <v>1460</v>
      </c>
      <c r="D201" s="31" t="n">
        <v>30818</v>
      </c>
      <c r="E201" s="32" t="s">
        <v>747</v>
      </c>
      <c r="F201" s="32" t="s">
        <v>748</v>
      </c>
      <c r="G201" s="32" t="s">
        <v>749</v>
      </c>
      <c r="H201" s="31" t="n">
        <v>45688</v>
      </c>
      <c r="I201" s="32" t="s">
        <v>1461</v>
      </c>
      <c r="J201" s="32" t="s">
        <v>751</v>
      </c>
      <c r="K201" s="0" t="n">
        <v>-3</v>
      </c>
      <c r="L201" s="32" t="s">
        <v>771</v>
      </c>
      <c r="N201" s="32" t="s">
        <v>753</v>
      </c>
      <c r="O201" s="32" t="s">
        <v>895</v>
      </c>
      <c r="P201" s="0" t="str">
        <f aca="false">IF(AND(ISNUMBER(K201),K201&gt;=0),K201,IF(ISNUMBER(M201),ROUND(M201*7,0),""))</f>
        <v/>
      </c>
      <c r="Q201" s="0" t="str">
        <f aca="false">IF(ISTEXT(K201),"TEXT - recovered",IF(K201&lt;0,"NEGATIVE",IF(K201&gt;728,"&gt;104 WEEKS","OK")))</f>
        <v>NEGATIVE</v>
      </c>
      <c r="R201" s="0" t="str">
        <f aca="false">IF(E201="GEN","GM",E201)</f>
        <v>GM</v>
      </c>
    </row>
    <row r="202" customFormat="false" ht="15" hidden="false" customHeight="false" outlineLevel="0" collapsed="false">
      <c r="A202" s="0" t="s">
        <v>1462</v>
      </c>
      <c r="B202" s="0" t="s">
        <v>1418</v>
      </c>
      <c r="C202" s="0" t="s">
        <v>1419</v>
      </c>
      <c r="D202" s="31" t="n">
        <v>29089</v>
      </c>
      <c r="E202" s="32" t="s">
        <v>776</v>
      </c>
      <c r="G202" s="32" t="s">
        <v>778</v>
      </c>
      <c r="H202" s="31" t="n">
        <v>45691</v>
      </c>
      <c r="I202" s="32" t="s">
        <v>750</v>
      </c>
      <c r="J202" s="32" t="s">
        <v>751</v>
      </c>
      <c r="K202" s="0" t="n">
        <v>68</v>
      </c>
      <c r="L202" s="32" t="s">
        <v>752</v>
      </c>
      <c r="M202" s="0" t="n">
        <v>9.7</v>
      </c>
      <c r="N202" s="32" t="s">
        <v>753</v>
      </c>
      <c r="O202" s="32" t="s">
        <v>1026</v>
      </c>
      <c r="P202" s="32" t="n">
        <f aca="false">IF(AND(ISNUMBER(K202),K202&gt;=0),K202,IF(ISNUMBER(M202),ROUND(M202*7,0),""))</f>
        <v>68</v>
      </c>
      <c r="Q202" s="0" t="str">
        <f aca="false">IF(ISTEXT(K202),"TEXT - recovered",IF(K202&lt;0,"NEGATIVE",IF(K202&gt;728,"&gt;104 WEEKS","OK")))</f>
        <v>OK</v>
      </c>
      <c r="R202" s="0" t="str">
        <f aca="false">IF(E202="GEN","GM",E202)</f>
        <v>GS</v>
      </c>
    </row>
    <row r="203" customFormat="false" ht="15" hidden="false" customHeight="false" outlineLevel="0" collapsed="false">
      <c r="A203" s="0" t="s">
        <v>1463</v>
      </c>
      <c r="B203" s="0" t="s">
        <v>973</v>
      </c>
      <c r="C203" s="0" t="s">
        <v>837</v>
      </c>
      <c r="D203" s="31" t="n">
        <v>23555</v>
      </c>
      <c r="E203" s="32" t="s">
        <v>793</v>
      </c>
      <c r="F203" s="32" t="s">
        <v>794</v>
      </c>
      <c r="G203" s="32" t="s">
        <v>795</v>
      </c>
      <c r="H203" s="31" t="n">
        <v>45691</v>
      </c>
      <c r="I203" s="32" t="s">
        <v>761</v>
      </c>
      <c r="J203" s="32" t="s">
        <v>797</v>
      </c>
      <c r="K203" s="0" t="n">
        <v>9</v>
      </c>
      <c r="L203" s="32" t="s">
        <v>771</v>
      </c>
      <c r="M203" s="0" t="n">
        <v>1.3</v>
      </c>
      <c r="N203" s="32" t="s">
        <v>330</v>
      </c>
      <c r="O203" s="32" t="s">
        <v>974</v>
      </c>
      <c r="P203" s="32" t="n">
        <f aca="false">IF(AND(ISNUMBER(K203),K203&gt;=0),K203,IF(ISNUMBER(M203),ROUND(M203*7,0),""))</f>
        <v>9</v>
      </c>
      <c r="Q203" s="0" t="str">
        <f aca="false">IF(ISTEXT(K203),"TEXT - recovered",IF(K203&lt;0,"NEGATIVE",IF(K203&gt;728,"&gt;104 WEEKS","OK")))</f>
        <v>OK</v>
      </c>
      <c r="R203" s="0" t="str">
        <f aca="false">IF(E203="GEN","GM",E203)</f>
        <v>EM</v>
      </c>
    </row>
    <row r="204" customFormat="false" ht="15" hidden="false" customHeight="false" outlineLevel="0" collapsed="false">
      <c r="A204" s="0" t="s">
        <v>1464</v>
      </c>
      <c r="B204" s="0" t="s">
        <v>1280</v>
      </c>
      <c r="C204" s="0" t="s">
        <v>1205</v>
      </c>
      <c r="D204" s="31" t="n">
        <v>20175</v>
      </c>
      <c r="E204" s="32" t="s">
        <v>776</v>
      </c>
      <c r="F204" s="32" t="s">
        <v>777</v>
      </c>
      <c r="G204" s="32" t="s">
        <v>778</v>
      </c>
      <c r="H204" s="31" t="n">
        <v>45691</v>
      </c>
      <c r="I204" s="32" t="s">
        <v>769</v>
      </c>
      <c r="J204" s="32" t="s">
        <v>751</v>
      </c>
      <c r="K204" s="0" t="n">
        <v>35</v>
      </c>
      <c r="L204" s="32" t="s">
        <v>752</v>
      </c>
      <c r="M204" s="0" t="n">
        <v>5</v>
      </c>
      <c r="N204" s="32" t="s">
        <v>753</v>
      </c>
      <c r="O204" s="32" t="s">
        <v>1206</v>
      </c>
      <c r="P204" s="32" t="n">
        <f aca="false">IF(AND(ISNUMBER(K204),K204&gt;=0),K204,IF(ISNUMBER(M204),ROUND(M204*7,0),""))</f>
        <v>35</v>
      </c>
      <c r="Q204" s="0" t="str">
        <f aca="false">IF(ISTEXT(K204),"TEXT - recovered",IF(K204&lt;0,"NEGATIVE",IF(K204&gt;728,"&gt;104 WEEKS","OK")))</f>
        <v>OK</v>
      </c>
      <c r="R204" s="0" t="str">
        <f aca="false">IF(E204="GEN","GM",E204)</f>
        <v>GS</v>
      </c>
    </row>
    <row r="205" customFormat="false" ht="15" hidden="false" customHeight="false" outlineLevel="0" collapsed="false">
      <c r="A205" s="0" t="s">
        <v>1465</v>
      </c>
      <c r="B205" s="0" t="s">
        <v>1392</v>
      </c>
      <c r="C205" s="0" t="s">
        <v>1393</v>
      </c>
      <c r="D205" s="31" t="n">
        <v>21492</v>
      </c>
      <c r="E205" s="32" t="s">
        <v>758</v>
      </c>
      <c r="F205" s="32" t="s">
        <v>759</v>
      </c>
      <c r="G205" s="32" t="s">
        <v>760</v>
      </c>
      <c r="H205" s="31" t="n">
        <v>45691</v>
      </c>
      <c r="I205" s="32" t="s">
        <v>779</v>
      </c>
      <c r="J205" s="32" t="s">
        <v>751</v>
      </c>
      <c r="K205" s="0" t="n">
        <v>35</v>
      </c>
      <c r="L205" s="32" t="s">
        <v>752</v>
      </c>
      <c r="M205" s="0" t="n">
        <v>5</v>
      </c>
      <c r="N205" s="32" t="s">
        <v>753</v>
      </c>
      <c r="O205" s="32" t="s">
        <v>762</v>
      </c>
      <c r="P205" s="32" t="n">
        <f aca="false">IF(AND(ISNUMBER(K205),K205&gt;=0),K205,IF(ISNUMBER(M205),ROUND(M205*7,0),""))</f>
        <v>35</v>
      </c>
      <c r="Q205" s="0" t="str">
        <f aca="false">IF(ISTEXT(K205),"TEXT - recovered",IF(K205&lt;0,"NEGATIVE",IF(K205&gt;728,"&gt;104 WEEKS","OK")))</f>
        <v>OK</v>
      </c>
      <c r="R205" s="0" t="str">
        <f aca="false">IF(E205="GEN","GM",E205)</f>
        <v>CS</v>
      </c>
    </row>
    <row r="206" customFormat="false" ht="15" hidden="false" customHeight="false" outlineLevel="0" collapsed="false">
      <c r="A206" s="0" t="s">
        <v>1466</v>
      </c>
      <c r="B206" s="0" t="s">
        <v>1072</v>
      </c>
      <c r="C206" s="0" t="s">
        <v>1073</v>
      </c>
      <c r="D206" s="31" t="n">
        <v>30112</v>
      </c>
      <c r="E206" s="32" t="s">
        <v>747</v>
      </c>
      <c r="F206" s="32" t="s">
        <v>748</v>
      </c>
      <c r="G206" s="32" t="s">
        <v>749</v>
      </c>
      <c r="H206" s="31" t="n">
        <v>45691</v>
      </c>
      <c r="I206" s="32" t="s">
        <v>788</v>
      </c>
      <c r="J206" s="32" t="s">
        <v>751</v>
      </c>
      <c r="K206" s="0" t="n">
        <v>46</v>
      </c>
      <c r="L206" s="32" t="s">
        <v>752</v>
      </c>
      <c r="M206" s="0" t="n">
        <v>6.6</v>
      </c>
      <c r="N206" s="32" t="s">
        <v>753</v>
      </c>
      <c r="O206" s="32" t="s">
        <v>1074</v>
      </c>
      <c r="P206" s="32" t="n">
        <f aca="false">IF(AND(ISNUMBER(K206),K206&gt;=0),K206,IF(ISNUMBER(M206),ROUND(M206*7,0),""))</f>
        <v>46</v>
      </c>
      <c r="Q206" s="0" t="str">
        <f aca="false">IF(ISTEXT(K206),"TEXT - recovered",IF(K206&lt;0,"NEGATIVE",IF(K206&gt;728,"&gt;104 WEEKS","OK")))</f>
        <v>OK</v>
      </c>
      <c r="R206" s="0" t="str">
        <f aca="false">IF(E206="GEN","GM",E206)</f>
        <v>GM</v>
      </c>
    </row>
    <row r="207" customFormat="false" ht="15" hidden="false" customHeight="false" outlineLevel="0" collapsed="false">
      <c r="A207" s="0" t="s">
        <v>1467</v>
      </c>
      <c r="B207" s="0" t="s">
        <v>1452</v>
      </c>
      <c r="C207" s="0" t="s">
        <v>1453</v>
      </c>
      <c r="D207" s="31" t="n">
        <v>26570</v>
      </c>
      <c r="E207" s="32" t="s">
        <v>747</v>
      </c>
      <c r="F207" s="32" t="s">
        <v>748</v>
      </c>
      <c r="G207" s="32" t="s">
        <v>749</v>
      </c>
      <c r="H207" s="31" t="n">
        <v>45691</v>
      </c>
      <c r="I207" s="32" t="s">
        <v>796</v>
      </c>
      <c r="J207" s="32" t="s">
        <v>751</v>
      </c>
      <c r="K207" s="0" t="n">
        <v>35</v>
      </c>
      <c r="L207" s="32" t="s">
        <v>752</v>
      </c>
      <c r="M207" s="0" t="n">
        <v>5</v>
      </c>
      <c r="N207" s="32" t="s">
        <v>753</v>
      </c>
      <c r="O207" s="32" t="s">
        <v>1214</v>
      </c>
      <c r="P207" s="32" t="n">
        <f aca="false">IF(AND(ISNUMBER(K207),K207&gt;=0),K207,IF(ISNUMBER(M207),ROUND(M207*7,0),""))</f>
        <v>35</v>
      </c>
      <c r="Q207" s="0" t="str">
        <f aca="false">IF(ISTEXT(K207),"TEXT - recovered",IF(K207&lt;0,"NEGATIVE",IF(K207&gt;728,"&gt;104 WEEKS","OK")))</f>
        <v>OK</v>
      </c>
      <c r="R207" s="0" t="str">
        <f aca="false">IF(E207="GEN","GM",E207)</f>
        <v>GM</v>
      </c>
    </row>
    <row r="208" customFormat="false" ht="15" hidden="false" customHeight="false" outlineLevel="0" collapsed="false">
      <c r="A208" s="0" t="s">
        <v>1468</v>
      </c>
      <c r="B208" s="0" t="s">
        <v>844</v>
      </c>
      <c r="C208" s="0" t="s">
        <v>845</v>
      </c>
      <c r="D208" s="31" t="n">
        <v>29102</v>
      </c>
      <c r="E208" s="32" t="s">
        <v>776</v>
      </c>
      <c r="F208" s="32" t="s">
        <v>777</v>
      </c>
      <c r="G208" s="32" t="s">
        <v>778</v>
      </c>
      <c r="H208" s="31" t="n">
        <v>45691</v>
      </c>
      <c r="I208" s="32" t="s">
        <v>805</v>
      </c>
      <c r="J208" s="32" t="s">
        <v>751</v>
      </c>
      <c r="K208" s="0" t="n">
        <v>43</v>
      </c>
      <c r="L208" s="32" t="s">
        <v>752</v>
      </c>
      <c r="M208" s="0" t="n">
        <v>6.1</v>
      </c>
      <c r="N208" s="32" t="s">
        <v>753</v>
      </c>
      <c r="O208" s="32" t="s">
        <v>846</v>
      </c>
      <c r="P208" s="32" t="n">
        <f aca="false">IF(AND(ISNUMBER(K208),K208&gt;=0),K208,IF(ISNUMBER(M208),ROUND(M208*7,0),""))</f>
        <v>43</v>
      </c>
      <c r="Q208" s="0" t="str">
        <f aca="false">IF(ISTEXT(K208),"TEXT - recovered",IF(K208&lt;0,"NEGATIVE",IF(K208&gt;728,"&gt;104 WEEKS","OK")))</f>
        <v>OK</v>
      </c>
      <c r="R208" s="0" t="str">
        <f aca="false">IF(E208="GEN","GM",E208)</f>
        <v>GS</v>
      </c>
    </row>
    <row r="209" customFormat="false" ht="15" hidden="false" customHeight="false" outlineLevel="0" collapsed="false">
      <c r="A209" s="0" t="s">
        <v>1469</v>
      </c>
      <c r="B209" s="0" t="s">
        <v>941</v>
      </c>
      <c r="C209" s="0" t="s">
        <v>942</v>
      </c>
      <c r="D209" s="31" t="n">
        <v>32118</v>
      </c>
      <c r="E209" s="32" t="s">
        <v>810</v>
      </c>
      <c r="F209" s="32" t="s">
        <v>811</v>
      </c>
      <c r="G209" s="32" t="s">
        <v>812</v>
      </c>
      <c r="H209" s="31" t="n">
        <v>45691</v>
      </c>
      <c r="I209" s="32" t="s">
        <v>813</v>
      </c>
      <c r="J209" s="32" t="s">
        <v>751</v>
      </c>
      <c r="K209" s="0" t="n">
        <v>35</v>
      </c>
      <c r="L209" s="32" t="s">
        <v>752</v>
      </c>
      <c r="M209" s="0" t="n">
        <v>5</v>
      </c>
      <c r="N209" s="32" t="s">
        <v>753</v>
      </c>
      <c r="O209" s="32" t="s">
        <v>943</v>
      </c>
      <c r="P209" s="32" t="n">
        <f aca="false">IF(AND(ISNUMBER(K209),K209&gt;=0),K209,IF(ISNUMBER(M209),ROUND(M209*7,0),""))</f>
        <v>35</v>
      </c>
      <c r="Q209" s="0" t="str">
        <f aca="false">IF(ISTEXT(K209),"TEXT - recovered",IF(K209&lt;0,"NEGATIVE",IF(K209&gt;728,"&gt;104 WEEKS","OK")))</f>
        <v>OK</v>
      </c>
      <c r="R209" s="0" t="str">
        <f aca="false">IF(E209="GEN","GM",E209)</f>
        <v>URO</v>
      </c>
    </row>
    <row r="210" customFormat="false" ht="15" hidden="false" customHeight="false" outlineLevel="0" collapsed="false">
      <c r="A210" s="0" t="s">
        <v>1470</v>
      </c>
      <c r="B210" s="0" t="s">
        <v>885</v>
      </c>
      <c r="C210" s="0" t="s">
        <v>886</v>
      </c>
      <c r="D210" s="31" t="n">
        <v>17626</v>
      </c>
      <c r="E210" s="32" t="s">
        <v>776</v>
      </c>
      <c r="F210" s="32" t="s">
        <v>777</v>
      </c>
      <c r="G210" s="32" t="s">
        <v>778</v>
      </c>
      <c r="H210" s="31" t="n">
        <v>45691</v>
      </c>
      <c r="I210" s="32" t="s">
        <v>821</v>
      </c>
      <c r="J210" s="32" t="s">
        <v>751</v>
      </c>
      <c r="K210" s="0" t="n">
        <v>35</v>
      </c>
      <c r="L210" s="32" t="s">
        <v>752</v>
      </c>
      <c r="M210" s="0" t="n">
        <v>5</v>
      </c>
      <c r="N210" s="32" t="s">
        <v>753</v>
      </c>
      <c r="O210" s="32" t="s">
        <v>887</v>
      </c>
      <c r="P210" s="32" t="n">
        <f aca="false">IF(AND(ISNUMBER(K210),K210&gt;=0),K210,IF(ISNUMBER(M210),ROUND(M210*7,0),""))</f>
        <v>35</v>
      </c>
      <c r="Q210" s="0" t="str">
        <f aca="false">IF(ISTEXT(K210),"TEXT - recovered",IF(K210&lt;0,"NEGATIVE",IF(K210&gt;728,"&gt;104 WEEKS","OK")))</f>
        <v>OK</v>
      </c>
      <c r="R210" s="0" t="str">
        <f aca="false">IF(E210="GEN","GM",E210)</f>
        <v>GS</v>
      </c>
    </row>
    <row r="211" customFormat="false" ht="15" hidden="false" customHeight="false" outlineLevel="0" collapsed="false">
      <c r="A211" s="0" t="s">
        <v>1471</v>
      </c>
      <c r="B211" s="0" t="s">
        <v>957</v>
      </c>
      <c r="C211" s="0" t="s">
        <v>958</v>
      </c>
      <c r="D211" s="31" t="n">
        <v>30210</v>
      </c>
      <c r="E211" s="32" t="s">
        <v>758</v>
      </c>
      <c r="F211" s="32" t="s">
        <v>759</v>
      </c>
      <c r="G211" s="32" t="s">
        <v>760</v>
      </c>
      <c r="H211" s="31" t="n">
        <v>45691</v>
      </c>
      <c r="I211" s="32" t="s">
        <v>829</v>
      </c>
      <c r="J211" s="32" t="s">
        <v>751</v>
      </c>
      <c r="K211" s="0" t="n">
        <v>79</v>
      </c>
      <c r="L211" s="32" t="s">
        <v>752</v>
      </c>
      <c r="M211" s="0" t="n">
        <v>11.3</v>
      </c>
      <c r="N211" s="32" t="s">
        <v>780</v>
      </c>
      <c r="O211" s="32" t="s">
        <v>959</v>
      </c>
      <c r="P211" s="32" t="n">
        <f aca="false">IF(AND(ISNUMBER(K211),K211&gt;=0),K211,IF(ISNUMBER(M211),ROUND(M211*7,0),""))</f>
        <v>79</v>
      </c>
      <c r="Q211" s="0" t="str">
        <f aca="false">IF(ISTEXT(K211),"TEXT - recovered",IF(K211&lt;0,"NEGATIVE",IF(K211&gt;728,"&gt;104 WEEKS","OK")))</f>
        <v>OK</v>
      </c>
      <c r="R211" s="0" t="str">
        <f aca="false">IF(E211="GEN","GM",E211)</f>
        <v>CS</v>
      </c>
    </row>
    <row r="212" customFormat="false" ht="15" hidden="false" customHeight="false" outlineLevel="0" collapsed="false">
      <c r="A212" s="0" t="s">
        <v>1472</v>
      </c>
      <c r="B212" s="0" t="s">
        <v>1132</v>
      </c>
      <c r="C212" s="0" t="s">
        <v>934</v>
      </c>
      <c r="D212" s="31" t="n">
        <v>22526</v>
      </c>
      <c r="E212" s="32" t="s">
        <v>793</v>
      </c>
      <c r="F212" s="32" t="s">
        <v>794</v>
      </c>
      <c r="G212" s="32" t="s">
        <v>795</v>
      </c>
      <c r="H212" s="31" t="n">
        <v>45692</v>
      </c>
      <c r="I212" s="32" t="s">
        <v>750</v>
      </c>
      <c r="J212" s="32" t="s">
        <v>751</v>
      </c>
      <c r="K212" s="0" t="n">
        <v>23</v>
      </c>
      <c r="L212" s="32" t="s">
        <v>771</v>
      </c>
      <c r="M212" s="0" t="n">
        <v>3.3</v>
      </c>
      <c r="N212" s="32" t="s">
        <v>330</v>
      </c>
      <c r="O212" s="32" t="s">
        <v>935</v>
      </c>
      <c r="P212" s="32" t="n">
        <f aca="false">IF(AND(ISNUMBER(K212),K212&gt;=0),K212,IF(ISNUMBER(M212),ROUND(M212*7,0),""))</f>
        <v>23</v>
      </c>
      <c r="Q212" s="0" t="str">
        <f aca="false">IF(ISTEXT(K212),"TEXT - recovered",IF(K212&lt;0,"NEGATIVE",IF(K212&gt;728,"&gt;104 WEEKS","OK")))</f>
        <v>OK</v>
      </c>
      <c r="R212" s="0" t="str">
        <f aca="false">IF(E212="GEN","GM",E212)</f>
        <v>EM</v>
      </c>
    </row>
    <row r="213" customFormat="false" ht="15" hidden="false" customHeight="false" outlineLevel="0" collapsed="false">
      <c r="A213" s="0" t="s">
        <v>1473</v>
      </c>
      <c r="B213" s="0" t="s">
        <v>1212</v>
      </c>
      <c r="C213" s="0" t="s">
        <v>1213</v>
      </c>
      <c r="D213" s="31" t="n">
        <v>22860</v>
      </c>
      <c r="E213" s="32" t="s">
        <v>793</v>
      </c>
      <c r="F213" s="32" t="s">
        <v>794</v>
      </c>
      <c r="G213" s="32" t="s">
        <v>795</v>
      </c>
      <c r="H213" s="31" t="n">
        <v>45692</v>
      </c>
      <c r="I213" s="32" t="s">
        <v>761</v>
      </c>
      <c r="J213" s="32" t="s">
        <v>797</v>
      </c>
      <c r="K213" s="0" t="n">
        <v>12</v>
      </c>
      <c r="L213" s="32" t="s">
        <v>771</v>
      </c>
      <c r="M213" s="0" t="n">
        <v>1.7</v>
      </c>
      <c r="N213" s="32" t="s">
        <v>330</v>
      </c>
      <c r="O213" s="32" t="s">
        <v>1214</v>
      </c>
      <c r="P213" s="32" t="n">
        <f aca="false">IF(AND(ISNUMBER(K213),K213&gt;=0),K213,IF(ISNUMBER(M213),ROUND(M213*7,0),""))</f>
        <v>12</v>
      </c>
      <c r="Q213" s="0" t="str">
        <f aca="false">IF(ISTEXT(K213),"TEXT - recovered",IF(K213&lt;0,"NEGATIVE",IF(K213&gt;728,"&gt;104 WEEKS","OK")))</f>
        <v>OK</v>
      </c>
      <c r="R213" s="0" t="str">
        <f aca="false">IF(E213="GEN","GM",E213)</f>
        <v>EM</v>
      </c>
    </row>
    <row r="214" customFormat="false" ht="15" hidden="false" customHeight="false" outlineLevel="0" collapsed="false">
      <c r="A214" s="0" t="s">
        <v>1474</v>
      </c>
      <c r="B214" s="0" t="s">
        <v>1232</v>
      </c>
      <c r="C214" s="0" t="s">
        <v>1308</v>
      </c>
      <c r="D214" s="31" t="n">
        <v>22681</v>
      </c>
      <c r="E214" s="32" t="s">
        <v>826</v>
      </c>
      <c r="F214" s="32" t="s">
        <v>827</v>
      </c>
      <c r="G214" s="32" t="s">
        <v>828</v>
      </c>
      <c r="H214" s="31" t="n">
        <v>45692</v>
      </c>
      <c r="I214" s="32" t="s">
        <v>769</v>
      </c>
      <c r="J214" s="32" t="s">
        <v>751</v>
      </c>
      <c r="K214" s="0" t="n">
        <v>114</v>
      </c>
      <c r="L214" s="32" t="s">
        <v>752</v>
      </c>
      <c r="M214" s="0" t="n">
        <v>16.3</v>
      </c>
      <c r="N214" s="32" t="s">
        <v>753</v>
      </c>
      <c r="O214" s="32" t="s">
        <v>1309</v>
      </c>
      <c r="P214" s="32" t="n">
        <f aca="false">IF(AND(ISNUMBER(K214),K214&gt;=0),K214,IF(ISNUMBER(M214),ROUND(M214*7,0),""))</f>
        <v>114</v>
      </c>
      <c r="Q214" s="0" t="str">
        <f aca="false">IF(ISTEXT(K214),"TEXT - recovered",IF(K214&lt;0,"NEGATIVE",IF(K214&gt;728,"&gt;104 WEEKS","OK")))</f>
        <v>OK</v>
      </c>
      <c r="R214" s="0" t="str">
        <f aca="false">IF(E214="GEN","GM",E214)</f>
        <v>RHE</v>
      </c>
    </row>
    <row r="215" customFormat="false" ht="15" hidden="false" customHeight="false" outlineLevel="0" collapsed="false">
      <c r="A215" s="0" t="s">
        <v>1475</v>
      </c>
      <c r="B215" s="0" t="s">
        <v>1144</v>
      </c>
      <c r="C215" s="0" t="s">
        <v>1145</v>
      </c>
      <c r="D215" s="31" t="n">
        <v>28096</v>
      </c>
      <c r="E215" s="32" t="s">
        <v>818</v>
      </c>
      <c r="F215" s="32" t="s">
        <v>819</v>
      </c>
      <c r="G215" s="32" t="s">
        <v>820</v>
      </c>
      <c r="H215" s="31" t="n">
        <v>45692</v>
      </c>
      <c r="I215" s="32" t="s">
        <v>779</v>
      </c>
      <c r="J215" s="32" t="s">
        <v>751</v>
      </c>
      <c r="K215" s="0" t="n">
        <v>90</v>
      </c>
      <c r="L215" s="32" t="s">
        <v>752</v>
      </c>
      <c r="M215" s="0" t="n">
        <v>12.9</v>
      </c>
      <c r="N215" s="32" t="s">
        <v>753</v>
      </c>
      <c r="O215" s="32" t="s">
        <v>1146</v>
      </c>
      <c r="P215" s="32" t="n">
        <f aca="false">IF(AND(ISNUMBER(K215),K215&gt;=0),K215,IF(ISNUMBER(M215),ROUND(M215*7,0),""))</f>
        <v>90</v>
      </c>
      <c r="Q215" s="0" t="str">
        <f aca="false">IF(ISTEXT(K215),"TEXT - recovered",IF(K215&lt;0,"NEGATIVE",IF(K215&gt;728,"&gt;104 WEEKS","OK")))</f>
        <v>OK</v>
      </c>
      <c r="R215" s="0" t="str">
        <f aca="false">IF(E215="GEN","GM",E215)</f>
        <v>OPH</v>
      </c>
    </row>
    <row r="216" customFormat="false" ht="15" hidden="false" customHeight="false" outlineLevel="0" collapsed="false">
      <c r="A216" s="0" t="s">
        <v>1476</v>
      </c>
      <c r="B216" s="0" t="s">
        <v>1224</v>
      </c>
      <c r="C216" s="0" t="s">
        <v>1225</v>
      </c>
      <c r="D216" s="31" t="n">
        <v>18531</v>
      </c>
      <c r="E216" s="32" t="s">
        <v>818</v>
      </c>
      <c r="F216" s="32" t="s">
        <v>819</v>
      </c>
      <c r="G216" s="32" t="s">
        <v>820</v>
      </c>
      <c r="H216" s="31" t="n">
        <v>45692</v>
      </c>
      <c r="I216" s="32" t="s">
        <v>788</v>
      </c>
      <c r="J216" s="32" t="s">
        <v>751</v>
      </c>
      <c r="K216" s="0" t="n">
        <v>79</v>
      </c>
      <c r="L216" s="32" t="s">
        <v>752</v>
      </c>
      <c r="M216" s="0" t="n">
        <v>11.3</v>
      </c>
      <c r="N216" s="32" t="s">
        <v>753</v>
      </c>
      <c r="O216" s="32" t="s">
        <v>1226</v>
      </c>
      <c r="P216" s="32" t="n">
        <f aca="false">IF(AND(ISNUMBER(K216),K216&gt;=0),K216,IF(ISNUMBER(M216),ROUND(M216*7,0),""))</f>
        <v>79</v>
      </c>
      <c r="Q216" s="0" t="str">
        <f aca="false">IF(ISTEXT(K216),"TEXT - recovered",IF(K216&lt;0,"NEGATIVE",IF(K216&gt;728,"&gt;104 WEEKS","OK")))</f>
        <v>OK</v>
      </c>
      <c r="R216" s="0" t="str">
        <f aca="false">IF(E216="GEN","GM",E216)</f>
        <v>OPH</v>
      </c>
    </row>
    <row r="217" customFormat="false" ht="15" hidden="false" customHeight="false" outlineLevel="0" collapsed="false">
      <c r="A217" s="0" t="s">
        <v>1477</v>
      </c>
      <c r="B217" s="0" t="s">
        <v>1184</v>
      </c>
      <c r="C217" s="0" t="s">
        <v>1261</v>
      </c>
      <c r="D217" s="31" t="n">
        <v>31018</v>
      </c>
      <c r="E217" s="32" t="s">
        <v>810</v>
      </c>
      <c r="F217" s="32" t="s">
        <v>811</v>
      </c>
      <c r="G217" s="32" t="s">
        <v>812</v>
      </c>
      <c r="H217" s="31" t="n">
        <v>45692</v>
      </c>
      <c r="I217" s="32" t="s">
        <v>796</v>
      </c>
      <c r="J217" s="32" t="s">
        <v>751</v>
      </c>
      <c r="K217" s="0" t="n">
        <v>35</v>
      </c>
      <c r="L217" s="32" t="s">
        <v>752</v>
      </c>
      <c r="M217" s="0" t="n">
        <v>5</v>
      </c>
      <c r="N217" s="32" t="s">
        <v>753</v>
      </c>
      <c r="O217" s="32" t="s">
        <v>1262</v>
      </c>
      <c r="P217" s="32" t="n">
        <f aca="false">IF(AND(ISNUMBER(K217),K217&gt;=0),K217,IF(ISNUMBER(M217),ROUND(M217*7,0),""))</f>
        <v>35</v>
      </c>
      <c r="Q217" s="0" t="str">
        <f aca="false">IF(ISTEXT(K217),"TEXT - recovered",IF(K217&lt;0,"NEGATIVE",IF(K217&gt;728,"&gt;104 WEEKS","OK")))</f>
        <v>OK</v>
      </c>
      <c r="R217" s="0" t="str">
        <f aca="false">IF(E217="GEN","GM",E217)</f>
        <v>URO</v>
      </c>
    </row>
    <row r="218" customFormat="false" ht="15" hidden="false" customHeight="false" outlineLevel="0" collapsed="false">
      <c r="A218" s="0" t="s">
        <v>1478</v>
      </c>
      <c r="B218" s="0" t="s">
        <v>1264</v>
      </c>
      <c r="C218" s="0" t="s">
        <v>1265</v>
      </c>
      <c r="D218" s="31" t="n">
        <v>22513</v>
      </c>
      <c r="E218" s="32" t="s">
        <v>818</v>
      </c>
      <c r="F218" s="32" t="s">
        <v>819</v>
      </c>
      <c r="G218" s="32" t="s">
        <v>820</v>
      </c>
      <c r="H218" s="31" t="n">
        <v>45692</v>
      </c>
      <c r="I218" s="32" t="s">
        <v>805</v>
      </c>
      <c r="J218" s="32" t="s">
        <v>770</v>
      </c>
      <c r="K218" s="0" t="n">
        <v>246</v>
      </c>
      <c r="L218" s="32" t="s">
        <v>771</v>
      </c>
      <c r="M218" s="0" t="n">
        <v>35.1</v>
      </c>
      <c r="N218" s="32" t="s">
        <v>753</v>
      </c>
      <c r="O218" s="32" t="s">
        <v>1266</v>
      </c>
      <c r="P218" s="32" t="n">
        <f aca="false">IF(AND(ISNUMBER(K218),K218&gt;=0),K218,IF(ISNUMBER(M218),ROUND(M218*7,0),""))</f>
        <v>246</v>
      </c>
      <c r="Q218" s="0" t="str">
        <f aca="false">IF(ISTEXT(K218),"TEXT - recovered",IF(K218&lt;0,"NEGATIVE",IF(K218&gt;728,"&gt;104 WEEKS","OK")))</f>
        <v>OK</v>
      </c>
      <c r="R218" s="0" t="str">
        <f aca="false">IF(E218="GEN","GM",E218)</f>
        <v>OPH</v>
      </c>
    </row>
    <row r="219" customFormat="false" ht="15" hidden="false" customHeight="false" outlineLevel="0" collapsed="false">
      <c r="A219" s="0" t="s">
        <v>1479</v>
      </c>
      <c r="B219" s="0" t="s">
        <v>1268</v>
      </c>
      <c r="C219" s="0" t="s">
        <v>1269</v>
      </c>
      <c r="D219" s="31" t="n">
        <v>28222</v>
      </c>
      <c r="E219" s="32" t="s">
        <v>826</v>
      </c>
      <c r="F219" s="32" t="s">
        <v>827</v>
      </c>
      <c r="G219" s="32" t="s">
        <v>828</v>
      </c>
      <c r="H219" s="31" t="n">
        <v>45692</v>
      </c>
      <c r="I219" s="32" t="s">
        <v>813</v>
      </c>
      <c r="J219" s="32" t="s">
        <v>751</v>
      </c>
      <c r="K219" s="0" t="n">
        <v>79</v>
      </c>
      <c r="L219" s="32" t="s">
        <v>752</v>
      </c>
      <c r="M219" s="0" t="n">
        <v>11.3</v>
      </c>
      <c r="N219" s="32" t="s">
        <v>753</v>
      </c>
      <c r="O219" s="32" t="s">
        <v>1270</v>
      </c>
      <c r="P219" s="32" t="n">
        <f aca="false">IF(AND(ISNUMBER(K219),K219&gt;=0),K219,IF(ISNUMBER(M219),ROUND(M219*7,0),""))</f>
        <v>79</v>
      </c>
      <c r="Q219" s="0" t="str">
        <f aca="false">IF(ISTEXT(K219),"TEXT - recovered",IF(K219&lt;0,"NEGATIVE",IF(K219&gt;728,"&gt;104 WEEKS","OK")))</f>
        <v>OK</v>
      </c>
      <c r="R219" s="0" t="str">
        <f aca="false">IF(E219="GEN","GM",E219)</f>
        <v>RHE</v>
      </c>
    </row>
    <row r="220" customFormat="false" ht="15" hidden="false" customHeight="false" outlineLevel="0" collapsed="false">
      <c r="A220" s="0" t="s">
        <v>1480</v>
      </c>
      <c r="B220" s="0" t="s">
        <v>1347</v>
      </c>
      <c r="C220" s="0" t="s">
        <v>1348</v>
      </c>
      <c r="D220" s="31" t="n">
        <v>27059</v>
      </c>
      <c r="E220" s="32" t="s">
        <v>826</v>
      </c>
      <c r="F220" s="32" t="s">
        <v>827</v>
      </c>
      <c r="G220" s="32" t="s">
        <v>828</v>
      </c>
      <c r="H220" s="31" t="n">
        <v>45692</v>
      </c>
      <c r="I220" s="32" t="s">
        <v>821</v>
      </c>
      <c r="J220" s="32" t="s">
        <v>751</v>
      </c>
      <c r="K220" s="0" t="n">
        <v>90</v>
      </c>
      <c r="L220" s="32" t="s">
        <v>752</v>
      </c>
      <c r="M220" s="0" t="n">
        <v>12.9</v>
      </c>
      <c r="N220" s="32" t="s">
        <v>753</v>
      </c>
      <c r="O220" s="32" t="s">
        <v>1349</v>
      </c>
      <c r="P220" s="32" t="n">
        <f aca="false">IF(AND(ISNUMBER(K220),K220&gt;=0),K220,IF(ISNUMBER(M220),ROUND(M220*7,0),""))</f>
        <v>90</v>
      </c>
      <c r="Q220" s="0" t="str">
        <f aca="false">IF(ISTEXT(K220),"TEXT - recovered",IF(K220&lt;0,"NEGATIVE",IF(K220&gt;728,"&gt;104 WEEKS","OK")))</f>
        <v>OK</v>
      </c>
      <c r="R220" s="0" t="str">
        <f aca="false">IF(E220="GEN","GM",E220)</f>
        <v>RHE</v>
      </c>
    </row>
    <row r="221" customFormat="false" ht="15" hidden="false" customHeight="false" outlineLevel="0" collapsed="false">
      <c r="A221" s="0" t="s">
        <v>1481</v>
      </c>
      <c r="B221" s="0" t="s">
        <v>1351</v>
      </c>
      <c r="C221" s="0" t="s">
        <v>1352</v>
      </c>
      <c r="D221" s="31" t="n">
        <v>32037</v>
      </c>
      <c r="E221" s="32" t="s">
        <v>747</v>
      </c>
      <c r="F221" s="32" t="s">
        <v>748</v>
      </c>
      <c r="G221" s="32" t="s">
        <v>749</v>
      </c>
      <c r="H221" s="31" t="n">
        <v>45692</v>
      </c>
      <c r="I221" s="32" t="s">
        <v>829</v>
      </c>
      <c r="J221" s="32" t="s">
        <v>751</v>
      </c>
      <c r="K221" s="0" t="n">
        <v>24</v>
      </c>
      <c r="L221" s="32" t="s">
        <v>752</v>
      </c>
      <c r="M221" s="0" t="n">
        <v>3.4</v>
      </c>
      <c r="N221" s="32" t="s">
        <v>753</v>
      </c>
      <c r="O221" s="32" t="s">
        <v>1353</v>
      </c>
      <c r="P221" s="32" t="n">
        <f aca="false">IF(AND(ISNUMBER(K221),K221&gt;=0),K221,IF(ISNUMBER(M221),ROUND(M221*7,0),""))</f>
        <v>24</v>
      </c>
      <c r="Q221" s="0" t="str">
        <f aca="false">IF(ISTEXT(K221),"TEXT - recovered",IF(K221&lt;0,"NEGATIVE",IF(K221&gt;728,"&gt;104 WEEKS","OK")))</f>
        <v>OK</v>
      </c>
      <c r="R221" s="0" t="str">
        <f aca="false">IF(E221="GEN","GM",E221)</f>
        <v>GM</v>
      </c>
    </row>
    <row r="222" customFormat="false" ht="15" hidden="false" customHeight="false" outlineLevel="0" collapsed="false">
      <c r="A222" s="0" t="s">
        <v>1482</v>
      </c>
      <c r="B222" s="0" t="s">
        <v>1244</v>
      </c>
      <c r="C222" s="0" t="s">
        <v>1245</v>
      </c>
      <c r="D222" s="31" t="n">
        <v>27812</v>
      </c>
      <c r="E222" s="32" t="s">
        <v>776</v>
      </c>
      <c r="F222" s="32" t="s">
        <v>777</v>
      </c>
      <c r="G222" s="32" t="s">
        <v>778</v>
      </c>
      <c r="H222" s="31" t="n">
        <v>45693</v>
      </c>
      <c r="I222" s="32" t="s">
        <v>750</v>
      </c>
      <c r="J222" s="32" t="s">
        <v>751</v>
      </c>
      <c r="K222" s="0" t="n">
        <v>57</v>
      </c>
      <c r="L222" s="32" t="s">
        <v>752</v>
      </c>
      <c r="M222" s="0" t="n">
        <v>8.1</v>
      </c>
      <c r="N222" s="32" t="s">
        <v>753</v>
      </c>
      <c r="O222" s="32" t="s">
        <v>1246</v>
      </c>
      <c r="P222" s="32" t="n">
        <f aca="false">IF(AND(ISNUMBER(K222),K222&gt;=0),K222,IF(ISNUMBER(M222),ROUND(M222*7,0),""))</f>
        <v>57</v>
      </c>
      <c r="Q222" s="0" t="str">
        <f aca="false">IF(ISTEXT(K222),"TEXT - recovered",IF(K222&lt;0,"NEGATIVE",IF(K222&gt;728,"&gt;104 WEEKS","OK")))</f>
        <v>OK</v>
      </c>
      <c r="R222" s="0" t="str">
        <f aca="false">IF(E222="GEN","GM",E222)</f>
        <v>GS</v>
      </c>
    </row>
    <row r="223" customFormat="false" ht="15" hidden="false" customHeight="false" outlineLevel="0" collapsed="false">
      <c r="A223" s="0" t="s">
        <v>1483</v>
      </c>
      <c r="B223" s="0" t="s">
        <v>1248</v>
      </c>
      <c r="C223" s="0" t="s">
        <v>1249</v>
      </c>
      <c r="D223" s="31" t="n">
        <v>32790</v>
      </c>
      <c r="E223" s="32" t="s">
        <v>785</v>
      </c>
      <c r="F223" s="32" t="s">
        <v>786</v>
      </c>
      <c r="G223" s="32" t="s">
        <v>787</v>
      </c>
      <c r="H223" s="31" t="n">
        <v>45693</v>
      </c>
      <c r="I223" s="32" t="s">
        <v>761</v>
      </c>
      <c r="J223" s="32" t="s">
        <v>770</v>
      </c>
      <c r="K223" s="0" t="n">
        <v>168</v>
      </c>
      <c r="L223" s="32" t="s">
        <v>771</v>
      </c>
      <c r="M223" s="0" t="n">
        <v>24</v>
      </c>
      <c r="N223" s="32" t="s">
        <v>753</v>
      </c>
      <c r="O223" s="32" t="s">
        <v>1250</v>
      </c>
      <c r="P223" s="32" t="n">
        <f aca="false">IF(AND(ISNUMBER(K223),K223&gt;=0),K223,IF(ISNUMBER(M223),ROUND(M223*7,0),""))</f>
        <v>168</v>
      </c>
      <c r="Q223" s="0" t="str">
        <f aca="false">IF(ISTEXT(K223),"TEXT - recovered",IF(K223&lt;0,"NEGATIVE",IF(K223&gt;728,"&gt;104 WEEKS","OK")))</f>
        <v>OK</v>
      </c>
      <c r="R223" s="0" t="str">
        <f aca="false">IF(E223="GEN","GM",E223)</f>
        <v>RS</v>
      </c>
    </row>
    <row r="224" customFormat="false" ht="15" hidden="false" customHeight="false" outlineLevel="0" collapsed="false">
      <c r="A224" s="0" t="s">
        <v>1484</v>
      </c>
      <c r="B224" s="0" t="s">
        <v>1252</v>
      </c>
      <c r="C224" s="0" t="s">
        <v>1253</v>
      </c>
      <c r="D224" s="31" t="n">
        <v>21028</v>
      </c>
      <c r="E224" s="32" t="s">
        <v>793</v>
      </c>
      <c r="F224" s="32" t="s">
        <v>794</v>
      </c>
      <c r="G224" s="32" t="s">
        <v>795</v>
      </c>
      <c r="H224" s="31" t="n">
        <v>45693</v>
      </c>
      <c r="I224" s="32" t="s">
        <v>769</v>
      </c>
      <c r="J224" s="32" t="s">
        <v>751</v>
      </c>
      <c r="K224" s="0" t="n">
        <v>29</v>
      </c>
      <c r="L224" s="32" t="s">
        <v>771</v>
      </c>
      <c r="M224" s="0" t="n">
        <v>4.1</v>
      </c>
      <c r="N224" s="32" t="s">
        <v>330</v>
      </c>
      <c r="O224" s="32" t="s">
        <v>1254</v>
      </c>
      <c r="P224" s="32" t="n">
        <f aca="false">IF(AND(ISNUMBER(K224),K224&gt;=0),K224,IF(ISNUMBER(M224),ROUND(M224*7,0),""))</f>
        <v>29</v>
      </c>
      <c r="Q224" s="0" t="str">
        <f aca="false">IF(ISTEXT(K224),"TEXT - recovered",IF(K224&lt;0,"NEGATIVE",IF(K224&gt;728,"&gt;104 WEEKS","OK")))</f>
        <v>OK</v>
      </c>
      <c r="R224" s="0" t="str">
        <f aca="false">IF(E224="GEN","GM",E224)</f>
        <v>EM</v>
      </c>
    </row>
    <row r="225" customFormat="false" ht="15" hidden="false" customHeight="false" outlineLevel="0" collapsed="false">
      <c r="A225" s="0" t="s">
        <v>1485</v>
      </c>
      <c r="B225" s="0" t="s">
        <v>1256</v>
      </c>
      <c r="C225" s="0" t="s">
        <v>1257</v>
      </c>
      <c r="D225" s="31" t="n">
        <v>26372</v>
      </c>
      <c r="E225" s="32" t="s">
        <v>802</v>
      </c>
      <c r="F225" s="32" t="s">
        <v>803</v>
      </c>
      <c r="G225" s="32" t="s">
        <v>804</v>
      </c>
      <c r="H225" s="31" t="n">
        <v>45693</v>
      </c>
      <c r="I225" s="32" t="s">
        <v>779</v>
      </c>
      <c r="J225" s="32" t="s">
        <v>751</v>
      </c>
      <c r="K225" s="0" t="n">
        <v>68</v>
      </c>
      <c r="L225" s="32" t="s">
        <v>752</v>
      </c>
      <c r="M225" s="0" t="n">
        <v>9.7</v>
      </c>
      <c r="N225" s="32" t="s">
        <v>753</v>
      </c>
      <c r="O225" s="32" t="s">
        <v>1258</v>
      </c>
      <c r="P225" s="32" t="n">
        <f aca="false">IF(AND(ISNUMBER(K225),K225&gt;=0),K225,IF(ISNUMBER(M225),ROUND(M225*7,0),""))</f>
        <v>68</v>
      </c>
      <c r="Q225" s="0" t="str">
        <f aca="false">IF(ISTEXT(K225),"TEXT - recovered",IF(K225&lt;0,"NEGATIVE",IF(K225&gt;728,"&gt;104 WEEKS","OK")))</f>
        <v>OK</v>
      </c>
      <c r="R225" s="0" t="str">
        <f aca="false">IF(E225="GEN","GM",E225)</f>
        <v>GYN</v>
      </c>
    </row>
    <row r="226" customFormat="false" ht="15" hidden="false" customHeight="false" outlineLevel="0" collapsed="false">
      <c r="A226" s="0" t="s">
        <v>1486</v>
      </c>
      <c r="B226" s="0" t="s">
        <v>1303</v>
      </c>
      <c r="C226" s="0" t="s">
        <v>1229</v>
      </c>
      <c r="D226" s="31" t="n">
        <v>27192</v>
      </c>
      <c r="E226" s="32" t="s">
        <v>826</v>
      </c>
      <c r="F226" s="32" t="s">
        <v>827</v>
      </c>
      <c r="G226" s="32" t="s">
        <v>828</v>
      </c>
      <c r="H226" s="31" t="n">
        <v>45693</v>
      </c>
      <c r="I226" s="32" t="s">
        <v>788</v>
      </c>
      <c r="J226" s="32" t="s">
        <v>751</v>
      </c>
      <c r="K226" s="0" t="n">
        <v>35</v>
      </c>
      <c r="L226" s="32" t="s">
        <v>752</v>
      </c>
      <c r="M226" s="0" t="n">
        <v>5</v>
      </c>
      <c r="N226" s="32" t="s">
        <v>753</v>
      </c>
      <c r="O226" s="32" t="s">
        <v>1230</v>
      </c>
      <c r="P226" s="32" t="n">
        <f aca="false">IF(AND(ISNUMBER(K226),K226&gt;=0),K226,IF(ISNUMBER(M226),ROUND(M226*7,0),""))</f>
        <v>35</v>
      </c>
      <c r="Q226" s="0" t="str">
        <f aca="false">IF(ISTEXT(K226),"TEXT - recovered",IF(K226&lt;0,"NEGATIVE",IF(K226&gt;728,"&gt;104 WEEKS","OK")))</f>
        <v>OK</v>
      </c>
      <c r="R226" s="0" t="str">
        <f aca="false">IF(E226="GEN","GM",E226)</f>
        <v>RHE</v>
      </c>
    </row>
    <row r="227" customFormat="false" ht="15" hidden="false" customHeight="false" outlineLevel="0" collapsed="false">
      <c r="A227" s="0" t="s">
        <v>1487</v>
      </c>
      <c r="B227" s="0" t="s">
        <v>1240</v>
      </c>
      <c r="C227" s="0" t="s">
        <v>1241</v>
      </c>
      <c r="D227" s="31" t="n">
        <v>19119</v>
      </c>
      <c r="E227" s="32" t="s">
        <v>766</v>
      </c>
      <c r="F227" s="32" t="s">
        <v>767</v>
      </c>
      <c r="G227" s="32" t="s">
        <v>768</v>
      </c>
      <c r="H227" s="31" t="n">
        <v>45693</v>
      </c>
      <c r="I227" s="32" t="s">
        <v>796</v>
      </c>
      <c r="J227" s="32" t="s">
        <v>751</v>
      </c>
      <c r="K227" s="0" t="n">
        <v>90</v>
      </c>
      <c r="L227" s="32" t="s">
        <v>752</v>
      </c>
      <c r="M227" s="0" t="n">
        <v>12.9</v>
      </c>
      <c r="N227" s="32" t="s">
        <v>780</v>
      </c>
      <c r="O227" s="32" t="s">
        <v>1242</v>
      </c>
      <c r="P227" s="32" t="n">
        <f aca="false">IF(AND(ISNUMBER(K227),K227&gt;=0),K227,IF(ISNUMBER(M227),ROUND(M227*7,0),""))</f>
        <v>90</v>
      </c>
      <c r="Q227" s="0" t="str">
        <f aca="false">IF(ISTEXT(K227),"TEXT - recovered",IF(K227&lt;0,"NEGATIVE",IF(K227&gt;728,"&gt;104 WEEKS","OK")))</f>
        <v>OK</v>
      </c>
      <c r="R227" s="0" t="str">
        <f aca="false">IF(E227="GEN","GM",E227)</f>
        <v>OR</v>
      </c>
    </row>
    <row r="228" customFormat="false" ht="15" hidden="false" customHeight="false" outlineLevel="0" collapsed="false">
      <c r="A228" s="0" t="s">
        <v>1488</v>
      </c>
      <c r="B228" s="0" t="s">
        <v>1160</v>
      </c>
      <c r="C228" s="0" t="s">
        <v>1161</v>
      </c>
      <c r="D228" s="31" t="n">
        <v>26919</v>
      </c>
      <c r="E228" s="32" t="s">
        <v>766</v>
      </c>
      <c r="F228" s="32" t="s">
        <v>767</v>
      </c>
      <c r="G228" s="32" t="s">
        <v>768</v>
      </c>
      <c r="H228" s="31" t="n">
        <v>45693</v>
      </c>
      <c r="I228" s="32" t="s">
        <v>805</v>
      </c>
      <c r="J228" s="32" t="s">
        <v>770</v>
      </c>
      <c r="K228" s="0" t="n">
        <v>290</v>
      </c>
      <c r="L228" s="32" t="s">
        <v>771</v>
      </c>
      <c r="M228" s="0" t="n">
        <v>41.4</v>
      </c>
      <c r="N228" s="32" t="s">
        <v>753</v>
      </c>
      <c r="O228" s="32" t="s">
        <v>1162</v>
      </c>
      <c r="P228" s="32" t="n">
        <f aca="false">IF(AND(ISNUMBER(K228),K228&gt;=0),K228,IF(ISNUMBER(M228),ROUND(M228*7,0),""))</f>
        <v>290</v>
      </c>
      <c r="Q228" s="0" t="str">
        <f aca="false">IF(ISTEXT(K228),"TEXT - recovered",IF(K228&lt;0,"NEGATIVE",IF(K228&gt;728,"&gt;104 WEEKS","OK")))</f>
        <v>OK</v>
      </c>
      <c r="R228" s="0" t="str">
        <f aca="false">IF(E228="GEN","GM",E228)</f>
        <v>OR</v>
      </c>
    </row>
    <row r="229" customFormat="false" ht="15" hidden="false" customHeight="false" outlineLevel="0" collapsed="false">
      <c r="A229" s="0" t="s">
        <v>1489</v>
      </c>
      <c r="B229" s="0" t="s">
        <v>1459</v>
      </c>
      <c r="C229" s="0" t="s">
        <v>1460</v>
      </c>
      <c r="D229" s="31" t="n">
        <v>30818</v>
      </c>
      <c r="E229" s="32" t="s">
        <v>747</v>
      </c>
      <c r="F229" s="32" t="s">
        <v>748</v>
      </c>
      <c r="G229" s="32" t="s">
        <v>749</v>
      </c>
      <c r="H229" s="31" t="n">
        <v>45693</v>
      </c>
      <c r="I229" s="32" t="s">
        <v>813</v>
      </c>
      <c r="J229" s="32" t="s">
        <v>751</v>
      </c>
      <c r="K229" s="0" t="n">
        <v>35</v>
      </c>
      <c r="L229" s="32" t="s">
        <v>771</v>
      </c>
      <c r="M229" s="0" t="n">
        <v>5</v>
      </c>
      <c r="N229" s="32" t="s">
        <v>753</v>
      </c>
      <c r="O229" s="32" t="s">
        <v>895</v>
      </c>
      <c r="P229" s="32" t="n">
        <f aca="false">IF(AND(ISNUMBER(K229),K229&gt;=0),K229,IF(ISNUMBER(M229),ROUND(M229*7,0),""))</f>
        <v>35</v>
      </c>
      <c r="Q229" s="0" t="str">
        <f aca="false">IF(ISTEXT(K229),"TEXT - recovered",IF(K229&lt;0,"NEGATIVE",IF(K229&gt;728,"&gt;104 WEEKS","OK")))</f>
        <v>OK</v>
      </c>
      <c r="R229" s="0" t="str">
        <f aca="false">IF(E229="GEN","GM",E229)</f>
        <v>GM</v>
      </c>
    </row>
    <row r="230" customFormat="false" ht="15" hidden="false" customHeight="false" outlineLevel="0" collapsed="false">
      <c r="A230" s="0" t="s">
        <v>1490</v>
      </c>
      <c r="B230" s="0" t="s">
        <v>774</v>
      </c>
      <c r="C230" s="0" t="s">
        <v>775</v>
      </c>
      <c r="D230" s="31" t="n">
        <v>26329</v>
      </c>
      <c r="E230" s="32" t="s">
        <v>776</v>
      </c>
      <c r="F230" s="32" t="s">
        <v>777</v>
      </c>
      <c r="G230" s="32" t="s">
        <v>778</v>
      </c>
      <c r="H230" s="31" t="n">
        <v>45693</v>
      </c>
      <c r="I230" s="32" t="s">
        <v>821</v>
      </c>
      <c r="J230" s="32" t="s">
        <v>751</v>
      </c>
      <c r="K230" s="0" t="n">
        <v>36</v>
      </c>
      <c r="L230" s="32" t="s">
        <v>752</v>
      </c>
      <c r="M230" s="0" t="n">
        <v>5.1</v>
      </c>
      <c r="N230" s="32" t="s">
        <v>780</v>
      </c>
      <c r="O230" s="32" t="s">
        <v>781</v>
      </c>
      <c r="P230" s="32" t="n">
        <f aca="false">IF(AND(ISNUMBER(K230),K230&gt;=0),K230,IF(ISNUMBER(M230),ROUND(M230*7,0),""))</f>
        <v>36</v>
      </c>
      <c r="Q230" s="0" t="str">
        <f aca="false">IF(ISTEXT(K230),"TEXT - recovered",IF(K230&lt;0,"NEGATIVE",IF(K230&gt;728,"&gt;104 WEEKS","OK")))</f>
        <v>OK</v>
      </c>
      <c r="R230" s="0" t="str">
        <f aca="false">IF(E230="GEN","GM",E230)</f>
        <v>GS</v>
      </c>
    </row>
    <row r="231" customFormat="false" ht="15" hidden="false" customHeight="false" outlineLevel="0" collapsed="false">
      <c r="A231" s="0" t="s">
        <v>1491</v>
      </c>
      <c r="B231" s="0" t="s">
        <v>1136</v>
      </c>
      <c r="C231" s="0" t="s">
        <v>938</v>
      </c>
      <c r="D231" s="31" t="n">
        <v>27168</v>
      </c>
      <c r="E231" s="32" t="s">
        <v>802</v>
      </c>
      <c r="F231" s="32" t="s">
        <v>803</v>
      </c>
      <c r="G231" s="32" t="s">
        <v>804</v>
      </c>
      <c r="H231" s="31" t="n">
        <v>45693</v>
      </c>
      <c r="I231" s="32" t="s">
        <v>829</v>
      </c>
      <c r="J231" s="32" t="s">
        <v>751</v>
      </c>
      <c r="K231" s="0" t="n">
        <v>47</v>
      </c>
      <c r="L231" s="32" t="s">
        <v>752</v>
      </c>
      <c r="M231" s="0" t="n">
        <v>6.7</v>
      </c>
      <c r="N231" s="32" t="s">
        <v>753</v>
      </c>
      <c r="O231" s="32" t="s">
        <v>939</v>
      </c>
      <c r="P231" s="32" t="n">
        <f aca="false">IF(AND(ISNUMBER(K231),K231&gt;=0),K231,IF(ISNUMBER(M231),ROUND(M231*7,0),""))</f>
        <v>47</v>
      </c>
      <c r="Q231" s="0" t="str">
        <f aca="false">IF(ISTEXT(K231),"TEXT - recovered",IF(K231&lt;0,"NEGATIVE",IF(K231&gt;728,"&gt;104 WEEKS","OK")))</f>
        <v>OK</v>
      </c>
      <c r="R231" s="0" t="str">
        <f aca="false">IF(E231="GEN","GM",E231)</f>
        <v>GYN</v>
      </c>
    </row>
    <row r="232" customFormat="false" ht="15" hidden="false" customHeight="false" outlineLevel="0" collapsed="false">
      <c r="A232" s="0" t="s">
        <v>1492</v>
      </c>
      <c r="B232" s="0" t="s">
        <v>1216</v>
      </c>
      <c r="C232" s="0" t="s">
        <v>1217</v>
      </c>
      <c r="D232" s="31" t="n">
        <v>28600</v>
      </c>
      <c r="E232" s="32" t="s">
        <v>802</v>
      </c>
      <c r="F232" s="32" t="s">
        <v>803</v>
      </c>
      <c r="G232" s="32" t="s">
        <v>804</v>
      </c>
      <c r="H232" s="31" t="n">
        <v>45694</v>
      </c>
      <c r="I232" s="32" t="s">
        <v>750</v>
      </c>
      <c r="J232" s="32" t="s">
        <v>751</v>
      </c>
      <c r="K232" s="0" t="n">
        <v>46</v>
      </c>
      <c r="L232" s="32" t="s">
        <v>752</v>
      </c>
      <c r="M232" s="0" t="n">
        <v>6.6</v>
      </c>
      <c r="N232" s="32" t="s">
        <v>753</v>
      </c>
      <c r="O232" s="32" t="s">
        <v>1218</v>
      </c>
      <c r="P232" s="32" t="n">
        <f aca="false">IF(AND(ISNUMBER(K232),K232&gt;=0),K232,IF(ISNUMBER(M232),ROUND(M232*7,0),""))</f>
        <v>46</v>
      </c>
      <c r="Q232" s="0" t="str">
        <f aca="false">IF(ISTEXT(K232),"TEXT - recovered",IF(K232&lt;0,"NEGATIVE",IF(K232&gt;728,"&gt;104 WEEKS","OK")))</f>
        <v>OK</v>
      </c>
      <c r="R232" s="0" t="str">
        <f aca="false">IF(E232="GEN","GM",E232)</f>
        <v>GYN</v>
      </c>
    </row>
    <row r="233" customFormat="false" ht="15" hidden="false" customHeight="false" outlineLevel="0" collapsed="false">
      <c r="A233" s="0" t="s">
        <v>1493</v>
      </c>
      <c r="B233" s="0" t="s">
        <v>1220</v>
      </c>
      <c r="C233" s="0" t="s">
        <v>1221</v>
      </c>
      <c r="D233" s="31" t="n">
        <v>31419</v>
      </c>
      <c r="E233" s="32" t="s">
        <v>810</v>
      </c>
      <c r="F233" s="32" t="s">
        <v>811</v>
      </c>
      <c r="G233" s="32" t="s">
        <v>812</v>
      </c>
      <c r="H233" s="31" t="n">
        <v>45694</v>
      </c>
      <c r="I233" s="32" t="s">
        <v>761</v>
      </c>
      <c r="J233" s="32" t="s">
        <v>770</v>
      </c>
      <c r="K233" s="0" t="n">
        <v>224</v>
      </c>
      <c r="L233" s="32" t="s">
        <v>771</v>
      </c>
      <c r="M233" s="0" t="n">
        <v>32</v>
      </c>
      <c r="N233" s="32" t="s">
        <v>753</v>
      </c>
      <c r="O233" s="32" t="s">
        <v>1222</v>
      </c>
      <c r="P233" s="32" t="n">
        <f aca="false">IF(AND(ISNUMBER(K233),K233&gt;=0),K233,IF(ISNUMBER(M233),ROUND(M233*7,0),""))</f>
        <v>224</v>
      </c>
      <c r="Q233" s="0" t="str">
        <f aca="false">IF(ISTEXT(K233),"TEXT - recovered",IF(K233&lt;0,"NEGATIVE",IF(K233&gt;728,"&gt;104 WEEKS","OK")))</f>
        <v>OK</v>
      </c>
      <c r="R233" s="0" t="str">
        <f aca="false">IF(E233="GEN","GM",E233)</f>
        <v>URO</v>
      </c>
    </row>
    <row r="234" customFormat="false" ht="15" hidden="false" customHeight="false" outlineLevel="0" collapsed="false">
      <c r="A234" s="0" t="s">
        <v>1494</v>
      </c>
      <c r="B234" s="0" t="s">
        <v>1299</v>
      </c>
      <c r="C234" s="0" t="s">
        <v>1300</v>
      </c>
      <c r="D234" s="31" t="n">
        <v>21822</v>
      </c>
      <c r="E234" s="32" t="s">
        <v>810</v>
      </c>
      <c r="F234" s="32" t="s">
        <v>811</v>
      </c>
      <c r="G234" s="32" t="s">
        <v>812</v>
      </c>
      <c r="H234" s="31" t="n">
        <v>45694</v>
      </c>
      <c r="I234" s="32" t="s">
        <v>769</v>
      </c>
      <c r="J234" s="32" t="s">
        <v>751</v>
      </c>
      <c r="K234" s="0" t="n">
        <v>57</v>
      </c>
      <c r="L234" s="32" t="s">
        <v>752</v>
      </c>
      <c r="M234" s="0" t="n">
        <v>8.1</v>
      </c>
      <c r="N234" s="32" t="s">
        <v>753</v>
      </c>
      <c r="O234" s="32" t="s">
        <v>1301</v>
      </c>
      <c r="P234" s="32" t="n">
        <f aca="false">IF(AND(ISNUMBER(K234),K234&gt;=0),K234,IF(ISNUMBER(M234),ROUND(M234*7,0),""))</f>
        <v>57</v>
      </c>
      <c r="Q234" s="0" t="str">
        <f aca="false">IF(ISTEXT(K234),"TEXT - recovered",IF(K234&lt;0,"NEGATIVE",IF(K234&gt;728,"&gt;104 WEEKS","OK")))</f>
        <v>OK</v>
      </c>
      <c r="R234" s="0" t="str">
        <f aca="false">IF(E234="GEN","GM",E234)</f>
        <v>URO</v>
      </c>
    </row>
    <row r="235" customFormat="false" ht="15" hidden="false" customHeight="false" outlineLevel="0" collapsed="false">
      <c r="A235" s="0" t="s">
        <v>1495</v>
      </c>
      <c r="B235" s="0" t="s">
        <v>1376</v>
      </c>
      <c r="C235" s="0" t="s">
        <v>1304</v>
      </c>
      <c r="D235" s="31" t="n">
        <v>27531</v>
      </c>
      <c r="E235" s="32" t="s">
        <v>818</v>
      </c>
      <c r="F235" s="32" t="s">
        <v>819</v>
      </c>
      <c r="G235" s="32" t="s">
        <v>820</v>
      </c>
      <c r="H235" s="31" t="n">
        <v>45694</v>
      </c>
      <c r="I235" s="32" t="s">
        <v>779</v>
      </c>
      <c r="J235" s="32" t="s">
        <v>751</v>
      </c>
      <c r="K235" s="0" t="n">
        <v>68</v>
      </c>
      <c r="L235" s="32" t="s">
        <v>752</v>
      </c>
      <c r="M235" s="0" t="n">
        <v>9.7</v>
      </c>
      <c r="N235" s="32" t="s">
        <v>753</v>
      </c>
      <c r="O235" s="32" t="s">
        <v>1305</v>
      </c>
      <c r="P235" s="32" t="n">
        <f aca="false">IF(AND(ISNUMBER(K235),K235&gt;=0),K235,IF(ISNUMBER(M235),ROUND(M235*7,0),""))</f>
        <v>68</v>
      </c>
      <c r="Q235" s="0" t="str">
        <f aca="false">IF(ISTEXT(K235),"TEXT - recovered",IF(K235&lt;0,"NEGATIVE",IF(K235&gt;728,"&gt;104 WEEKS","OK")))</f>
        <v>OK</v>
      </c>
      <c r="R235" s="0" t="str">
        <f aca="false">IF(E235="GEN","GM",E235)</f>
        <v>OPH</v>
      </c>
    </row>
    <row r="236" customFormat="false" ht="15" hidden="false" customHeight="false" outlineLevel="0" collapsed="false">
      <c r="A236" s="0" t="s">
        <v>1496</v>
      </c>
      <c r="B236" s="0" t="s">
        <v>1024</v>
      </c>
      <c r="C236" s="0" t="s">
        <v>1025</v>
      </c>
      <c r="D236" s="31" t="n">
        <v>21961</v>
      </c>
      <c r="E236" s="32" t="s">
        <v>818</v>
      </c>
      <c r="F236" s="32" t="s">
        <v>819</v>
      </c>
      <c r="G236" s="32" t="s">
        <v>820</v>
      </c>
      <c r="H236" s="31" t="n">
        <v>45694</v>
      </c>
      <c r="I236" s="32" t="s">
        <v>788</v>
      </c>
      <c r="J236" s="32" t="s">
        <v>751</v>
      </c>
      <c r="K236" s="0" t="n">
        <v>58</v>
      </c>
      <c r="L236" s="32" t="s">
        <v>752</v>
      </c>
      <c r="M236" s="0" t="n">
        <v>8.3</v>
      </c>
      <c r="N236" s="32" t="s">
        <v>753</v>
      </c>
      <c r="O236" s="32" t="s">
        <v>1026</v>
      </c>
      <c r="P236" s="32" t="n">
        <f aca="false">IF(AND(ISNUMBER(K236),K236&gt;=0),K236,IF(ISNUMBER(M236),ROUND(M236*7,0),""))</f>
        <v>58</v>
      </c>
      <c r="Q236" s="0" t="str">
        <f aca="false">IF(ISTEXT(K236),"TEXT - recovered",IF(K236&lt;0,"NEGATIVE",IF(K236&gt;728,"&gt;104 WEEKS","OK")))</f>
        <v>OK</v>
      </c>
      <c r="R236" s="0" t="str">
        <f aca="false">IF(E236="GEN","GM",E236)</f>
        <v>OPH</v>
      </c>
    </row>
    <row r="237" customFormat="false" ht="15" hidden="false" customHeight="false" outlineLevel="0" collapsed="false">
      <c r="A237" s="0" t="s">
        <v>1497</v>
      </c>
      <c r="B237" s="0" t="s">
        <v>1096</v>
      </c>
      <c r="C237" s="0" t="s">
        <v>1097</v>
      </c>
      <c r="D237" s="31" t="n">
        <v>33452</v>
      </c>
      <c r="E237" s="32" t="s">
        <v>802</v>
      </c>
      <c r="F237" s="32" t="s">
        <v>803</v>
      </c>
      <c r="G237" s="32" t="s">
        <v>804</v>
      </c>
      <c r="H237" s="31" t="n">
        <v>45694</v>
      </c>
      <c r="I237" s="32" t="s">
        <v>796</v>
      </c>
      <c r="J237" s="32" t="s">
        <v>770</v>
      </c>
      <c r="K237" s="0" t="n">
        <v>168</v>
      </c>
      <c r="L237" s="32" t="s">
        <v>771</v>
      </c>
      <c r="M237" s="0" t="n">
        <v>24</v>
      </c>
      <c r="N237" s="32" t="s">
        <v>753</v>
      </c>
      <c r="O237" s="32" t="s">
        <v>1098</v>
      </c>
      <c r="P237" s="32" t="n">
        <f aca="false">IF(AND(ISNUMBER(K237),K237&gt;=0),K237,IF(ISNUMBER(M237),ROUND(M237*7,0),""))</f>
        <v>168</v>
      </c>
      <c r="Q237" s="0" t="str">
        <f aca="false">IF(ISTEXT(K237),"TEXT - recovered",IF(K237&lt;0,"NEGATIVE",IF(K237&gt;728,"&gt;104 WEEKS","OK")))</f>
        <v>OK</v>
      </c>
      <c r="R237" s="0" t="str">
        <f aca="false">IF(E237="GEN","GM",E237)</f>
        <v>GYN</v>
      </c>
    </row>
    <row r="238" customFormat="false" ht="15" hidden="false" customHeight="false" outlineLevel="0" collapsed="false">
      <c r="A238" s="0" t="s">
        <v>1498</v>
      </c>
      <c r="B238" s="0" t="s">
        <v>1100</v>
      </c>
      <c r="C238" s="0" t="s">
        <v>853</v>
      </c>
      <c r="D238" s="31" t="n">
        <v>30293</v>
      </c>
      <c r="E238" s="32" t="s">
        <v>793</v>
      </c>
      <c r="F238" s="32" t="s">
        <v>794</v>
      </c>
      <c r="G238" s="32" t="s">
        <v>795</v>
      </c>
      <c r="H238" s="31" t="n">
        <v>45694</v>
      </c>
      <c r="I238" s="32" t="s">
        <v>805</v>
      </c>
      <c r="J238" s="32" t="s">
        <v>751</v>
      </c>
      <c r="K238" s="0" t="n">
        <v>17</v>
      </c>
      <c r="L238" s="32" t="s">
        <v>771</v>
      </c>
      <c r="M238" s="0" t="n">
        <v>2.4</v>
      </c>
      <c r="N238" s="32" t="s">
        <v>330</v>
      </c>
      <c r="O238" s="32" t="s">
        <v>854</v>
      </c>
      <c r="P238" s="32" t="n">
        <f aca="false">IF(AND(ISNUMBER(K238),K238&gt;=0),K238,IF(ISNUMBER(M238),ROUND(M238*7,0),""))</f>
        <v>17</v>
      </c>
      <c r="Q238" s="0" t="str">
        <f aca="false">IF(ISTEXT(K238),"TEXT - recovered",IF(K238&lt;0,"NEGATIVE",IF(K238&gt;728,"&gt;104 WEEKS","OK")))</f>
        <v>OK</v>
      </c>
      <c r="R238" s="0" t="str">
        <f aca="false">IF(E238="GEN","GM",E238)</f>
        <v>EM</v>
      </c>
    </row>
    <row r="239" customFormat="false" ht="15" hidden="false" customHeight="false" outlineLevel="0" collapsed="false">
      <c r="A239" s="0" t="s">
        <v>1499</v>
      </c>
      <c r="B239" s="0" t="s">
        <v>1104</v>
      </c>
      <c r="C239" s="0" t="s">
        <v>950</v>
      </c>
      <c r="D239" s="31" t="n">
        <v>26003</v>
      </c>
      <c r="E239" s="32" t="s">
        <v>826</v>
      </c>
      <c r="F239" s="32" t="s">
        <v>827</v>
      </c>
      <c r="G239" s="32" t="s">
        <v>828</v>
      </c>
      <c r="H239" s="31" t="n">
        <v>45694</v>
      </c>
      <c r="I239" s="32" t="s">
        <v>813</v>
      </c>
      <c r="J239" s="32" t="s">
        <v>751</v>
      </c>
      <c r="K239" s="0" t="n">
        <v>69</v>
      </c>
      <c r="L239" s="32" t="s">
        <v>752</v>
      </c>
      <c r="M239" s="0" t="n">
        <v>9.9</v>
      </c>
      <c r="N239" s="32" t="s">
        <v>753</v>
      </c>
      <c r="O239" s="32" t="s">
        <v>951</v>
      </c>
      <c r="P239" s="32" t="n">
        <f aca="false">IF(AND(ISNUMBER(K239),K239&gt;=0),K239,IF(ISNUMBER(M239),ROUND(M239*7,0),""))</f>
        <v>69</v>
      </c>
      <c r="Q239" s="0" t="str">
        <f aca="false">IF(ISTEXT(K239),"TEXT - recovered",IF(K239&lt;0,"NEGATIVE",IF(K239&gt;728,"&gt;104 WEEKS","OK")))</f>
        <v>OK</v>
      </c>
      <c r="R239" s="0" t="str">
        <f aca="false">IF(E239="GEN","GM",E239)</f>
        <v>RHE</v>
      </c>
    </row>
    <row r="240" customFormat="false" ht="15" hidden="false" customHeight="false" outlineLevel="0" collapsed="false">
      <c r="A240" s="0" t="s">
        <v>1500</v>
      </c>
      <c r="B240" s="0" t="s">
        <v>1108</v>
      </c>
      <c r="C240" s="0" t="s">
        <v>1109</v>
      </c>
      <c r="D240" s="31" t="n">
        <v>17801</v>
      </c>
      <c r="E240" s="32" t="s">
        <v>826</v>
      </c>
      <c r="F240" s="32" t="s">
        <v>827</v>
      </c>
      <c r="G240" s="32" t="s">
        <v>828</v>
      </c>
      <c r="H240" s="31" t="n">
        <v>45694</v>
      </c>
      <c r="I240" s="32" t="s">
        <v>821</v>
      </c>
      <c r="J240" s="32" t="s">
        <v>770</v>
      </c>
      <c r="K240" s="0" t="n">
        <v>202</v>
      </c>
      <c r="L240" s="32" t="s">
        <v>771</v>
      </c>
      <c r="M240" s="0" t="n">
        <v>28.9</v>
      </c>
      <c r="N240" s="32" t="s">
        <v>753</v>
      </c>
      <c r="O240" s="32" t="s">
        <v>1110</v>
      </c>
      <c r="P240" s="32" t="n">
        <f aca="false">IF(AND(ISNUMBER(K240),K240&gt;=0),K240,IF(ISNUMBER(M240),ROUND(M240*7,0),""))</f>
        <v>202</v>
      </c>
      <c r="Q240" s="0" t="str">
        <f aca="false">IF(ISTEXT(K240),"TEXT - recovered",IF(K240&lt;0,"NEGATIVE",IF(K240&gt;728,"&gt;104 WEEKS","OK")))</f>
        <v>OK</v>
      </c>
      <c r="R240" s="0" t="str">
        <f aca="false">IF(E240="GEN","GM",E240)</f>
        <v>RHE</v>
      </c>
    </row>
    <row r="241" customFormat="false" ht="15" hidden="false" customHeight="false" outlineLevel="0" collapsed="false">
      <c r="A241" s="0" t="s">
        <v>1501</v>
      </c>
      <c r="B241" s="0" t="s">
        <v>1112</v>
      </c>
      <c r="C241" s="0" t="s">
        <v>1113</v>
      </c>
      <c r="D241" s="31" t="n">
        <v>30114</v>
      </c>
      <c r="E241" s="32" t="s">
        <v>747</v>
      </c>
      <c r="F241" s="32" t="s">
        <v>748</v>
      </c>
      <c r="G241" s="32" t="s">
        <v>749</v>
      </c>
      <c r="H241" s="31" t="n">
        <v>45694</v>
      </c>
      <c r="I241" s="32" t="s">
        <v>829</v>
      </c>
      <c r="J241" s="32" t="s">
        <v>751</v>
      </c>
      <c r="K241" s="0" t="n">
        <v>35</v>
      </c>
      <c r="L241" s="32" t="s">
        <v>752</v>
      </c>
      <c r="M241" s="0" t="n">
        <v>5</v>
      </c>
      <c r="N241" s="32" t="s">
        <v>753</v>
      </c>
      <c r="O241" s="32" t="s">
        <v>1114</v>
      </c>
      <c r="P241" s="32" t="n">
        <f aca="false">IF(AND(ISNUMBER(K241),K241&gt;=0),K241,IF(ISNUMBER(M241),ROUND(M241*7,0),""))</f>
        <v>35</v>
      </c>
      <c r="Q241" s="0" t="str">
        <f aca="false">IF(ISTEXT(K241),"TEXT - recovered",IF(K241&lt;0,"NEGATIVE",IF(K241&gt;728,"&gt;104 WEEKS","OK")))</f>
        <v>OK</v>
      </c>
      <c r="R241" s="0" t="str">
        <f aca="false">IF(E241="GEN","GM",E241)</f>
        <v>GM</v>
      </c>
    </row>
    <row r="242" customFormat="false" ht="15" hidden="false" customHeight="false" outlineLevel="0" collapsed="false">
      <c r="A242" s="0" t="s">
        <v>1502</v>
      </c>
      <c r="B242" s="0" t="s">
        <v>1116</v>
      </c>
      <c r="C242" s="0" t="s">
        <v>1117</v>
      </c>
      <c r="D242" s="31" t="n">
        <v>24137</v>
      </c>
      <c r="E242" s="32" t="s">
        <v>758</v>
      </c>
      <c r="F242" s="32" t="s">
        <v>759</v>
      </c>
      <c r="G242" s="32" t="s">
        <v>760</v>
      </c>
      <c r="H242" s="31" t="n">
        <v>45695</v>
      </c>
      <c r="I242" s="32" t="s">
        <v>750</v>
      </c>
      <c r="J242" s="32" t="s">
        <v>751</v>
      </c>
      <c r="K242" s="0" t="n">
        <v>68</v>
      </c>
      <c r="L242" s="32" t="s">
        <v>752</v>
      </c>
      <c r="M242" s="0" t="n">
        <v>9.7</v>
      </c>
      <c r="N242" s="32" t="s">
        <v>780</v>
      </c>
      <c r="O242" s="32" t="s">
        <v>1118</v>
      </c>
      <c r="P242" s="32" t="n">
        <f aca="false">IF(AND(ISNUMBER(K242),K242&gt;=0),K242,IF(ISNUMBER(M242),ROUND(M242*7,0),""))</f>
        <v>68</v>
      </c>
      <c r="Q242" s="0" t="str">
        <f aca="false">IF(ISTEXT(K242),"TEXT - recovered",IF(K242&lt;0,"NEGATIVE",IF(K242&gt;728,"&gt;104 WEEKS","OK")))</f>
        <v>OK</v>
      </c>
      <c r="R242" s="0" t="str">
        <f aca="false">IF(E242="GEN","GM",E242)</f>
        <v>CS</v>
      </c>
    </row>
    <row r="243" customFormat="false" ht="15" hidden="false" customHeight="false" outlineLevel="0" collapsed="false">
      <c r="A243" s="0" t="s">
        <v>1503</v>
      </c>
      <c r="B243" s="0" t="s">
        <v>1120</v>
      </c>
      <c r="C243" s="0" t="s">
        <v>1121</v>
      </c>
      <c r="D243" s="31" t="n">
        <v>29115</v>
      </c>
      <c r="E243" s="32" t="s">
        <v>766</v>
      </c>
      <c r="F243" s="32" t="s">
        <v>767</v>
      </c>
      <c r="G243" s="32" t="s">
        <v>768</v>
      </c>
      <c r="H243" s="31" t="n">
        <v>45695</v>
      </c>
      <c r="I243" s="32" t="s">
        <v>761</v>
      </c>
      <c r="J243" s="32" t="s">
        <v>770</v>
      </c>
      <c r="K243" s="0" t="n">
        <v>313</v>
      </c>
      <c r="L243" s="32" t="s">
        <v>771</v>
      </c>
      <c r="M243" s="0" t="n">
        <v>44.7</v>
      </c>
      <c r="N243" s="32" t="s">
        <v>753</v>
      </c>
      <c r="O243" s="32" t="s">
        <v>1122</v>
      </c>
      <c r="P243" s="32" t="n">
        <f aca="false">IF(AND(ISNUMBER(K243),K243&gt;=0),K243,IF(ISNUMBER(M243),ROUND(M243*7,0),""))</f>
        <v>313</v>
      </c>
      <c r="Q243" s="0" t="str">
        <f aca="false">IF(ISTEXT(K243),"TEXT - recovered",IF(K243&lt;0,"NEGATIVE",IF(K243&gt;728,"&gt;104 WEEKS","OK")))</f>
        <v>OK</v>
      </c>
      <c r="R243" s="0" t="str">
        <f aca="false">IF(E243="GEN","GM",E243)</f>
        <v>OR</v>
      </c>
    </row>
    <row r="244" customFormat="false" ht="15" hidden="false" customHeight="false" outlineLevel="0" collapsed="false">
      <c r="A244" s="0" t="s">
        <v>1504</v>
      </c>
      <c r="B244" s="0" t="s">
        <v>1124</v>
      </c>
      <c r="C244" s="0" t="s">
        <v>1125</v>
      </c>
      <c r="D244" s="31" t="n">
        <v>19849</v>
      </c>
      <c r="E244" s="32" t="s">
        <v>776</v>
      </c>
      <c r="F244" s="32" t="s">
        <v>777</v>
      </c>
      <c r="G244" s="32" t="s">
        <v>778</v>
      </c>
      <c r="H244" s="31" t="n">
        <v>45695</v>
      </c>
      <c r="I244" s="32" t="s">
        <v>769</v>
      </c>
      <c r="J244" s="32" t="s">
        <v>751</v>
      </c>
      <c r="K244" s="0" t="n">
        <v>79</v>
      </c>
      <c r="L244" s="32" t="s">
        <v>752</v>
      </c>
      <c r="M244" s="0" t="n">
        <v>11.3</v>
      </c>
      <c r="N244" s="32" t="s">
        <v>753</v>
      </c>
      <c r="O244" s="32" t="s">
        <v>1126</v>
      </c>
      <c r="P244" s="32" t="n">
        <f aca="false">IF(AND(ISNUMBER(K244),K244&gt;=0),K244,IF(ISNUMBER(M244),ROUND(M244*7,0),""))</f>
        <v>79</v>
      </c>
      <c r="Q244" s="0" t="str">
        <f aca="false">IF(ISTEXT(K244),"TEXT - recovered",IF(K244&lt;0,"NEGATIVE",IF(K244&gt;728,"&gt;104 WEEKS","OK")))</f>
        <v>OK</v>
      </c>
      <c r="R244" s="0" t="str">
        <f aca="false">IF(E244="GEN","GM",E244)</f>
        <v>GS</v>
      </c>
    </row>
    <row r="245" customFormat="false" ht="15" hidden="false" customHeight="false" outlineLevel="0" collapsed="false">
      <c r="A245" s="0" t="s">
        <v>1505</v>
      </c>
      <c r="B245" s="0" t="s">
        <v>1128</v>
      </c>
      <c r="C245" s="0" t="s">
        <v>1129</v>
      </c>
      <c r="D245" s="31" t="n">
        <v>32195</v>
      </c>
      <c r="E245" s="32" t="s">
        <v>785</v>
      </c>
      <c r="F245" s="32" t="s">
        <v>786</v>
      </c>
      <c r="G245" s="32" t="s">
        <v>787</v>
      </c>
      <c r="H245" s="31" t="n">
        <v>45695</v>
      </c>
      <c r="I245" s="32" t="s">
        <v>779</v>
      </c>
      <c r="J245" s="32" t="s">
        <v>751</v>
      </c>
      <c r="K245" s="0" t="n">
        <v>46</v>
      </c>
      <c r="L245" s="32" t="s">
        <v>752</v>
      </c>
      <c r="M245" s="0" t="n">
        <v>6.6</v>
      </c>
      <c r="N245" s="32" t="s">
        <v>753</v>
      </c>
      <c r="O245" s="32" t="s">
        <v>1130</v>
      </c>
      <c r="P245" s="32" t="n">
        <f aca="false">IF(AND(ISNUMBER(K245),K245&gt;=0),K245,IF(ISNUMBER(M245),ROUND(M245*7,0),""))</f>
        <v>46</v>
      </c>
      <c r="Q245" s="0" t="str">
        <f aca="false">IF(ISTEXT(K245),"TEXT - recovered",IF(K245&lt;0,"NEGATIVE",IF(K245&gt;728,"&gt;104 WEEKS","OK")))</f>
        <v>OK</v>
      </c>
      <c r="R245" s="0" t="str">
        <f aca="false">IF(E245="GEN","GM",E245)</f>
        <v>RS</v>
      </c>
    </row>
    <row r="246" customFormat="false" ht="15" hidden="false" customHeight="false" outlineLevel="0" collapsed="false">
      <c r="A246" s="0" t="s">
        <v>1506</v>
      </c>
      <c r="B246" s="0" t="s">
        <v>1132</v>
      </c>
      <c r="C246" s="0" t="s">
        <v>1133</v>
      </c>
      <c r="D246" s="31" t="n">
        <v>26215</v>
      </c>
      <c r="E246" s="32" t="s">
        <v>793</v>
      </c>
      <c r="F246" s="32" t="s">
        <v>794</v>
      </c>
      <c r="G246" s="32" t="s">
        <v>795</v>
      </c>
      <c r="H246" s="31" t="n">
        <v>45695</v>
      </c>
      <c r="I246" s="32" t="s">
        <v>788</v>
      </c>
      <c r="J246" s="32" t="s">
        <v>797</v>
      </c>
      <c r="K246" s="0" t="n">
        <v>8</v>
      </c>
      <c r="L246" s="32" t="s">
        <v>771</v>
      </c>
      <c r="M246" s="0" t="n">
        <v>1.1</v>
      </c>
      <c r="N246" s="32" t="s">
        <v>330</v>
      </c>
      <c r="O246" s="32" t="s">
        <v>1134</v>
      </c>
      <c r="P246" s="32" t="n">
        <f aca="false">IF(AND(ISNUMBER(K246),K246&gt;=0),K246,IF(ISNUMBER(M246),ROUND(M246*7,0),""))</f>
        <v>8</v>
      </c>
      <c r="Q246" s="0" t="str">
        <f aca="false">IF(ISTEXT(K246),"TEXT - recovered",IF(K246&lt;0,"NEGATIVE",IF(K246&gt;728,"&gt;104 WEEKS","OK")))</f>
        <v>OK</v>
      </c>
      <c r="R246" s="0" t="str">
        <f aca="false">IF(E246="GEN","GM",E246)</f>
        <v>EM</v>
      </c>
    </row>
    <row r="247" customFormat="false" ht="15" hidden="false" customHeight="false" outlineLevel="0" collapsed="false">
      <c r="A247" s="0" t="s">
        <v>1507</v>
      </c>
      <c r="B247" s="0" t="s">
        <v>1136</v>
      </c>
      <c r="C247" s="0" t="s">
        <v>1137</v>
      </c>
      <c r="D247" s="31" t="n">
        <v>34542</v>
      </c>
      <c r="E247" s="32" t="s">
        <v>802</v>
      </c>
      <c r="F247" s="32" t="s">
        <v>803</v>
      </c>
      <c r="G247" s="32" t="s">
        <v>804</v>
      </c>
      <c r="H247" s="31" t="n">
        <v>45695</v>
      </c>
      <c r="I247" s="32" t="s">
        <v>796</v>
      </c>
      <c r="J247" s="32" t="s">
        <v>751</v>
      </c>
      <c r="K247" s="0" t="n">
        <v>24</v>
      </c>
      <c r="L247" s="32" t="s">
        <v>752</v>
      </c>
      <c r="M247" s="0" t="n">
        <v>3.4</v>
      </c>
      <c r="N247" s="32" t="s">
        <v>753</v>
      </c>
      <c r="O247" s="32" t="s">
        <v>1138</v>
      </c>
      <c r="P247" s="32" t="n">
        <f aca="false">IF(AND(ISNUMBER(K247),K247&gt;=0),K247,IF(ISNUMBER(M247),ROUND(M247*7,0),""))</f>
        <v>24</v>
      </c>
      <c r="Q247" s="0" t="str">
        <f aca="false">IF(ISTEXT(K247),"TEXT - recovered",IF(K247&lt;0,"NEGATIVE",IF(K247&gt;728,"&gt;104 WEEKS","OK")))</f>
        <v>OK</v>
      </c>
      <c r="R247" s="0" t="str">
        <f aca="false">IF(E247="GEN","GM",E247)</f>
        <v>GYN</v>
      </c>
    </row>
    <row r="248" customFormat="false" ht="15" hidden="false" customHeight="false" outlineLevel="0" collapsed="false">
      <c r="A248" s="0" t="s">
        <v>1508</v>
      </c>
      <c r="B248" s="0" t="s">
        <v>1140</v>
      </c>
      <c r="C248" s="0" t="s">
        <v>1141</v>
      </c>
      <c r="D248" s="31" t="n">
        <v>21989</v>
      </c>
      <c r="E248" s="32" t="s">
        <v>810</v>
      </c>
      <c r="F248" s="32" t="s">
        <v>811</v>
      </c>
      <c r="G248" s="32" t="s">
        <v>812</v>
      </c>
      <c r="H248" s="31" t="n">
        <v>45695</v>
      </c>
      <c r="I248" s="32" t="s">
        <v>805</v>
      </c>
      <c r="J248" s="32" t="s">
        <v>770</v>
      </c>
      <c r="K248" s="0" t="n">
        <v>235</v>
      </c>
      <c r="L248" s="32" t="s">
        <v>771</v>
      </c>
      <c r="M248" s="0" t="n">
        <v>33.6</v>
      </c>
      <c r="N248" s="32" t="s">
        <v>753</v>
      </c>
      <c r="O248" s="32" t="s">
        <v>1142</v>
      </c>
      <c r="P248" s="32" t="n">
        <f aca="false">IF(AND(ISNUMBER(K248),K248&gt;=0),K248,IF(ISNUMBER(M248),ROUND(M248*7,0),""))</f>
        <v>235</v>
      </c>
      <c r="Q248" s="0" t="str">
        <f aca="false">IF(ISTEXT(K248),"TEXT - recovered",IF(K248&lt;0,"NEGATIVE",IF(K248&gt;728,"&gt;104 WEEKS","OK")))</f>
        <v>OK</v>
      </c>
      <c r="R248" s="0" t="str">
        <f aca="false">IF(E248="GEN","GM",E248)</f>
        <v>URO</v>
      </c>
    </row>
    <row r="249" customFormat="false" ht="15" hidden="false" customHeight="false" outlineLevel="0" collapsed="false">
      <c r="A249" s="0" t="s">
        <v>1509</v>
      </c>
      <c r="B249" s="0" t="s">
        <v>1144</v>
      </c>
      <c r="C249" s="0" t="s">
        <v>1145</v>
      </c>
      <c r="D249" s="31" t="n">
        <v>28096</v>
      </c>
      <c r="E249" s="32" t="s">
        <v>818</v>
      </c>
      <c r="F249" s="32" t="s">
        <v>819</v>
      </c>
      <c r="G249" s="32" t="s">
        <v>820</v>
      </c>
      <c r="H249" s="31" t="n">
        <v>45695</v>
      </c>
      <c r="I249" s="32" t="s">
        <v>813</v>
      </c>
      <c r="J249" s="32" t="s">
        <v>751</v>
      </c>
      <c r="K249" s="0" t="n">
        <v>90</v>
      </c>
      <c r="L249" s="32" t="s">
        <v>752</v>
      </c>
      <c r="M249" s="0" t="n">
        <v>12.9</v>
      </c>
      <c r="N249" s="32" t="s">
        <v>753</v>
      </c>
      <c r="O249" s="32" t="s">
        <v>1146</v>
      </c>
      <c r="P249" s="32" t="n">
        <f aca="false">IF(AND(ISNUMBER(K249),K249&gt;=0),K249,IF(ISNUMBER(M249),ROUND(M249*7,0),""))</f>
        <v>90</v>
      </c>
      <c r="Q249" s="0" t="str">
        <f aca="false">IF(ISTEXT(K249),"TEXT - recovered",IF(K249&lt;0,"NEGATIVE",IF(K249&gt;728,"&gt;104 WEEKS","OK")))</f>
        <v>OK</v>
      </c>
      <c r="R249" s="0" t="str">
        <f aca="false">IF(E249="GEN","GM",E249)</f>
        <v>OPH</v>
      </c>
    </row>
    <row r="250" customFormat="false" ht="15" hidden="false" customHeight="false" outlineLevel="0" collapsed="false">
      <c r="A250" s="0" t="s">
        <v>1510</v>
      </c>
      <c r="B250" s="0" t="s">
        <v>1148</v>
      </c>
      <c r="C250" s="0" t="s">
        <v>1149</v>
      </c>
      <c r="D250" s="31" t="n">
        <v>15938</v>
      </c>
      <c r="E250" s="32" t="s">
        <v>826</v>
      </c>
      <c r="F250" s="32" t="s">
        <v>827</v>
      </c>
      <c r="G250" s="32" t="s">
        <v>828</v>
      </c>
      <c r="H250" s="31" t="n">
        <v>45695</v>
      </c>
      <c r="I250" s="32" t="s">
        <v>821</v>
      </c>
      <c r="J250" s="32" t="s">
        <v>751</v>
      </c>
      <c r="K250" s="0" t="n">
        <v>135</v>
      </c>
      <c r="L250" s="32" t="s">
        <v>752</v>
      </c>
      <c r="M250" s="0" t="n">
        <v>19.3</v>
      </c>
      <c r="N250" s="32" t="s">
        <v>753</v>
      </c>
      <c r="O250" s="32" t="s">
        <v>1150</v>
      </c>
      <c r="P250" s="32" t="n">
        <f aca="false">IF(AND(ISNUMBER(K250),K250&gt;=0),K250,IF(ISNUMBER(M250),ROUND(M250*7,0),""))</f>
        <v>135</v>
      </c>
      <c r="Q250" s="0" t="str">
        <f aca="false">IF(ISTEXT(K250),"TEXT - recovered",IF(K250&lt;0,"NEGATIVE",IF(K250&gt;728,"&gt;104 WEEKS","OK")))</f>
        <v>OK</v>
      </c>
      <c r="R250" s="0" t="str">
        <f aca="false">IF(E250="GEN","GM",E250)</f>
        <v>RHE</v>
      </c>
    </row>
    <row r="251" customFormat="false" ht="15" hidden="false" customHeight="false" outlineLevel="0" collapsed="false">
      <c r="A251" s="0" t="s">
        <v>1511</v>
      </c>
      <c r="B251" s="0" t="s">
        <v>1152</v>
      </c>
      <c r="C251" s="0" t="s">
        <v>1153</v>
      </c>
      <c r="D251" s="31" t="n">
        <v>31144</v>
      </c>
      <c r="E251" s="32" t="s">
        <v>747</v>
      </c>
      <c r="F251" s="32" t="s">
        <v>748</v>
      </c>
      <c r="G251" s="32" t="s">
        <v>749</v>
      </c>
      <c r="H251" s="31" t="n">
        <v>45695</v>
      </c>
      <c r="I251" s="32" t="s">
        <v>829</v>
      </c>
      <c r="J251" s="32" t="s">
        <v>751</v>
      </c>
      <c r="K251" s="0" t="n">
        <v>57</v>
      </c>
      <c r="L251" s="32" t="s">
        <v>752</v>
      </c>
      <c r="M251" s="0" t="n">
        <v>8.1</v>
      </c>
      <c r="N251" s="32" t="s">
        <v>753</v>
      </c>
      <c r="O251" s="32" t="s">
        <v>1154</v>
      </c>
      <c r="P251" s="32" t="n">
        <f aca="false">IF(AND(ISNUMBER(K251),K251&gt;=0),K251,IF(ISNUMBER(M251),ROUND(M251*7,0),""))</f>
        <v>57</v>
      </c>
      <c r="Q251" s="0" t="str">
        <f aca="false">IF(ISTEXT(K251),"TEXT - recovered",IF(K251&lt;0,"NEGATIVE",IF(K251&gt;728,"&gt;104 WEEKS","OK")))</f>
        <v>OK</v>
      </c>
      <c r="R251" s="0" t="str">
        <f aca="false">IF(E251="GEN","GM",E251)</f>
        <v>GM</v>
      </c>
    </row>
    <row r="252" customFormat="false" ht="15" hidden="false" customHeight="false" outlineLevel="0" collapsed="false">
      <c r="A252" s="0" t="s">
        <v>1512</v>
      </c>
      <c r="B252" s="0" t="s">
        <v>1164</v>
      </c>
      <c r="C252" s="0" t="s">
        <v>1165</v>
      </c>
      <c r="D252" s="31" t="n">
        <v>22432</v>
      </c>
      <c r="E252" s="32" t="s">
        <v>776</v>
      </c>
      <c r="F252" s="32" t="s">
        <v>777</v>
      </c>
      <c r="G252" s="32" t="s">
        <v>778</v>
      </c>
      <c r="H252" s="31" t="n">
        <v>45698</v>
      </c>
      <c r="I252" s="32" t="s">
        <v>750</v>
      </c>
      <c r="J252" s="32" t="s">
        <v>751</v>
      </c>
      <c r="K252" s="0" t="n">
        <v>36</v>
      </c>
      <c r="L252" s="32" t="s">
        <v>752</v>
      </c>
      <c r="M252" s="0" t="n">
        <v>5.1</v>
      </c>
      <c r="N252" s="32" t="s">
        <v>753</v>
      </c>
      <c r="O252" s="32" t="s">
        <v>1166</v>
      </c>
      <c r="P252" s="32" t="n">
        <f aca="false">IF(AND(ISNUMBER(K252),K252&gt;=0),K252,IF(ISNUMBER(M252),ROUND(M252*7,0),""))</f>
        <v>36</v>
      </c>
      <c r="Q252" s="0" t="str">
        <f aca="false">IF(ISTEXT(K252),"TEXT - recovered",IF(K252&lt;0,"NEGATIVE",IF(K252&gt;728,"&gt;104 WEEKS","OK")))</f>
        <v>OK</v>
      </c>
      <c r="R252" s="0" t="str">
        <f aca="false">IF(E252="GEN","GM",E252)</f>
        <v>GS</v>
      </c>
    </row>
    <row r="253" customFormat="false" ht="15" hidden="false" customHeight="false" outlineLevel="0" collapsed="false">
      <c r="A253" s="0" t="s">
        <v>1513</v>
      </c>
      <c r="B253" s="0" t="s">
        <v>1168</v>
      </c>
      <c r="C253" s="0" t="s">
        <v>1169</v>
      </c>
      <c r="D253" s="31" t="n">
        <v>32557</v>
      </c>
      <c r="E253" s="32" t="s">
        <v>785</v>
      </c>
      <c r="F253" s="32" t="s">
        <v>786</v>
      </c>
      <c r="G253" s="32" t="s">
        <v>787</v>
      </c>
      <c r="H253" s="31" t="n">
        <v>45698</v>
      </c>
      <c r="I253" s="32" t="s">
        <v>761</v>
      </c>
      <c r="J253" s="32" t="s">
        <v>751</v>
      </c>
      <c r="K253" s="0" t="n">
        <v>57</v>
      </c>
      <c r="L253" s="32" t="s">
        <v>752</v>
      </c>
      <c r="M253" s="0" t="n">
        <v>8.1</v>
      </c>
      <c r="N253" s="32" t="s">
        <v>753</v>
      </c>
      <c r="O253" s="32" t="s">
        <v>1170</v>
      </c>
      <c r="P253" s="32" t="n">
        <f aca="false">IF(AND(ISNUMBER(K253),K253&gt;=0),K253,IF(ISNUMBER(M253),ROUND(M253*7,0),""))</f>
        <v>57</v>
      </c>
      <c r="Q253" s="0" t="str">
        <f aca="false">IF(ISTEXT(K253),"TEXT - recovered",IF(K253&lt;0,"NEGATIVE",IF(K253&gt;728,"&gt;104 WEEKS","OK")))</f>
        <v>OK</v>
      </c>
      <c r="R253" s="0" t="str">
        <f aca="false">IF(E253="GEN","GM",E253)</f>
        <v>RS</v>
      </c>
    </row>
    <row r="254" customFormat="false" ht="15" hidden="false" customHeight="false" outlineLevel="0" collapsed="false">
      <c r="A254" s="0" t="s">
        <v>1514</v>
      </c>
      <c r="B254" s="0" t="s">
        <v>1172</v>
      </c>
      <c r="C254" s="0" t="s">
        <v>1173</v>
      </c>
      <c r="D254" s="31" t="n">
        <v>24751</v>
      </c>
      <c r="E254" s="32" t="s">
        <v>793</v>
      </c>
      <c r="F254" s="32" t="s">
        <v>794</v>
      </c>
      <c r="G254" s="32" t="s">
        <v>795</v>
      </c>
      <c r="H254" s="31" t="n">
        <v>45698</v>
      </c>
      <c r="I254" s="32" t="s">
        <v>769</v>
      </c>
      <c r="J254" s="32" t="s">
        <v>751</v>
      </c>
      <c r="K254" s="0" t="n">
        <v>32</v>
      </c>
      <c r="L254" s="32" t="s">
        <v>771</v>
      </c>
      <c r="M254" s="0" t="n">
        <v>4.6</v>
      </c>
      <c r="N254" s="32" t="s">
        <v>330</v>
      </c>
      <c r="O254" s="32" t="s">
        <v>1174</v>
      </c>
      <c r="P254" s="32" t="n">
        <f aca="false">IF(AND(ISNUMBER(K254),K254&gt;=0),K254,IF(ISNUMBER(M254),ROUND(M254*7,0),""))</f>
        <v>32</v>
      </c>
      <c r="Q254" s="0" t="str">
        <f aca="false">IF(ISTEXT(K254),"TEXT - recovered",IF(K254&lt;0,"NEGATIVE",IF(K254&gt;728,"&gt;104 WEEKS","OK")))</f>
        <v>OK</v>
      </c>
      <c r="R254" s="0" t="str">
        <f aca="false">IF(E254="GEN","GM",E254)</f>
        <v>EM</v>
      </c>
    </row>
    <row r="255" customFormat="false" ht="15" hidden="false" customHeight="false" outlineLevel="0" collapsed="false">
      <c r="A255" s="0" t="s">
        <v>1515</v>
      </c>
      <c r="B255" s="0" t="s">
        <v>1176</v>
      </c>
      <c r="C255" s="0" t="s">
        <v>1177</v>
      </c>
      <c r="D255" s="31" t="n">
        <v>29396</v>
      </c>
      <c r="E255" s="32" t="s">
        <v>802</v>
      </c>
      <c r="F255" s="32" t="s">
        <v>803</v>
      </c>
      <c r="G255" s="32" t="s">
        <v>804</v>
      </c>
      <c r="H255" s="31" t="n">
        <v>45698</v>
      </c>
      <c r="I255" s="32" t="s">
        <v>779</v>
      </c>
      <c r="J255" s="32" t="s">
        <v>751</v>
      </c>
      <c r="K255" s="0" t="n">
        <v>79</v>
      </c>
      <c r="L255" s="32" t="s">
        <v>752</v>
      </c>
      <c r="M255" s="0" t="n">
        <v>11.3</v>
      </c>
      <c r="N255" s="32" t="s">
        <v>753</v>
      </c>
      <c r="O255" s="32" t="s">
        <v>1178</v>
      </c>
      <c r="P255" s="32" t="n">
        <f aca="false">IF(AND(ISNUMBER(K255),K255&gt;=0),K255,IF(ISNUMBER(M255),ROUND(M255*7,0),""))</f>
        <v>79</v>
      </c>
      <c r="Q255" s="0" t="str">
        <f aca="false">IF(ISTEXT(K255),"TEXT - recovered",IF(K255&lt;0,"NEGATIVE",IF(K255&gt;728,"&gt;104 WEEKS","OK")))</f>
        <v>OK</v>
      </c>
      <c r="R255" s="0" t="str">
        <f aca="false">IF(E255="GEN","GM",E255)</f>
        <v>GYN</v>
      </c>
    </row>
    <row r="256" customFormat="false" ht="15" hidden="false" customHeight="false" outlineLevel="0" collapsed="false">
      <c r="A256" s="0" t="s">
        <v>1516</v>
      </c>
      <c r="B256" s="0" t="s">
        <v>1180</v>
      </c>
      <c r="C256" s="0" t="s">
        <v>1181</v>
      </c>
      <c r="D256" s="31" t="n">
        <v>19370</v>
      </c>
      <c r="E256" s="32" t="s">
        <v>810</v>
      </c>
      <c r="F256" s="32" t="s">
        <v>811</v>
      </c>
      <c r="G256" s="32" t="s">
        <v>812</v>
      </c>
      <c r="H256" s="31" t="n">
        <v>45698</v>
      </c>
      <c r="I256" s="32" t="s">
        <v>788</v>
      </c>
      <c r="J256" s="32" t="s">
        <v>751</v>
      </c>
      <c r="K256" s="0" t="n">
        <v>90</v>
      </c>
      <c r="L256" s="32" t="s">
        <v>752</v>
      </c>
      <c r="M256" s="0" t="n">
        <v>12.9</v>
      </c>
      <c r="N256" s="32" t="s">
        <v>753</v>
      </c>
      <c r="O256" s="32" t="s">
        <v>1182</v>
      </c>
      <c r="P256" s="32" t="n">
        <f aca="false">IF(AND(ISNUMBER(K256),K256&gt;=0),K256,IF(ISNUMBER(M256),ROUND(M256*7,0),""))</f>
        <v>90</v>
      </c>
      <c r="Q256" s="0" t="str">
        <f aca="false">IF(ISTEXT(K256),"TEXT - recovered",IF(K256&lt;0,"NEGATIVE",IF(K256&gt;728,"&gt;104 WEEKS","OK")))</f>
        <v>OK</v>
      </c>
      <c r="R256" s="0" t="str">
        <f aca="false">IF(E256="GEN","GM",E256)</f>
        <v>URO</v>
      </c>
    </row>
    <row r="257" customFormat="false" ht="15" hidden="false" customHeight="false" outlineLevel="0" collapsed="false">
      <c r="A257" s="0" t="s">
        <v>1517</v>
      </c>
      <c r="B257" s="0" t="s">
        <v>1184</v>
      </c>
      <c r="C257" s="0" t="s">
        <v>1185</v>
      </c>
      <c r="D257" s="31" t="n">
        <v>28397</v>
      </c>
      <c r="E257" s="32" t="s">
        <v>818</v>
      </c>
      <c r="F257" s="32" t="s">
        <v>819</v>
      </c>
      <c r="G257" s="32" t="s">
        <v>820</v>
      </c>
      <c r="H257" s="31" t="n">
        <v>45698</v>
      </c>
      <c r="I257" s="32" t="s">
        <v>796</v>
      </c>
      <c r="J257" s="32" t="s">
        <v>770</v>
      </c>
      <c r="K257" s="0" t="n">
        <v>190</v>
      </c>
      <c r="L257" s="32" t="s">
        <v>771</v>
      </c>
      <c r="M257" s="0" t="n">
        <v>27.1</v>
      </c>
      <c r="N257" s="32" t="s">
        <v>753</v>
      </c>
      <c r="O257" s="32" t="s">
        <v>1186</v>
      </c>
      <c r="P257" s="32" t="n">
        <f aca="false">IF(AND(ISNUMBER(K257),K257&gt;=0),K257,IF(ISNUMBER(M257),ROUND(M257*7,0),""))</f>
        <v>190</v>
      </c>
      <c r="Q257" s="0" t="str">
        <f aca="false">IF(ISTEXT(K257),"TEXT - recovered",IF(K257&lt;0,"NEGATIVE",IF(K257&gt;728,"&gt;104 WEEKS","OK")))</f>
        <v>OK</v>
      </c>
      <c r="R257" s="0" t="str">
        <f aca="false">IF(E257="GEN","GM",E257)</f>
        <v>OPH</v>
      </c>
    </row>
    <row r="258" customFormat="false" ht="15" hidden="false" customHeight="false" outlineLevel="0" collapsed="false">
      <c r="A258" s="0" t="s">
        <v>1518</v>
      </c>
      <c r="B258" s="0" t="s">
        <v>1188</v>
      </c>
      <c r="C258" s="0" t="s">
        <v>1189</v>
      </c>
      <c r="D258" s="31" t="n">
        <v>23514</v>
      </c>
      <c r="E258" s="32" t="s">
        <v>826</v>
      </c>
      <c r="F258" s="32" t="s">
        <v>827</v>
      </c>
      <c r="G258" s="32" t="s">
        <v>828</v>
      </c>
      <c r="H258" s="31" t="n">
        <v>45698</v>
      </c>
      <c r="I258" s="32" t="s">
        <v>805</v>
      </c>
      <c r="J258" s="32" t="s">
        <v>751</v>
      </c>
      <c r="K258" s="0" t="n">
        <v>46</v>
      </c>
      <c r="L258" s="32" t="s">
        <v>752</v>
      </c>
      <c r="M258" s="0" t="n">
        <v>6.6</v>
      </c>
      <c r="N258" s="32" t="s">
        <v>753</v>
      </c>
      <c r="O258" s="32" t="s">
        <v>1190</v>
      </c>
      <c r="P258" s="32" t="n">
        <f aca="false">IF(AND(ISNUMBER(K258),K258&gt;=0),K258,IF(ISNUMBER(M258),ROUND(M258*7,0),""))</f>
        <v>46</v>
      </c>
      <c r="Q258" s="0" t="str">
        <f aca="false">IF(ISTEXT(K258),"TEXT - recovered",IF(K258&lt;0,"NEGATIVE",IF(K258&gt;728,"&gt;104 WEEKS","OK")))</f>
        <v>OK</v>
      </c>
      <c r="R258" s="0" t="str">
        <f aca="false">IF(E258="GEN","GM",E258)</f>
        <v>RHE</v>
      </c>
    </row>
    <row r="259" customFormat="false" ht="15" hidden="false" customHeight="false" outlineLevel="0" collapsed="false">
      <c r="A259" s="0" t="s">
        <v>1519</v>
      </c>
      <c r="B259" s="0" t="s">
        <v>1192</v>
      </c>
      <c r="C259" s="0" t="s">
        <v>1193</v>
      </c>
      <c r="D259" s="31" t="n">
        <v>17567</v>
      </c>
      <c r="E259" s="32" t="s">
        <v>747</v>
      </c>
      <c r="F259" s="32" t="s">
        <v>748</v>
      </c>
      <c r="G259" s="32" t="s">
        <v>749</v>
      </c>
      <c r="H259" s="31" t="n">
        <v>45698</v>
      </c>
      <c r="I259" s="32" t="s">
        <v>813</v>
      </c>
      <c r="J259" s="32" t="s">
        <v>751</v>
      </c>
      <c r="K259" s="0" t="n">
        <v>113</v>
      </c>
      <c r="L259" s="32" t="s">
        <v>752</v>
      </c>
      <c r="M259" s="0" t="n">
        <v>16.1</v>
      </c>
      <c r="N259" s="32" t="s">
        <v>753</v>
      </c>
      <c r="O259" s="32" t="s">
        <v>1194</v>
      </c>
      <c r="P259" s="32" t="n">
        <f aca="false">IF(AND(ISNUMBER(K259),K259&gt;=0),K259,IF(ISNUMBER(M259),ROUND(M259*7,0),""))</f>
        <v>113</v>
      </c>
      <c r="Q259" s="0" t="str">
        <f aca="false">IF(ISTEXT(K259),"TEXT - recovered",IF(K259&lt;0,"NEGATIVE",IF(K259&gt;728,"&gt;104 WEEKS","OK")))</f>
        <v>OK</v>
      </c>
      <c r="R259" s="0" t="str">
        <f aca="false">IF(E259="GEN","GM",E259)</f>
        <v>GM</v>
      </c>
    </row>
    <row r="260" customFormat="false" ht="15" hidden="false" customHeight="false" outlineLevel="0" collapsed="false">
      <c r="A260" s="0" t="s">
        <v>1520</v>
      </c>
      <c r="B260" s="0" t="s">
        <v>1196</v>
      </c>
      <c r="C260" s="0" t="s">
        <v>1197</v>
      </c>
      <c r="D260" s="31" t="n">
        <v>30611</v>
      </c>
      <c r="E260" s="32" t="s">
        <v>758</v>
      </c>
      <c r="F260" s="32" t="s">
        <v>759</v>
      </c>
      <c r="G260" s="32" t="s">
        <v>760</v>
      </c>
      <c r="H260" s="31" t="n">
        <v>45698</v>
      </c>
      <c r="I260" s="32" t="s">
        <v>821</v>
      </c>
      <c r="J260" s="32" t="s">
        <v>751</v>
      </c>
      <c r="K260" s="0" t="n">
        <v>57</v>
      </c>
      <c r="L260" s="32" t="s">
        <v>752</v>
      </c>
      <c r="M260" s="0" t="n">
        <v>8.1</v>
      </c>
      <c r="N260" s="32" t="s">
        <v>780</v>
      </c>
      <c r="O260" s="32" t="s">
        <v>1198</v>
      </c>
      <c r="P260" s="32" t="n">
        <f aca="false">IF(AND(ISNUMBER(K260),K260&gt;=0),K260,IF(ISNUMBER(M260),ROUND(M260*7,0),""))</f>
        <v>57</v>
      </c>
      <c r="Q260" s="0" t="str">
        <f aca="false">IF(ISTEXT(K260),"TEXT - recovered",IF(K260&lt;0,"NEGATIVE",IF(K260&gt;728,"&gt;104 WEEKS","OK")))</f>
        <v>OK</v>
      </c>
      <c r="R260" s="0" t="str">
        <f aca="false">IF(E260="GEN","GM",E260)</f>
        <v>CS</v>
      </c>
    </row>
    <row r="261" customFormat="false" ht="15" hidden="false" customHeight="false" outlineLevel="0" collapsed="false">
      <c r="A261" s="0" t="s">
        <v>1521</v>
      </c>
      <c r="B261" s="0" t="s">
        <v>1200</v>
      </c>
      <c r="C261" s="0" t="s">
        <v>1201</v>
      </c>
      <c r="D261" s="31" t="n">
        <v>26123</v>
      </c>
      <c r="E261" s="32" t="s">
        <v>766</v>
      </c>
      <c r="F261" s="32" t="s">
        <v>767</v>
      </c>
      <c r="G261" s="32" t="s">
        <v>768</v>
      </c>
      <c r="H261" s="31" t="n">
        <v>45698</v>
      </c>
      <c r="I261" s="32" t="s">
        <v>829</v>
      </c>
      <c r="J261" s="32" t="s">
        <v>751</v>
      </c>
      <c r="K261" s="0" t="n">
        <v>68</v>
      </c>
      <c r="L261" s="32" t="s">
        <v>752</v>
      </c>
      <c r="M261" s="0" t="n">
        <v>9.7</v>
      </c>
      <c r="N261" s="32" t="s">
        <v>753</v>
      </c>
      <c r="O261" s="32" t="s">
        <v>1202</v>
      </c>
      <c r="P261" s="32" t="n">
        <f aca="false">IF(AND(ISNUMBER(K261),K261&gt;=0),K261,IF(ISNUMBER(M261),ROUND(M261*7,0),""))</f>
        <v>68</v>
      </c>
      <c r="Q261" s="0" t="str">
        <f aca="false">IF(ISTEXT(K261),"TEXT - recovered",IF(K261&lt;0,"NEGATIVE",IF(K261&gt;728,"&gt;104 WEEKS","OK")))</f>
        <v>OK</v>
      </c>
      <c r="R261" s="0" t="str">
        <f aca="false">IF(E261="GEN","GM",E261)</f>
        <v>OR</v>
      </c>
    </row>
    <row r="262" customFormat="false" ht="15" hidden="false" customHeight="false" outlineLevel="0" collapsed="false">
      <c r="A262" s="0" t="s">
        <v>1522</v>
      </c>
      <c r="B262" s="0" t="s">
        <v>1204</v>
      </c>
      <c r="C262" s="0" t="s">
        <v>1205</v>
      </c>
      <c r="D262" s="31" t="n">
        <v>20175</v>
      </c>
      <c r="E262" s="32" t="s">
        <v>776</v>
      </c>
      <c r="F262" s="32" t="s">
        <v>777</v>
      </c>
      <c r="G262" s="32" t="s">
        <v>778</v>
      </c>
      <c r="H262" s="31" t="n">
        <v>45699</v>
      </c>
      <c r="I262" s="32" t="s">
        <v>750</v>
      </c>
      <c r="J262" s="32" t="s">
        <v>751</v>
      </c>
      <c r="K262" s="0" t="n">
        <v>35</v>
      </c>
      <c r="L262" s="32" t="s">
        <v>752</v>
      </c>
      <c r="M262" s="0" t="n">
        <v>5</v>
      </c>
      <c r="N262" s="32" t="s">
        <v>753</v>
      </c>
      <c r="O262" s="32" t="s">
        <v>1206</v>
      </c>
      <c r="P262" s="32" t="n">
        <f aca="false">IF(AND(ISNUMBER(K262),K262&gt;=0),K262,IF(ISNUMBER(M262),ROUND(M262*7,0),""))</f>
        <v>35</v>
      </c>
      <c r="Q262" s="0" t="str">
        <f aca="false">IF(ISTEXT(K262),"TEXT - recovered",IF(K262&lt;0,"NEGATIVE",IF(K262&gt;728,"&gt;104 WEEKS","OK")))</f>
        <v>OK</v>
      </c>
      <c r="R262" s="0" t="str">
        <f aca="false">IF(E262="GEN","GM",E262)</f>
        <v>GS</v>
      </c>
    </row>
    <row r="263" customFormat="false" ht="15" hidden="false" customHeight="false" outlineLevel="0" collapsed="false">
      <c r="A263" s="0" t="s">
        <v>1523</v>
      </c>
      <c r="B263" s="0" t="s">
        <v>1208</v>
      </c>
      <c r="C263" s="0" t="s">
        <v>1209</v>
      </c>
      <c r="D263" s="31" t="n">
        <v>33191</v>
      </c>
      <c r="E263" s="32" t="s">
        <v>785</v>
      </c>
      <c r="F263" s="32" t="s">
        <v>786</v>
      </c>
      <c r="G263" s="32" t="s">
        <v>787</v>
      </c>
      <c r="H263" s="31" t="n">
        <v>45699</v>
      </c>
      <c r="I263" s="32" t="s">
        <v>761</v>
      </c>
      <c r="J263" s="32" t="s">
        <v>751</v>
      </c>
      <c r="K263" s="0" t="n">
        <v>68</v>
      </c>
      <c r="L263" s="32" t="s">
        <v>752</v>
      </c>
      <c r="M263" s="0" t="n">
        <v>9.7</v>
      </c>
      <c r="N263" s="32" t="s">
        <v>753</v>
      </c>
      <c r="O263" s="32" t="s">
        <v>1210</v>
      </c>
      <c r="P263" s="32" t="n">
        <f aca="false">IF(AND(ISNUMBER(K263),K263&gt;=0),K263,IF(ISNUMBER(M263),ROUND(M263*7,0),""))</f>
        <v>68</v>
      </c>
      <c r="Q263" s="0" t="str">
        <f aca="false">IF(ISTEXT(K263),"TEXT - recovered",IF(K263&lt;0,"NEGATIVE",IF(K263&gt;728,"&gt;104 WEEKS","OK")))</f>
        <v>OK</v>
      </c>
      <c r="R263" s="0" t="str">
        <f aca="false">IF(E263="GEN","GM",E263)</f>
        <v>RS</v>
      </c>
    </row>
    <row r="264" customFormat="false" ht="15" hidden="false" customHeight="false" outlineLevel="0" collapsed="false">
      <c r="A264" s="0" t="s">
        <v>1524</v>
      </c>
      <c r="B264" s="0" t="s">
        <v>1216</v>
      </c>
      <c r="C264" s="0" t="s">
        <v>1217</v>
      </c>
      <c r="D264" s="31" t="n">
        <v>28600</v>
      </c>
      <c r="E264" s="32" t="s">
        <v>802</v>
      </c>
      <c r="F264" s="32" t="s">
        <v>803</v>
      </c>
      <c r="G264" s="32" t="s">
        <v>804</v>
      </c>
      <c r="H264" s="31" t="n">
        <v>45699</v>
      </c>
      <c r="I264" s="32" t="s">
        <v>769</v>
      </c>
      <c r="J264" s="32" t="s">
        <v>751</v>
      </c>
      <c r="K264" s="0" t="n">
        <v>47</v>
      </c>
      <c r="L264" s="32" t="s">
        <v>752</v>
      </c>
      <c r="M264" s="0" t="n">
        <v>6.7</v>
      </c>
      <c r="N264" s="32" t="s">
        <v>753</v>
      </c>
      <c r="O264" s="32" t="s">
        <v>1218</v>
      </c>
      <c r="P264" s="32" t="n">
        <f aca="false">IF(AND(ISNUMBER(K264),K264&gt;=0),K264,IF(ISNUMBER(M264),ROUND(M264*7,0),""))</f>
        <v>47</v>
      </c>
      <c r="Q264" s="0" t="str">
        <f aca="false">IF(ISTEXT(K264),"TEXT - recovered",IF(K264&lt;0,"NEGATIVE",IF(K264&gt;728,"&gt;104 WEEKS","OK")))</f>
        <v>OK</v>
      </c>
      <c r="R264" s="0" t="str">
        <f aca="false">IF(E264="GEN","GM",E264)</f>
        <v>GYN</v>
      </c>
    </row>
    <row r="265" customFormat="false" ht="15" hidden="false" customHeight="false" outlineLevel="0" collapsed="false">
      <c r="A265" s="0" t="s">
        <v>1525</v>
      </c>
      <c r="B265" s="0" t="s">
        <v>1220</v>
      </c>
      <c r="C265" s="0" t="s">
        <v>1221</v>
      </c>
      <c r="D265" s="31" t="n">
        <v>31419</v>
      </c>
      <c r="E265" s="32" t="s">
        <v>810</v>
      </c>
      <c r="F265" s="32" t="s">
        <v>811</v>
      </c>
      <c r="G265" s="32" t="s">
        <v>812</v>
      </c>
      <c r="H265" s="31" t="n">
        <v>45699</v>
      </c>
      <c r="I265" s="32" t="s">
        <v>779</v>
      </c>
      <c r="J265" s="32" t="s">
        <v>751</v>
      </c>
      <c r="K265" s="0" t="n">
        <v>46</v>
      </c>
      <c r="L265" s="32" t="s">
        <v>752</v>
      </c>
      <c r="M265" s="0" t="n">
        <v>6.6</v>
      </c>
      <c r="N265" s="32" t="s">
        <v>753</v>
      </c>
      <c r="O265" s="32" t="s">
        <v>1222</v>
      </c>
      <c r="P265" s="32" t="n">
        <f aca="false">IF(AND(ISNUMBER(K265),K265&gt;=0),K265,IF(ISNUMBER(M265),ROUND(M265*7,0),""))</f>
        <v>46</v>
      </c>
      <c r="Q265" s="0" t="str">
        <f aca="false">IF(ISTEXT(K265),"TEXT - recovered",IF(K265&lt;0,"NEGATIVE",IF(K265&gt;728,"&gt;104 WEEKS","OK")))</f>
        <v>OK</v>
      </c>
      <c r="R265" s="0" t="str">
        <f aca="false">IF(E265="GEN","GM",E265)</f>
        <v>URO</v>
      </c>
    </row>
    <row r="266" customFormat="false" ht="15" hidden="false" customHeight="false" outlineLevel="0" collapsed="false">
      <c r="A266" s="0" t="s">
        <v>1526</v>
      </c>
      <c r="B266" s="0" t="s">
        <v>1224</v>
      </c>
      <c r="C266" s="0" t="s">
        <v>1225</v>
      </c>
      <c r="D266" s="31" t="n">
        <v>18531</v>
      </c>
      <c r="E266" s="32" t="s">
        <v>818</v>
      </c>
      <c r="F266" s="32" t="s">
        <v>819</v>
      </c>
      <c r="G266" s="32" t="s">
        <v>820</v>
      </c>
      <c r="H266" s="31" t="n">
        <v>45699</v>
      </c>
      <c r="I266" s="32" t="s">
        <v>788</v>
      </c>
      <c r="J266" s="32" t="s">
        <v>751</v>
      </c>
      <c r="K266" s="0" t="n">
        <v>79</v>
      </c>
      <c r="L266" s="32" t="s">
        <v>752</v>
      </c>
      <c r="M266" s="0" t="n">
        <v>11.3</v>
      </c>
      <c r="N266" s="32" t="s">
        <v>753</v>
      </c>
      <c r="O266" s="32" t="s">
        <v>1226</v>
      </c>
      <c r="P266" s="32" t="n">
        <f aca="false">IF(AND(ISNUMBER(K266),K266&gt;=0),K266,IF(ISNUMBER(M266),ROUND(M266*7,0),""))</f>
        <v>79</v>
      </c>
      <c r="Q266" s="0" t="str">
        <f aca="false">IF(ISTEXT(K266),"TEXT - recovered",IF(K266&lt;0,"NEGATIVE",IF(K266&gt;728,"&gt;104 WEEKS","OK")))</f>
        <v>OK</v>
      </c>
      <c r="R266" s="0" t="str">
        <f aca="false">IF(E266="GEN","GM",E266)</f>
        <v>OPH</v>
      </c>
    </row>
    <row r="267" customFormat="false" ht="15" hidden="false" customHeight="false" outlineLevel="0" collapsed="false">
      <c r="A267" s="0" t="s">
        <v>1527</v>
      </c>
      <c r="B267" s="0" t="s">
        <v>1228</v>
      </c>
      <c r="C267" s="0" t="s">
        <v>1229</v>
      </c>
      <c r="D267" s="31" t="n">
        <v>27192</v>
      </c>
      <c r="E267" s="32" t="s">
        <v>826</v>
      </c>
      <c r="F267" s="32" t="s">
        <v>827</v>
      </c>
      <c r="G267" s="32" t="s">
        <v>828</v>
      </c>
      <c r="H267" s="31" t="n">
        <v>45699</v>
      </c>
      <c r="I267" s="32" t="s">
        <v>796</v>
      </c>
      <c r="J267" s="32" t="s">
        <v>751</v>
      </c>
      <c r="K267" s="0" t="n">
        <v>36</v>
      </c>
      <c r="L267" s="32" t="s">
        <v>752</v>
      </c>
      <c r="M267" s="0" t="n">
        <v>5.1</v>
      </c>
      <c r="N267" s="32" t="s">
        <v>753</v>
      </c>
      <c r="O267" s="32" t="s">
        <v>1230</v>
      </c>
      <c r="P267" s="32" t="n">
        <f aca="false">IF(AND(ISNUMBER(K267),K267&gt;=0),K267,IF(ISNUMBER(M267),ROUND(M267*7,0),""))</f>
        <v>36</v>
      </c>
      <c r="Q267" s="0" t="str">
        <f aca="false">IF(ISTEXT(K267),"TEXT - recovered",IF(K267&lt;0,"NEGATIVE",IF(K267&gt;728,"&gt;104 WEEKS","OK")))</f>
        <v>OK</v>
      </c>
      <c r="R267" s="0" t="str">
        <f aca="false">IF(E267="GEN","GM",E267)</f>
        <v>RHE</v>
      </c>
    </row>
    <row r="268" customFormat="false" ht="15" hidden="false" customHeight="false" outlineLevel="0" collapsed="false">
      <c r="A268" s="0" t="s">
        <v>1528</v>
      </c>
      <c r="B268" s="0" t="s">
        <v>1232</v>
      </c>
      <c r="C268" s="0" t="s">
        <v>1308</v>
      </c>
      <c r="D268" s="31" t="n">
        <v>22681</v>
      </c>
      <c r="E268" s="32" t="s">
        <v>826</v>
      </c>
      <c r="F268" s="32" t="s">
        <v>827</v>
      </c>
      <c r="G268" s="32" t="s">
        <v>828</v>
      </c>
      <c r="H268" s="31" t="n">
        <v>45699</v>
      </c>
      <c r="I268" s="32" t="s">
        <v>805</v>
      </c>
      <c r="J268" s="32" t="s">
        <v>751</v>
      </c>
      <c r="K268" s="0" t="n">
        <v>115</v>
      </c>
      <c r="L268" s="32" t="s">
        <v>752</v>
      </c>
      <c r="M268" s="0" t="n">
        <v>16.4</v>
      </c>
      <c r="N268" s="32" t="s">
        <v>753</v>
      </c>
      <c r="O268" s="32" t="s">
        <v>1309</v>
      </c>
      <c r="P268" s="32" t="n">
        <f aca="false">IF(AND(ISNUMBER(K268),K268&gt;=0),K268,IF(ISNUMBER(M268),ROUND(M268*7,0),""))</f>
        <v>115</v>
      </c>
      <c r="Q268" s="0" t="str">
        <f aca="false">IF(ISTEXT(K268),"TEXT - recovered",IF(K268&lt;0,"NEGATIVE",IF(K268&gt;728,"&gt;104 WEEKS","OK")))</f>
        <v>OK</v>
      </c>
      <c r="R268" s="0" t="str">
        <f aca="false">IF(E268="GEN","GM",E268)</f>
        <v>RHE</v>
      </c>
    </row>
    <row r="269" customFormat="false" ht="15" hidden="false" customHeight="false" outlineLevel="0" collapsed="false">
      <c r="A269" s="0" t="s">
        <v>1529</v>
      </c>
      <c r="B269" s="0" t="s">
        <v>1144</v>
      </c>
      <c r="C269" s="0" t="s">
        <v>1145</v>
      </c>
      <c r="D269" s="31" t="n">
        <v>28096</v>
      </c>
      <c r="E269" s="32" t="s">
        <v>818</v>
      </c>
      <c r="F269" s="32" t="s">
        <v>819</v>
      </c>
      <c r="G269" s="32" t="s">
        <v>820</v>
      </c>
      <c r="H269" s="31" t="n">
        <v>45699</v>
      </c>
      <c r="I269" s="32" t="s">
        <v>813</v>
      </c>
      <c r="J269" s="32" t="s">
        <v>751</v>
      </c>
      <c r="K269" s="0" t="n">
        <v>91</v>
      </c>
      <c r="L269" s="32" t="s">
        <v>752</v>
      </c>
      <c r="M269" s="0" t="n">
        <v>13</v>
      </c>
      <c r="N269" s="32" t="s">
        <v>753</v>
      </c>
      <c r="O269" s="32" t="s">
        <v>1146</v>
      </c>
      <c r="P269" s="32" t="n">
        <f aca="false">IF(AND(ISNUMBER(K269),K269&gt;=0),K269,IF(ISNUMBER(M269),ROUND(M269*7,0),""))</f>
        <v>91</v>
      </c>
      <c r="Q269" s="0" t="str">
        <f aca="false">IF(ISTEXT(K269),"TEXT - recovered",IF(K269&lt;0,"NEGATIVE",IF(K269&gt;728,"&gt;104 WEEKS","OK")))</f>
        <v>OK</v>
      </c>
      <c r="R269" s="0" t="str">
        <f aca="false">IF(E269="GEN","GM",E269)</f>
        <v>OPH</v>
      </c>
    </row>
    <row r="270" customFormat="false" ht="15" hidden="false" customHeight="false" outlineLevel="0" collapsed="false">
      <c r="A270" s="0" t="s">
        <v>1530</v>
      </c>
      <c r="B270" s="0" t="s">
        <v>1299</v>
      </c>
      <c r="C270" s="0" t="s">
        <v>1300</v>
      </c>
      <c r="D270" s="31" t="n">
        <v>21822</v>
      </c>
      <c r="E270" s="32" t="s">
        <v>810</v>
      </c>
      <c r="F270" s="32" t="s">
        <v>811</v>
      </c>
      <c r="G270" s="32" t="s">
        <v>812</v>
      </c>
      <c r="H270" s="31" t="n">
        <v>45699</v>
      </c>
      <c r="I270" s="32" t="s">
        <v>821</v>
      </c>
      <c r="J270" s="32" t="s">
        <v>751</v>
      </c>
      <c r="K270" s="0" t="n">
        <v>58</v>
      </c>
      <c r="L270" s="32" t="s">
        <v>752</v>
      </c>
      <c r="M270" s="0" t="n">
        <v>8.3</v>
      </c>
      <c r="N270" s="32" t="s">
        <v>753</v>
      </c>
      <c r="O270" s="32" t="s">
        <v>1301</v>
      </c>
      <c r="P270" s="32" t="n">
        <f aca="false">IF(AND(ISNUMBER(K270),K270&gt;=0),K270,IF(ISNUMBER(M270),ROUND(M270*7,0),""))</f>
        <v>58</v>
      </c>
      <c r="Q270" s="0" t="str">
        <f aca="false">IF(ISTEXT(K270),"TEXT - recovered",IF(K270&lt;0,"NEGATIVE",IF(K270&gt;728,"&gt;104 WEEKS","OK")))</f>
        <v>OK</v>
      </c>
      <c r="R270" s="0" t="str">
        <f aca="false">IF(E270="GEN","GM",E270)</f>
        <v>URO</v>
      </c>
    </row>
    <row r="271" customFormat="false" ht="15" hidden="false" customHeight="false" outlineLevel="0" collapsed="false">
      <c r="A271" s="0" t="s">
        <v>1531</v>
      </c>
      <c r="B271" s="0" t="s">
        <v>1376</v>
      </c>
      <c r="C271" s="0" t="s">
        <v>1304</v>
      </c>
      <c r="D271" s="31" t="n">
        <v>27531</v>
      </c>
      <c r="E271" s="32" t="s">
        <v>818</v>
      </c>
      <c r="F271" s="32" t="s">
        <v>819</v>
      </c>
      <c r="G271" s="32" t="s">
        <v>820</v>
      </c>
      <c r="H271" s="31" t="n">
        <v>45699</v>
      </c>
      <c r="I271" s="32" t="s">
        <v>829</v>
      </c>
      <c r="J271" s="32" t="s">
        <v>751</v>
      </c>
      <c r="K271" s="0" t="n">
        <v>69</v>
      </c>
      <c r="L271" s="32" t="s">
        <v>752</v>
      </c>
      <c r="M271" s="0" t="n">
        <v>9.9</v>
      </c>
      <c r="N271" s="32" t="s">
        <v>753</v>
      </c>
      <c r="O271" s="32" t="s">
        <v>1305</v>
      </c>
      <c r="P271" s="32" t="n">
        <f aca="false">IF(AND(ISNUMBER(K271),K271&gt;=0),K271,IF(ISNUMBER(M271),ROUND(M271*7,0),""))</f>
        <v>69</v>
      </c>
      <c r="Q271" s="0" t="str">
        <f aca="false">IF(ISTEXT(K271),"TEXT - recovered",IF(K271&lt;0,"NEGATIVE",IF(K271&gt;728,"&gt;104 WEEKS","OK")))</f>
        <v>OK</v>
      </c>
      <c r="R271" s="0" t="str">
        <f aca="false">IF(E271="GEN","GM",E271)</f>
        <v>OPH</v>
      </c>
    </row>
    <row r="272" customFormat="false" ht="15" hidden="false" customHeight="false" outlineLevel="0" collapsed="false">
      <c r="A272" s="0" t="s">
        <v>1532</v>
      </c>
      <c r="B272" s="0" t="s">
        <v>745</v>
      </c>
      <c r="C272" s="0" t="s">
        <v>746</v>
      </c>
      <c r="D272" s="31" t="n">
        <v>28564</v>
      </c>
      <c r="E272" s="32" t="s">
        <v>747</v>
      </c>
      <c r="F272" s="32" t="s">
        <v>748</v>
      </c>
      <c r="G272" s="32" t="s">
        <v>749</v>
      </c>
      <c r="H272" s="31" t="n">
        <v>45700</v>
      </c>
      <c r="I272" s="32" t="s">
        <v>750</v>
      </c>
      <c r="J272" s="32" t="s">
        <v>751</v>
      </c>
      <c r="K272" s="0" t="n">
        <v>36</v>
      </c>
      <c r="L272" s="32" t="s">
        <v>752</v>
      </c>
      <c r="M272" s="0" t="n">
        <v>5.1</v>
      </c>
      <c r="N272" s="32" t="s">
        <v>753</v>
      </c>
      <c r="O272" s="32" t="s">
        <v>754</v>
      </c>
      <c r="P272" s="32" t="n">
        <f aca="false">IF(AND(ISNUMBER(K272),K272&gt;=0),K272,IF(ISNUMBER(M272),ROUND(M272*7,0),""))</f>
        <v>36</v>
      </c>
      <c r="Q272" s="0" t="str">
        <f aca="false">IF(ISTEXT(K272),"TEXT - recovered",IF(K272&lt;0,"NEGATIVE",IF(K272&gt;728,"&gt;104 WEEKS","OK")))</f>
        <v>OK</v>
      </c>
      <c r="R272" s="0" t="str">
        <f aca="false">IF(E272="GEN","GM",E272)</f>
        <v>GM</v>
      </c>
    </row>
    <row r="273" customFormat="false" ht="15" hidden="false" customHeight="false" outlineLevel="0" collapsed="false">
      <c r="A273" s="0" t="s">
        <v>1533</v>
      </c>
      <c r="B273" s="0" t="s">
        <v>756</v>
      </c>
      <c r="C273" s="0" t="s">
        <v>757</v>
      </c>
      <c r="D273" s="31" t="n">
        <v>23945</v>
      </c>
      <c r="E273" s="32" t="s">
        <v>758</v>
      </c>
      <c r="F273" s="32" t="s">
        <v>759</v>
      </c>
      <c r="G273" s="32" t="s">
        <v>760</v>
      </c>
      <c r="H273" s="31" t="n">
        <v>45700</v>
      </c>
      <c r="I273" s="32" t="s">
        <v>761</v>
      </c>
      <c r="J273" s="32" t="s">
        <v>751</v>
      </c>
      <c r="K273" s="0" t="n">
        <v>69</v>
      </c>
      <c r="L273" s="32" t="s">
        <v>752</v>
      </c>
      <c r="M273" s="0" t="n">
        <v>9.9</v>
      </c>
      <c r="N273" s="32" t="s">
        <v>753</v>
      </c>
      <c r="O273" s="32" t="s">
        <v>762</v>
      </c>
      <c r="P273" s="32" t="n">
        <f aca="false">IF(AND(ISNUMBER(K273),K273&gt;=0),K273,IF(ISNUMBER(M273),ROUND(M273*7,0),""))</f>
        <v>69</v>
      </c>
      <c r="Q273" s="0" t="str">
        <f aca="false">IF(ISTEXT(K273),"TEXT - recovered",IF(K273&lt;0,"NEGATIVE",IF(K273&gt;728,"&gt;104 WEEKS","OK")))</f>
        <v>OK</v>
      </c>
      <c r="R273" s="0" t="str">
        <f aca="false">IF(E273="GEN","GM",E273)</f>
        <v>CS</v>
      </c>
    </row>
    <row r="274" customFormat="false" ht="15" hidden="false" customHeight="false" outlineLevel="0" collapsed="false">
      <c r="A274" s="0" t="s">
        <v>1534</v>
      </c>
      <c r="B274" s="0" t="s">
        <v>764</v>
      </c>
      <c r="C274" s="0" t="s">
        <v>765</v>
      </c>
      <c r="D274" s="31" t="n">
        <v>32820</v>
      </c>
      <c r="E274" s="32" t="s">
        <v>766</v>
      </c>
      <c r="F274" s="32" t="s">
        <v>767</v>
      </c>
      <c r="G274" s="32" t="s">
        <v>768</v>
      </c>
      <c r="H274" s="31" t="n">
        <v>45700</v>
      </c>
      <c r="I274" s="32" t="s">
        <v>769</v>
      </c>
      <c r="J274" s="32" t="s">
        <v>751</v>
      </c>
      <c r="K274" s="0" t="n">
        <v>35</v>
      </c>
      <c r="L274" s="32" t="s">
        <v>752</v>
      </c>
      <c r="M274" s="0" t="n">
        <v>5</v>
      </c>
      <c r="N274" s="32" t="s">
        <v>753</v>
      </c>
      <c r="O274" s="32" t="s">
        <v>772</v>
      </c>
      <c r="P274" s="32" t="n">
        <f aca="false">IF(AND(ISNUMBER(K274),K274&gt;=0),K274,IF(ISNUMBER(M274),ROUND(M274*7,0),""))</f>
        <v>35</v>
      </c>
      <c r="Q274" s="0" t="str">
        <f aca="false">IF(ISTEXT(K274),"TEXT - recovered",IF(K274&lt;0,"NEGATIVE",IF(K274&gt;728,"&gt;104 WEEKS","OK")))</f>
        <v>OK</v>
      </c>
      <c r="R274" s="0" t="str">
        <f aca="false">IF(E274="GEN","GM",E274)</f>
        <v>OR</v>
      </c>
    </row>
    <row r="275" customFormat="false" ht="15" hidden="false" customHeight="false" outlineLevel="0" collapsed="false">
      <c r="A275" s="0" t="s">
        <v>1535</v>
      </c>
      <c r="B275" s="0" t="s">
        <v>774</v>
      </c>
      <c r="C275" s="0" t="s">
        <v>775</v>
      </c>
      <c r="D275" s="31" t="n">
        <v>26329</v>
      </c>
      <c r="E275" s="32" t="s">
        <v>776</v>
      </c>
      <c r="F275" s="32" t="s">
        <v>777</v>
      </c>
      <c r="G275" s="32" t="s">
        <v>778</v>
      </c>
      <c r="H275" s="31" t="n">
        <v>45700</v>
      </c>
      <c r="I275" s="32" t="s">
        <v>779</v>
      </c>
      <c r="J275" s="32" t="s">
        <v>751</v>
      </c>
      <c r="K275" s="0" t="n">
        <v>37</v>
      </c>
      <c r="L275" s="32" t="s">
        <v>752</v>
      </c>
      <c r="M275" s="0" t="n">
        <v>5.3</v>
      </c>
      <c r="N275" s="32" t="s">
        <v>780</v>
      </c>
      <c r="O275" s="32" t="s">
        <v>781</v>
      </c>
      <c r="P275" s="32" t="n">
        <f aca="false">IF(AND(ISNUMBER(K275),K275&gt;=0),K275,IF(ISNUMBER(M275),ROUND(M275*7,0),""))</f>
        <v>37</v>
      </c>
      <c r="Q275" s="0" t="str">
        <f aca="false">IF(ISTEXT(K275),"TEXT - recovered",IF(K275&lt;0,"NEGATIVE",IF(K275&gt;728,"&gt;104 WEEKS","OK")))</f>
        <v>OK</v>
      </c>
      <c r="R275" s="0" t="str">
        <f aca="false">IF(E275="GEN","GM",E275)</f>
        <v>GS</v>
      </c>
    </row>
    <row r="276" customFormat="false" ht="15" hidden="false" customHeight="false" outlineLevel="0" collapsed="false">
      <c r="A276" s="0" t="s">
        <v>1536</v>
      </c>
      <c r="B276" s="0" t="s">
        <v>783</v>
      </c>
      <c r="C276" s="0" t="s">
        <v>784</v>
      </c>
      <c r="D276" s="31" t="n">
        <v>20620</v>
      </c>
      <c r="E276" s="32" t="s">
        <v>785</v>
      </c>
      <c r="F276" s="32" t="s">
        <v>786</v>
      </c>
      <c r="G276" s="32" t="s">
        <v>787</v>
      </c>
      <c r="H276" s="31" t="n">
        <v>45700</v>
      </c>
      <c r="I276" s="32" t="s">
        <v>788</v>
      </c>
      <c r="J276" s="32" t="s">
        <v>751</v>
      </c>
      <c r="K276" s="0" t="n">
        <v>90</v>
      </c>
      <c r="L276" s="32" t="s">
        <v>752</v>
      </c>
      <c r="M276" s="0" t="n">
        <v>12.9</v>
      </c>
      <c r="N276" s="32" t="s">
        <v>753</v>
      </c>
      <c r="O276" s="32" t="s">
        <v>789</v>
      </c>
      <c r="P276" s="32" t="n">
        <f aca="false">IF(AND(ISNUMBER(K276),K276&gt;=0),K276,IF(ISNUMBER(M276),ROUND(M276*7,0),""))</f>
        <v>90</v>
      </c>
      <c r="Q276" s="0" t="str">
        <f aca="false">IF(ISTEXT(K276),"TEXT - recovered",IF(K276&lt;0,"NEGATIVE",IF(K276&gt;728,"&gt;104 WEEKS","OK")))</f>
        <v>OK</v>
      </c>
      <c r="R276" s="0" t="str">
        <f aca="false">IF(E276="GEN","GM",E276)</f>
        <v>RS</v>
      </c>
    </row>
    <row r="277" customFormat="false" ht="15" hidden="false" customHeight="false" outlineLevel="0" collapsed="false">
      <c r="A277" s="0" t="s">
        <v>1537</v>
      </c>
      <c r="B277" s="0" t="s">
        <v>791</v>
      </c>
      <c r="C277" s="0" t="s">
        <v>792</v>
      </c>
      <c r="D277" s="31" t="n">
        <v>15952</v>
      </c>
      <c r="E277" s="32" t="s">
        <v>793</v>
      </c>
      <c r="F277" s="32" t="s">
        <v>794</v>
      </c>
      <c r="G277" s="32" t="s">
        <v>795</v>
      </c>
      <c r="H277" s="31" t="n">
        <v>45700</v>
      </c>
      <c r="I277" s="32" t="s">
        <v>796</v>
      </c>
      <c r="J277" s="32" t="s">
        <v>797</v>
      </c>
      <c r="K277" s="0" t="n">
        <v>13</v>
      </c>
      <c r="L277" s="32" t="s">
        <v>771</v>
      </c>
      <c r="M277" s="0" t="n">
        <v>1.9</v>
      </c>
      <c r="N277" s="32" t="s">
        <v>330</v>
      </c>
      <c r="O277" s="32" t="s">
        <v>798</v>
      </c>
      <c r="P277" s="32" t="n">
        <f aca="false">IF(AND(ISNUMBER(K277),K277&gt;=0),K277,IF(ISNUMBER(M277),ROUND(M277*7,0),""))</f>
        <v>13</v>
      </c>
      <c r="Q277" s="0" t="str">
        <f aca="false">IF(ISTEXT(K277),"TEXT - recovered",IF(K277&lt;0,"NEGATIVE",IF(K277&gt;728,"&gt;104 WEEKS","OK")))</f>
        <v>OK</v>
      </c>
      <c r="R277" s="0" t="str">
        <f aca="false">IF(E277="GEN","GM",E277)</f>
        <v>EM</v>
      </c>
    </row>
    <row r="278" customFormat="false" ht="15" hidden="false" customHeight="false" outlineLevel="0" collapsed="false">
      <c r="A278" s="0" t="s">
        <v>1538</v>
      </c>
      <c r="B278" s="0" t="s">
        <v>800</v>
      </c>
      <c r="C278" s="0" t="s">
        <v>801</v>
      </c>
      <c r="D278" s="31" t="n">
        <v>29703</v>
      </c>
      <c r="E278" s="32" t="s">
        <v>802</v>
      </c>
      <c r="F278" s="32" t="s">
        <v>803</v>
      </c>
      <c r="G278" s="32" t="s">
        <v>804</v>
      </c>
      <c r="H278" s="31" t="n">
        <v>45700</v>
      </c>
      <c r="I278" s="32" t="s">
        <v>805</v>
      </c>
      <c r="J278" s="32" t="s">
        <v>751</v>
      </c>
      <c r="K278" s="0" t="n">
        <v>57</v>
      </c>
      <c r="L278" s="32" t="s">
        <v>752</v>
      </c>
      <c r="M278" s="0" t="n">
        <v>8.1</v>
      </c>
      <c r="N278" s="32" t="s">
        <v>753</v>
      </c>
      <c r="O278" s="32" t="s">
        <v>806</v>
      </c>
      <c r="P278" s="32" t="n">
        <f aca="false">IF(AND(ISNUMBER(K278),K278&gt;=0),K278,IF(ISNUMBER(M278),ROUND(M278*7,0),""))</f>
        <v>57</v>
      </c>
      <c r="Q278" s="0" t="str">
        <f aca="false">IF(ISTEXT(K278),"TEXT - recovered",IF(K278&lt;0,"NEGATIVE",IF(K278&gt;728,"&gt;104 WEEKS","OK")))</f>
        <v>OK</v>
      </c>
      <c r="R278" s="0" t="str">
        <f aca="false">IF(E278="GEN","GM",E278)</f>
        <v>GYN</v>
      </c>
    </row>
    <row r="279" customFormat="false" ht="15" hidden="false" customHeight="false" outlineLevel="0" collapsed="false">
      <c r="A279" s="0" t="s">
        <v>1539</v>
      </c>
      <c r="B279" s="0" t="s">
        <v>808</v>
      </c>
      <c r="C279" s="0" t="s">
        <v>809</v>
      </c>
      <c r="D279" s="31" t="n">
        <v>34687</v>
      </c>
      <c r="E279" s="32" t="s">
        <v>810</v>
      </c>
      <c r="F279" s="32" t="s">
        <v>811</v>
      </c>
      <c r="G279" s="32" t="s">
        <v>812</v>
      </c>
      <c r="H279" s="31" t="n">
        <v>45700</v>
      </c>
      <c r="I279" s="32" t="s">
        <v>813</v>
      </c>
      <c r="J279" s="32" t="s">
        <v>751</v>
      </c>
      <c r="K279" s="0" t="n">
        <v>36</v>
      </c>
      <c r="L279" s="32" t="s">
        <v>752</v>
      </c>
      <c r="M279" s="0" t="n">
        <v>5.1</v>
      </c>
      <c r="N279" s="32" t="s">
        <v>753</v>
      </c>
      <c r="O279" s="32" t="s">
        <v>814</v>
      </c>
      <c r="P279" s="32" t="n">
        <f aca="false">IF(AND(ISNUMBER(K279),K279&gt;=0),K279,IF(ISNUMBER(M279),ROUND(M279*7,0),""))</f>
        <v>36</v>
      </c>
      <c r="Q279" s="0" t="str">
        <f aca="false">IF(ISTEXT(K279),"TEXT - recovered",IF(K279&lt;0,"NEGATIVE",IF(K279&gt;728,"&gt;104 WEEKS","OK")))</f>
        <v>OK</v>
      </c>
      <c r="R279" s="0" t="str">
        <f aca="false">IF(E279="GEN","GM",E279)</f>
        <v>URO</v>
      </c>
    </row>
    <row r="280" customFormat="false" ht="15" hidden="false" customHeight="false" outlineLevel="0" collapsed="false">
      <c r="A280" s="0" t="s">
        <v>1540</v>
      </c>
      <c r="B280" s="0" t="s">
        <v>816</v>
      </c>
      <c r="C280" s="0" t="s">
        <v>833</v>
      </c>
      <c r="D280" s="31" t="n">
        <v>32427</v>
      </c>
      <c r="E280" s="32" t="s">
        <v>747</v>
      </c>
      <c r="F280" s="32" t="s">
        <v>748</v>
      </c>
      <c r="G280" s="32" t="s">
        <v>749</v>
      </c>
      <c r="H280" s="31" t="n">
        <v>45700</v>
      </c>
      <c r="I280" s="32" t="s">
        <v>821</v>
      </c>
      <c r="J280" s="32" t="s">
        <v>751</v>
      </c>
      <c r="K280" s="0" t="n">
        <v>25</v>
      </c>
      <c r="L280" s="32" t="s">
        <v>752</v>
      </c>
      <c r="M280" s="0" t="n">
        <v>3.6</v>
      </c>
      <c r="N280" s="32" t="s">
        <v>753</v>
      </c>
      <c r="O280" s="32" t="s">
        <v>834</v>
      </c>
      <c r="P280" s="32" t="n">
        <f aca="false">IF(AND(ISNUMBER(K280),K280&gt;=0),K280,IF(ISNUMBER(M280),ROUND(M280*7,0),""))</f>
        <v>25</v>
      </c>
      <c r="Q280" s="0" t="str">
        <f aca="false">IF(ISTEXT(K280),"TEXT - recovered",IF(K280&lt;0,"NEGATIVE",IF(K280&gt;728,"&gt;104 WEEKS","OK")))</f>
        <v>OK</v>
      </c>
      <c r="R280" s="0" t="str">
        <f aca="false">IF(E280="GEN","GM",E280)</f>
        <v>GM</v>
      </c>
    </row>
    <row r="281" customFormat="false" ht="15" hidden="false" customHeight="false" outlineLevel="0" collapsed="false">
      <c r="A281" s="0" t="s">
        <v>1541</v>
      </c>
      <c r="B281" s="0" t="s">
        <v>824</v>
      </c>
      <c r="C281" s="0" t="s">
        <v>825</v>
      </c>
      <c r="D281" s="31" t="n">
        <v>19049</v>
      </c>
      <c r="E281" s="32" t="s">
        <v>826</v>
      </c>
      <c r="F281" s="32" t="s">
        <v>827</v>
      </c>
      <c r="G281" s="32" t="s">
        <v>828</v>
      </c>
      <c r="H281" s="31" t="n">
        <v>45700</v>
      </c>
      <c r="I281" s="32" t="s">
        <v>829</v>
      </c>
      <c r="J281" s="32" t="s">
        <v>751</v>
      </c>
      <c r="K281" s="0" t="n">
        <v>113</v>
      </c>
      <c r="L281" s="32" t="s">
        <v>752</v>
      </c>
      <c r="M281" s="0" t="n">
        <v>16.1</v>
      </c>
      <c r="N281" s="32" t="s">
        <v>753</v>
      </c>
      <c r="O281" s="32" t="s">
        <v>830</v>
      </c>
      <c r="P281" s="32" t="n">
        <f aca="false">IF(AND(ISNUMBER(K281),K281&gt;=0),K281,IF(ISNUMBER(M281),ROUND(M281*7,0),""))</f>
        <v>113</v>
      </c>
      <c r="Q281" s="0" t="str">
        <f aca="false">IF(ISTEXT(K281),"TEXT - recovered",IF(K281&lt;0,"NEGATIVE",IF(K281&gt;728,"&gt;104 WEEKS","OK")))</f>
        <v>OK</v>
      </c>
      <c r="R281" s="0" t="str">
        <f aca="false">IF(E281="GEN","GM",E281)</f>
        <v>RHE</v>
      </c>
    </row>
    <row r="282" customFormat="false" ht="15" hidden="false" customHeight="false" outlineLevel="0" collapsed="false">
      <c r="A282" s="0" t="s">
        <v>1542</v>
      </c>
      <c r="B282" s="0" t="s">
        <v>832</v>
      </c>
      <c r="C282" s="0" t="s">
        <v>833</v>
      </c>
      <c r="D282" s="31" t="n">
        <v>32427</v>
      </c>
      <c r="E282" s="32" t="s">
        <v>747</v>
      </c>
      <c r="F282" s="32" t="s">
        <v>748</v>
      </c>
      <c r="G282" s="32" t="s">
        <v>749</v>
      </c>
      <c r="H282" s="31" t="n">
        <v>45701</v>
      </c>
      <c r="I282" s="32" t="s">
        <v>750</v>
      </c>
      <c r="J282" s="32" t="s">
        <v>751</v>
      </c>
      <c r="K282" s="0" t="n">
        <v>24</v>
      </c>
      <c r="L282" s="32" t="s">
        <v>752</v>
      </c>
      <c r="M282" s="0" t="n">
        <v>3.4</v>
      </c>
      <c r="N282" s="32" t="s">
        <v>753</v>
      </c>
      <c r="O282" s="32" t="s">
        <v>834</v>
      </c>
      <c r="P282" s="32" t="n">
        <f aca="false">IF(AND(ISNUMBER(K282),K282&gt;=0),K282,IF(ISNUMBER(M282),ROUND(M282*7,0),""))</f>
        <v>24</v>
      </c>
      <c r="Q282" s="0" t="str">
        <f aca="false">IF(ISTEXT(K282),"TEXT - recovered",IF(K282&lt;0,"NEGATIVE",IF(K282&gt;728,"&gt;104 WEEKS","OK")))</f>
        <v>OK</v>
      </c>
      <c r="R282" s="0" t="str">
        <f aca="false">IF(E282="GEN","GM",E282)</f>
        <v>GM</v>
      </c>
    </row>
    <row r="283" customFormat="false" ht="15" hidden="false" customHeight="false" outlineLevel="0" collapsed="false">
      <c r="A283" s="0" t="s">
        <v>1543</v>
      </c>
      <c r="B283" s="0" t="s">
        <v>836</v>
      </c>
      <c r="C283" s="0" t="s">
        <v>837</v>
      </c>
      <c r="D283" s="31" t="n">
        <v>26814</v>
      </c>
      <c r="E283" s="32" t="s">
        <v>758</v>
      </c>
      <c r="F283" s="32" t="s">
        <v>759</v>
      </c>
      <c r="G283" s="32" t="s">
        <v>760</v>
      </c>
      <c r="H283" s="31" t="n">
        <v>45701</v>
      </c>
      <c r="I283" s="32" t="s">
        <v>761</v>
      </c>
      <c r="J283" s="32" t="s">
        <v>751</v>
      </c>
      <c r="K283" s="0" t="n">
        <v>57</v>
      </c>
      <c r="L283" s="32" t="s">
        <v>752</v>
      </c>
      <c r="M283" s="0" t="n">
        <v>8.1</v>
      </c>
      <c r="N283" s="32" t="s">
        <v>780</v>
      </c>
      <c r="O283" s="32" t="s">
        <v>838</v>
      </c>
      <c r="P283" s="32" t="n">
        <f aca="false">IF(AND(ISNUMBER(K283),K283&gt;=0),K283,IF(ISNUMBER(M283),ROUND(M283*7,0),""))</f>
        <v>57</v>
      </c>
      <c r="Q283" s="0" t="str">
        <f aca="false">IF(ISTEXT(K283),"TEXT - recovered",IF(K283&lt;0,"NEGATIVE",IF(K283&gt;728,"&gt;104 WEEKS","OK")))</f>
        <v>OK</v>
      </c>
      <c r="R283" s="0" t="str">
        <f aca="false">IF(E283="GEN","GM",E283)</f>
        <v>CS</v>
      </c>
    </row>
    <row r="284" customFormat="false" ht="15" hidden="false" customHeight="false" outlineLevel="0" collapsed="false">
      <c r="A284" s="0" t="s">
        <v>1544</v>
      </c>
      <c r="B284" s="0" t="s">
        <v>840</v>
      </c>
      <c r="C284" s="0" t="s">
        <v>841</v>
      </c>
      <c r="D284" s="31" t="n">
        <v>22356</v>
      </c>
      <c r="E284" s="32" t="s">
        <v>766</v>
      </c>
      <c r="F284" s="32" t="s">
        <v>767</v>
      </c>
      <c r="G284" s="32" t="s">
        <v>768</v>
      </c>
      <c r="H284" s="31" t="n">
        <v>45701</v>
      </c>
      <c r="I284" s="32" t="s">
        <v>769</v>
      </c>
      <c r="J284" s="32" t="s">
        <v>751</v>
      </c>
      <c r="K284" s="0" t="n">
        <v>68</v>
      </c>
      <c r="L284" s="32" t="s">
        <v>752</v>
      </c>
      <c r="M284" s="0" t="n">
        <v>9.7</v>
      </c>
      <c r="N284" s="32" t="s">
        <v>753</v>
      </c>
      <c r="O284" s="32" t="s">
        <v>842</v>
      </c>
      <c r="P284" s="32" t="n">
        <f aca="false">IF(AND(ISNUMBER(K284),K284&gt;=0),K284,IF(ISNUMBER(M284),ROUND(M284*7,0),""))</f>
        <v>68</v>
      </c>
      <c r="Q284" s="0" t="str">
        <f aca="false">IF(ISTEXT(K284),"TEXT - recovered",IF(K284&lt;0,"NEGATIVE",IF(K284&gt;728,"&gt;104 WEEKS","OK")))</f>
        <v>OK</v>
      </c>
      <c r="R284" s="0" t="str">
        <f aca="false">IF(E284="GEN","GM",E284)</f>
        <v>OR</v>
      </c>
    </row>
    <row r="285" customFormat="false" ht="15" hidden="false" customHeight="false" outlineLevel="0" collapsed="false">
      <c r="A285" s="0" t="s">
        <v>1545</v>
      </c>
      <c r="B285" s="0" t="s">
        <v>844</v>
      </c>
      <c r="C285" s="0" t="s">
        <v>845</v>
      </c>
      <c r="D285" s="31" t="n">
        <v>29102</v>
      </c>
      <c r="E285" s="32" t="s">
        <v>776</v>
      </c>
      <c r="F285" s="32" t="s">
        <v>777</v>
      </c>
      <c r="G285" s="32" t="s">
        <v>778</v>
      </c>
      <c r="H285" s="31" t="n">
        <v>45701</v>
      </c>
      <c r="I285" s="32" t="s">
        <v>779</v>
      </c>
      <c r="J285" s="32" t="s">
        <v>751</v>
      </c>
      <c r="K285" s="0" t="n">
        <v>44</v>
      </c>
      <c r="L285" s="32" t="s">
        <v>752</v>
      </c>
      <c r="M285" s="0" t="n">
        <v>6.3</v>
      </c>
      <c r="N285" s="32" t="s">
        <v>753</v>
      </c>
      <c r="O285" s="32" t="s">
        <v>846</v>
      </c>
      <c r="P285" s="32" t="n">
        <f aca="false">IF(AND(ISNUMBER(K285),K285&gt;=0),K285,IF(ISNUMBER(M285),ROUND(M285*7,0),""))</f>
        <v>44</v>
      </c>
      <c r="Q285" s="0" t="str">
        <f aca="false">IF(ISTEXT(K285),"TEXT - recovered",IF(K285&lt;0,"NEGATIVE",IF(K285&gt;728,"&gt;104 WEEKS","OK")))</f>
        <v>OK</v>
      </c>
      <c r="R285" s="0" t="str">
        <f aca="false">IF(E285="GEN","GM",E285)</f>
        <v>GS</v>
      </c>
    </row>
    <row r="286" customFormat="false" ht="15" hidden="false" customHeight="false" outlineLevel="0" collapsed="false">
      <c r="A286" s="0" t="s">
        <v>1546</v>
      </c>
      <c r="B286" s="0" t="s">
        <v>848</v>
      </c>
      <c r="C286" s="0" t="s">
        <v>849</v>
      </c>
      <c r="D286" s="31" t="n">
        <v>16639</v>
      </c>
      <c r="E286" s="32" t="s">
        <v>785</v>
      </c>
      <c r="F286" s="32" t="s">
        <v>786</v>
      </c>
      <c r="G286" s="32" t="s">
        <v>787</v>
      </c>
      <c r="H286" s="31" t="n">
        <v>45701</v>
      </c>
      <c r="I286" s="32" t="s">
        <v>788</v>
      </c>
      <c r="J286" s="32" t="s">
        <v>770</v>
      </c>
      <c r="K286" s="0" t="n">
        <v>190</v>
      </c>
      <c r="L286" s="32" t="s">
        <v>771</v>
      </c>
      <c r="M286" s="0" t="n">
        <v>27.1</v>
      </c>
      <c r="N286" s="32" t="s">
        <v>753</v>
      </c>
      <c r="O286" s="32" t="s">
        <v>850</v>
      </c>
      <c r="P286" s="32" t="n">
        <f aca="false">IF(AND(ISNUMBER(K286),K286&gt;=0),K286,IF(ISNUMBER(M286),ROUND(M286*7,0),""))</f>
        <v>190</v>
      </c>
      <c r="Q286" s="0" t="str">
        <f aca="false">IF(ISTEXT(K286),"TEXT - recovered",IF(K286&lt;0,"NEGATIVE",IF(K286&gt;728,"&gt;104 WEEKS","OK")))</f>
        <v>OK</v>
      </c>
      <c r="R286" s="0" t="str">
        <f aca="false">IF(E286="GEN","GM",E286)</f>
        <v>RS</v>
      </c>
    </row>
    <row r="287" customFormat="false" ht="15" hidden="false" customHeight="false" outlineLevel="0" collapsed="false">
      <c r="A287" s="0" t="s">
        <v>1547</v>
      </c>
      <c r="B287" s="0" t="s">
        <v>852</v>
      </c>
      <c r="C287" s="0" t="s">
        <v>853</v>
      </c>
      <c r="D287" s="31" t="n">
        <v>30293</v>
      </c>
      <c r="E287" s="32" t="s">
        <v>793</v>
      </c>
      <c r="F287" s="32" t="s">
        <v>794</v>
      </c>
      <c r="G287" s="32" t="s">
        <v>795</v>
      </c>
      <c r="H287" s="31" t="n">
        <v>45701</v>
      </c>
      <c r="I287" s="32" t="s">
        <v>796</v>
      </c>
      <c r="J287" s="32" t="s">
        <v>751</v>
      </c>
      <c r="K287" s="0" t="n">
        <v>16</v>
      </c>
      <c r="L287" s="32" t="s">
        <v>771</v>
      </c>
      <c r="M287" s="0" t="n">
        <v>2.3</v>
      </c>
      <c r="N287" s="32" t="s">
        <v>330</v>
      </c>
      <c r="O287" s="32" t="s">
        <v>854</v>
      </c>
      <c r="P287" s="32" t="n">
        <f aca="false">IF(AND(ISNUMBER(K287),K287&gt;=0),K287,IF(ISNUMBER(M287),ROUND(M287*7,0),""))</f>
        <v>16</v>
      </c>
      <c r="Q287" s="0" t="str">
        <f aca="false">IF(ISTEXT(K287),"TEXT - recovered",IF(K287&lt;0,"NEGATIVE",IF(K287&gt;728,"&gt;104 WEEKS","OK")))</f>
        <v>OK</v>
      </c>
      <c r="R287" s="0" t="str">
        <f aca="false">IF(E287="GEN","GM",E287)</f>
        <v>EM</v>
      </c>
    </row>
    <row r="288" customFormat="false" ht="15" hidden="false" customHeight="false" outlineLevel="0" collapsed="false">
      <c r="A288" s="0" t="s">
        <v>1548</v>
      </c>
      <c r="B288" s="0" t="s">
        <v>856</v>
      </c>
      <c r="C288" s="0" t="s">
        <v>857</v>
      </c>
      <c r="D288" s="31" t="n">
        <v>25307</v>
      </c>
      <c r="E288" s="32" t="s">
        <v>802</v>
      </c>
      <c r="F288" s="32" t="s">
        <v>803</v>
      </c>
      <c r="G288" s="32" t="s">
        <v>804</v>
      </c>
      <c r="H288" s="31" t="n">
        <v>45701</v>
      </c>
      <c r="I288" s="32" t="s">
        <v>805</v>
      </c>
      <c r="J288" s="32" t="s">
        <v>751</v>
      </c>
      <c r="K288" s="0" t="n">
        <v>79</v>
      </c>
      <c r="L288" s="32" t="s">
        <v>752</v>
      </c>
      <c r="M288" s="0" t="n">
        <v>11.3</v>
      </c>
      <c r="N288" s="32" t="s">
        <v>753</v>
      </c>
      <c r="O288" s="32" t="s">
        <v>859</v>
      </c>
      <c r="P288" s="32" t="n">
        <f aca="false">IF(AND(ISNUMBER(K288),K288&gt;=0),K288,IF(ISNUMBER(M288),ROUND(M288*7,0),""))</f>
        <v>79</v>
      </c>
      <c r="Q288" s="0" t="str">
        <f aca="false">IF(ISTEXT(K288),"TEXT - recovered",IF(K288&lt;0,"NEGATIVE",IF(K288&gt;728,"&gt;104 WEEKS","OK")))</f>
        <v>OK</v>
      </c>
      <c r="R288" s="0" t="str">
        <f aca="false">IF(E288="GEN","GM",E288)</f>
        <v>GYN</v>
      </c>
    </row>
    <row r="289" customFormat="false" ht="15" hidden="false" customHeight="false" outlineLevel="0" collapsed="false">
      <c r="A289" s="0" t="s">
        <v>1549</v>
      </c>
      <c r="B289" s="0" t="s">
        <v>861</v>
      </c>
      <c r="C289" s="0" t="s">
        <v>862</v>
      </c>
      <c r="D289" s="31" t="n">
        <v>33114</v>
      </c>
      <c r="E289" s="32" t="s">
        <v>810</v>
      </c>
      <c r="F289" s="32" t="s">
        <v>811</v>
      </c>
      <c r="G289" s="32" t="s">
        <v>812</v>
      </c>
      <c r="H289" s="31" t="n">
        <v>45701</v>
      </c>
      <c r="I289" s="32" t="s">
        <v>813</v>
      </c>
      <c r="J289" s="32" t="s">
        <v>751</v>
      </c>
      <c r="K289" s="0" t="n">
        <v>35</v>
      </c>
      <c r="L289" s="32" t="s">
        <v>752</v>
      </c>
      <c r="M289" s="0" t="n">
        <v>5</v>
      </c>
      <c r="N289" s="32" t="s">
        <v>753</v>
      </c>
      <c r="O289" s="32" t="s">
        <v>863</v>
      </c>
      <c r="P289" s="32" t="n">
        <f aca="false">IF(AND(ISNUMBER(K289),K289&gt;=0),K289,IF(ISNUMBER(M289),ROUND(M289*7,0),""))</f>
        <v>35</v>
      </c>
      <c r="Q289" s="0" t="str">
        <f aca="false">IF(ISTEXT(K289),"TEXT - recovered",IF(K289&lt;0,"NEGATIVE",IF(K289&gt;728,"&gt;104 WEEKS","OK")))</f>
        <v>OK</v>
      </c>
      <c r="R289" s="0" t="str">
        <f aca="false">IF(E289="GEN","GM",E289)</f>
        <v>URO</v>
      </c>
    </row>
    <row r="290" customFormat="false" ht="15" hidden="false" customHeight="false" outlineLevel="0" collapsed="false">
      <c r="A290" s="0" t="s">
        <v>1550</v>
      </c>
      <c r="B290" s="0" t="s">
        <v>865</v>
      </c>
      <c r="C290" s="0" t="s">
        <v>866</v>
      </c>
      <c r="D290" s="31" t="n">
        <v>21191</v>
      </c>
      <c r="E290" s="32" t="s">
        <v>818</v>
      </c>
      <c r="F290" s="32" t="s">
        <v>819</v>
      </c>
      <c r="G290" s="32" t="s">
        <v>820</v>
      </c>
      <c r="H290" s="31" t="n">
        <v>45701</v>
      </c>
      <c r="I290" s="32" t="s">
        <v>821</v>
      </c>
      <c r="J290" s="32" t="s">
        <v>751</v>
      </c>
      <c r="K290" s="0" t="n">
        <v>57</v>
      </c>
      <c r="L290" s="32" t="s">
        <v>752</v>
      </c>
      <c r="M290" s="0" t="n">
        <v>8.1</v>
      </c>
      <c r="N290" s="32" t="s">
        <v>753</v>
      </c>
      <c r="O290" s="32" t="s">
        <v>867</v>
      </c>
      <c r="P290" s="32" t="n">
        <f aca="false">IF(AND(ISNUMBER(K290),K290&gt;=0),K290,IF(ISNUMBER(M290),ROUND(M290*7,0),""))</f>
        <v>57</v>
      </c>
      <c r="Q290" s="0" t="str">
        <f aca="false">IF(ISTEXT(K290),"TEXT - recovered",IF(K290&lt;0,"NEGATIVE",IF(K290&gt;728,"&gt;104 WEEKS","OK")))</f>
        <v>OK</v>
      </c>
      <c r="R290" s="0" t="str">
        <f aca="false">IF(E290="GEN","GM",E290)</f>
        <v>OPH</v>
      </c>
    </row>
    <row r="291" customFormat="false" ht="15" hidden="false" customHeight="false" outlineLevel="0" collapsed="false">
      <c r="A291" s="0" t="s">
        <v>1551</v>
      </c>
      <c r="B291" s="0" t="s">
        <v>869</v>
      </c>
      <c r="C291" s="0" t="s">
        <v>870</v>
      </c>
      <c r="D291" s="31" t="n">
        <v>28087</v>
      </c>
      <c r="E291" s="32" t="s">
        <v>826</v>
      </c>
      <c r="F291" s="32" t="s">
        <v>827</v>
      </c>
      <c r="G291" s="32" t="s">
        <v>828</v>
      </c>
      <c r="H291" s="31" t="n">
        <v>45701</v>
      </c>
      <c r="I291" s="32" t="s">
        <v>829</v>
      </c>
      <c r="J291" s="32" t="s">
        <v>751</v>
      </c>
      <c r="K291" s="0" t="n">
        <v>46</v>
      </c>
      <c r="L291" s="32" t="s">
        <v>752</v>
      </c>
      <c r="M291" s="0" t="n">
        <v>6.6</v>
      </c>
      <c r="N291" s="32" t="s">
        <v>753</v>
      </c>
      <c r="O291" s="32" t="s">
        <v>871</v>
      </c>
      <c r="P291" s="32" t="n">
        <f aca="false">IF(AND(ISNUMBER(K291),K291&gt;=0),K291,IF(ISNUMBER(M291),ROUND(M291*7,0),""))</f>
        <v>46</v>
      </c>
      <c r="Q291" s="0" t="str">
        <f aca="false">IF(ISTEXT(K291),"TEXT - recovered",IF(K291&lt;0,"NEGATIVE",IF(K291&gt;728,"&gt;104 WEEKS","OK")))</f>
        <v>OK</v>
      </c>
      <c r="R291" s="0" t="str">
        <f aca="false">IF(E291="GEN","GM",E291)</f>
        <v>RHE</v>
      </c>
    </row>
    <row r="292" customFormat="false" ht="15" hidden="false" customHeight="false" outlineLevel="0" collapsed="false">
      <c r="A292" s="0" t="s">
        <v>1552</v>
      </c>
      <c r="B292" s="0" t="s">
        <v>873</v>
      </c>
      <c r="C292" s="0" t="s">
        <v>874</v>
      </c>
      <c r="D292" s="31" t="n">
        <v>19885</v>
      </c>
      <c r="E292" s="32" t="s">
        <v>747</v>
      </c>
      <c r="F292" s="32" t="s">
        <v>748</v>
      </c>
      <c r="G292" s="32" t="s">
        <v>749</v>
      </c>
      <c r="H292" s="31" t="n">
        <v>45702</v>
      </c>
      <c r="I292" s="32" t="s">
        <v>750</v>
      </c>
      <c r="J292" s="32" t="s">
        <v>751</v>
      </c>
      <c r="K292" s="0" t="n">
        <v>90</v>
      </c>
      <c r="L292" s="32" t="s">
        <v>752</v>
      </c>
      <c r="M292" s="0" t="n">
        <v>12.9</v>
      </c>
      <c r="N292" s="32" t="s">
        <v>753</v>
      </c>
      <c r="O292" s="32" t="s">
        <v>875</v>
      </c>
      <c r="P292" s="32" t="n">
        <f aca="false">IF(AND(ISNUMBER(K292),K292&gt;=0),K292,IF(ISNUMBER(M292),ROUND(M292*7,0),""))</f>
        <v>90</v>
      </c>
      <c r="Q292" s="0" t="str">
        <f aca="false">IF(ISTEXT(K292),"TEXT - recovered",IF(K292&lt;0,"NEGATIVE",IF(K292&gt;728,"&gt;104 WEEKS","OK")))</f>
        <v>OK</v>
      </c>
      <c r="R292" s="0" t="str">
        <f aca="false">IF(E292="GEN","GM",E292)</f>
        <v>GM</v>
      </c>
    </row>
    <row r="293" customFormat="false" ht="15" hidden="false" customHeight="false" outlineLevel="0" collapsed="false">
      <c r="A293" s="0" t="s">
        <v>1553</v>
      </c>
      <c r="B293" s="0" t="s">
        <v>877</v>
      </c>
      <c r="C293" s="0" t="s">
        <v>878</v>
      </c>
      <c r="D293" s="31" t="n">
        <v>31471</v>
      </c>
      <c r="E293" s="32" t="s">
        <v>758</v>
      </c>
      <c r="F293" s="32" t="s">
        <v>759</v>
      </c>
      <c r="G293" s="32" t="s">
        <v>760</v>
      </c>
      <c r="H293" s="31" t="n">
        <v>45702</v>
      </c>
      <c r="I293" s="32" t="s">
        <v>761</v>
      </c>
      <c r="J293" s="32" t="s">
        <v>751</v>
      </c>
      <c r="K293" s="0" t="n">
        <v>46</v>
      </c>
      <c r="L293" s="32" t="s">
        <v>752</v>
      </c>
      <c r="M293" s="0" t="n">
        <v>6.6</v>
      </c>
      <c r="N293" s="32" t="s">
        <v>780</v>
      </c>
      <c r="O293" s="32" t="s">
        <v>879</v>
      </c>
      <c r="P293" s="32" t="n">
        <f aca="false">IF(AND(ISNUMBER(K293),K293&gt;=0),K293,IF(ISNUMBER(M293),ROUND(M293*7,0),""))</f>
        <v>46</v>
      </c>
      <c r="Q293" s="0" t="str">
        <f aca="false">IF(ISTEXT(K293),"TEXT - recovered",IF(K293&lt;0,"NEGATIVE",IF(K293&gt;728,"&gt;104 WEEKS","OK")))</f>
        <v>OK</v>
      </c>
      <c r="R293" s="0" t="str">
        <f aca="false">IF(E293="GEN","GM",E293)</f>
        <v>CS</v>
      </c>
    </row>
    <row r="294" customFormat="false" ht="15" hidden="false" customHeight="false" outlineLevel="0" collapsed="false">
      <c r="A294" s="0" t="s">
        <v>1554</v>
      </c>
      <c r="B294" s="0" t="s">
        <v>881</v>
      </c>
      <c r="C294" s="0" t="s">
        <v>882</v>
      </c>
      <c r="D294" s="31" t="n">
        <v>25826</v>
      </c>
      <c r="E294" s="32" t="s">
        <v>766</v>
      </c>
      <c r="F294" s="32" t="s">
        <v>767</v>
      </c>
      <c r="G294" s="32" t="s">
        <v>768</v>
      </c>
      <c r="H294" s="31" t="n">
        <v>45702</v>
      </c>
      <c r="I294" s="32" t="s">
        <v>769</v>
      </c>
      <c r="J294" s="32" t="s">
        <v>770</v>
      </c>
      <c r="K294" s="0" t="n">
        <v>224</v>
      </c>
      <c r="L294" s="32" t="s">
        <v>771</v>
      </c>
      <c r="M294" s="0" t="n">
        <v>32</v>
      </c>
      <c r="N294" s="32" t="s">
        <v>753</v>
      </c>
      <c r="O294" s="32" t="s">
        <v>883</v>
      </c>
      <c r="P294" s="32" t="n">
        <f aca="false">IF(AND(ISNUMBER(K294),K294&gt;=0),K294,IF(ISNUMBER(M294),ROUND(M294*7,0),""))</f>
        <v>224</v>
      </c>
      <c r="Q294" s="0" t="str">
        <f aca="false">IF(ISTEXT(K294),"TEXT - recovered",IF(K294&lt;0,"NEGATIVE",IF(K294&gt;728,"&gt;104 WEEKS","OK")))</f>
        <v>OK</v>
      </c>
      <c r="R294" s="0" t="str">
        <f aca="false">IF(E294="GEN","GM",E294)</f>
        <v>OR</v>
      </c>
    </row>
    <row r="295" customFormat="false" ht="15" hidden="false" customHeight="false" outlineLevel="0" collapsed="false">
      <c r="A295" s="0" t="s">
        <v>1555</v>
      </c>
      <c r="B295" s="0" t="s">
        <v>885</v>
      </c>
      <c r="C295" s="0" t="s">
        <v>886</v>
      </c>
      <c r="D295" s="31" t="n">
        <v>17626</v>
      </c>
      <c r="E295" s="32" t="s">
        <v>776</v>
      </c>
      <c r="F295" s="32" t="s">
        <v>777</v>
      </c>
      <c r="G295" s="32" t="s">
        <v>778</v>
      </c>
      <c r="H295" s="31" t="n">
        <v>45702</v>
      </c>
      <c r="I295" s="32" t="s">
        <v>779</v>
      </c>
      <c r="J295" s="32" t="s">
        <v>751</v>
      </c>
      <c r="K295" s="0" t="n">
        <v>35</v>
      </c>
      <c r="L295" s="32" t="s">
        <v>752</v>
      </c>
      <c r="M295" s="0" t="n">
        <v>5</v>
      </c>
      <c r="N295" s="32" t="s">
        <v>753</v>
      </c>
      <c r="O295" s="32" t="s">
        <v>887</v>
      </c>
      <c r="P295" s="32" t="n">
        <f aca="false">IF(AND(ISNUMBER(K295),K295&gt;=0),K295,IF(ISNUMBER(M295),ROUND(M295*7,0),""))</f>
        <v>35</v>
      </c>
      <c r="Q295" s="0" t="str">
        <f aca="false">IF(ISTEXT(K295),"TEXT - recovered",IF(K295&lt;0,"NEGATIVE",IF(K295&gt;728,"&gt;104 WEEKS","OK")))</f>
        <v>OK</v>
      </c>
      <c r="R295" s="0" t="str">
        <f aca="false">IF(E295="GEN","GM",E295)</f>
        <v>GS</v>
      </c>
    </row>
    <row r="296" customFormat="false" ht="15" hidden="false" customHeight="false" outlineLevel="0" collapsed="false">
      <c r="A296" s="0" t="s">
        <v>1556</v>
      </c>
      <c r="B296" s="0" t="s">
        <v>889</v>
      </c>
      <c r="C296" s="0" t="s">
        <v>890</v>
      </c>
      <c r="D296" s="31" t="n">
        <v>30670</v>
      </c>
      <c r="E296" s="32" t="s">
        <v>785</v>
      </c>
      <c r="F296" s="32" t="s">
        <v>786</v>
      </c>
      <c r="G296" s="32" t="s">
        <v>787</v>
      </c>
      <c r="H296" s="31" t="n">
        <v>45702</v>
      </c>
      <c r="I296" s="32" t="s">
        <v>788</v>
      </c>
      <c r="J296" s="32" t="s">
        <v>751</v>
      </c>
      <c r="K296" s="0" t="n">
        <v>79</v>
      </c>
      <c r="L296" s="32" t="s">
        <v>752</v>
      </c>
      <c r="M296" s="0" t="n">
        <v>11.3</v>
      </c>
      <c r="N296" s="32" t="s">
        <v>753</v>
      </c>
      <c r="O296" s="32" t="s">
        <v>891</v>
      </c>
      <c r="P296" s="32" t="n">
        <f aca="false">IF(AND(ISNUMBER(K296),K296&gt;=0),K296,IF(ISNUMBER(M296),ROUND(M296*7,0),""))</f>
        <v>79</v>
      </c>
      <c r="Q296" s="0" t="str">
        <f aca="false">IF(ISTEXT(K296),"TEXT - recovered",IF(K296&lt;0,"NEGATIVE",IF(K296&gt;728,"&gt;104 WEEKS","OK")))</f>
        <v>OK</v>
      </c>
      <c r="R296" s="0" t="str">
        <f aca="false">IF(E296="GEN","GM",E296)</f>
        <v>RS</v>
      </c>
    </row>
    <row r="297" customFormat="false" ht="15" hidden="false" customHeight="false" outlineLevel="0" collapsed="false">
      <c r="A297" s="0" t="s">
        <v>1557</v>
      </c>
      <c r="B297" s="0" t="s">
        <v>893</v>
      </c>
      <c r="C297" s="0" t="s">
        <v>894</v>
      </c>
      <c r="D297" s="31" t="n">
        <v>23930</v>
      </c>
      <c r="E297" s="32" t="s">
        <v>793</v>
      </c>
      <c r="F297" s="32" t="s">
        <v>794</v>
      </c>
      <c r="G297" s="32" t="s">
        <v>795</v>
      </c>
      <c r="H297" s="31" t="n">
        <v>45702</v>
      </c>
      <c r="I297" s="32" t="s">
        <v>796</v>
      </c>
      <c r="J297" s="32" t="s">
        <v>797</v>
      </c>
      <c r="K297" s="0" t="n">
        <v>20</v>
      </c>
      <c r="L297" s="32" t="s">
        <v>771</v>
      </c>
      <c r="M297" s="0" t="n">
        <v>2.9</v>
      </c>
      <c r="N297" s="32" t="s">
        <v>330</v>
      </c>
      <c r="O297" s="32" t="s">
        <v>895</v>
      </c>
      <c r="P297" s="32" t="n">
        <f aca="false">IF(AND(ISNUMBER(K297),K297&gt;=0),K297,IF(ISNUMBER(M297),ROUND(M297*7,0),""))</f>
        <v>20</v>
      </c>
      <c r="Q297" s="0" t="str">
        <f aca="false">IF(ISTEXT(K297),"TEXT - recovered",IF(K297&lt;0,"NEGATIVE",IF(K297&gt;728,"&gt;104 WEEKS","OK")))</f>
        <v>OK</v>
      </c>
      <c r="R297" s="0" t="str">
        <f aca="false">IF(E297="GEN","GM",E297)</f>
        <v>EM</v>
      </c>
    </row>
    <row r="298" customFormat="false" ht="15" hidden="false" customHeight="false" outlineLevel="0" collapsed="false">
      <c r="A298" s="0" t="s">
        <v>1558</v>
      </c>
      <c r="B298" s="0" t="s">
        <v>897</v>
      </c>
      <c r="C298" s="0" t="s">
        <v>898</v>
      </c>
      <c r="D298" s="31" t="n">
        <v>33322</v>
      </c>
      <c r="E298" s="32" t="s">
        <v>802</v>
      </c>
      <c r="F298" s="32" t="s">
        <v>803</v>
      </c>
      <c r="G298" s="32" t="s">
        <v>804</v>
      </c>
      <c r="H298" s="31" t="n">
        <v>45702</v>
      </c>
      <c r="I298" s="32" t="s">
        <v>805</v>
      </c>
      <c r="J298" s="32" t="s">
        <v>751</v>
      </c>
      <c r="K298" s="0" t="n">
        <v>24</v>
      </c>
      <c r="L298" s="32" t="s">
        <v>752</v>
      </c>
      <c r="M298" s="0" t="n">
        <v>3.4</v>
      </c>
      <c r="N298" s="32" t="s">
        <v>753</v>
      </c>
      <c r="O298" s="32" t="s">
        <v>899</v>
      </c>
      <c r="P298" s="32" t="n">
        <f aca="false">IF(AND(ISNUMBER(K298),K298&gt;=0),K298,IF(ISNUMBER(M298),ROUND(M298*7,0),""))</f>
        <v>24</v>
      </c>
      <c r="Q298" s="0" t="str">
        <f aca="false">IF(ISTEXT(K298),"TEXT - recovered",IF(K298&lt;0,"NEGATIVE",IF(K298&gt;728,"&gt;104 WEEKS","OK")))</f>
        <v>OK</v>
      </c>
      <c r="R298" s="0" t="str">
        <f aca="false">IF(E298="GEN","GM",E298)</f>
        <v>GYN</v>
      </c>
    </row>
    <row r="299" customFormat="false" ht="15" hidden="false" customHeight="false" outlineLevel="0" collapsed="false">
      <c r="A299" s="0" t="s">
        <v>1559</v>
      </c>
      <c r="B299" s="0" t="s">
        <v>901</v>
      </c>
      <c r="C299" s="0" t="s">
        <v>902</v>
      </c>
      <c r="D299" s="31" t="n">
        <v>21835</v>
      </c>
      <c r="E299" s="32" t="s">
        <v>810</v>
      </c>
      <c r="F299" s="32" t="s">
        <v>811</v>
      </c>
      <c r="G299" s="32" t="s">
        <v>812</v>
      </c>
      <c r="H299" s="31" t="n">
        <v>45702</v>
      </c>
      <c r="I299" s="32" t="s">
        <v>813</v>
      </c>
      <c r="J299" s="32" t="s">
        <v>751</v>
      </c>
      <c r="K299" s="0" t="n">
        <v>57</v>
      </c>
      <c r="L299" s="32" t="s">
        <v>752</v>
      </c>
      <c r="M299" s="0" t="n">
        <v>8.1</v>
      </c>
      <c r="N299" s="32" t="s">
        <v>753</v>
      </c>
      <c r="O299" s="32" t="s">
        <v>903</v>
      </c>
      <c r="P299" s="32" t="n">
        <f aca="false">IF(AND(ISNUMBER(K299),K299&gt;=0),K299,IF(ISNUMBER(M299),ROUND(M299*7,0),""))</f>
        <v>57</v>
      </c>
      <c r="Q299" s="0" t="str">
        <f aca="false">IF(ISTEXT(K299),"TEXT - recovered",IF(K299&lt;0,"NEGATIVE",IF(K299&gt;728,"&gt;104 WEEKS","OK")))</f>
        <v>OK</v>
      </c>
      <c r="R299" s="0" t="str">
        <f aca="false">IF(E299="GEN","GM",E299)</f>
        <v>URO</v>
      </c>
    </row>
    <row r="300" customFormat="false" ht="15" hidden="false" customHeight="false" outlineLevel="0" collapsed="false">
      <c r="A300" s="0" t="s">
        <v>1560</v>
      </c>
      <c r="B300" s="0" t="s">
        <v>905</v>
      </c>
      <c r="C300" s="0" t="s">
        <v>906</v>
      </c>
      <c r="D300" s="31" t="n">
        <v>28306</v>
      </c>
      <c r="E300" s="32" t="s">
        <v>818</v>
      </c>
      <c r="F300" s="32" t="s">
        <v>819</v>
      </c>
      <c r="G300" s="32" t="s">
        <v>820</v>
      </c>
      <c r="H300" s="31" t="n">
        <v>45702</v>
      </c>
      <c r="I300" s="32" t="s">
        <v>821</v>
      </c>
      <c r="J300" s="32" t="s">
        <v>751</v>
      </c>
      <c r="K300" s="0" t="n">
        <v>68</v>
      </c>
      <c r="L300" s="32" t="s">
        <v>752</v>
      </c>
      <c r="M300" s="0" t="n">
        <v>9.7</v>
      </c>
      <c r="N300" s="32" t="s">
        <v>753</v>
      </c>
      <c r="O300" s="32" t="s">
        <v>907</v>
      </c>
      <c r="P300" s="32" t="n">
        <f aca="false">IF(AND(ISNUMBER(K300),K300&gt;=0),K300,IF(ISNUMBER(M300),ROUND(M300*7,0),""))</f>
        <v>68</v>
      </c>
      <c r="Q300" s="0" t="str">
        <f aca="false">IF(ISTEXT(K300),"TEXT - recovered",IF(K300&lt;0,"NEGATIVE",IF(K300&gt;728,"&gt;104 WEEKS","OK")))</f>
        <v>OK</v>
      </c>
      <c r="R300" s="0" t="str">
        <f aca="false">IF(E300="GEN","GM",E300)</f>
        <v>OPH</v>
      </c>
    </row>
    <row r="301" customFormat="false" ht="15" hidden="false" customHeight="false" outlineLevel="0" collapsed="false">
      <c r="A301" s="0" t="s">
        <v>1561</v>
      </c>
      <c r="B301" s="0" t="s">
        <v>909</v>
      </c>
      <c r="C301" s="0" t="s">
        <v>910</v>
      </c>
      <c r="D301" s="31" t="n">
        <v>19010</v>
      </c>
      <c r="E301" s="32" t="s">
        <v>826</v>
      </c>
      <c r="F301" s="32" t="s">
        <v>827</v>
      </c>
      <c r="G301" s="32" t="s">
        <v>828</v>
      </c>
      <c r="H301" s="31" t="n">
        <v>45702</v>
      </c>
      <c r="I301" s="32" t="s">
        <v>829</v>
      </c>
      <c r="J301" s="32" t="s">
        <v>751</v>
      </c>
      <c r="K301" s="0" t="n">
        <v>135</v>
      </c>
      <c r="L301" s="32" t="s">
        <v>752</v>
      </c>
      <c r="M301" s="0" t="n">
        <v>19.3</v>
      </c>
      <c r="N301" s="32" t="s">
        <v>753</v>
      </c>
      <c r="O301" s="32" t="s">
        <v>911</v>
      </c>
      <c r="P301" s="32" t="n">
        <f aca="false">IF(AND(ISNUMBER(K301),K301&gt;=0),K301,IF(ISNUMBER(M301),ROUND(M301*7,0),""))</f>
        <v>135</v>
      </c>
      <c r="Q301" s="0" t="str">
        <f aca="false">IF(ISTEXT(K301),"TEXT - recovered",IF(K301&lt;0,"NEGATIVE",IF(K301&gt;728,"&gt;104 WEEKS","OK")))</f>
        <v>OK</v>
      </c>
      <c r="R301" s="0" t="str">
        <f aca="false">IF(E301="GEN","GM",E301)</f>
        <v>RHE</v>
      </c>
    </row>
    <row r="302" customFormat="false" ht="15" hidden="false" customHeight="false" outlineLevel="0" collapsed="false">
      <c r="A302" s="0" t="s">
        <v>1562</v>
      </c>
      <c r="B302" s="0" t="s">
        <v>913</v>
      </c>
      <c r="C302" s="0" t="s">
        <v>914</v>
      </c>
      <c r="D302" s="31" t="n">
        <v>30898</v>
      </c>
      <c r="E302" s="32" t="s">
        <v>747</v>
      </c>
      <c r="F302" s="32" t="s">
        <v>748</v>
      </c>
      <c r="G302" s="32" t="s">
        <v>749</v>
      </c>
      <c r="H302" s="31" t="n">
        <v>45705</v>
      </c>
      <c r="I302" s="32" t="s">
        <v>750</v>
      </c>
      <c r="J302" s="32" t="s">
        <v>751</v>
      </c>
      <c r="K302" s="0" t="n">
        <v>36</v>
      </c>
      <c r="L302" s="32" t="s">
        <v>752</v>
      </c>
      <c r="M302" s="0" t="n">
        <v>5.1</v>
      </c>
      <c r="N302" s="32" t="s">
        <v>753</v>
      </c>
      <c r="O302" s="32" t="s">
        <v>915</v>
      </c>
      <c r="P302" s="32" t="n">
        <f aca="false">IF(AND(ISNUMBER(K302),K302&gt;=0),K302,IF(ISNUMBER(M302),ROUND(M302*7,0),""))</f>
        <v>36</v>
      </c>
      <c r="Q302" s="0" t="str">
        <f aca="false">IF(ISTEXT(K302),"TEXT - recovered",IF(K302&lt;0,"NEGATIVE",IF(K302&gt;728,"&gt;104 WEEKS","OK")))</f>
        <v>OK</v>
      </c>
      <c r="R302" s="0" t="str">
        <f aca="false">IF(E302="GEN","GM",E302)</f>
        <v>GM</v>
      </c>
    </row>
    <row r="303" customFormat="false" ht="15" hidden="false" customHeight="false" outlineLevel="0" collapsed="false">
      <c r="A303" s="0" t="s">
        <v>1563</v>
      </c>
      <c r="B303" s="0" t="s">
        <v>917</v>
      </c>
      <c r="C303" s="0" t="s">
        <v>918</v>
      </c>
      <c r="D303" s="31" t="n">
        <v>24949</v>
      </c>
      <c r="E303" s="32" t="s">
        <v>758</v>
      </c>
      <c r="F303" s="32" t="s">
        <v>759</v>
      </c>
      <c r="G303" s="32" t="s">
        <v>760</v>
      </c>
      <c r="H303" s="31" t="n">
        <v>45705</v>
      </c>
      <c r="I303" s="32" t="s">
        <v>761</v>
      </c>
      <c r="J303" s="32" t="s">
        <v>770</v>
      </c>
      <c r="K303" s="0" t="n">
        <v>203</v>
      </c>
      <c r="L303" s="32" t="s">
        <v>771</v>
      </c>
      <c r="M303" s="0" t="n">
        <v>29</v>
      </c>
      <c r="N303" s="32" t="s">
        <v>753</v>
      </c>
      <c r="O303" s="32" t="s">
        <v>919</v>
      </c>
      <c r="P303" s="32" t="n">
        <f aca="false">IF(AND(ISNUMBER(K303),K303&gt;=0),K303,IF(ISNUMBER(M303),ROUND(M303*7,0),""))</f>
        <v>203</v>
      </c>
      <c r="Q303" s="0" t="str">
        <f aca="false">IF(ISTEXT(K303),"TEXT - recovered",IF(K303&lt;0,"NEGATIVE",IF(K303&gt;728,"&gt;104 WEEKS","OK")))</f>
        <v>OK</v>
      </c>
      <c r="R303" s="0" t="str">
        <f aca="false">IF(E303="GEN","GM",E303)</f>
        <v>CS</v>
      </c>
    </row>
    <row r="304" customFormat="false" ht="15" hidden="false" customHeight="false" outlineLevel="0" collapsed="false">
      <c r="A304" s="0" t="s">
        <v>1564</v>
      </c>
      <c r="B304" s="0" t="s">
        <v>921</v>
      </c>
      <c r="C304" s="0" t="s">
        <v>922</v>
      </c>
      <c r="D304" s="31" t="n">
        <v>16750</v>
      </c>
      <c r="E304" s="32" t="s">
        <v>766</v>
      </c>
      <c r="F304" s="32" t="s">
        <v>767</v>
      </c>
      <c r="G304" s="32" t="s">
        <v>768</v>
      </c>
      <c r="H304" s="31" t="n">
        <v>45705</v>
      </c>
      <c r="I304" s="32" t="s">
        <v>769</v>
      </c>
      <c r="J304" s="32" t="s">
        <v>751</v>
      </c>
      <c r="K304" s="0" t="n">
        <v>90</v>
      </c>
      <c r="L304" s="32" t="s">
        <v>752</v>
      </c>
      <c r="M304" s="0" t="n">
        <v>12.9</v>
      </c>
      <c r="N304" s="32" t="s">
        <v>780</v>
      </c>
      <c r="O304" s="32" t="s">
        <v>923</v>
      </c>
      <c r="P304" s="32" t="n">
        <f aca="false">IF(AND(ISNUMBER(K304),K304&gt;=0),K304,IF(ISNUMBER(M304),ROUND(M304*7,0),""))</f>
        <v>90</v>
      </c>
      <c r="Q304" s="0" t="str">
        <f aca="false">IF(ISTEXT(K304),"TEXT - recovered",IF(K304&lt;0,"NEGATIVE",IF(K304&gt;728,"&gt;104 WEEKS","OK")))</f>
        <v>OK</v>
      </c>
      <c r="R304" s="0" t="str">
        <f aca="false">IF(E304="GEN","GM",E304)</f>
        <v>OR</v>
      </c>
    </row>
    <row r="305" customFormat="false" ht="15" hidden="false" customHeight="false" outlineLevel="0" collapsed="false">
      <c r="A305" s="0" t="s">
        <v>1565</v>
      </c>
      <c r="B305" s="0" t="s">
        <v>925</v>
      </c>
      <c r="C305" s="0" t="s">
        <v>926</v>
      </c>
      <c r="D305" s="31" t="n">
        <v>29063</v>
      </c>
      <c r="E305" s="32" t="s">
        <v>776</v>
      </c>
      <c r="F305" s="32" t="s">
        <v>777</v>
      </c>
      <c r="G305" s="32" t="s">
        <v>778</v>
      </c>
      <c r="H305" s="31" t="n">
        <v>45705</v>
      </c>
      <c r="I305" s="32" t="s">
        <v>779</v>
      </c>
      <c r="J305" s="32" t="s">
        <v>751</v>
      </c>
      <c r="K305" s="0" t="n">
        <v>57</v>
      </c>
      <c r="L305" s="32" t="s">
        <v>752</v>
      </c>
      <c r="M305" s="0" t="n">
        <v>8.1</v>
      </c>
      <c r="N305" s="32" t="s">
        <v>753</v>
      </c>
      <c r="O305" s="32" t="s">
        <v>927</v>
      </c>
      <c r="P305" s="32" t="n">
        <f aca="false">IF(AND(ISNUMBER(K305),K305&gt;=0),K305,IF(ISNUMBER(M305),ROUND(M305*7,0),""))</f>
        <v>57</v>
      </c>
      <c r="Q305" s="0" t="str">
        <f aca="false">IF(ISTEXT(K305),"TEXT - recovered",IF(K305&lt;0,"NEGATIVE",IF(K305&gt;728,"&gt;104 WEEKS","OK")))</f>
        <v>OK</v>
      </c>
      <c r="R305" s="0" t="str">
        <f aca="false">IF(E305="GEN","GM",E305)</f>
        <v>GS</v>
      </c>
    </row>
    <row r="306" customFormat="false" ht="15" hidden="false" customHeight="false" outlineLevel="0" collapsed="false">
      <c r="A306" s="0" t="s">
        <v>1566</v>
      </c>
      <c r="B306" s="0" t="s">
        <v>929</v>
      </c>
      <c r="C306" s="0" t="s">
        <v>930</v>
      </c>
      <c r="D306" s="31" t="n">
        <v>34014</v>
      </c>
      <c r="E306" s="32" t="s">
        <v>785</v>
      </c>
      <c r="F306" s="32" t="s">
        <v>786</v>
      </c>
      <c r="G306" s="32" t="s">
        <v>787</v>
      </c>
      <c r="H306" s="31" t="n">
        <v>45705</v>
      </c>
      <c r="I306" s="32" t="s">
        <v>788</v>
      </c>
      <c r="J306" s="32" t="s">
        <v>751</v>
      </c>
      <c r="K306" s="0" t="n">
        <v>46</v>
      </c>
      <c r="L306" s="32" t="s">
        <v>752</v>
      </c>
      <c r="M306" s="0" t="n">
        <v>6.6</v>
      </c>
      <c r="N306" s="32" t="s">
        <v>753</v>
      </c>
      <c r="O306" s="32" t="s">
        <v>931</v>
      </c>
      <c r="P306" s="32" t="n">
        <f aca="false">IF(AND(ISNUMBER(K306),K306&gt;=0),K306,IF(ISNUMBER(M306),ROUND(M306*7,0),""))</f>
        <v>46</v>
      </c>
      <c r="Q306" s="0" t="str">
        <f aca="false">IF(ISTEXT(K306),"TEXT - recovered",IF(K306&lt;0,"NEGATIVE",IF(K306&gt;728,"&gt;104 WEEKS","OK")))</f>
        <v>OK</v>
      </c>
      <c r="R306" s="0" t="str">
        <f aca="false">IF(E306="GEN","GM",E306)</f>
        <v>RS</v>
      </c>
    </row>
    <row r="307" customFormat="false" ht="15" hidden="false" customHeight="false" outlineLevel="0" collapsed="false">
      <c r="A307" s="0" t="s">
        <v>1567</v>
      </c>
      <c r="B307" s="0" t="s">
        <v>933</v>
      </c>
      <c r="C307" s="0" t="s">
        <v>934</v>
      </c>
      <c r="D307" s="31" t="n">
        <v>22526</v>
      </c>
      <c r="E307" s="32" t="s">
        <v>793</v>
      </c>
      <c r="F307" s="32" t="s">
        <v>794</v>
      </c>
      <c r="G307" s="32" t="s">
        <v>795</v>
      </c>
      <c r="H307" s="31" t="n">
        <v>45705</v>
      </c>
      <c r="I307" s="32" t="s">
        <v>796</v>
      </c>
      <c r="J307" s="32" t="s">
        <v>751</v>
      </c>
      <c r="K307" s="0" t="n">
        <v>23</v>
      </c>
      <c r="L307" s="32" t="s">
        <v>771</v>
      </c>
      <c r="M307" s="0" t="n">
        <v>3.3</v>
      </c>
      <c r="N307" s="32" t="s">
        <v>330</v>
      </c>
      <c r="O307" s="32" t="s">
        <v>935</v>
      </c>
      <c r="P307" s="32" t="n">
        <f aca="false">IF(AND(ISNUMBER(K307),K307&gt;=0),K307,IF(ISNUMBER(M307),ROUND(M307*7,0),""))</f>
        <v>23</v>
      </c>
      <c r="Q307" s="0" t="str">
        <f aca="false">IF(ISTEXT(K307),"TEXT - recovered",IF(K307&lt;0,"NEGATIVE",IF(K307&gt;728,"&gt;104 WEEKS","OK")))</f>
        <v>OK</v>
      </c>
      <c r="R307" s="0" t="str">
        <f aca="false">IF(E307="GEN","GM",E307)</f>
        <v>EM</v>
      </c>
    </row>
    <row r="308" customFormat="false" ht="15" hidden="false" customHeight="false" outlineLevel="0" collapsed="false">
      <c r="A308" s="0" t="s">
        <v>1568</v>
      </c>
      <c r="B308" s="0" t="s">
        <v>937</v>
      </c>
      <c r="C308" s="0" t="s">
        <v>938</v>
      </c>
      <c r="D308" s="31" t="n">
        <v>27168</v>
      </c>
      <c r="E308" s="32" t="s">
        <v>802</v>
      </c>
      <c r="F308" s="32" t="s">
        <v>803</v>
      </c>
      <c r="G308" s="32" t="s">
        <v>804</v>
      </c>
      <c r="H308" s="31" t="n">
        <v>45705</v>
      </c>
      <c r="I308" s="32" t="s">
        <v>805</v>
      </c>
      <c r="J308" s="32" t="s">
        <v>751</v>
      </c>
      <c r="K308" s="0" t="n">
        <v>46</v>
      </c>
      <c r="L308" s="32" t="s">
        <v>752</v>
      </c>
      <c r="M308" s="0" t="n">
        <v>6.6</v>
      </c>
      <c r="N308" s="32" t="s">
        <v>753</v>
      </c>
      <c r="O308" s="32" t="s">
        <v>939</v>
      </c>
      <c r="P308" s="32" t="n">
        <f aca="false">IF(AND(ISNUMBER(K308),K308&gt;=0),K308,IF(ISNUMBER(M308),ROUND(M308*7,0),""))</f>
        <v>46</v>
      </c>
      <c r="Q308" s="0" t="str">
        <f aca="false">IF(ISTEXT(K308),"TEXT - recovered",IF(K308&lt;0,"NEGATIVE",IF(K308&gt;728,"&gt;104 WEEKS","OK")))</f>
        <v>OK</v>
      </c>
      <c r="R308" s="0" t="str">
        <f aca="false">IF(E308="GEN","GM",E308)</f>
        <v>GYN</v>
      </c>
    </row>
    <row r="309" customFormat="false" ht="15" hidden="false" customHeight="false" outlineLevel="0" collapsed="false">
      <c r="A309" s="0" t="s">
        <v>1569</v>
      </c>
      <c r="B309" s="0" t="s">
        <v>941</v>
      </c>
      <c r="C309" s="0" t="s">
        <v>942</v>
      </c>
      <c r="D309" s="31" t="n">
        <v>32118</v>
      </c>
      <c r="E309" s="32" t="s">
        <v>810</v>
      </c>
      <c r="F309" s="32" t="s">
        <v>811</v>
      </c>
      <c r="G309" s="32" t="s">
        <v>812</v>
      </c>
      <c r="H309" s="31" t="n">
        <v>45705</v>
      </c>
      <c r="I309" s="32" t="s">
        <v>813</v>
      </c>
      <c r="J309" s="32" t="s">
        <v>751</v>
      </c>
      <c r="K309" s="0" t="n">
        <v>36</v>
      </c>
      <c r="L309" s="32" t="s">
        <v>752</v>
      </c>
      <c r="M309" s="0" t="n">
        <v>5.1</v>
      </c>
      <c r="N309" s="32" t="s">
        <v>753</v>
      </c>
      <c r="O309" s="32" t="s">
        <v>943</v>
      </c>
      <c r="P309" s="32" t="n">
        <f aca="false">IF(AND(ISNUMBER(K309),K309&gt;=0),K309,IF(ISNUMBER(M309),ROUND(M309*7,0),""))</f>
        <v>36</v>
      </c>
      <c r="Q309" s="0" t="str">
        <f aca="false">IF(ISTEXT(K309),"TEXT - recovered",IF(K309&lt;0,"NEGATIVE",IF(K309&gt;728,"&gt;104 WEEKS","OK")))</f>
        <v>OK</v>
      </c>
      <c r="R309" s="0" t="str">
        <f aca="false">IF(E309="GEN","GM",E309)</f>
        <v>URO</v>
      </c>
    </row>
    <row r="310" customFormat="false" ht="15" hidden="false" customHeight="false" outlineLevel="0" collapsed="false">
      <c r="A310" s="0" t="s">
        <v>1570</v>
      </c>
      <c r="B310" s="0" t="s">
        <v>945</v>
      </c>
      <c r="C310" s="0" t="s">
        <v>946</v>
      </c>
      <c r="D310" s="31" t="n">
        <v>20691</v>
      </c>
      <c r="E310" s="32" t="s">
        <v>818</v>
      </c>
      <c r="F310" s="32" t="s">
        <v>819</v>
      </c>
      <c r="G310" s="32" t="s">
        <v>820</v>
      </c>
      <c r="H310" s="31" t="n">
        <v>45705</v>
      </c>
      <c r="I310" s="32" t="s">
        <v>821</v>
      </c>
      <c r="J310" s="32" t="s">
        <v>770</v>
      </c>
      <c r="K310" s="0" t="n">
        <v>179</v>
      </c>
      <c r="L310" s="32" t="s">
        <v>771</v>
      </c>
      <c r="M310" s="0" t="n">
        <v>25.6</v>
      </c>
      <c r="N310" s="32" t="s">
        <v>753</v>
      </c>
      <c r="O310" s="32" t="s">
        <v>947</v>
      </c>
      <c r="P310" s="32" t="n">
        <f aca="false">IF(AND(ISNUMBER(K310),K310&gt;=0),K310,IF(ISNUMBER(M310),ROUND(M310*7,0),""))</f>
        <v>179</v>
      </c>
      <c r="Q310" s="0" t="str">
        <f aca="false">IF(ISTEXT(K310),"TEXT - recovered",IF(K310&lt;0,"NEGATIVE",IF(K310&gt;728,"&gt;104 WEEKS","OK")))</f>
        <v>OK</v>
      </c>
      <c r="R310" s="0" t="str">
        <f aca="false">IF(E310="GEN","GM",E310)</f>
        <v>OPH</v>
      </c>
    </row>
    <row r="311" customFormat="false" ht="15" hidden="false" customHeight="false" outlineLevel="0" collapsed="false">
      <c r="A311" s="0" t="s">
        <v>1571</v>
      </c>
      <c r="B311" s="0" t="s">
        <v>949</v>
      </c>
      <c r="C311" s="0" t="s">
        <v>950</v>
      </c>
      <c r="D311" s="31" t="n">
        <v>26003</v>
      </c>
      <c r="E311" s="32" t="s">
        <v>826</v>
      </c>
      <c r="F311" s="32" t="s">
        <v>827</v>
      </c>
      <c r="G311" s="32" t="s">
        <v>828</v>
      </c>
      <c r="H311" s="31" t="n">
        <v>45705</v>
      </c>
      <c r="I311" s="32" t="s">
        <v>829</v>
      </c>
      <c r="J311" s="32" t="s">
        <v>751</v>
      </c>
      <c r="K311" s="0" t="n">
        <v>69</v>
      </c>
      <c r="L311" s="32" t="s">
        <v>752</v>
      </c>
      <c r="M311" s="0" t="n">
        <v>9.9</v>
      </c>
      <c r="N311" s="32" t="s">
        <v>753</v>
      </c>
      <c r="O311" s="32" t="s">
        <v>951</v>
      </c>
      <c r="P311" s="32" t="n">
        <f aca="false">IF(AND(ISNUMBER(K311),K311&gt;=0),K311,IF(ISNUMBER(M311),ROUND(M311*7,0),""))</f>
        <v>69</v>
      </c>
      <c r="Q311" s="0" t="str">
        <f aca="false">IF(ISTEXT(K311),"TEXT - recovered",IF(K311&lt;0,"NEGATIVE",IF(K311&gt;728,"&gt;104 WEEKS","OK")))</f>
        <v>OK</v>
      </c>
      <c r="R311" s="0" t="str">
        <f aca="false">IF(E311="GEN","GM",E311)</f>
        <v>RHE</v>
      </c>
    </row>
    <row r="312" customFormat="false" ht="15" hidden="false" customHeight="false" outlineLevel="0" collapsed="false">
      <c r="A312" s="0" t="s">
        <v>1572</v>
      </c>
      <c r="B312" s="0" t="s">
        <v>953</v>
      </c>
      <c r="C312" s="0" t="s">
        <v>954</v>
      </c>
      <c r="D312" s="31" t="n">
        <v>17561</v>
      </c>
      <c r="E312" s="32" t="s">
        <v>747</v>
      </c>
      <c r="F312" s="32" t="s">
        <v>748</v>
      </c>
      <c r="G312" s="32" t="s">
        <v>749</v>
      </c>
      <c r="H312" s="31" t="n">
        <v>45706</v>
      </c>
      <c r="I312" s="32" t="s">
        <v>750</v>
      </c>
      <c r="J312" s="32" t="s">
        <v>751</v>
      </c>
      <c r="K312" s="0" t="n">
        <v>113</v>
      </c>
      <c r="L312" s="32" t="s">
        <v>752</v>
      </c>
      <c r="M312" s="0" t="n">
        <v>16.1</v>
      </c>
      <c r="N312" s="32" t="s">
        <v>753</v>
      </c>
      <c r="O312" s="32" t="s">
        <v>955</v>
      </c>
      <c r="P312" s="32" t="n">
        <f aca="false">IF(AND(ISNUMBER(K312),K312&gt;=0),K312,IF(ISNUMBER(M312),ROUND(M312*7,0),""))</f>
        <v>113</v>
      </c>
      <c r="Q312" s="0" t="str">
        <f aca="false">IF(ISTEXT(K312),"TEXT - recovered",IF(K312&lt;0,"NEGATIVE",IF(K312&gt;728,"&gt;104 WEEKS","OK")))</f>
        <v>OK</v>
      </c>
      <c r="R312" s="0" t="str">
        <f aca="false">IF(E312="GEN","GM",E312)</f>
        <v>GM</v>
      </c>
    </row>
    <row r="313" customFormat="false" ht="15" hidden="false" customHeight="false" outlineLevel="0" collapsed="false">
      <c r="A313" s="0" t="s">
        <v>1573</v>
      </c>
      <c r="B313" s="0" t="s">
        <v>957</v>
      </c>
      <c r="C313" s="0" t="s">
        <v>958</v>
      </c>
      <c r="D313" s="31" t="n">
        <v>30210</v>
      </c>
      <c r="E313" s="32" t="s">
        <v>758</v>
      </c>
      <c r="F313" s="32" t="s">
        <v>759</v>
      </c>
      <c r="G313" s="32" t="s">
        <v>760</v>
      </c>
      <c r="H313" s="31" t="n">
        <v>45706</v>
      </c>
      <c r="I313" s="32" t="s">
        <v>761</v>
      </c>
      <c r="J313" s="32" t="s">
        <v>751</v>
      </c>
      <c r="K313" s="0" t="n">
        <v>79</v>
      </c>
      <c r="L313" s="32" t="s">
        <v>752</v>
      </c>
      <c r="M313" s="0" t="n">
        <v>11.3</v>
      </c>
      <c r="N313" s="32" t="s">
        <v>780</v>
      </c>
      <c r="O313" s="32" t="s">
        <v>959</v>
      </c>
      <c r="P313" s="32" t="n">
        <f aca="false">IF(AND(ISNUMBER(K313),K313&gt;=0),K313,IF(ISNUMBER(M313),ROUND(M313*7,0),""))</f>
        <v>79</v>
      </c>
      <c r="Q313" s="0" t="str">
        <f aca="false">IF(ISTEXT(K313),"TEXT - recovered",IF(K313&lt;0,"NEGATIVE",IF(K313&gt;728,"&gt;104 WEEKS","OK")))</f>
        <v>OK</v>
      </c>
      <c r="R313" s="0" t="str">
        <f aca="false">IF(E313="GEN","GM",E313)</f>
        <v>CS</v>
      </c>
    </row>
    <row r="314" customFormat="false" ht="15" hidden="false" customHeight="false" outlineLevel="0" collapsed="false">
      <c r="A314" s="0" t="s">
        <v>1574</v>
      </c>
      <c r="B314" s="0" t="s">
        <v>961</v>
      </c>
      <c r="C314" s="0" t="s">
        <v>962</v>
      </c>
      <c r="D314" s="31" t="n">
        <v>25358</v>
      </c>
      <c r="E314" s="32" t="s">
        <v>766</v>
      </c>
      <c r="F314" s="32" t="s">
        <v>767</v>
      </c>
      <c r="G314" s="32" t="s">
        <v>768</v>
      </c>
      <c r="H314" s="31" t="n">
        <v>45706</v>
      </c>
      <c r="I314" s="32" t="s">
        <v>769</v>
      </c>
      <c r="J314" s="32" t="s">
        <v>770</v>
      </c>
      <c r="K314" s="0" t="n">
        <v>268</v>
      </c>
      <c r="L314" s="32" t="s">
        <v>771</v>
      </c>
      <c r="M314" s="0" t="n">
        <v>38.3</v>
      </c>
      <c r="N314" s="32" t="s">
        <v>753</v>
      </c>
      <c r="O314" s="32" t="s">
        <v>963</v>
      </c>
      <c r="P314" s="32" t="n">
        <f aca="false">IF(AND(ISNUMBER(K314),K314&gt;=0),K314,IF(ISNUMBER(M314),ROUND(M314*7,0),""))</f>
        <v>268</v>
      </c>
      <c r="Q314" s="0" t="str">
        <f aca="false">IF(ISTEXT(K314),"TEXT - recovered",IF(K314&lt;0,"NEGATIVE",IF(K314&gt;728,"&gt;104 WEEKS","OK")))</f>
        <v>OK</v>
      </c>
      <c r="R314" s="0" t="str">
        <f aca="false">IF(E314="GEN","GM",E314)</f>
        <v>OR</v>
      </c>
    </row>
    <row r="315" customFormat="false" ht="15" hidden="false" customHeight="false" outlineLevel="0" collapsed="false">
      <c r="A315" s="0" t="s">
        <v>1575</v>
      </c>
      <c r="B315" s="0" t="s">
        <v>965</v>
      </c>
      <c r="C315" s="0" t="s">
        <v>966</v>
      </c>
      <c r="D315" s="31" t="n">
        <v>20142</v>
      </c>
      <c r="E315" s="32" t="s">
        <v>776</v>
      </c>
      <c r="F315" s="32" t="s">
        <v>777</v>
      </c>
      <c r="G315" s="32" t="s">
        <v>778</v>
      </c>
      <c r="H315" s="31" t="n">
        <v>45706</v>
      </c>
      <c r="I315" s="32" t="s">
        <v>779</v>
      </c>
      <c r="J315" s="32" t="s">
        <v>751</v>
      </c>
      <c r="K315" s="0" t="n">
        <v>35</v>
      </c>
      <c r="L315" s="32" t="s">
        <v>752</v>
      </c>
      <c r="M315" s="0" t="n">
        <v>5</v>
      </c>
      <c r="N315" s="32" t="s">
        <v>753</v>
      </c>
      <c r="O315" s="32" t="s">
        <v>967</v>
      </c>
      <c r="P315" s="32" t="n">
        <f aca="false">IF(AND(ISNUMBER(K315),K315&gt;=0),K315,IF(ISNUMBER(M315),ROUND(M315*7,0),""))</f>
        <v>35</v>
      </c>
      <c r="Q315" s="0" t="str">
        <f aca="false">IF(ISTEXT(K315),"TEXT - recovered",IF(K315&lt;0,"NEGATIVE",IF(K315&gt;728,"&gt;104 WEEKS","OK")))</f>
        <v>OK</v>
      </c>
      <c r="R315" s="0" t="str">
        <f aca="false">IF(E315="GEN","GM",E315)</f>
        <v>GS</v>
      </c>
    </row>
    <row r="316" customFormat="false" ht="15" hidden="false" customHeight="false" outlineLevel="0" collapsed="false">
      <c r="A316" s="0" t="s">
        <v>1576</v>
      </c>
      <c r="B316" s="0" t="s">
        <v>969</v>
      </c>
      <c r="C316" s="0" t="s">
        <v>970</v>
      </c>
      <c r="D316" s="31" t="n">
        <v>33155</v>
      </c>
      <c r="E316" s="32" t="s">
        <v>785</v>
      </c>
      <c r="F316" s="32" t="s">
        <v>786</v>
      </c>
      <c r="G316" s="32" t="s">
        <v>787</v>
      </c>
      <c r="H316" s="31" t="n">
        <v>45706</v>
      </c>
      <c r="I316" s="32" t="s">
        <v>788</v>
      </c>
      <c r="J316" s="32" t="s">
        <v>751</v>
      </c>
      <c r="K316" s="0" t="n">
        <v>57</v>
      </c>
      <c r="L316" s="32" t="s">
        <v>752</v>
      </c>
      <c r="M316" s="0" t="n">
        <v>8.1</v>
      </c>
      <c r="N316" s="32" t="s">
        <v>753</v>
      </c>
      <c r="O316" s="32" t="s">
        <v>971</v>
      </c>
      <c r="P316" s="32" t="n">
        <f aca="false">IF(AND(ISNUMBER(K316),K316&gt;=0),K316,IF(ISNUMBER(M316),ROUND(M316*7,0),""))</f>
        <v>57</v>
      </c>
      <c r="Q316" s="0" t="str">
        <f aca="false">IF(ISTEXT(K316),"TEXT - recovered",IF(K316&lt;0,"NEGATIVE",IF(K316&gt;728,"&gt;104 WEEKS","OK")))</f>
        <v>OK</v>
      </c>
      <c r="R316" s="0" t="str">
        <f aca="false">IF(E316="GEN","GM",E316)</f>
        <v>RS</v>
      </c>
    </row>
    <row r="317" customFormat="false" ht="15" hidden="false" customHeight="false" outlineLevel="0" collapsed="false">
      <c r="A317" s="0" t="s">
        <v>1577</v>
      </c>
      <c r="B317" s="0" t="s">
        <v>973</v>
      </c>
      <c r="C317" s="0" t="s">
        <v>837</v>
      </c>
      <c r="D317" s="31" t="n">
        <v>23555</v>
      </c>
      <c r="E317" s="32" t="s">
        <v>793</v>
      </c>
      <c r="F317" s="32" t="s">
        <v>794</v>
      </c>
      <c r="G317" s="32" t="s">
        <v>795</v>
      </c>
      <c r="H317" s="31" t="n">
        <v>45706</v>
      </c>
      <c r="I317" s="32" t="s">
        <v>796</v>
      </c>
      <c r="J317" s="32" t="s">
        <v>797</v>
      </c>
      <c r="K317" s="0" t="n">
        <v>9</v>
      </c>
      <c r="L317" s="32" t="s">
        <v>771</v>
      </c>
      <c r="M317" s="0" t="n">
        <v>1.3</v>
      </c>
      <c r="N317" s="32" t="s">
        <v>330</v>
      </c>
      <c r="O317" s="32" t="s">
        <v>974</v>
      </c>
      <c r="P317" s="32" t="n">
        <f aca="false">IF(AND(ISNUMBER(K317),K317&gt;=0),K317,IF(ISNUMBER(M317),ROUND(M317*7,0),""))</f>
        <v>9</v>
      </c>
      <c r="Q317" s="0" t="str">
        <f aca="false">IF(ISTEXT(K317),"TEXT - recovered",IF(K317&lt;0,"NEGATIVE",IF(K317&gt;728,"&gt;104 WEEKS","OK")))</f>
        <v>OK</v>
      </c>
      <c r="R317" s="0" t="str">
        <f aca="false">IF(E317="GEN","GM",E317)</f>
        <v>EM</v>
      </c>
    </row>
    <row r="318" customFormat="false" ht="15" hidden="false" customHeight="false" outlineLevel="0" collapsed="false">
      <c r="A318" s="0" t="s">
        <v>1578</v>
      </c>
      <c r="B318" s="0" t="s">
        <v>976</v>
      </c>
      <c r="C318" s="0" t="s">
        <v>977</v>
      </c>
      <c r="D318" s="31" t="n">
        <v>28504</v>
      </c>
      <c r="E318" s="32" t="s">
        <v>802</v>
      </c>
      <c r="F318" s="32" t="s">
        <v>803</v>
      </c>
      <c r="G318" s="32" t="s">
        <v>804</v>
      </c>
      <c r="H318" s="31" t="n">
        <v>45706</v>
      </c>
      <c r="I318" s="32" t="s">
        <v>805</v>
      </c>
      <c r="J318" s="32" t="s">
        <v>770</v>
      </c>
      <c r="K318" s="0" t="n">
        <v>136</v>
      </c>
      <c r="L318" s="32" t="s">
        <v>771</v>
      </c>
      <c r="M318" s="0" t="n">
        <v>19.4</v>
      </c>
      <c r="N318" s="32" t="s">
        <v>753</v>
      </c>
      <c r="O318" s="32" t="s">
        <v>978</v>
      </c>
      <c r="P318" s="32" t="n">
        <f aca="false">IF(AND(ISNUMBER(K318),K318&gt;=0),K318,IF(ISNUMBER(M318),ROUND(M318*7,0),""))</f>
        <v>136</v>
      </c>
      <c r="Q318" s="0" t="str">
        <f aca="false">IF(ISTEXT(K318),"TEXT - recovered",IF(K318&lt;0,"NEGATIVE",IF(K318&gt;728,"&gt;104 WEEKS","OK")))</f>
        <v>OK</v>
      </c>
      <c r="R318" s="0" t="str">
        <f aca="false">IF(E318="GEN","GM",E318)</f>
        <v>GYN</v>
      </c>
    </row>
    <row r="319" customFormat="false" ht="15" hidden="false" customHeight="false" outlineLevel="0" collapsed="false">
      <c r="A319" s="0" t="s">
        <v>1579</v>
      </c>
      <c r="B319" s="0" t="s">
        <v>980</v>
      </c>
      <c r="C319" s="0" t="s">
        <v>981</v>
      </c>
      <c r="D319" s="31" t="n">
        <v>31626</v>
      </c>
      <c r="E319" s="32" t="s">
        <v>810</v>
      </c>
      <c r="F319" s="32" t="s">
        <v>811</v>
      </c>
      <c r="G319" s="32" t="s">
        <v>812</v>
      </c>
      <c r="H319" s="31" t="n">
        <v>45706</v>
      </c>
      <c r="I319" s="32" t="s">
        <v>813</v>
      </c>
      <c r="J319" s="32" t="s">
        <v>751</v>
      </c>
      <c r="K319" s="0" t="n">
        <v>46</v>
      </c>
      <c r="L319" s="32" t="s">
        <v>752</v>
      </c>
      <c r="M319" s="0" t="n">
        <v>6.6</v>
      </c>
      <c r="N319" s="32" t="s">
        <v>753</v>
      </c>
      <c r="O319" s="32" t="s">
        <v>982</v>
      </c>
      <c r="P319" s="32" t="n">
        <f aca="false">IF(AND(ISNUMBER(K319),K319&gt;=0),K319,IF(ISNUMBER(M319),ROUND(M319*7,0),""))</f>
        <v>46</v>
      </c>
      <c r="Q319" s="0" t="str">
        <f aca="false">IF(ISTEXT(K319),"TEXT - recovered",IF(K319&lt;0,"NEGATIVE",IF(K319&gt;728,"&gt;104 WEEKS","OK")))</f>
        <v>OK</v>
      </c>
      <c r="R319" s="0" t="str">
        <f aca="false">IF(E319="GEN","GM",E319)</f>
        <v>URO</v>
      </c>
    </row>
    <row r="320" customFormat="false" ht="15" hidden="false" customHeight="false" outlineLevel="0" collapsed="false">
      <c r="A320" s="0" t="s">
        <v>1580</v>
      </c>
      <c r="B320" s="0" t="s">
        <v>984</v>
      </c>
      <c r="C320" s="0" t="s">
        <v>985</v>
      </c>
      <c r="D320" s="31" t="n">
        <v>19469</v>
      </c>
      <c r="E320" s="32" t="s">
        <v>818</v>
      </c>
      <c r="F320" s="32" t="s">
        <v>819</v>
      </c>
      <c r="G320" s="32" t="s">
        <v>820</v>
      </c>
      <c r="H320" s="31" t="n">
        <v>45706</v>
      </c>
      <c r="I320" s="32" t="s">
        <v>821</v>
      </c>
      <c r="J320" s="32" t="s">
        <v>751</v>
      </c>
      <c r="K320" s="0" t="n">
        <v>90</v>
      </c>
      <c r="L320" s="32" t="s">
        <v>752</v>
      </c>
      <c r="M320" s="0" t="n">
        <v>12.9</v>
      </c>
      <c r="N320" s="32" t="s">
        <v>753</v>
      </c>
      <c r="O320" s="32" t="s">
        <v>986</v>
      </c>
      <c r="P320" s="32" t="n">
        <f aca="false">IF(AND(ISNUMBER(K320),K320&gt;=0),K320,IF(ISNUMBER(M320),ROUND(M320*7,0),""))</f>
        <v>90</v>
      </c>
      <c r="Q320" s="0" t="str">
        <f aca="false">IF(ISTEXT(K320),"TEXT - recovered",IF(K320&lt;0,"NEGATIVE",IF(K320&gt;728,"&gt;104 WEEKS","OK")))</f>
        <v>OK</v>
      </c>
      <c r="R320" s="0" t="str">
        <f aca="false">IF(E320="GEN","GM",E320)</f>
        <v>OPH</v>
      </c>
    </row>
    <row r="321" customFormat="false" ht="15" hidden="false" customHeight="false" outlineLevel="0" collapsed="false">
      <c r="A321" s="0" t="s">
        <v>1581</v>
      </c>
      <c r="B321" s="0" t="s">
        <v>988</v>
      </c>
      <c r="C321" s="0" t="s">
        <v>989</v>
      </c>
      <c r="D321" s="31" t="n">
        <v>24783</v>
      </c>
      <c r="E321" s="32" t="s">
        <v>826</v>
      </c>
      <c r="F321" s="32" t="s">
        <v>827</v>
      </c>
      <c r="G321" s="32" t="s">
        <v>828</v>
      </c>
      <c r="H321" s="31" t="n">
        <v>45706</v>
      </c>
      <c r="I321" s="32" t="s">
        <v>829</v>
      </c>
      <c r="J321" s="32" t="s">
        <v>751</v>
      </c>
      <c r="K321" s="0" t="n">
        <v>24</v>
      </c>
      <c r="L321" s="32" t="s">
        <v>752</v>
      </c>
      <c r="M321" s="0" t="n">
        <v>3.4</v>
      </c>
      <c r="N321" s="32" t="s">
        <v>753</v>
      </c>
      <c r="O321" s="32" t="s">
        <v>990</v>
      </c>
      <c r="P321" s="32" t="n">
        <f aca="false">IF(AND(ISNUMBER(K321),K321&gt;=0),K321,IF(ISNUMBER(M321),ROUND(M321*7,0),""))</f>
        <v>24</v>
      </c>
      <c r="Q321" s="0" t="str">
        <f aca="false">IF(ISTEXT(K321),"TEXT - recovered",IF(K321&lt;0,"NEGATIVE",IF(K321&gt;728,"&gt;104 WEEKS","OK")))</f>
        <v>OK</v>
      </c>
      <c r="R321" s="0" t="str">
        <f aca="false">IF(E321="GEN","GM",E321)</f>
        <v>RHE</v>
      </c>
    </row>
    <row r="322" customFormat="false" ht="15" hidden="false" customHeight="false" outlineLevel="0" collapsed="false">
      <c r="A322" s="0" t="s">
        <v>1582</v>
      </c>
      <c r="B322" s="0" t="s">
        <v>992</v>
      </c>
      <c r="C322" s="0" t="s">
        <v>993</v>
      </c>
      <c r="D322" s="31" t="n">
        <v>29427</v>
      </c>
      <c r="E322" s="32" t="s">
        <v>747</v>
      </c>
      <c r="F322" s="32" t="s">
        <v>748</v>
      </c>
      <c r="G322" s="32" t="s">
        <v>749</v>
      </c>
      <c r="H322" s="31" t="n">
        <v>45707</v>
      </c>
      <c r="I322" s="32" t="s">
        <v>750</v>
      </c>
      <c r="J322" s="32" t="s">
        <v>751</v>
      </c>
      <c r="K322" s="0" t="n">
        <v>57</v>
      </c>
      <c r="L322" s="32" t="s">
        <v>752</v>
      </c>
      <c r="M322" s="0" t="n">
        <v>8.1</v>
      </c>
      <c r="N322" s="32" t="s">
        <v>753</v>
      </c>
      <c r="O322" s="32" t="s">
        <v>994</v>
      </c>
      <c r="P322" s="32" t="n">
        <f aca="false">IF(AND(ISNUMBER(K322),K322&gt;=0),K322,IF(ISNUMBER(M322),ROUND(M322*7,0),""))</f>
        <v>57</v>
      </c>
      <c r="Q322" s="0" t="str">
        <f aca="false">IF(ISTEXT(K322),"TEXT - recovered",IF(K322&lt;0,"NEGATIVE",IF(K322&gt;728,"&gt;104 WEEKS","OK")))</f>
        <v>OK</v>
      </c>
      <c r="R322" s="0" t="str">
        <f aca="false">IF(E322="GEN","GM",E322)</f>
        <v>GM</v>
      </c>
    </row>
    <row r="323" customFormat="false" ht="15" hidden="false" customHeight="false" outlineLevel="0" collapsed="false">
      <c r="A323" s="0" t="s">
        <v>1583</v>
      </c>
      <c r="B323" s="0" t="s">
        <v>996</v>
      </c>
      <c r="C323" s="0" t="s">
        <v>997</v>
      </c>
      <c r="D323" s="31" t="n">
        <v>20891</v>
      </c>
      <c r="E323" s="32" t="s">
        <v>758</v>
      </c>
      <c r="F323" s="32" t="s">
        <v>759</v>
      </c>
      <c r="G323" s="32" t="s">
        <v>760</v>
      </c>
      <c r="H323" s="31" t="n">
        <v>45707</v>
      </c>
      <c r="I323" s="32" t="s">
        <v>761</v>
      </c>
      <c r="J323" s="32" t="s">
        <v>770</v>
      </c>
      <c r="K323" s="0" t="n">
        <v>190</v>
      </c>
      <c r="L323" s="32" t="s">
        <v>771</v>
      </c>
      <c r="M323" s="0" t="n">
        <v>27.1</v>
      </c>
      <c r="N323" s="32" t="s">
        <v>753</v>
      </c>
      <c r="O323" s="32" t="s">
        <v>998</v>
      </c>
      <c r="P323" s="32" t="n">
        <f aca="false">IF(AND(ISNUMBER(K323),K323&gt;=0),K323,IF(ISNUMBER(M323),ROUND(M323*7,0),""))</f>
        <v>190</v>
      </c>
      <c r="Q323" s="0" t="str">
        <f aca="false">IF(ISTEXT(K323),"TEXT - recovered",IF(K323&lt;0,"NEGATIVE",IF(K323&gt;728,"&gt;104 WEEKS","OK")))</f>
        <v>OK</v>
      </c>
      <c r="R323" s="0" t="str">
        <f aca="false">IF(E323="GEN","GM",E323)</f>
        <v>CS</v>
      </c>
    </row>
    <row r="324" customFormat="false" ht="15" hidden="false" customHeight="false" outlineLevel="0" collapsed="false">
      <c r="A324" s="0" t="s">
        <v>1584</v>
      </c>
      <c r="B324" s="0" t="s">
        <v>1000</v>
      </c>
      <c r="C324" s="0" t="s">
        <v>1001</v>
      </c>
      <c r="D324" s="31" t="n">
        <v>26998</v>
      </c>
      <c r="E324" s="32" t="s">
        <v>766</v>
      </c>
      <c r="F324" s="32" t="s">
        <v>767</v>
      </c>
      <c r="G324" s="32" t="s">
        <v>768</v>
      </c>
      <c r="H324" s="31" t="n">
        <v>45707</v>
      </c>
      <c r="I324" s="32" t="s">
        <v>769</v>
      </c>
      <c r="J324" s="32" t="s">
        <v>751</v>
      </c>
      <c r="K324" s="0" t="n">
        <v>68</v>
      </c>
      <c r="L324" s="32" t="s">
        <v>752</v>
      </c>
      <c r="M324" s="0" t="n">
        <v>9.7</v>
      </c>
      <c r="N324" s="32" t="s">
        <v>780</v>
      </c>
      <c r="O324" s="32" t="s">
        <v>1002</v>
      </c>
      <c r="P324" s="32" t="n">
        <f aca="false">IF(AND(ISNUMBER(K324),K324&gt;=0),K324,IF(ISNUMBER(M324),ROUND(M324*7,0),""))</f>
        <v>68</v>
      </c>
      <c r="Q324" s="0" t="str">
        <f aca="false">IF(ISTEXT(K324),"TEXT - recovered",IF(K324&lt;0,"NEGATIVE",IF(K324&gt;728,"&gt;104 WEEKS","OK")))</f>
        <v>OK</v>
      </c>
      <c r="R324" s="0" t="str">
        <f aca="false">IF(E324="GEN","GM",E324)</f>
        <v>OR</v>
      </c>
    </row>
    <row r="325" customFormat="false" ht="15" hidden="false" customHeight="false" outlineLevel="0" collapsed="false">
      <c r="A325" s="0" t="s">
        <v>1585</v>
      </c>
      <c r="B325" s="0" t="s">
        <v>1004</v>
      </c>
      <c r="C325" s="0" t="s">
        <v>1005</v>
      </c>
      <c r="D325" s="31" t="n">
        <v>22510</v>
      </c>
      <c r="E325" s="32" t="s">
        <v>776</v>
      </c>
      <c r="F325" s="32" t="s">
        <v>777</v>
      </c>
      <c r="G325" s="32" t="s">
        <v>778</v>
      </c>
      <c r="H325" s="31" t="n">
        <v>45707</v>
      </c>
      <c r="I325" s="32" t="s">
        <v>779</v>
      </c>
      <c r="J325" s="32" t="s">
        <v>751</v>
      </c>
      <c r="K325" s="0" t="n">
        <v>79</v>
      </c>
      <c r="L325" s="32" t="s">
        <v>752</v>
      </c>
      <c r="M325" s="0" t="n">
        <v>11.3</v>
      </c>
      <c r="N325" s="32" t="s">
        <v>753</v>
      </c>
      <c r="O325" s="32" t="s">
        <v>1006</v>
      </c>
      <c r="P325" s="32" t="n">
        <f aca="false">IF(AND(ISNUMBER(K325),K325&gt;=0),K325,IF(ISNUMBER(M325),ROUND(M325*7,0),""))</f>
        <v>79</v>
      </c>
      <c r="Q325" s="0" t="str">
        <f aca="false">IF(ISTEXT(K325),"TEXT - recovered",IF(K325&lt;0,"NEGATIVE",IF(K325&gt;728,"&gt;104 WEEKS","OK")))</f>
        <v>OK</v>
      </c>
      <c r="R325" s="0" t="str">
        <f aca="false">IF(E325="GEN","GM",E325)</f>
        <v>GS</v>
      </c>
    </row>
    <row r="326" customFormat="false" ht="15" hidden="false" customHeight="false" outlineLevel="0" collapsed="false">
      <c r="A326" s="0" t="s">
        <v>1586</v>
      </c>
      <c r="B326" s="0" t="s">
        <v>1008</v>
      </c>
      <c r="C326" s="0" t="s">
        <v>1009</v>
      </c>
      <c r="D326" s="31" t="n">
        <v>32633</v>
      </c>
      <c r="E326" s="32" t="s">
        <v>785</v>
      </c>
      <c r="F326" s="32" t="s">
        <v>786</v>
      </c>
      <c r="G326" s="32" t="s">
        <v>787</v>
      </c>
      <c r="H326" s="31" t="n">
        <v>45707</v>
      </c>
      <c r="I326" s="32" t="s">
        <v>788</v>
      </c>
      <c r="J326" s="32" t="s">
        <v>751</v>
      </c>
      <c r="K326" s="0" t="n">
        <v>36</v>
      </c>
      <c r="L326" s="32" t="s">
        <v>752</v>
      </c>
      <c r="M326" s="0" t="n">
        <v>5.1</v>
      </c>
      <c r="N326" s="32" t="s">
        <v>753</v>
      </c>
      <c r="O326" s="32" t="s">
        <v>1010</v>
      </c>
      <c r="P326" s="32" t="n">
        <f aca="false">IF(AND(ISNUMBER(K326),K326&gt;=0),K326,IF(ISNUMBER(M326),ROUND(M326*7,0),""))</f>
        <v>36</v>
      </c>
      <c r="Q326" s="0" t="str">
        <f aca="false">IF(ISTEXT(K326),"TEXT - recovered",IF(K326&lt;0,"NEGATIVE",IF(K326&gt;728,"&gt;104 WEEKS","OK")))</f>
        <v>OK</v>
      </c>
      <c r="R326" s="0" t="str">
        <f aca="false">IF(E326="GEN","GM",E326)</f>
        <v>RS</v>
      </c>
    </row>
    <row r="327" customFormat="false" ht="15" hidden="false" customHeight="false" outlineLevel="0" collapsed="false">
      <c r="A327" s="0" t="s">
        <v>1587</v>
      </c>
      <c r="B327" s="0" t="s">
        <v>1012</v>
      </c>
      <c r="C327" s="0" t="s">
        <v>1013</v>
      </c>
      <c r="D327" s="31" t="n">
        <v>16094</v>
      </c>
      <c r="E327" s="32" t="s">
        <v>793</v>
      </c>
      <c r="F327" s="32" t="s">
        <v>794</v>
      </c>
      <c r="G327" s="32" t="s">
        <v>795</v>
      </c>
      <c r="H327" s="31" t="n">
        <v>45707</v>
      </c>
      <c r="I327" s="32" t="s">
        <v>796</v>
      </c>
      <c r="J327" s="32" t="s">
        <v>751</v>
      </c>
      <c r="K327" s="0" t="n">
        <v>19</v>
      </c>
      <c r="L327" s="32" t="s">
        <v>771</v>
      </c>
      <c r="M327" s="0" t="n">
        <v>2.7</v>
      </c>
      <c r="N327" s="32" t="s">
        <v>330</v>
      </c>
      <c r="O327" s="32" t="s">
        <v>1014</v>
      </c>
      <c r="P327" s="32" t="n">
        <f aca="false">IF(AND(ISNUMBER(K327),K327&gt;=0),K327,IF(ISNUMBER(M327),ROUND(M327*7,0),""))</f>
        <v>19</v>
      </c>
      <c r="Q327" s="0" t="str">
        <f aca="false">IF(ISTEXT(K327),"TEXT - recovered",IF(K327&lt;0,"NEGATIVE",IF(K327&gt;728,"&gt;104 WEEKS","OK")))</f>
        <v>OK</v>
      </c>
      <c r="R327" s="0" t="str">
        <f aca="false">IF(E327="GEN","GM",E327)</f>
        <v>EM</v>
      </c>
    </row>
    <row r="328" customFormat="false" ht="15" hidden="false" customHeight="false" outlineLevel="0" collapsed="false">
      <c r="A328" s="0" t="s">
        <v>1588</v>
      </c>
      <c r="B328" s="0" t="s">
        <v>1016</v>
      </c>
      <c r="C328" s="0" t="s">
        <v>1017</v>
      </c>
      <c r="D328" s="31" t="n">
        <v>28013</v>
      </c>
      <c r="E328" s="32" t="s">
        <v>802</v>
      </c>
      <c r="F328" s="32" t="s">
        <v>803</v>
      </c>
      <c r="G328" s="32" t="s">
        <v>804</v>
      </c>
      <c r="H328" s="31" t="n">
        <v>45707</v>
      </c>
      <c r="I328" s="32" t="s">
        <v>805</v>
      </c>
      <c r="J328" s="32" t="s">
        <v>751</v>
      </c>
      <c r="K328" s="0" t="n">
        <v>46</v>
      </c>
      <c r="L328" s="32" t="s">
        <v>752</v>
      </c>
      <c r="M328" s="0" t="n">
        <v>6.6</v>
      </c>
      <c r="N328" s="32" t="s">
        <v>753</v>
      </c>
      <c r="O328" s="32" t="s">
        <v>1018</v>
      </c>
      <c r="P328" s="32" t="n">
        <f aca="false">IF(AND(ISNUMBER(K328),K328&gt;=0),K328,IF(ISNUMBER(M328),ROUND(M328*7,0),""))</f>
        <v>46</v>
      </c>
      <c r="Q328" s="0" t="str">
        <f aca="false">IF(ISTEXT(K328),"TEXT - recovered",IF(K328&lt;0,"NEGATIVE",IF(K328&gt;728,"&gt;104 WEEKS","OK")))</f>
        <v>OK</v>
      </c>
      <c r="R328" s="0" t="str">
        <f aca="false">IF(E328="GEN","GM",E328)</f>
        <v>GYN</v>
      </c>
    </row>
    <row r="329" customFormat="false" ht="15" hidden="false" customHeight="false" outlineLevel="0" collapsed="false">
      <c r="A329" s="0" t="s">
        <v>1589</v>
      </c>
      <c r="B329" s="0" t="s">
        <v>1020</v>
      </c>
      <c r="C329" s="0" t="s">
        <v>1021</v>
      </c>
      <c r="D329" s="31" t="n">
        <v>33783</v>
      </c>
      <c r="E329" s="32" t="s">
        <v>810</v>
      </c>
      <c r="F329" s="32" t="s">
        <v>811</v>
      </c>
      <c r="G329" s="32" t="s">
        <v>812</v>
      </c>
      <c r="H329" s="31" t="n">
        <v>45707</v>
      </c>
      <c r="I329" s="32" t="s">
        <v>813</v>
      </c>
      <c r="J329" s="32" t="s">
        <v>770</v>
      </c>
      <c r="K329" s="0" t="n">
        <v>213</v>
      </c>
      <c r="L329" s="32" t="s">
        <v>771</v>
      </c>
      <c r="M329" s="0" t="n">
        <v>30.4</v>
      </c>
      <c r="N329" s="32" t="s">
        <v>753</v>
      </c>
      <c r="O329" s="32" t="s">
        <v>1022</v>
      </c>
      <c r="P329" s="32" t="n">
        <f aca="false">IF(AND(ISNUMBER(K329),K329&gt;=0),K329,IF(ISNUMBER(M329),ROUND(M329*7,0),""))</f>
        <v>213</v>
      </c>
      <c r="Q329" s="0" t="str">
        <f aca="false">IF(ISTEXT(K329),"TEXT - recovered",IF(K329&lt;0,"NEGATIVE",IF(K329&gt;728,"&gt;104 WEEKS","OK")))</f>
        <v>OK</v>
      </c>
      <c r="R329" s="0" t="str">
        <f aca="false">IF(E329="GEN","GM",E329)</f>
        <v>URO</v>
      </c>
    </row>
    <row r="330" customFormat="false" ht="15" hidden="false" customHeight="false" outlineLevel="0" collapsed="false">
      <c r="A330" s="0" t="s">
        <v>1590</v>
      </c>
      <c r="B330" s="0" t="s">
        <v>1024</v>
      </c>
      <c r="C330" s="0" t="s">
        <v>1025</v>
      </c>
      <c r="D330" s="31" t="n">
        <v>21961</v>
      </c>
      <c r="E330" s="32" t="s">
        <v>818</v>
      </c>
      <c r="F330" s="32" t="s">
        <v>819</v>
      </c>
      <c r="G330" s="32" t="s">
        <v>820</v>
      </c>
      <c r="H330" s="31" t="n">
        <v>45707</v>
      </c>
      <c r="I330" s="32" t="s">
        <v>821</v>
      </c>
      <c r="J330" s="32" t="s">
        <v>751</v>
      </c>
      <c r="K330" s="0" t="n">
        <v>57</v>
      </c>
      <c r="L330" s="32" t="s">
        <v>752</v>
      </c>
      <c r="M330" s="0" t="n">
        <v>8.1</v>
      </c>
      <c r="N330" s="32" t="s">
        <v>753</v>
      </c>
      <c r="O330" s="32" t="s">
        <v>1026</v>
      </c>
      <c r="P330" s="32" t="n">
        <f aca="false">IF(AND(ISNUMBER(K330),K330&gt;=0),K330,IF(ISNUMBER(M330),ROUND(M330*7,0),""))</f>
        <v>57</v>
      </c>
      <c r="Q330" s="0" t="str">
        <f aca="false">IF(ISTEXT(K330),"TEXT - recovered",IF(K330&lt;0,"NEGATIVE",IF(K330&gt;728,"&gt;104 WEEKS","OK")))</f>
        <v>OK</v>
      </c>
      <c r="R330" s="0" t="str">
        <f aca="false">IF(E330="GEN","GM",E330)</f>
        <v>OPH</v>
      </c>
    </row>
    <row r="331" customFormat="false" ht="15" hidden="false" customHeight="false" outlineLevel="0" collapsed="false">
      <c r="A331" s="0" t="s">
        <v>1591</v>
      </c>
      <c r="B331" s="0" t="s">
        <v>1028</v>
      </c>
      <c r="C331" s="0" t="s">
        <v>1029</v>
      </c>
      <c r="D331" s="31" t="n">
        <v>27305</v>
      </c>
      <c r="E331" s="32" t="s">
        <v>826</v>
      </c>
      <c r="F331" s="32" t="s">
        <v>827</v>
      </c>
      <c r="G331" s="32" t="s">
        <v>828</v>
      </c>
      <c r="H331" s="31" t="n">
        <v>45707</v>
      </c>
      <c r="I331" s="32" t="s">
        <v>829</v>
      </c>
      <c r="J331" s="32" t="s">
        <v>751</v>
      </c>
      <c r="K331" s="0" t="n">
        <v>90</v>
      </c>
      <c r="L331" s="32" t="s">
        <v>752</v>
      </c>
      <c r="M331" s="0" t="n">
        <v>12.9</v>
      </c>
      <c r="N331" s="32" t="s">
        <v>753</v>
      </c>
      <c r="O331" s="32" t="s">
        <v>1030</v>
      </c>
      <c r="P331" s="32" t="n">
        <f aca="false">IF(AND(ISNUMBER(K331),K331&gt;=0),K331,IF(ISNUMBER(M331),ROUND(M331*7,0),""))</f>
        <v>90</v>
      </c>
      <c r="Q331" s="0" t="str">
        <f aca="false">IF(ISTEXT(K331),"TEXT - recovered",IF(K331&lt;0,"NEGATIVE",IF(K331&gt;728,"&gt;104 WEEKS","OK")))</f>
        <v>OK</v>
      </c>
      <c r="R331" s="0" t="str">
        <f aca="false">IF(E331="GEN","GM",E331)</f>
        <v>RHE</v>
      </c>
    </row>
    <row r="332" customFormat="false" ht="15" hidden="false" customHeight="false" outlineLevel="0" collapsed="false">
      <c r="A332" s="0" t="s">
        <v>1592</v>
      </c>
      <c r="B332" s="0" t="s">
        <v>1032</v>
      </c>
      <c r="C332" s="0" t="s">
        <v>1033</v>
      </c>
      <c r="D332" s="31" t="n">
        <v>18800</v>
      </c>
      <c r="E332" s="32" t="s">
        <v>747</v>
      </c>
      <c r="F332" s="32" t="s">
        <v>748</v>
      </c>
      <c r="G332" s="32" t="s">
        <v>749</v>
      </c>
      <c r="H332" s="31" t="n">
        <v>45708</v>
      </c>
      <c r="I332" s="32" t="s">
        <v>750</v>
      </c>
      <c r="J332" s="32" t="s">
        <v>770</v>
      </c>
      <c r="K332" s="0" t="n">
        <v>246</v>
      </c>
      <c r="L332" s="32" t="s">
        <v>771</v>
      </c>
      <c r="M332" s="0" t="n">
        <v>35.1</v>
      </c>
      <c r="N332" s="32" t="s">
        <v>753</v>
      </c>
      <c r="O332" s="32" t="s">
        <v>1034</v>
      </c>
      <c r="P332" s="32" t="n">
        <f aca="false">IF(AND(ISNUMBER(K332),K332&gt;=0),K332,IF(ISNUMBER(M332),ROUND(M332*7,0),""))</f>
        <v>246</v>
      </c>
      <c r="Q332" s="0" t="str">
        <f aca="false">IF(ISTEXT(K332),"TEXT - recovered",IF(K332&lt;0,"NEGATIVE",IF(K332&gt;728,"&gt;104 WEEKS","OK")))</f>
        <v>OK</v>
      </c>
      <c r="R332" s="0" t="str">
        <f aca="false">IF(E332="GEN","GM",E332)</f>
        <v>GM</v>
      </c>
    </row>
    <row r="333" customFormat="false" ht="15" hidden="false" customHeight="false" outlineLevel="0" collapsed="false">
      <c r="A333" s="0" t="s">
        <v>1593</v>
      </c>
      <c r="B333" s="0" t="s">
        <v>1036</v>
      </c>
      <c r="C333" s="0" t="s">
        <v>1037</v>
      </c>
      <c r="D333" s="31" t="n">
        <v>31086</v>
      </c>
      <c r="E333" s="32" t="s">
        <v>758</v>
      </c>
      <c r="F333" s="32" t="s">
        <v>759</v>
      </c>
      <c r="G333" s="32" t="s">
        <v>760</v>
      </c>
      <c r="H333" s="31" t="n">
        <v>45708</v>
      </c>
      <c r="I333" s="32" t="s">
        <v>761</v>
      </c>
      <c r="J333" s="32" t="s">
        <v>751</v>
      </c>
      <c r="K333" s="0" t="n">
        <v>35</v>
      </c>
      <c r="L333" s="32" t="s">
        <v>752</v>
      </c>
      <c r="M333" s="0" t="n">
        <v>5</v>
      </c>
      <c r="N333" s="32" t="s">
        <v>780</v>
      </c>
      <c r="O333" s="32" t="s">
        <v>1038</v>
      </c>
      <c r="P333" s="32" t="n">
        <f aca="false">IF(AND(ISNUMBER(K333),K333&gt;=0),K333,IF(ISNUMBER(M333),ROUND(M333*7,0),""))</f>
        <v>35</v>
      </c>
      <c r="Q333" s="0" t="str">
        <f aca="false">IF(ISTEXT(K333),"TEXT - recovered",IF(K333&lt;0,"NEGATIVE",IF(K333&gt;728,"&gt;104 WEEKS","OK")))</f>
        <v>OK</v>
      </c>
      <c r="R333" s="0" t="str">
        <f aca="false">IF(E333="GEN","GM",E333)</f>
        <v>CS</v>
      </c>
    </row>
    <row r="334" customFormat="false" ht="15" hidden="false" customHeight="false" outlineLevel="0" collapsed="false">
      <c r="A334" s="0" t="s">
        <v>1594</v>
      </c>
      <c r="B334" s="0" t="s">
        <v>1040</v>
      </c>
      <c r="C334" s="0" t="s">
        <v>1041</v>
      </c>
      <c r="D334" s="31" t="n">
        <v>25502</v>
      </c>
      <c r="E334" s="32" t="s">
        <v>766</v>
      </c>
      <c r="F334" s="32" t="s">
        <v>767</v>
      </c>
      <c r="G334" s="32" t="s">
        <v>768</v>
      </c>
      <c r="H334" s="31" t="n">
        <v>45708</v>
      </c>
      <c r="I334" s="32" t="s">
        <v>769</v>
      </c>
      <c r="J334" s="32" t="s">
        <v>751</v>
      </c>
      <c r="K334" s="0" t="n">
        <v>113</v>
      </c>
      <c r="L334" s="32" t="s">
        <v>752</v>
      </c>
      <c r="M334" s="0" t="n">
        <v>16.1</v>
      </c>
      <c r="N334" s="32" t="s">
        <v>753</v>
      </c>
      <c r="O334" s="32" t="s">
        <v>1042</v>
      </c>
      <c r="P334" s="32" t="n">
        <f aca="false">IF(AND(ISNUMBER(K334),K334&gt;=0),K334,IF(ISNUMBER(M334),ROUND(M334*7,0),""))</f>
        <v>113</v>
      </c>
      <c r="Q334" s="0" t="str">
        <f aca="false">IF(ISTEXT(K334),"TEXT - recovered",IF(K334&lt;0,"NEGATIVE",IF(K334&gt;728,"&gt;104 WEEKS","OK")))</f>
        <v>OK</v>
      </c>
      <c r="R334" s="0" t="str">
        <f aca="false">IF(E334="GEN","GM",E334)</f>
        <v>OR</v>
      </c>
    </row>
    <row r="335" customFormat="false" ht="15" hidden="false" customHeight="false" outlineLevel="0" collapsed="false">
      <c r="A335" s="0" t="s">
        <v>1595</v>
      </c>
      <c r="B335" s="0" t="s">
        <v>1044</v>
      </c>
      <c r="C335" s="0" t="s">
        <v>1045</v>
      </c>
      <c r="D335" s="31" t="n">
        <v>21379</v>
      </c>
      <c r="E335" s="32" t="s">
        <v>776</v>
      </c>
      <c r="F335" s="32" t="s">
        <v>777</v>
      </c>
      <c r="G335" s="32" t="s">
        <v>778</v>
      </c>
      <c r="H335" s="31" t="n">
        <v>45708</v>
      </c>
      <c r="I335" s="32" t="s">
        <v>779</v>
      </c>
      <c r="J335" s="32" t="s">
        <v>751</v>
      </c>
      <c r="K335" s="0" t="n">
        <v>46</v>
      </c>
      <c r="L335" s="32" t="s">
        <v>752</v>
      </c>
      <c r="M335" s="0" t="n">
        <v>6.6</v>
      </c>
      <c r="N335" s="32" t="s">
        <v>753</v>
      </c>
      <c r="O335" s="32" t="s">
        <v>1046</v>
      </c>
      <c r="P335" s="32" t="n">
        <f aca="false">IF(AND(ISNUMBER(K335),K335&gt;=0),K335,IF(ISNUMBER(M335),ROUND(M335*7,0),""))</f>
        <v>46</v>
      </c>
      <c r="Q335" s="0" t="str">
        <f aca="false">IF(ISTEXT(K335),"TEXT - recovered",IF(K335&lt;0,"NEGATIVE",IF(K335&gt;728,"&gt;104 WEEKS","OK")))</f>
        <v>OK</v>
      </c>
      <c r="R335" s="0" t="str">
        <f aca="false">IF(E335="GEN","GM",E335)</f>
        <v>GS</v>
      </c>
    </row>
    <row r="336" customFormat="false" ht="15" hidden="false" customHeight="false" outlineLevel="0" collapsed="false">
      <c r="A336" s="0" t="s">
        <v>1596</v>
      </c>
      <c r="B336" s="0" t="s">
        <v>1048</v>
      </c>
      <c r="C336" s="0" t="s">
        <v>1049</v>
      </c>
      <c r="D336" s="31" t="n">
        <v>29676</v>
      </c>
      <c r="E336" s="32" t="s">
        <v>785</v>
      </c>
      <c r="F336" s="32" t="s">
        <v>786</v>
      </c>
      <c r="G336" s="32" t="s">
        <v>787</v>
      </c>
      <c r="H336" s="31" t="n">
        <v>45708</v>
      </c>
      <c r="I336" s="32" t="s">
        <v>788</v>
      </c>
      <c r="J336" s="32" t="s">
        <v>751</v>
      </c>
      <c r="K336" s="0" t="n">
        <v>57</v>
      </c>
      <c r="L336" s="32" t="s">
        <v>752</v>
      </c>
      <c r="M336" s="0" t="n">
        <v>8.1</v>
      </c>
      <c r="N336" s="32" t="s">
        <v>753</v>
      </c>
      <c r="O336" s="32" t="s">
        <v>1050</v>
      </c>
      <c r="P336" s="32" t="n">
        <f aca="false">IF(AND(ISNUMBER(K336),K336&gt;=0),K336,IF(ISNUMBER(M336),ROUND(M336*7,0),""))</f>
        <v>57</v>
      </c>
      <c r="Q336" s="0" t="str">
        <f aca="false">IF(ISTEXT(K336),"TEXT - recovered",IF(K336&lt;0,"NEGATIVE",IF(K336&gt;728,"&gt;104 WEEKS","OK")))</f>
        <v>OK</v>
      </c>
      <c r="R336" s="0" t="str">
        <f aca="false">IF(E336="GEN","GM",E336)</f>
        <v>RS</v>
      </c>
    </row>
    <row r="337" customFormat="false" ht="15" hidden="false" customHeight="false" outlineLevel="0" collapsed="false">
      <c r="A337" s="0" t="s">
        <v>1597</v>
      </c>
      <c r="B337" s="0" t="s">
        <v>1052</v>
      </c>
      <c r="C337" s="0" t="s">
        <v>1053</v>
      </c>
      <c r="D337" s="31" t="n">
        <v>17154</v>
      </c>
      <c r="E337" s="32" t="s">
        <v>793</v>
      </c>
      <c r="F337" s="32" t="s">
        <v>794</v>
      </c>
      <c r="G337" s="32" t="s">
        <v>795</v>
      </c>
      <c r="H337" s="31" t="n">
        <v>45708</v>
      </c>
      <c r="I337" s="32" t="s">
        <v>796</v>
      </c>
      <c r="J337" s="32" t="s">
        <v>797</v>
      </c>
      <c r="K337" s="0" t="n">
        <v>15</v>
      </c>
      <c r="L337" s="32" t="s">
        <v>771</v>
      </c>
      <c r="M337" s="0" t="n">
        <v>2.1</v>
      </c>
      <c r="N337" s="32" t="s">
        <v>330</v>
      </c>
      <c r="O337" s="32" t="s">
        <v>1054</v>
      </c>
      <c r="P337" s="32" t="n">
        <f aca="false">IF(AND(ISNUMBER(K337),K337&gt;=0),K337,IF(ISNUMBER(M337),ROUND(M337*7,0),""))</f>
        <v>15</v>
      </c>
      <c r="Q337" s="0" t="str">
        <f aca="false">IF(ISTEXT(K337),"TEXT - recovered",IF(K337&lt;0,"NEGATIVE",IF(K337&gt;728,"&gt;104 WEEKS","OK")))</f>
        <v>OK</v>
      </c>
      <c r="R337" s="0" t="str">
        <f aca="false">IF(E337="GEN","GM",E337)</f>
        <v>EM</v>
      </c>
    </row>
    <row r="338" customFormat="false" ht="15" hidden="false" customHeight="false" outlineLevel="0" collapsed="false">
      <c r="A338" s="0" t="s">
        <v>1598</v>
      </c>
      <c r="B338" s="0" t="s">
        <v>1056</v>
      </c>
      <c r="C338" s="0" t="s">
        <v>1057</v>
      </c>
      <c r="D338" s="31" t="n">
        <v>28343</v>
      </c>
      <c r="E338" s="32" t="s">
        <v>802</v>
      </c>
      <c r="F338" s="32" t="s">
        <v>803</v>
      </c>
      <c r="G338" s="32" t="s">
        <v>804</v>
      </c>
      <c r="H338" s="31" t="n">
        <v>45708</v>
      </c>
      <c r="I338" s="32" t="s">
        <v>805</v>
      </c>
      <c r="J338" s="32" t="s">
        <v>751</v>
      </c>
      <c r="K338" s="0" t="n">
        <v>68</v>
      </c>
      <c r="L338" s="32" t="s">
        <v>752</v>
      </c>
      <c r="M338" s="0" t="n">
        <v>9.7</v>
      </c>
      <c r="N338" s="32" t="s">
        <v>753</v>
      </c>
      <c r="O338" s="32" t="s">
        <v>1058</v>
      </c>
      <c r="P338" s="32" t="n">
        <f aca="false">IF(AND(ISNUMBER(K338),K338&gt;=0),K338,IF(ISNUMBER(M338),ROUND(M338*7,0),""))</f>
        <v>68</v>
      </c>
      <c r="Q338" s="0" t="str">
        <f aca="false">IF(ISTEXT(K338),"TEXT - recovered",IF(K338&lt;0,"NEGATIVE",IF(K338&gt;728,"&gt;104 WEEKS","OK")))</f>
        <v>OK</v>
      </c>
      <c r="R338" s="0" t="str">
        <f aca="false">IF(E338="GEN","GM",E338)</f>
        <v>GYN</v>
      </c>
    </row>
    <row r="339" customFormat="false" ht="15" hidden="false" customHeight="false" outlineLevel="0" collapsed="false">
      <c r="A339" s="0" t="s">
        <v>1599</v>
      </c>
      <c r="B339" s="0" t="s">
        <v>1060</v>
      </c>
      <c r="C339" s="0" t="s">
        <v>1061</v>
      </c>
      <c r="D339" s="31" t="n">
        <v>34083</v>
      </c>
      <c r="E339" s="32" t="s">
        <v>810</v>
      </c>
      <c r="F339" s="32" t="s">
        <v>811</v>
      </c>
      <c r="G339" s="32" t="s">
        <v>812</v>
      </c>
      <c r="H339" s="31" t="n">
        <v>45708</v>
      </c>
      <c r="I339" s="32" t="s">
        <v>813</v>
      </c>
      <c r="J339" s="32" t="s">
        <v>751</v>
      </c>
      <c r="K339" s="0" t="n">
        <v>24</v>
      </c>
      <c r="L339" s="32" t="s">
        <v>752</v>
      </c>
      <c r="M339" s="0" t="n">
        <v>3.4</v>
      </c>
      <c r="N339" s="32" t="s">
        <v>753</v>
      </c>
      <c r="O339" s="32" t="s">
        <v>1062</v>
      </c>
      <c r="P339" s="32" t="n">
        <f aca="false">IF(AND(ISNUMBER(K339),K339&gt;=0),K339,IF(ISNUMBER(M339),ROUND(M339*7,0),""))</f>
        <v>24</v>
      </c>
      <c r="Q339" s="0" t="str">
        <f aca="false">IF(ISTEXT(K339),"TEXT - recovered",IF(K339&lt;0,"NEGATIVE",IF(K339&gt;728,"&gt;104 WEEKS","OK")))</f>
        <v>OK</v>
      </c>
      <c r="R339" s="0" t="str">
        <f aca="false">IF(E339="GEN","GM",E339)</f>
        <v>URO</v>
      </c>
    </row>
    <row r="340" customFormat="false" ht="15" hidden="false" customHeight="false" outlineLevel="0" collapsed="false">
      <c r="A340" s="0" t="s">
        <v>1600</v>
      </c>
      <c r="B340" s="0" t="s">
        <v>1064</v>
      </c>
      <c r="C340" s="0" t="s">
        <v>1065</v>
      </c>
      <c r="D340" s="31" t="n">
        <v>20100</v>
      </c>
      <c r="E340" s="32" t="s">
        <v>818</v>
      </c>
      <c r="F340" s="32" t="s">
        <v>819</v>
      </c>
      <c r="G340" s="32" t="s">
        <v>820</v>
      </c>
      <c r="H340" s="31" t="n">
        <v>45708</v>
      </c>
      <c r="I340" s="32" t="s">
        <v>821</v>
      </c>
      <c r="J340" s="32" t="s">
        <v>770</v>
      </c>
      <c r="K340" s="0" t="n">
        <v>157</v>
      </c>
      <c r="L340" s="32" t="s">
        <v>771</v>
      </c>
      <c r="M340" s="0" t="n">
        <v>22.4</v>
      </c>
      <c r="N340" s="32" t="s">
        <v>753</v>
      </c>
      <c r="O340" s="32" t="s">
        <v>1066</v>
      </c>
      <c r="P340" s="32" t="n">
        <f aca="false">IF(AND(ISNUMBER(K340),K340&gt;=0),K340,IF(ISNUMBER(M340),ROUND(M340*7,0),""))</f>
        <v>157</v>
      </c>
      <c r="Q340" s="0" t="str">
        <f aca="false">IF(ISTEXT(K340),"TEXT - recovered",IF(K340&lt;0,"NEGATIVE",IF(K340&gt;728,"&gt;104 WEEKS","OK")))</f>
        <v>OK</v>
      </c>
      <c r="R340" s="0" t="str">
        <f aca="false">IF(E340="GEN","GM",E340)</f>
        <v>OPH</v>
      </c>
    </row>
    <row r="341" customFormat="false" ht="15" hidden="false" customHeight="false" outlineLevel="0" collapsed="false">
      <c r="A341" s="0" t="s">
        <v>1601</v>
      </c>
      <c r="B341" s="0" t="s">
        <v>1068</v>
      </c>
      <c r="C341" s="0" t="s">
        <v>1069</v>
      </c>
      <c r="D341" s="31" t="n">
        <v>25840</v>
      </c>
      <c r="E341" s="32" t="s">
        <v>826</v>
      </c>
      <c r="F341" s="32" t="s">
        <v>827</v>
      </c>
      <c r="G341" s="32" t="s">
        <v>828</v>
      </c>
      <c r="H341" s="31" t="n">
        <v>45708</v>
      </c>
      <c r="I341" s="32" t="s">
        <v>829</v>
      </c>
      <c r="J341" s="32" t="s">
        <v>751</v>
      </c>
      <c r="K341" s="0" t="n">
        <v>46</v>
      </c>
      <c r="L341" s="32" t="s">
        <v>752</v>
      </c>
      <c r="M341" s="0" t="n">
        <v>6.6</v>
      </c>
      <c r="N341" s="32" t="s">
        <v>753</v>
      </c>
      <c r="O341" s="32" t="s">
        <v>1070</v>
      </c>
      <c r="P341" s="32" t="n">
        <f aca="false">IF(AND(ISNUMBER(K341),K341&gt;=0),K341,IF(ISNUMBER(M341),ROUND(M341*7,0),""))</f>
        <v>46</v>
      </c>
      <c r="Q341" s="0" t="str">
        <f aca="false">IF(ISTEXT(K341),"TEXT - recovered",IF(K341&lt;0,"NEGATIVE",IF(K341&gt;728,"&gt;104 WEEKS","OK")))</f>
        <v>OK</v>
      </c>
      <c r="R341" s="0" t="str">
        <f aca="false">IF(E341="GEN","GM",E341)</f>
        <v>RHE</v>
      </c>
    </row>
    <row r="342" customFormat="false" ht="15" hidden="false" customHeight="false" outlineLevel="0" collapsed="false">
      <c r="A342" s="0" t="s">
        <v>1602</v>
      </c>
      <c r="B342" s="0" t="s">
        <v>1072</v>
      </c>
      <c r="C342" s="0" t="s">
        <v>1073</v>
      </c>
      <c r="D342" s="31" t="n">
        <v>30819</v>
      </c>
      <c r="E342" s="32" t="s">
        <v>747</v>
      </c>
      <c r="F342" s="32" t="s">
        <v>748</v>
      </c>
      <c r="G342" s="32" t="s">
        <v>749</v>
      </c>
      <c r="H342" s="31" t="n">
        <v>45709</v>
      </c>
      <c r="I342" s="32" t="s">
        <v>750</v>
      </c>
      <c r="J342" s="32" t="s">
        <v>751</v>
      </c>
      <c r="K342" s="0" t="n">
        <v>79</v>
      </c>
      <c r="L342" s="32" t="s">
        <v>752</v>
      </c>
      <c r="M342" s="0" t="n">
        <v>11.3</v>
      </c>
      <c r="N342" s="32" t="s">
        <v>753</v>
      </c>
      <c r="O342" s="32" t="s">
        <v>1074</v>
      </c>
      <c r="P342" s="32" t="n">
        <f aca="false">IF(AND(ISNUMBER(K342),K342&gt;=0),K342,IF(ISNUMBER(M342),ROUND(M342*7,0),""))</f>
        <v>79</v>
      </c>
      <c r="Q342" s="0" t="str">
        <f aca="false">IF(ISTEXT(K342),"TEXT - recovered",IF(K342&lt;0,"NEGATIVE",IF(K342&gt;728,"&gt;104 WEEKS","OK")))</f>
        <v>OK</v>
      </c>
      <c r="R342" s="0" t="str">
        <f aca="false">IF(E342="GEN","GM",E342)</f>
        <v>GM</v>
      </c>
    </row>
    <row r="343" customFormat="false" ht="15" hidden="false" customHeight="false" outlineLevel="0" collapsed="false">
      <c r="A343" s="0" t="s">
        <v>1603</v>
      </c>
      <c r="B343" s="0" t="s">
        <v>1076</v>
      </c>
      <c r="C343" s="0" t="s">
        <v>1077</v>
      </c>
      <c r="D343" s="31" t="n">
        <v>22681</v>
      </c>
      <c r="E343" s="32" t="s">
        <v>758</v>
      </c>
      <c r="F343" s="32" t="s">
        <v>759</v>
      </c>
      <c r="G343" s="32" t="s">
        <v>760</v>
      </c>
      <c r="H343" s="31" t="n">
        <v>45709</v>
      </c>
      <c r="I343" s="32" t="s">
        <v>761</v>
      </c>
      <c r="J343" s="32" t="s">
        <v>751</v>
      </c>
      <c r="K343" s="0" t="n">
        <v>35</v>
      </c>
      <c r="L343" s="32" t="s">
        <v>752</v>
      </c>
      <c r="M343" s="0" t="n">
        <v>5</v>
      </c>
      <c r="N343" s="32" t="s">
        <v>780</v>
      </c>
      <c r="O343" s="32" t="s">
        <v>1078</v>
      </c>
      <c r="P343" s="32" t="n">
        <f aca="false">IF(AND(ISNUMBER(K343),K343&gt;=0),K343,IF(ISNUMBER(M343),ROUND(M343*7,0),""))</f>
        <v>35</v>
      </c>
      <c r="Q343" s="0" t="str">
        <f aca="false">IF(ISTEXT(K343),"TEXT - recovered",IF(K343&lt;0,"NEGATIVE",IF(K343&gt;728,"&gt;104 WEEKS","OK")))</f>
        <v>OK</v>
      </c>
      <c r="R343" s="0" t="str">
        <f aca="false">IF(E343="GEN","GM",E343)</f>
        <v>CS</v>
      </c>
    </row>
    <row r="344" customFormat="false" ht="15" hidden="false" customHeight="false" outlineLevel="0" collapsed="false">
      <c r="A344" s="0" t="s">
        <v>1604</v>
      </c>
      <c r="B344" s="0" t="s">
        <v>1080</v>
      </c>
      <c r="C344" s="0" t="s">
        <v>1081</v>
      </c>
      <c r="D344" s="31" t="n">
        <v>28785</v>
      </c>
      <c r="E344" s="32" t="s">
        <v>766</v>
      </c>
      <c r="F344" s="32" t="s">
        <v>767</v>
      </c>
      <c r="G344" s="32" t="s">
        <v>768</v>
      </c>
      <c r="H344" s="31" t="n">
        <v>45709</v>
      </c>
      <c r="I344" s="32" t="s">
        <v>769</v>
      </c>
      <c r="J344" s="32" t="s">
        <v>770</v>
      </c>
      <c r="K344" s="0" t="n">
        <v>290</v>
      </c>
      <c r="L344" s="32" t="s">
        <v>771</v>
      </c>
      <c r="M344" s="0" t="n">
        <v>41.4</v>
      </c>
      <c r="N344" s="32" t="s">
        <v>753</v>
      </c>
      <c r="O344" s="32" t="s">
        <v>1082</v>
      </c>
      <c r="P344" s="32" t="n">
        <f aca="false">IF(AND(ISNUMBER(K344),K344&gt;=0),K344,IF(ISNUMBER(M344),ROUND(M344*7,0),""))</f>
        <v>290</v>
      </c>
      <c r="Q344" s="0" t="str">
        <f aca="false">IF(ISTEXT(K344),"TEXT - recovered",IF(K344&lt;0,"NEGATIVE",IF(K344&gt;728,"&gt;104 WEEKS","OK")))</f>
        <v>OK</v>
      </c>
      <c r="R344" s="0" t="str">
        <f aca="false">IF(E344="GEN","GM",E344)</f>
        <v>OR</v>
      </c>
    </row>
    <row r="345" customFormat="false" ht="15" hidden="false" customHeight="false" outlineLevel="0" collapsed="false">
      <c r="A345" s="0" t="s">
        <v>1605</v>
      </c>
      <c r="B345" s="0" t="s">
        <v>1084</v>
      </c>
      <c r="C345" s="0" t="s">
        <v>1085</v>
      </c>
      <c r="D345" s="31" t="n">
        <v>18453</v>
      </c>
      <c r="E345" s="32" t="s">
        <v>776</v>
      </c>
      <c r="F345" s="32" t="s">
        <v>777</v>
      </c>
      <c r="G345" s="32" t="s">
        <v>778</v>
      </c>
      <c r="H345" s="31" t="n">
        <v>45709</v>
      </c>
      <c r="I345" s="32" t="s">
        <v>779</v>
      </c>
      <c r="J345" s="32" t="s">
        <v>751</v>
      </c>
      <c r="K345" s="0" t="n">
        <v>90</v>
      </c>
      <c r="L345" s="32" t="s">
        <v>752</v>
      </c>
      <c r="M345" s="0" t="n">
        <v>12.9</v>
      </c>
      <c r="N345" s="32" t="s">
        <v>753</v>
      </c>
      <c r="O345" s="32" t="s">
        <v>1086</v>
      </c>
      <c r="P345" s="32" t="n">
        <f aca="false">IF(AND(ISNUMBER(K345),K345&gt;=0),K345,IF(ISNUMBER(M345),ROUND(M345*7,0),""))</f>
        <v>90</v>
      </c>
      <c r="Q345" s="0" t="str">
        <f aca="false">IF(ISTEXT(K345),"TEXT - recovered",IF(K345&lt;0,"NEGATIVE",IF(K345&gt;728,"&gt;104 WEEKS","OK")))</f>
        <v>OK</v>
      </c>
      <c r="R345" s="0" t="str">
        <f aca="false">IF(E345="GEN","GM",E345)</f>
        <v>GS</v>
      </c>
    </row>
    <row r="346" customFormat="false" ht="15" hidden="false" customHeight="false" outlineLevel="0" collapsed="false">
      <c r="A346" s="0" t="s">
        <v>1606</v>
      </c>
      <c r="B346" s="0" t="s">
        <v>1088</v>
      </c>
      <c r="C346" s="0" t="s">
        <v>1089</v>
      </c>
      <c r="D346" s="31" t="n">
        <v>31863</v>
      </c>
      <c r="E346" s="32" t="s">
        <v>785</v>
      </c>
      <c r="F346" s="32" t="s">
        <v>786</v>
      </c>
      <c r="G346" s="32" t="s">
        <v>787</v>
      </c>
      <c r="H346" s="31" t="n">
        <v>45709</v>
      </c>
      <c r="I346" s="32" t="s">
        <v>788</v>
      </c>
      <c r="J346" s="32" t="s">
        <v>751</v>
      </c>
      <c r="K346" s="0" t="n">
        <v>46</v>
      </c>
      <c r="L346" s="32" t="s">
        <v>752</v>
      </c>
      <c r="M346" s="0" t="n">
        <v>6.6</v>
      </c>
      <c r="N346" s="32" t="s">
        <v>753</v>
      </c>
      <c r="O346" s="32" t="s">
        <v>1090</v>
      </c>
      <c r="P346" s="32" t="n">
        <f aca="false">IF(AND(ISNUMBER(K346),K346&gt;=0),K346,IF(ISNUMBER(M346),ROUND(M346*7,0),""))</f>
        <v>46</v>
      </c>
      <c r="Q346" s="0" t="str">
        <f aca="false">IF(ISTEXT(K346),"TEXT - recovered",IF(K346&lt;0,"NEGATIVE",IF(K346&gt;728,"&gt;104 WEEKS","OK")))</f>
        <v>OK</v>
      </c>
      <c r="R346" s="0" t="str">
        <f aca="false">IF(E346="GEN","GM",E346)</f>
        <v>RS</v>
      </c>
    </row>
    <row r="347" customFormat="false" ht="15" hidden="false" customHeight="false" outlineLevel="0" collapsed="false">
      <c r="A347" s="0" t="s">
        <v>1607</v>
      </c>
      <c r="B347" s="0" t="s">
        <v>1092</v>
      </c>
      <c r="C347" s="0" t="s">
        <v>1093</v>
      </c>
      <c r="D347" s="31" t="n">
        <v>23329</v>
      </c>
      <c r="E347" s="32" t="s">
        <v>793</v>
      </c>
      <c r="F347" s="32" t="s">
        <v>794</v>
      </c>
      <c r="G347" s="32" t="s">
        <v>795</v>
      </c>
      <c r="H347" s="31" t="n">
        <v>45709</v>
      </c>
      <c r="I347" s="32" t="s">
        <v>796</v>
      </c>
      <c r="J347" s="32" t="s">
        <v>751</v>
      </c>
      <c r="K347" s="0" t="n">
        <v>26</v>
      </c>
      <c r="L347" s="32" t="s">
        <v>771</v>
      </c>
      <c r="M347" s="0" t="n">
        <v>3.7</v>
      </c>
      <c r="N347" s="32" t="s">
        <v>330</v>
      </c>
      <c r="O347" s="32" t="s">
        <v>1094</v>
      </c>
      <c r="P347" s="32" t="n">
        <f aca="false">IF(AND(ISNUMBER(K347),K347&gt;=0),K347,IF(ISNUMBER(M347),ROUND(M347*7,0),""))</f>
        <v>26</v>
      </c>
      <c r="Q347" s="0" t="str">
        <f aca="false">IF(ISTEXT(K347),"TEXT - recovered",IF(K347&lt;0,"NEGATIVE",IF(K347&gt;728,"&gt;104 WEEKS","OK")))</f>
        <v>OK</v>
      </c>
      <c r="R347" s="0" t="str">
        <f aca="false">IF(E347="GEN","GM",E347)</f>
        <v>EM</v>
      </c>
    </row>
    <row r="348" customFormat="false" ht="15" hidden="false" customHeight="false" outlineLevel="0" collapsed="false">
      <c r="A348" s="0" t="s">
        <v>1608</v>
      </c>
      <c r="B348" s="0" t="s">
        <v>1096</v>
      </c>
      <c r="C348" s="0" t="s">
        <v>1097</v>
      </c>
      <c r="D348" s="31" t="n">
        <v>33452</v>
      </c>
      <c r="E348" s="32" t="s">
        <v>802</v>
      </c>
      <c r="F348" s="32" t="s">
        <v>803</v>
      </c>
      <c r="G348" s="32" t="s">
        <v>804</v>
      </c>
      <c r="H348" s="31" t="n">
        <v>45709</v>
      </c>
      <c r="I348" s="32" t="s">
        <v>805</v>
      </c>
      <c r="J348" s="32" t="s">
        <v>770</v>
      </c>
      <c r="K348" s="0" t="n">
        <v>168</v>
      </c>
      <c r="L348" s="32" t="s">
        <v>771</v>
      </c>
      <c r="M348" s="0" t="n">
        <v>24</v>
      </c>
      <c r="N348" s="32" t="s">
        <v>753</v>
      </c>
      <c r="O348" s="32" t="s">
        <v>1098</v>
      </c>
      <c r="P348" s="32" t="n">
        <f aca="false">IF(AND(ISNUMBER(K348),K348&gt;=0),K348,IF(ISNUMBER(M348),ROUND(M348*7,0),""))</f>
        <v>168</v>
      </c>
      <c r="Q348" s="0" t="str">
        <f aca="false">IF(ISTEXT(K348),"TEXT - recovered",IF(K348&lt;0,"NEGATIVE",IF(K348&gt;728,"&gt;104 WEEKS","OK")))</f>
        <v>OK</v>
      </c>
      <c r="R348" s="0" t="str">
        <f aca="false">IF(E348="GEN","GM",E348)</f>
        <v>GYN</v>
      </c>
    </row>
    <row r="349" customFormat="false" ht="15" hidden="false" customHeight="false" outlineLevel="0" collapsed="false">
      <c r="A349" s="0" t="s">
        <v>1609</v>
      </c>
      <c r="B349" s="0" t="s">
        <v>1100</v>
      </c>
      <c r="C349" s="0" t="s">
        <v>1101</v>
      </c>
      <c r="D349" s="31" t="n">
        <v>21660</v>
      </c>
      <c r="E349" s="32" t="s">
        <v>810</v>
      </c>
      <c r="F349" s="32" t="s">
        <v>811</v>
      </c>
      <c r="G349" s="32" t="s">
        <v>812</v>
      </c>
      <c r="H349" s="31" t="n">
        <v>45709</v>
      </c>
      <c r="I349" s="32" t="s">
        <v>813</v>
      </c>
      <c r="J349" s="32" t="s">
        <v>751</v>
      </c>
      <c r="K349" s="0" t="n">
        <v>57</v>
      </c>
      <c r="L349" s="32" t="s">
        <v>752</v>
      </c>
      <c r="M349" s="0" t="n">
        <v>8.1</v>
      </c>
      <c r="N349" s="32" t="s">
        <v>753</v>
      </c>
      <c r="O349" s="32" t="s">
        <v>1102</v>
      </c>
      <c r="P349" s="32" t="n">
        <f aca="false">IF(AND(ISNUMBER(K349),K349&gt;=0),K349,IF(ISNUMBER(M349),ROUND(M349*7,0),""))</f>
        <v>57</v>
      </c>
      <c r="Q349" s="0" t="str">
        <f aca="false">IF(ISTEXT(K349),"TEXT - recovered",IF(K349&lt;0,"NEGATIVE",IF(K349&gt;728,"&gt;104 WEEKS","OK")))</f>
        <v>OK</v>
      </c>
      <c r="R349" s="0" t="str">
        <f aca="false">IF(E349="GEN","GM",E349)</f>
        <v>URO</v>
      </c>
    </row>
    <row r="350" customFormat="false" ht="15" hidden="false" customHeight="false" outlineLevel="0" collapsed="false">
      <c r="A350" s="0" t="s">
        <v>1610</v>
      </c>
      <c r="B350" s="0" t="s">
        <v>1104</v>
      </c>
      <c r="C350" s="0" t="s">
        <v>1105</v>
      </c>
      <c r="D350" s="31" t="n">
        <v>27401</v>
      </c>
      <c r="E350" s="32" t="s">
        <v>818</v>
      </c>
      <c r="F350" s="32" t="s">
        <v>819</v>
      </c>
      <c r="G350" s="32" t="s">
        <v>820</v>
      </c>
      <c r="H350" s="31" t="n">
        <v>45709</v>
      </c>
      <c r="I350" s="32" t="s">
        <v>821</v>
      </c>
      <c r="J350" s="32" t="s">
        <v>751</v>
      </c>
      <c r="K350" s="0" t="n">
        <v>113</v>
      </c>
      <c r="L350" s="32" t="s">
        <v>752</v>
      </c>
      <c r="M350" s="0" t="n">
        <v>16.1</v>
      </c>
      <c r="N350" s="32" t="s">
        <v>753</v>
      </c>
      <c r="O350" s="32" t="s">
        <v>1106</v>
      </c>
      <c r="P350" s="32" t="n">
        <f aca="false">IF(AND(ISNUMBER(K350),K350&gt;=0),K350,IF(ISNUMBER(M350),ROUND(M350*7,0),""))</f>
        <v>113</v>
      </c>
      <c r="Q350" s="0" t="str">
        <f aca="false">IF(ISTEXT(K350),"TEXT - recovered",IF(K350&lt;0,"NEGATIVE",IF(K350&gt;728,"&gt;104 WEEKS","OK")))</f>
        <v>OK</v>
      </c>
      <c r="R350" s="0" t="str">
        <f aca="false">IF(E350="GEN","GM",E350)</f>
        <v>OPH</v>
      </c>
    </row>
    <row r="351" customFormat="false" ht="15" hidden="false" customHeight="false" outlineLevel="0" collapsed="false">
      <c r="A351" s="0" t="s">
        <v>1611</v>
      </c>
      <c r="B351" s="0" t="s">
        <v>1108</v>
      </c>
      <c r="C351" s="0" t="s">
        <v>1109</v>
      </c>
      <c r="D351" s="31" t="n">
        <v>17801</v>
      </c>
      <c r="E351" s="32" t="s">
        <v>826</v>
      </c>
      <c r="F351" s="32" t="s">
        <v>827</v>
      </c>
      <c r="G351" s="32" t="s">
        <v>828</v>
      </c>
      <c r="H351" s="31" t="n">
        <v>45709</v>
      </c>
      <c r="I351" s="32" t="s">
        <v>829</v>
      </c>
      <c r="J351" s="32" t="s">
        <v>751</v>
      </c>
      <c r="K351" s="0" t="n">
        <v>46</v>
      </c>
      <c r="L351" s="32" t="s">
        <v>752</v>
      </c>
      <c r="M351" s="0" t="n">
        <v>6.6</v>
      </c>
      <c r="N351" s="32" t="s">
        <v>753</v>
      </c>
      <c r="O351" s="32" t="s">
        <v>1110</v>
      </c>
      <c r="P351" s="32" t="n">
        <f aca="false">IF(AND(ISNUMBER(K351),K351&gt;=0),K351,IF(ISNUMBER(M351),ROUND(M351*7,0),""))</f>
        <v>46</v>
      </c>
      <c r="Q351" s="0" t="str">
        <f aca="false">IF(ISTEXT(K351),"TEXT - recovered",IF(K351&lt;0,"NEGATIVE",IF(K351&gt;728,"&gt;104 WEEKS","OK")))</f>
        <v>OK</v>
      </c>
      <c r="R351" s="0" t="str">
        <f aca="false">IF(E351="GEN","GM",E351)</f>
        <v>RHE</v>
      </c>
    </row>
    <row r="352" customFormat="false" ht="15" hidden="false" customHeight="false" outlineLevel="0" collapsed="false">
      <c r="A352" s="0" t="s">
        <v>1612</v>
      </c>
      <c r="B352" s="0" t="s">
        <v>1613</v>
      </c>
      <c r="C352" s="0" t="s">
        <v>1393</v>
      </c>
      <c r="D352" s="31" t="n">
        <v>22936</v>
      </c>
      <c r="E352" s="32" t="s">
        <v>793</v>
      </c>
      <c r="F352" s="32" t="s">
        <v>794</v>
      </c>
      <c r="G352" s="32" t="s">
        <v>795</v>
      </c>
      <c r="H352" s="31" t="n">
        <v>45733</v>
      </c>
      <c r="I352" s="32" t="s">
        <v>813</v>
      </c>
      <c r="J352" s="32" t="s">
        <v>797</v>
      </c>
      <c r="K352" s="0" t="n">
        <v>99</v>
      </c>
      <c r="L352" s="32" t="s">
        <v>771</v>
      </c>
      <c r="M352" s="0" t="n">
        <v>14.1</v>
      </c>
      <c r="N352" s="32" t="s">
        <v>753</v>
      </c>
      <c r="O352" s="32" t="s">
        <v>781</v>
      </c>
      <c r="P352" s="32" t="n">
        <f aca="false">IF(AND(ISNUMBER(K352),K352&gt;=0),K352,IF(ISNUMBER(M352),ROUND(M352*7,0),""))</f>
        <v>99</v>
      </c>
      <c r="Q352" s="0" t="str">
        <f aca="false">IF(ISTEXT(K352),"TEXT - recovered",IF(K352&lt;0,"NEGATIVE",IF(K352&gt;728,"&gt;104 WEEKS","OK")))</f>
        <v>OK</v>
      </c>
      <c r="R352" s="0" t="str">
        <f aca="false">IF(E352="GEN","GM",E352)</f>
        <v>EM</v>
      </c>
    </row>
    <row r="353" customFormat="false" ht="15" hidden="false" customHeight="false" outlineLevel="0" collapsed="false">
      <c r="A353" s="0" t="s">
        <v>1614</v>
      </c>
      <c r="B353" s="0" t="s">
        <v>1615</v>
      </c>
      <c r="C353" s="0" t="s">
        <v>977</v>
      </c>
      <c r="D353" s="31" t="n">
        <v>19520</v>
      </c>
      <c r="E353" s="32" t="s">
        <v>758</v>
      </c>
      <c r="F353" s="32" t="s">
        <v>759</v>
      </c>
      <c r="G353" s="32" t="s">
        <v>760</v>
      </c>
      <c r="H353" s="31" t="n">
        <v>45736</v>
      </c>
      <c r="I353" s="32" t="s">
        <v>821</v>
      </c>
      <c r="J353" s="32" t="s">
        <v>751</v>
      </c>
      <c r="K353" s="0" t="n">
        <v>90</v>
      </c>
      <c r="L353" s="32" t="s">
        <v>752</v>
      </c>
      <c r="M353" s="0" t="n">
        <v>12.9</v>
      </c>
      <c r="N353" s="32" t="s">
        <v>753</v>
      </c>
      <c r="O353" s="32" t="s">
        <v>781</v>
      </c>
      <c r="P353" s="32" t="n">
        <f aca="false">IF(AND(ISNUMBER(K353),K353&gt;=0),K353,IF(ISNUMBER(M353),ROUND(M353*7,0),""))</f>
        <v>90</v>
      </c>
      <c r="Q353" s="0" t="str">
        <f aca="false">IF(ISTEXT(K353),"TEXT - recovered",IF(K353&lt;0,"NEGATIVE",IF(K353&gt;728,"&gt;104 WEEKS","OK")))</f>
        <v>OK</v>
      </c>
      <c r="R353" s="0" t="str">
        <f aca="false">IF(E353="GEN","GM",E353)</f>
        <v>CS</v>
      </c>
    </row>
    <row r="354" customFormat="false" ht="15" hidden="false" customHeight="false" outlineLevel="0" collapsed="false">
      <c r="A354" s="0" t="s">
        <v>1616</v>
      </c>
      <c r="B354" s="0" t="s">
        <v>1617</v>
      </c>
      <c r="C354" s="0" t="s">
        <v>946</v>
      </c>
      <c r="D354" s="31" t="n">
        <v>23581</v>
      </c>
      <c r="E354" s="32" t="s">
        <v>758</v>
      </c>
      <c r="F354" s="32" t="s">
        <v>759</v>
      </c>
      <c r="G354" s="32" t="s">
        <v>760</v>
      </c>
      <c r="H354" s="31" t="n">
        <v>45719</v>
      </c>
      <c r="I354" s="32" t="s">
        <v>750</v>
      </c>
      <c r="J354" s="32" t="s">
        <v>751</v>
      </c>
      <c r="K354" s="0" t="n">
        <v>45</v>
      </c>
      <c r="L354" s="32" t="s">
        <v>752</v>
      </c>
      <c r="M354" s="0" t="n">
        <v>6.4</v>
      </c>
      <c r="N354" s="32" t="s">
        <v>753</v>
      </c>
      <c r="O354" s="32" t="s">
        <v>754</v>
      </c>
      <c r="P354" s="32" t="n">
        <f aca="false">IF(AND(ISNUMBER(K354),K354&gt;=0),K354,IF(ISNUMBER(M354),ROUND(M354*7,0),""))</f>
        <v>45</v>
      </c>
      <c r="Q354" s="0" t="str">
        <f aca="false">IF(ISTEXT(K354),"TEXT - recovered",IF(K354&lt;0,"NEGATIVE",IF(K354&gt;728,"&gt;104 WEEKS","OK")))</f>
        <v>OK</v>
      </c>
      <c r="R354" s="0" t="str">
        <f aca="false">IF(E354="GEN","GM",E354)</f>
        <v>CS</v>
      </c>
    </row>
    <row r="355" customFormat="false" ht="15" hidden="false" customHeight="false" outlineLevel="0" collapsed="false">
      <c r="A355" s="0" t="s">
        <v>1618</v>
      </c>
      <c r="B355" s="0" t="s">
        <v>1619</v>
      </c>
      <c r="C355" s="0" t="s">
        <v>817</v>
      </c>
      <c r="D355" s="31" t="n">
        <v>29900</v>
      </c>
      <c r="E355" s="32" t="s">
        <v>785</v>
      </c>
      <c r="F355" s="32" t="s">
        <v>786</v>
      </c>
      <c r="G355" s="32" t="s">
        <v>787</v>
      </c>
      <c r="H355" s="31" t="n">
        <v>45721</v>
      </c>
      <c r="I355" s="32" t="s">
        <v>769</v>
      </c>
      <c r="J355" s="32" t="s">
        <v>858</v>
      </c>
      <c r="K355" s="0" t="n">
        <v>18</v>
      </c>
      <c r="L355" s="32" t="s">
        <v>752</v>
      </c>
      <c r="M355" s="0" t="n">
        <v>2.6</v>
      </c>
      <c r="N355" s="32" t="s">
        <v>753</v>
      </c>
      <c r="O355" s="32" t="s">
        <v>871</v>
      </c>
      <c r="P355" s="32" t="n">
        <f aca="false">IF(AND(ISNUMBER(K355),K355&gt;=0),K355,IF(ISNUMBER(M355),ROUND(M355*7,0),""))</f>
        <v>18</v>
      </c>
      <c r="Q355" s="0" t="str">
        <f aca="false">IF(ISTEXT(K355),"TEXT - recovered",IF(K355&lt;0,"NEGATIVE",IF(K355&gt;728,"&gt;104 WEEKS","OK")))</f>
        <v>OK</v>
      </c>
      <c r="R355" s="0" t="str">
        <f aca="false">IF(E355="GEN","GM",E355)</f>
        <v>RS</v>
      </c>
    </row>
    <row r="356" customFormat="false" ht="15" hidden="false" customHeight="false" outlineLevel="0" collapsed="false">
      <c r="A356" s="0" t="s">
        <v>1620</v>
      </c>
      <c r="B356" s="0" t="s">
        <v>1621</v>
      </c>
      <c r="C356" s="0" t="s">
        <v>997</v>
      </c>
      <c r="D356" s="31" t="n">
        <v>18994</v>
      </c>
      <c r="E356" s="32" t="s">
        <v>785</v>
      </c>
      <c r="F356" s="32" t="s">
        <v>786</v>
      </c>
      <c r="G356" s="32" t="s">
        <v>787</v>
      </c>
      <c r="H356" s="31" t="n">
        <v>45729</v>
      </c>
      <c r="I356" s="32" t="s">
        <v>761</v>
      </c>
      <c r="J356" s="32" t="s">
        <v>751</v>
      </c>
      <c r="K356" s="0" t="n">
        <v>34</v>
      </c>
      <c r="L356" s="32" t="s">
        <v>752</v>
      </c>
      <c r="M356" s="0" t="n">
        <v>4.9</v>
      </c>
      <c r="N356" s="32" t="s">
        <v>753</v>
      </c>
      <c r="O356" s="32" t="s">
        <v>754</v>
      </c>
      <c r="P356" s="32" t="n">
        <f aca="false">IF(AND(ISNUMBER(K356),K356&gt;=0),K356,IF(ISNUMBER(M356),ROUND(M356*7,0),""))</f>
        <v>34</v>
      </c>
      <c r="Q356" s="0" t="str">
        <f aca="false">IF(ISTEXT(K356),"TEXT - recovered",IF(K356&lt;0,"NEGATIVE",IF(K356&gt;728,"&gt;104 WEEKS","OK")))</f>
        <v>OK</v>
      </c>
      <c r="R356" s="0" t="str">
        <f aca="false">IF(E356="GEN","GM",E356)</f>
        <v>RS</v>
      </c>
    </row>
    <row r="357" customFormat="false" ht="15" hidden="false" customHeight="false" outlineLevel="0" collapsed="false">
      <c r="A357" s="0" t="s">
        <v>1622</v>
      </c>
      <c r="B357" s="0" t="s">
        <v>1623</v>
      </c>
      <c r="C357" s="0" t="s">
        <v>958</v>
      </c>
      <c r="D357" s="31" t="n">
        <v>25360</v>
      </c>
      <c r="E357" s="32" t="s">
        <v>826</v>
      </c>
      <c r="F357" s="32" t="s">
        <v>827</v>
      </c>
      <c r="G357" s="32" t="s">
        <v>828</v>
      </c>
      <c r="H357" s="31" t="n">
        <v>45712</v>
      </c>
      <c r="I357" s="32" t="s">
        <v>779</v>
      </c>
      <c r="J357" s="32" t="s">
        <v>751</v>
      </c>
      <c r="K357" s="0" t="n">
        <v>66</v>
      </c>
      <c r="L357" s="32" t="s">
        <v>752</v>
      </c>
      <c r="M357" s="0" t="n">
        <v>9.4</v>
      </c>
      <c r="N357" s="32" t="s">
        <v>753</v>
      </c>
      <c r="O357" s="32" t="s">
        <v>834</v>
      </c>
      <c r="P357" s="32" t="n">
        <f aca="false">IF(AND(ISNUMBER(K357),K357&gt;=0),K357,IF(ISNUMBER(M357),ROUND(M357*7,0),""))</f>
        <v>66</v>
      </c>
      <c r="Q357" s="0" t="str">
        <f aca="false">IF(ISTEXT(K357),"TEXT - recovered",IF(K357&lt;0,"NEGATIVE",IF(K357&gt;728,"&gt;104 WEEKS","OK")))</f>
        <v>OK</v>
      </c>
      <c r="R357" s="0" t="str">
        <f aca="false">IF(E357="GEN","GM",E357)</f>
        <v>RHE</v>
      </c>
    </row>
    <row r="358" customFormat="false" ht="15" hidden="false" customHeight="false" outlineLevel="0" collapsed="false">
      <c r="A358" s="0" t="s">
        <v>1624</v>
      </c>
      <c r="B358" s="0" t="s">
        <v>1625</v>
      </c>
      <c r="C358" s="0" t="s">
        <v>1414</v>
      </c>
      <c r="D358" s="31" t="n">
        <v>22330</v>
      </c>
      <c r="E358" s="32" t="s">
        <v>818</v>
      </c>
      <c r="F358" s="32" t="s">
        <v>819</v>
      </c>
      <c r="G358" s="32" t="s">
        <v>820</v>
      </c>
      <c r="H358" s="31" t="n">
        <v>45716</v>
      </c>
      <c r="I358" s="32" t="s">
        <v>821</v>
      </c>
      <c r="J358" s="32" t="s">
        <v>751</v>
      </c>
      <c r="K358" s="0" t="n">
        <v>98</v>
      </c>
      <c r="L358" s="32" t="s">
        <v>752</v>
      </c>
      <c r="M358" s="0" t="n">
        <v>14</v>
      </c>
      <c r="N358" s="32" t="s">
        <v>330</v>
      </c>
      <c r="O358" s="32" t="s">
        <v>822</v>
      </c>
      <c r="P358" s="32" t="n">
        <f aca="false">IF(AND(ISNUMBER(K358),K358&gt;=0),K358,IF(ISNUMBER(M358),ROUND(M358*7,0),""))</f>
        <v>98</v>
      </c>
      <c r="Q358" s="0" t="str">
        <f aca="false">IF(ISTEXT(K358),"TEXT - recovered",IF(K358&lt;0,"NEGATIVE",IF(K358&gt;728,"&gt;104 WEEKS","OK")))</f>
        <v>OK</v>
      </c>
      <c r="R358" s="0" t="str">
        <f aca="false">IF(E358="GEN","GM",E358)</f>
        <v>OPH</v>
      </c>
    </row>
    <row r="359" customFormat="false" ht="15" hidden="false" customHeight="false" outlineLevel="0" collapsed="false">
      <c r="A359" s="0" t="s">
        <v>1626</v>
      </c>
      <c r="B359" s="0" t="s">
        <v>1627</v>
      </c>
      <c r="C359" s="0" t="s">
        <v>985</v>
      </c>
      <c r="D359" s="31" t="n">
        <v>24272</v>
      </c>
      <c r="E359" s="32" t="s">
        <v>793</v>
      </c>
      <c r="F359" s="32" t="s">
        <v>794</v>
      </c>
      <c r="G359" s="32" t="s">
        <v>795</v>
      </c>
      <c r="H359" s="31" t="n">
        <v>45727</v>
      </c>
      <c r="I359" s="32" t="s">
        <v>788</v>
      </c>
      <c r="J359" s="32" t="s">
        <v>751</v>
      </c>
      <c r="K359" s="0" t="n">
        <v>64</v>
      </c>
      <c r="L359" s="32" t="s">
        <v>752</v>
      </c>
      <c r="M359" s="0" t="n">
        <v>9.1</v>
      </c>
      <c r="N359" s="32" t="s">
        <v>753</v>
      </c>
      <c r="O359" s="32" t="s">
        <v>883</v>
      </c>
      <c r="P359" s="32" t="n">
        <f aca="false">IF(AND(ISNUMBER(K359),K359&gt;=0),K359,IF(ISNUMBER(M359),ROUND(M359*7,0),""))</f>
        <v>64</v>
      </c>
      <c r="Q359" s="0" t="str">
        <f aca="false">IF(ISTEXT(K359),"TEXT - recovered",IF(K359&lt;0,"NEGATIVE",IF(K359&gt;728,"&gt;104 WEEKS","OK")))</f>
        <v>OK</v>
      </c>
      <c r="R359" s="0" t="str">
        <f aca="false">IF(E359="GEN","GM",E359)</f>
        <v>EM</v>
      </c>
    </row>
    <row r="360" customFormat="false" ht="15" hidden="false" customHeight="false" outlineLevel="0" collapsed="false">
      <c r="A360" s="0" t="s">
        <v>1628</v>
      </c>
      <c r="B360" s="0" t="s">
        <v>1629</v>
      </c>
      <c r="C360" s="0" t="s">
        <v>1390</v>
      </c>
      <c r="D360" s="31" t="n">
        <v>27946</v>
      </c>
      <c r="E360" s="32" t="s">
        <v>802</v>
      </c>
      <c r="F360" s="32" t="s">
        <v>803</v>
      </c>
      <c r="G360" s="32" t="s">
        <v>804</v>
      </c>
      <c r="H360" s="31" t="n">
        <v>45720</v>
      </c>
      <c r="I360" s="32" t="s">
        <v>796</v>
      </c>
      <c r="J360" s="32" t="s">
        <v>751</v>
      </c>
      <c r="K360" s="0" t="n">
        <v>17</v>
      </c>
      <c r="L360" s="32" t="s">
        <v>752</v>
      </c>
      <c r="M360" s="0" t="n">
        <v>2.4</v>
      </c>
      <c r="N360" s="32" t="s">
        <v>1630</v>
      </c>
      <c r="O360" s="32" t="s">
        <v>822</v>
      </c>
      <c r="P360" s="32" t="n">
        <f aca="false">IF(AND(ISNUMBER(K360),K360&gt;=0),K360,IF(ISNUMBER(M360),ROUND(M360*7,0),""))</f>
        <v>17</v>
      </c>
      <c r="Q360" s="0" t="str">
        <f aca="false">IF(ISTEXT(K360),"TEXT - recovered",IF(K360&lt;0,"NEGATIVE",IF(K360&gt;728,"&gt;104 WEEKS","OK")))</f>
        <v>OK</v>
      </c>
      <c r="R360" s="0" t="str">
        <f aca="false">IF(E360="GEN","GM",E360)</f>
        <v>GYN</v>
      </c>
    </row>
    <row r="361" customFormat="false" ht="15" hidden="false" customHeight="false" outlineLevel="0" collapsed="false">
      <c r="A361" s="0" t="s">
        <v>1631</v>
      </c>
      <c r="B361" s="0" t="s">
        <v>1632</v>
      </c>
      <c r="C361" s="0" t="s">
        <v>853</v>
      </c>
      <c r="D361" s="31" t="n">
        <v>27205</v>
      </c>
      <c r="E361" s="32" t="s">
        <v>818</v>
      </c>
      <c r="F361" s="32" t="s">
        <v>819</v>
      </c>
      <c r="G361" s="32" t="s">
        <v>820</v>
      </c>
      <c r="H361" s="31" t="n">
        <v>45736</v>
      </c>
      <c r="I361" s="32" t="s">
        <v>779</v>
      </c>
      <c r="J361" s="32" t="s">
        <v>751</v>
      </c>
      <c r="K361" s="0" t="n">
        <v>81</v>
      </c>
      <c r="L361" s="32" t="s">
        <v>752</v>
      </c>
      <c r="M361" s="0" t="n">
        <v>11.6</v>
      </c>
      <c r="N361" s="32" t="s">
        <v>753</v>
      </c>
      <c r="O361" s="32" t="s">
        <v>834</v>
      </c>
      <c r="P361" s="32" t="n">
        <f aca="false">IF(AND(ISNUMBER(K361),K361&gt;=0),K361,IF(ISNUMBER(M361),ROUND(M361*7,0),""))</f>
        <v>81</v>
      </c>
      <c r="Q361" s="0" t="str">
        <f aca="false">IF(ISTEXT(K361),"TEXT - recovered",IF(K361&lt;0,"NEGATIVE",IF(K361&gt;728,"&gt;104 WEEKS","OK")))</f>
        <v>OK</v>
      </c>
      <c r="R361" s="0" t="str">
        <f aca="false">IF(E361="GEN","GM",E361)</f>
        <v>OPH</v>
      </c>
    </row>
    <row r="362" customFormat="false" ht="15" hidden="false" customHeight="false" outlineLevel="0" collapsed="false">
      <c r="A362" s="0" t="s">
        <v>1633</v>
      </c>
      <c r="B362" s="0" t="s">
        <v>1634</v>
      </c>
      <c r="C362" s="0" t="s">
        <v>1453</v>
      </c>
      <c r="D362" s="31" t="n">
        <v>32422</v>
      </c>
      <c r="E362" s="32" t="s">
        <v>758</v>
      </c>
      <c r="F362" s="32" t="s">
        <v>759</v>
      </c>
      <c r="G362" s="32" t="s">
        <v>760</v>
      </c>
      <c r="H362" s="31" t="n">
        <v>45712</v>
      </c>
      <c r="I362" s="32" t="s">
        <v>750</v>
      </c>
      <c r="J362" s="32" t="s">
        <v>751</v>
      </c>
      <c r="K362" s="0" t="n">
        <v>94</v>
      </c>
      <c r="L362" s="32" t="s">
        <v>752</v>
      </c>
      <c r="M362" s="0" t="n">
        <v>13.4</v>
      </c>
      <c r="N362" s="32" t="s">
        <v>780</v>
      </c>
      <c r="O362" s="32" t="s">
        <v>846</v>
      </c>
      <c r="P362" s="32" t="n">
        <f aca="false">IF(AND(ISNUMBER(K362),K362&gt;=0),K362,IF(ISNUMBER(M362),ROUND(M362*7,0),""))</f>
        <v>94</v>
      </c>
      <c r="Q362" s="0" t="str">
        <f aca="false">IF(ISTEXT(K362),"TEXT - recovered",IF(K362&lt;0,"NEGATIVE",IF(K362&gt;728,"&gt;104 WEEKS","OK")))</f>
        <v>OK</v>
      </c>
      <c r="R362" s="0" t="str">
        <f aca="false">IF(E362="GEN","GM",E362)</f>
        <v>CS</v>
      </c>
    </row>
    <row r="363" customFormat="false" ht="15" hidden="false" customHeight="false" outlineLevel="0" collapsed="false">
      <c r="A363" s="0" t="s">
        <v>1635</v>
      </c>
      <c r="B363" s="0" t="s">
        <v>1636</v>
      </c>
      <c r="C363" s="0" t="s">
        <v>886</v>
      </c>
      <c r="D363" s="31" t="n">
        <v>18818</v>
      </c>
      <c r="E363" s="32" t="s">
        <v>810</v>
      </c>
      <c r="F363" s="32" t="s">
        <v>811</v>
      </c>
      <c r="G363" s="32" t="s">
        <v>812</v>
      </c>
      <c r="H363" s="31" t="n">
        <v>45734</v>
      </c>
      <c r="I363" s="32" t="s">
        <v>769</v>
      </c>
      <c r="J363" s="32" t="s">
        <v>751</v>
      </c>
      <c r="K363" s="32" t="s">
        <v>751</v>
      </c>
      <c r="L363" s="32" t="s">
        <v>752</v>
      </c>
      <c r="M363" s="0" t="n">
        <v>56.4</v>
      </c>
      <c r="N363" s="32" t="s">
        <v>780</v>
      </c>
      <c r="O363" s="32" t="s">
        <v>842</v>
      </c>
      <c r="P363" s="32" t="n">
        <f aca="false">IF(AND(ISNUMBER(K363),K363&gt;=0),K363,IF(ISNUMBER(M363),ROUND(M363*7,0),""))</f>
        <v>395</v>
      </c>
      <c r="Q363" s="0" t="str">
        <f aca="false">IF(ISTEXT(K363),"TEXT - recovered",IF(K363&lt;0,"NEGATIVE",IF(K363&gt;728,"&gt;104 WEEKS","OK")))</f>
        <v>TEXT - recovered</v>
      </c>
      <c r="R363" s="0" t="str">
        <f aca="false">IF(E363="GEN","GM",E363)</f>
        <v>URO</v>
      </c>
    </row>
    <row r="364" customFormat="false" ht="15" hidden="false" customHeight="false" outlineLevel="0" collapsed="false">
      <c r="A364" s="0" t="s">
        <v>1637</v>
      </c>
      <c r="B364" s="0" t="s">
        <v>1638</v>
      </c>
      <c r="C364" s="0" t="s">
        <v>1009</v>
      </c>
      <c r="D364" s="31" t="n">
        <v>21035</v>
      </c>
      <c r="E364" s="32" t="s">
        <v>747</v>
      </c>
      <c r="F364" s="32" t="s">
        <v>748</v>
      </c>
      <c r="G364" s="32" t="s">
        <v>749</v>
      </c>
      <c r="H364" s="31" t="n">
        <v>45723</v>
      </c>
      <c r="I364" s="32" t="s">
        <v>829</v>
      </c>
      <c r="J364" s="32" t="s">
        <v>751</v>
      </c>
      <c r="K364" s="0" t="n">
        <v>23</v>
      </c>
      <c r="L364" s="32" t="s">
        <v>752</v>
      </c>
      <c r="M364" s="0" t="n">
        <v>3.3</v>
      </c>
      <c r="N364" s="32" t="s">
        <v>330</v>
      </c>
      <c r="O364" s="32" t="s">
        <v>863</v>
      </c>
      <c r="P364" s="32" t="n">
        <f aca="false">IF(AND(ISNUMBER(K364),K364&gt;=0),K364,IF(ISNUMBER(M364),ROUND(M364*7,0),""))</f>
        <v>23</v>
      </c>
      <c r="Q364" s="0" t="str">
        <f aca="false">IF(ISTEXT(K364),"TEXT - recovered",IF(K364&lt;0,"NEGATIVE",IF(K364&gt;728,"&gt;104 WEEKS","OK")))</f>
        <v>OK</v>
      </c>
      <c r="R364" s="0" t="str">
        <f aca="false">IF(E364="GEN","GM",E364)</f>
        <v>GM</v>
      </c>
    </row>
    <row r="365" customFormat="false" ht="15" hidden="false" customHeight="false" outlineLevel="0" collapsed="false">
      <c r="A365" s="0" t="s">
        <v>1639</v>
      </c>
      <c r="B365" s="0" t="s">
        <v>1640</v>
      </c>
      <c r="C365" s="0" t="s">
        <v>1029</v>
      </c>
      <c r="D365" s="31" t="n">
        <v>35898</v>
      </c>
      <c r="E365" s="32" t="s">
        <v>826</v>
      </c>
      <c r="F365" s="32" t="s">
        <v>827</v>
      </c>
      <c r="G365" s="32" t="s">
        <v>828</v>
      </c>
      <c r="H365" s="31" t="n">
        <v>45726</v>
      </c>
      <c r="I365" s="32" t="s">
        <v>750</v>
      </c>
      <c r="J365" s="32" t="s">
        <v>751</v>
      </c>
      <c r="K365" s="0" t="n">
        <v>116</v>
      </c>
      <c r="L365" s="32" t="s">
        <v>752</v>
      </c>
      <c r="M365" s="0" t="n">
        <v>16.6</v>
      </c>
      <c r="N365" s="32" t="s">
        <v>753</v>
      </c>
      <c r="O365" s="32" t="s">
        <v>863</v>
      </c>
      <c r="P365" s="32" t="n">
        <f aca="false">IF(AND(ISNUMBER(K365),K365&gt;=0),K365,IF(ISNUMBER(M365),ROUND(M365*7,0),""))</f>
        <v>116</v>
      </c>
      <c r="Q365" s="0" t="str">
        <f aca="false">IF(ISTEXT(K365),"TEXT - recovered",IF(K365&lt;0,"NEGATIVE",IF(K365&gt;728,"&gt;104 WEEKS","OK")))</f>
        <v>OK</v>
      </c>
      <c r="R365" s="0" t="str">
        <f aca="false">IF(E365="GEN","GM",E365)</f>
        <v>RHE</v>
      </c>
    </row>
    <row r="366" customFormat="false" ht="15" hidden="false" customHeight="false" outlineLevel="0" collapsed="false">
      <c r="A366" s="0" t="s">
        <v>1641</v>
      </c>
      <c r="B366" s="0" t="s">
        <v>1642</v>
      </c>
      <c r="C366" s="0" t="s">
        <v>1029</v>
      </c>
      <c r="D366" s="31" t="n">
        <v>27067</v>
      </c>
      <c r="E366" s="32" t="s">
        <v>758</v>
      </c>
      <c r="F366" s="32" t="s">
        <v>759</v>
      </c>
      <c r="G366" s="32" t="s">
        <v>760</v>
      </c>
      <c r="H366" s="31" t="n">
        <v>45727</v>
      </c>
      <c r="I366" s="32" t="s">
        <v>821</v>
      </c>
      <c r="J366" s="32" t="s">
        <v>751</v>
      </c>
      <c r="K366" s="0" t="n">
        <v>58</v>
      </c>
      <c r="L366" s="32" t="s">
        <v>752</v>
      </c>
      <c r="M366" s="0" t="n">
        <v>8.3</v>
      </c>
      <c r="N366" s="32" t="s">
        <v>753</v>
      </c>
      <c r="O366" s="32" t="s">
        <v>814</v>
      </c>
      <c r="P366" s="32" t="n">
        <f aca="false">IF(AND(ISNUMBER(K366),K366&gt;=0),K366,IF(ISNUMBER(M366),ROUND(M366*7,0),""))</f>
        <v>58</v>
      </c>
      <c r="Q366" s="0" t="str">
        <f aca="false">IF(ISTEXT(K366),"TEXT - recovered",IF(K366&lt;0,"NEGATIVE",IF(K366&gt;728,"&gt;104 WEEKS","OK")))</f>
        <v>OK</v>
      </c>
      <c r="R366" s="0" t="str">
        <f aca="false">IF(E366="GEN","GM",E366)</f>
        <v>CS</v>
      </c>
    </row>
    <row r="367" customFormat="false" ht="15" hidden="false" customHeight="false" outlineLevel="0" collapsed="false">
      <c r="A367" s="0" t="s">
        <v>1643</v>
      </c>
      <c r="B367" s="0" t="s">
        <v>1644</v>
      </c>
      <c r="C367" s="0" t="s">
        <v>922</v>
      </c>
      <c r="D367" s="31" t="n">
        <v>26865</v>
      </c>
      <c r="E367" s="32" t="s">
        <v>793</v>
      </c>
      <c r="F367" s="32" t="s">
        <v>794</v>
      </c>
      <c r="G367" s="32" t="s">
        <v>795</v>
      </c>
      <c r="H367" s="31" t="n">
        <v>45719</v>
      </c>
      <c r="I367" s="32" t="s">
        <v>769</v>
      </c>
      <c r="J367" s="32" t="s">
        <v>751</v>
      </c>
      <c r="K367" s="0" t="n">
        <v>93</v>
      </c>
      <c r="L367" s="32" t="s">
        <v>752</v>
      </c>
      <c r="M367" s="0" t="n">
        <v>13.3</v>
      </c>
      <c r="N367" s="32" t="s">
        <v>753</v>
      </c>
      <c r="O367" s="32" t="s">
        <v>830</v>
      </c>
      <c r="P367" s="32" t="n">
        <f aca="false">IF(AND(ISNUMBER(K367),K367&gt;=0),K367,IF(ISNUMBER(M367),ROUND(M367*7,0),""))</f>
        <v>93</v>
      </c>
      <c r="Q367" s="0" t="str">
        <f aca="false">IF(ISTEXT(K367),"TEXT - recovered",IF(K367&lt;0,"NEGATIVE",IF(K367&gt;728,"&gt;104 WEEKS","OK")))</f>
        <v>OK</v>
      </c>
      <c r="R367" s="0" t="str">
        <f aca="false">IF(E367="GEN","GM",E367)</f>
        <v>EM</v>
      </c>
    </row>
    <row r="368" customFormat="false" ht="15" hidden="false" customHeight="false" outlineLevel="0" collapsed="false">
      <c r="A368" s="0" t="s">
        <v>1645</v>
      </c>
      <c r="B368" s="0" t="s">
        <v>1646</v>
      </c>
      <c r="C368" s="0" t="s">
        <v>874</v>
      </c>
      <c r="D368" s="31" t="n">
        <v>31934</v>
      </c>
      <c r="E368" s="32" t="s">
        <v>785</v>
      </c>
      <c r="F368" s="32" t="s">
        <v>786</v>
      </c>
      <c r="G368" s="32" t="s">
        <v>787</v>
      </c>
      <c r="H368" s="31" t="n">
        <v>45715</v>
      </c>
      <c r="I368" s="32" t="s">
        <v>779</v>
      </c>
      <c r="J368" s="32" t="s">
        <v>751</v>
      </c>
      <c r="K368" s="0" t="n">
        <v>15</v>
      </c>
      <c r="L368" s="32" t="s">
        <v>752</v>
      </c>
      <c r="M368" s="0" t="n">
        <v>2.1</v>
      </c>
      <c r="N368" s="32" t="s">
        <v>753</v>
      </c>
      <c r="O368" s="32" t="s">
        <v>883</v>
      </c>
      <c r="P368" s="32" t="n">
        <f aca="false">IF(AND(ISNUMBER(K368),K368&gt;=0),K368,IF(ISNUMBER(M368),ROUND(M368*7,0),""))</f>
        <v>15</v>
      </c>
      <c r="Q368" s="0" t="str">
        <f aca="false">IF(ISTEXT(K368),"TEXT - recovered",IF(K368&lt;0,"NEGATIVE",IF(K368&gt;728,"&gt;104 WEEKS","OK")))</f>
        <v>OK</v>
      </c>
      <c r="R368" s="0" t="str">
        <f aca="false">IF(E368="GEN","GM",E368)</f>
        <v>RS</v>
      </c>
    </row>
    <row r="369" customFormat="false" ht="15" hidden="false" customHeight="false" outlineLevel="0" collapsed="false">
      <c r="A369" s="0" t="s">
        <v>1647</v>
      </c>
      <c r="B369" s="0" t="s">
        <v>1648</v>
      </c>
      <c r="C369" s="0" t="s">
        <v>1009</v>
      </c>
      <c r="D369" s="31" t="n">
        <v>35951</v>
      </c>
      <c r="E369" s="32" t="s">
        <v>747</v>
      </c>
      <c r="F369" s="32" t="s">
        <v>748</v>
      </c>
      <c r="G369" s="32" t="s">
        <v>749</v>
      </c>
      <c r="H369" s="31" t="n">
        <v>45733</v>
      </c>
      <c r="I369" s="32" t="s">
        <v>761</v>
      </c>
      <c r="J369" s="32" t="s">
        <v>751</v>
      </c>
      <c r="K369" s="0" t="n">
        <v>97</v>
      </c>
      <c r="L369" s="32" t="s">
        <v>752</v>
      </c>
      <c r="M369" s="0" t="n">
        <v>13.9</v>
      </c>
      <c r="N369" s="32" t="s">
        <v>753</v>
      </c>
      <c r="O369" s="32" t="s">
        <v>846</v>
      </c>
      <c r="P369" s="32" t="n">
        <f aca="false">IF(AND(ISNUMBER(K369),K369&gt;=0),K369,IF(ISNUMBER(M369),ROUND(M369*7,0),""))</f>
        <v>97</v>
      </c>
      <c r="Q369" s="0" t="str">
        <f aca="false">IF(ISTEXT(K369),"TEXT - recovered",IF(K369&lt;0,"NEGATIVE",IF(K369&gt;728,"&gt;104 WEEKS","OK")))</f>
        <v>OK</v>
      </c>
      <c r="R369" s="0" t="str">
        <f aca="false">IF(E369="GEN","GM",E369)</f>
        <v>GM</v>
      </c>
    </row>
    <row r="370" customFormat="false" ht="15" hidden="false" customHeight="false" outlineLevel="0" collapsed="false">
      <c r="A370" s="0" t="s">
        <v>1649</v>
      </c>
      <c r="B370" s="0" t="s">
        <v>1650</v>
      </c>
      <c r="C370" s="0" t="s">
        <v>886</v>
      </c>
      <c r="D370" s="31" t="n">
        <v>25619</v>
      </c>
      <c r="E370" s="32" t="s">
        <v>785</v>
      </c>
      <c r="F370" s="32" t="s">
        <v>786</v>
      </c>
      <c r="G370" s="32" t="s">
        <v>787</v>
      </c>
      <c r="H370" s="31" t="n">
        <v>45734</v>
      </c>
      <c r="I370" s="32" t="s">
        <v>829</v>
      </c>
      <c r="J370" s="32" t="s">
        <v>751</v>
      </c>
      <c r="K370" s="32" t="s">
        <v>751</v>
      </c>
      <c r="L370" s="32" t="s">
        <v>752</v>
      </c>
      <c r="M370" s="0" t="n">
        <v>28</v>
      </c>
      <c r="N370" s="32" t="s">
        <v>753</v>
      </c>
      <c r="O370" s="32" t="s">
        <v>822</v>
      </c>
      <c r="P370" s="32" t="n">
        <f aca="false">IF(AND(ISNUMBER(K370),K370&gt;=0),K370,IF(ISNUMBER(M370),ROUND(M370*7,0),""))</f>
        <v>196</v>
      </c>
      <c r="Q370" s="0" t="str">
        <f aca="false">IF(ISTEXT(K370),"TEXT - recovered",IF(K370&lt;0,"NEGATIVE",IF(K370&gt;728,"&gt;104 WEEKS","OK")))</f>
        <v>TEXT - recovered</v>
      </c>
      <c r="R370" s="0" t="str">
        <f aca="false">IF(E370="GEN","GM",E370)</f>
        <v>RS</v>
      </c>
    </row>
    <row r="371" customFormat="false" ht="15" hidden="false" customHeight="false" outlineLevel="0" collapsed="false">
      <c r="A371" s="0" t="s">
        <v>1651</v>
      </c>
      <c r="B371" s="0" t="s">
        <v>1652</v>
      </c>
      <c r="C371" s="0" t="s">
        <v>1398</v>
      </c>
      <c r="D371" s="31" t="n">
        <v>16387</v>
      </c>
      <c r="E371" s="32" t="s">
        <v>818</v>
      </c>
      <c r="F371" s="32" t="s">
        <v>819</v>
      </c>
      <c r="G371" s="32" t="s">
        <v>820</v>
      </c>
      <c r="H371" s="31" t="n">
        <v>45722</v>
      </c>
      <c r="I371" s="32" t="s">
        <v>761</v>
      </c>
      <c r="J371" s="32" t="s">
        <v>751</v>
      </c>
      <c r="K371" s="0" t="n">
        <v>100</v>
      </c>
      <c r="L371" s="32" t="s">
        <v>752</v>
      </c>
      <c r="M371" s="0" t="n">
        <v>14.3</v>
      </c>
      <c r="N371" s="32" t="s">
        <v>780</v>
      </c>
      <c r="O371" s="32" t="s">
        <v>867</v>
      </c>
      <c r="P371" s="32" t="n">
        <f aca="false">IF(AND(ISNUMBER(K371),K371&gt;=0),K371,IF(ISNUMBER(M371),ROUND(M371*7,0),""))</f>
        <v>100</v>
      </c>
      <c r="Q371" s="0" t="str">
        <f aca="false">IF(ISTEXT(K371),"TEXT - recovered",IF(K371&lt;0,"NEGATIVE",IF(K371&gt;728,"&gt;104 WEEKS","OK")))</f>
        <v>OK</v>
      </c>
      <c r="R371" s="0" t="str">
        <f aca="false">IF(E371="GEN","GM",E371)</f>
        <v>OPH</v>
      </c>
    </row>
    <row r="372" customFormat="false" ht="15" hidden="false" customHeight="false" outlineLevel="0" collapsed="false">
      <c r="A372" s="0" t="s">
        <v>1653</v>
      </c>
      <c r="B372" s="0" t="s">
        <v>1654</v>
      </c>
      <c r="C372" s="0" t="s">
        <v>1402</v>
      </c>
      <c r="D372" s="31" t="n">
        <v>16935</v>
      </c>
      <c r="E372" s="32" t="s">
        <v>793</v>
      </c>
      <c r="F372" s="32" t="s">
        <v>794</v>
      </c>
      <c r="G372" s="32" t="s">
        <v>795</v>
      </c>
      <c r="H372" s="31" t="n">
        <v>45737</v>
      </c>
      <c r="I372" s="32" t="s">
        <v>805</v>
      </c>
      <c r="J372" s="32" t="s">
        <v>751</v>
      </c>
      <c r="K372" s="0" t="n">
        <v>37</v>
      </c>
      <c r="L372" s="32" t="s">
        <v>752</v>
      </c>
      <c r="M372" s="0" t="n">
        <v>5.3</v>
      </c>
      <c r="N372" s="32" t="s">
        <v>753</v>
      </c>
      <c r="O372" s="32" t="s">
        <v>838</v>
      </c>
      <c r="P372" s="32" t="n">
        <f aca="false">IF(AND(ISNUMBER(K372),K372&gt;=0),K372,IF(ISNUMBER(M372),ROUND(M372*7,0),""))</f>
        <v>37</v>
      </c>
      <c r="Q372" s="0" t="str">
        <f aca="false">IF(ISTEXT(K372),"TEXT - recovered",IF(K372&lt;0,"NEGATIVE",IF(K372&gt;728,"&gt;104 WEEKS","OK")))</f>
        <v>OK</v>
      </c>
      <c r="R372" s="0" t="str">
        <f aca="false">IF(E372="GEN","GM",E372)</f>
        <v>EM</v>
      </c>
    </row>
    <row r="373" customFormat="false" ht="15" hidden="false" customHeight="false" outlineLevel="0" collapsed="false">
      <c r="A373" s="0" t="s">
        <v>1655</v>
      </c>
      <c r="B373" s="0" t="s">
        <v>1656</v>
      </c>
      <c r="C373" s="0" t="s">
        <v>1013</v>
      </c>
      <c r="D373" s="31" t="n">
        <v>24359</v>
      </c>
      <c r="E373" s="32" t="s">
        <v>793</v>
      </c>
      <c r="F373" s="32" t="s">
        <v>794</v>
      </c>
      <c r="G373" s="32" t="s">
        <v>795</v>
      </c>
      <c r="H373" s="31" t="n">
        <v>45715</v>
      </c>
      <c r="I373" s="32" t="s">
        <v>788</v>
      </c>
      <c r="J373" s="32" t="s">
        <v>751</v>
      </c>
      <c r="K373" s="0" t="n">
        <v>38</v>
      </c>
      <c r="L373" s="32" t="s">
        <v>752</v>
      </c>
      <c r="M373" s="0" t="n">
        <v>5.4</v>
      </c>
      <c r="N373" s="32" t="s">
        <v>753</v>
      </c>
      <c r="O373" s="32" t="s">
        <v>789</v>
      </c>
      <c r="P373" s="32" t="n">
        <f aca="false">IF(AND(ISNUMBER(K373),K373&gt;=0),K373,IF(ISNUMBER(M373),ROUND(M373*7,0),""))</f>
        <v>38</v>
      </c>
      <c r="Q373" s="0" t="str">
        <f aca="false">IF(ISTEXT(K373),"TEXT - recovered",IF(K373&lt;0,"NEGATIVE",IF(K373&gt;728,"&gt;104 WEEKS","OK")))</f>
        <v>OK</v>
      </c>
      <c r="R373" s="0" t="str">
        <f aca="false">IF(E373="GEN","GM",E373)</f>
        <v>EM</v>
      </c>
    </row>
    <row r="374" customFormat="false" ht="15" hidden="false" customHeight="false" outlineLevel="0" collapsed="false">
      <c r="A374" s="0" t="s">
        <v>1657</v>
      </c>
      <c r="B374" s="0" t="s">
        <v>1658</v>
      </c>
      <c r="C374" s="0" t="s">
        <v>1460</v>
      </c>
      <c r="D374" s="31" t="n">
        <v>28748</v>
      </c>
      <c r="E374" s="32" t="s">
        <v>810</v>
      </c>
      <c r="F374" s="32" t="s">
        <v>811</v>
      </c>
      <c r="G374" s="32" t="s">
        <v>812</v>
      </c>
      <c r="H374" s="31" t="n">
        <v>45734</v>
      </c>
      <c r="I374" s="32" t="s">
        <v>829</v>
      </c>
      <c r="J374" s="32" t="s">
        <v>797</v>
      </c>
      <c r="K374" s="0" t="n">
        <v>84</v>
      </c>
      <c r="L374" s="32" t="s">
        <v>771</v>
      </c>
      <c r="M374" s="0" t="n">
        <v>12</v>
      </c>
      <c r="N374" s="32" t="s">
        <v>753</v>
      </c>
      <c r="O374" s="32" t="s">
        <v>859</v>
      </c>
      <c r="P374" s="32" t="n">
        <f aca="false">IF(AND(ISNUMBER(K374),K374&gt;=0),K374,IF(ISNUMBER(M374),ROUND(M374*7,0),""))</f>
        <v>84</v>
      </c>
      <c r="Q374" s="0" t="str">
        <f aca="false">IF(ISTEXT(K374),"TEXT - recovered",IF(K374&lt;0,"NEGATIVE",IF(K374&gt;728,"&gt;104 WEEKS","OK")))</f>
        <v>OK</v>
      </c>
      <c r="R374" s="0" t="str">
        <f aca="false">IF(E374="GEN","GM",E374)</f>
        <v>URO</v>
      </c>
    </row>
    <row r="375" customFormat="false" ht="15" hidden="false" customHeight="false" outlineLevel="0" collapsed="false">
      <c r="A375" s="0" t="s">
        <v>1659</v>
      </c>
      <c r="B375" s="0" t="s">
        <v>1660</v>
      </c>
      <c r="C375" s="0" t="s">
        <v>1013</v>
      </c>
      <c r="D375" s="31" t="n">
        <v>23956</v>
      </c>
      <c r="E375" s="32" t="s">
        <v>802</v>
      </c>
      <c r="F375" s="32" t="s">
        <v>803</v>
      </c>
      <c r="G375" s="32" t="s">
        <v>804</v>
      </c>
      <c r="H375" s="31" t="n">
        <v>45712</v>
      </c>
      <c r="I375" s="32" t="s">
        <v>805</v>
      </c>
      <c r="J375" s="32" t="s">
        <v>751</v>
      </c>
      <c r="K375" s="0" t="n">
        <v>116</v>
      </c>
      <c r="L375" s="32" t="s">
        <v>752</v>
      </c>
      <c r="M375" s="0" t="n">
        <v>16.6</v>
      </c>
      <c r="N375" s="32" t="s">
        <v>753</v>
      </c>
      <c r="O375" s="32" t="s">
        <v>781</v>
      </c>
      <c r="P375" s="32" t="n">
        <f aca="false">IF(AND(ISNUMBER(K375),K375&gt;=0),K375,IF(ISNUMBER(M375),ROUND(M375*7,0),""))</f>
        <v>116</v>
      </c>
      <c r="Q375" s="0" t="str">
        <f aca="false">IF(ISTEXT(K375),"TEXT - recovered",IF(K375&lt;0,"NEGATIVE",IF(K375&gt;728,"&gt;104 WEEKS","OK")))</f>
        <v>OK</v>
      </c>
      <c r="R375" s="0" t="str">
        <f aca="false">IF(E375="GEN","GM",E375)</f>
        <v>GYN</v>
      </c>
    </row>
    <row r="376" customFormat="false" ht="15" hidden="false" customHeight="false" outlineLevel="0" collapsed="false">
      <c r="A376" s="0" t="s">
        <v>1661</v>
      </c>
      <c r="B376" s="0" t="s">
        <v>1662</v>
      </c>
      <c r="C376" s="0" t="s">
        <v>874</v>
      </c>
      <c r="D376" s="31" t="n">
        <v>33649</v>
      </c>
      <c r="E376" s="32" t="s">
        <v>826</v>
      </c>
      <c r="F376" s="32" t="s">
        <v>827</v>
      </c>
      <c r="G376" s="32" t="s">
        <v>828</v>
      </c>
      <c r="H376" s="31" t="n">
        <v>45727</v>
      </c>
      <c r="I376" s="32" t="s">
        <v>750</v>
      </c>
      <c r="J376" s="32" t="s">
        <v>751</v>
      </c>
      <c r="K376" s="32" t="s">
        <v>751</v>
      </c>
      <c r="L376" s="32" t="s">
        <v>752</v>
      </c>
      <c r="M376" s="0" t="n">
        <v>38.9</v>
      </c>
      <c r="N376" s="32" t="s">
        <v>753</v>
      </c>
      <c r="O376" s="32" t="s">
        <v>883</v>
      </c>
      <c r="P376" s="32" t="n">
        <f aca="false">IF(AND(ISNUMBER(K376),K376&gt;=0),K376,IF(ISNUMBER(M376),ROUND(M376*7,0),""))</f>
        <v>272</v>
      </c>
      <c r="Q376" s="0" t="str">
        <f aca="false">IF(ISTEXT(K376),"TEXT - recovered",IF(K376&lt;0,"NEGATIVE",IF(K376&gt;728,"&gt;104 WEEKS","OK")))</f>
        <v>TEXT - recovered</v>
      </c>
      <c r="R376" s="0" t="str">
        <f aca="false">IF(E376="GEN","GM",E376)</f>
        <v>RHE</v>
      </c>
    </row>
    <row r="377" customFormat="false" ht="15" hidden="false" customHeight="false" outlineLevel="0" collapsed="false">
      <c r="A377" s="0" t="s">
        <v>1663</v>
      </c>
      <c r="B377" s="0" t="s">
        <v>1664</v>
      </c>
      <c r="C377" s="0" t="s">
        <v>985</v>
      </c>
      <c r="D377" s="31" t="n">
        <v>14623</v>
      </c>
      <c r="E377" s="32" t="s">
        <v>785</v>
      </c>
      <c r="F377" s="32" t="s">
        <v>786</v>
      </c>
      <c r="G377" s="32" t="s">
        <v>787</v>
      </c>
      <c r="H377" s="31" t="n">
        <v>45730</v>
      </c>
      <c r="I377" s="32" t="s">
        <v>821</v>
      </c>
      <c r="J377" s="32" t="s">
        <v>751</v>
      </c>
      <c r="K377" s="0" t="n">
        <v>85</v>
      </c>
      <c r="L377" s="32" t="s">
        <v>752</v>
      </c>
      <c r="M377" s="0" t="n">
        <v>12.1</v>
      </c>
      <c r="N377" s="32" t="s">
        <v>753</v>
      </c>
      <c r="O377" s="32" t="s">
        <v>830</v>
      </c>
      <c r="P377" s="32" t="n">
        <f aca="false">IF(AND(ISNUMBER(K377),K377&gt;=0),K377,IF(ISNUMBER(M377),ROUND(M377*7,0),""))</f>
        <v>85</v>
      </c>
      <c r="Q377" s="0" t="str">
        <f aca="false">IF(ISTEXT(K377),"TEXT - recovered",IF(K377&lt;0,"NEGATIVE",IF(K377&gt;728,"&gt;104 WEEKS","OK")))</f>
        <v>OK</v>
      </c>
      <c r="R377" s="0" t="str">
        <f aca="false">IF(E377="GEN","GM",E377)</f>
        <v>RS</v>
      </c>
    </row>
    <row r="378" customFormat="false" ht="15" hidden="false" customHeight="false" outlineLevel="0" collapsed="false">
      <c r="A378" s="0" t="s">
        <v>1665</v>
      </c>
      <c r="B378" s="0" t="s">
        <v>1666</v>
      </c>
      <c r="C378" s="0" t="s">
        <v>775</v>
      </c>
      <c r="D378" s="31" t="n">
        <v>36810</v>
      </c>
      <c r="E378" s="32" t="s">
        <v>793</v>
      </c>
      <c r="F378" s="32" t="s">
        <v>794</v>
      </c>
      <c r="G378" s="32" t="s">
        <v>795</v>
      </c>
      <c r="H378" s="31" t="n">
        <v>45715</v>
      </c>
      <c r="I378" s="32" t="s">
        <v>821</v>
      </c>
      <c r="J378" s="32" t="s">
        <v>751</v>
      </c>
      <c r="K378" s="0" t="n">
        <v>35</v>
      </c>
      <c r="L378" s="32" t="s">
        <v>752</v>
      </c>
      <c r="M378" s="0" t="n">
        <v>5</v>
      </c>
      <c r="N378" s="32" t="s">
        <v>753</v>
      </c>
      <c r="O378" s="32" t="s">
        <v>859</v>
      </c>
      <c r="P378" s="32" t="n">
        <f aca="false">IF(AND(ISNUMBER(K378),K378&gt;=0),K378,IF(ISNUMBER(M378),ROUND(M378*7,0),""))</f>
        <v>35</v>
      </c>
      <c r="Q378" s="0" t="str">
        <f aca="false">IF(ISTEXT(K378),"TEXT - recovered",IF(K378&lt;0,"NEGATIVE",IF(K378&gt;728,"&gt;104 WEEKS","OK")))</f>
        <v>OK</v>
      </c>
      <c r="R378" s="0" t="str">
        <f aca="false">IF(E378="GEN","GM",E378)</f>
        <v>EM</v>
      </c>
    </row>
    <row r="379" customFormat="false" ht="15" hidden="false" customHeight="false" outlineLevel="0" collapsed="false">
      <c r="A379" s="0" t="s">
        <v>1667</v>
      </c>
      <c r="B379" s="0" t="s">
        <v>1668</v>
      </c>
      <c r="C379" s="0" t="s">
        <v>1009</v>
      </c>
      <c r="D379" s="31" t="n">
        <v>18130</v>
      </c>
      <c r="E379" s="32" t="s">
        <v>793</v>
      </c>
      <c r="F379" s="32" t="s">
        <v>794</v>
      </c>
      <c r="G379" s="32" t="s">
        <v>795</v>
      </c>
      <c r="H379" s="31" t="n">
        <v>45719</v>
      </c>
      <c r="I379" s="32" t="s">
        <v>788</v>
      </c>
      <c r="J379" s="32" t="s">
        <v>751</v>
      </c>
      <c r="K379" s="0" t="n">
        <v>41</v>
      </c>
      <c r="L379" s="32" t="s">
        <v>752</v>
      </c>
      <c r="M379" s="0" t="n">
        <v>5.9</v>
      </c>
      <c r="N379" s="32" t="s">
        <v>330</v>
      </c>
      <c r="O379" s="32" t="s">
        <v>822</v>
      </c>
      <c r="P379" s="32" t="n">
        <f aca="false">IF(AND(ISNUMBER(K379),K379&gt;=0),K379,IF(ISNUMBER(M379),ROUND(M379*7,0),""))</f>
        <v>41</v>
      </c>
      <c r="Q379" s="0" t="str">
        <f aca="false">IF(ISTEXT(K379),"TEXT - recovered",IF(K379&lt;0,"NEGATIVE",IF(K379&gt;728,"&gt;104 WEEKS","OK")))</f>
        <v>OK</v>
      </c>
      <c r="R379" s="0" t="str">
        <f aca="false">IF(E379="GEN","GM",E379)</f>
        <v>EM</v>
      </c>
    </row>
    <row r="380" customFormat="false" ht="15" hidden="false" customHeight="false" outlineLevel="0" collapsed="false">
      <c r="A380" s="0" t="s">
        <v>1669</v>
      </c>
      <c r="B380" s="0" t="s">
        <v>1670</v>
      </c>
      <c r="C380" s="0" t="s">
        <v>1460</v>
      </c>
      <c r="D380" s="31" t="n">
        <v>26126</v>
      </c>
      <c r="E380" s="32" t="s">
        <v>810</v>
      </c>
      <c r="F380" s="32" t="s">
        <v>811</v>
      </c>
      <c r="G380" s="32" t="s">
        <v>812</v>
      </c>
      <c r="H380" s="31" t="n">
        <v>45719</v>
      </c>
      <c r="I380" s="32" t="s">
        <v>813</v>
      </c>
      <c r="J380" s="32" t="s">
        <v>797</v>
      </c>
      <c r="K380" s="0" t="n">
        <v>48</v>
      </c>
      <c r="L380" s="32" t="s">
        <v>771</v>
      </c>
      <c r="M380" s="0" t="n">
        <v>6.9</v>
      </c>
      <c r="N380" s="32" t="s">
        <v>753</v>
      </c>
      <c r="O380" s="32" t="s">
        <v>834</v>
      </c>
      <c r="P380" s="32" t="n">
        <f aca="false">IF(AND(ISNUMBER(K380),K380&gt;=0),K380,IF(ISNUMBER(M380),ROUND(M380*7,0),""))</f>
        <v>48</v>
      </c>
      <c r="Q380" s="0" t="str">
        <f aca="false">IF(ISTEXT(K380),"TEXT - recovered",IF(K380&lt;0,"NEGATIVE",IF(K380&gt;728,"&gt;104 WEEKS","OK")))</f>
        <v>OK</v>
      </c>
      <c r="R380" s="0" t="str">
        <f aca="false">IF(E380="GEN","GM",E380)</f>
        <v>URO</v>
      </c>
    </row>
    <row r="381" customFormat="false" ht="15" hidden="false" customHeight="false" outlineLevel="0" collapsed="false">
      <c r="A381" s="0" t="s">
        <v>1671</v>
      </c>
      <c r="B381" s="0" t="s">
        <v>1672</v>
      </c>
      <c r="C381" s="0" t="s">
        <v>898</v>
      </c>
      <c r="D381" s="31" t="n">
        <v>33381</v>
      </c>
      <c r="E381" s="32" t="s">
        <v>826</v>
      </c>
      <c r="F381" s="32" t="s">
        <v>827</v>
      </c>
      <c r="G381" s="32" t="s">
        <v>828</v>
      </c>
      <c r="H381" s="31" t="n">
        <v>45715</v>
      </c>
      <c r="I381" s="32" t="s">
        <v>788</v>
      </c>
      <c r="J381" s="32" t="s">
        <v>751</v>
      </c>
      <c r="K381" s="0" t="n">
        <v>64</v>
      </c>
      <c r="L381" s="32" t="s">
        <v>752</v>
      </c>
      <c r="M381" s="0" t="n">
        <v>9.1</v>
      </c>
      <c r="N381" s="32" t="s">
        <v>753</v>
      </c>
      <c r="O381" s="32" t="s">
        <v>883</v>
      </c>
      <c r="P381" s="32" t="n">
        <f aca="false">IF(AND(ISNUMBER(K381),K381&gt;=0),K381,IF(ISNUMBER(M381),ROUND(M381*7,0),""))</f>
        <v>64</v>
      </c>
      <c r="Q381" s="0" t="str">
        <f aca="false">IF(ISTEXT(K381),"TEXT - recovered",IF(K381&lt;0,"NEGATIVE",IF(K381&gt;728,"&gt;104 WEEKS","OK")))</f>
        <v>OK</v>
      </c>
      <c r="R381" s="0" t="str">
        <f aca="false">IF(E381="GEN","GM",E381)</f>
        <v>RHE</v>
      </c>
    </row>
    <row r="382" customFormat="false" ht="15" hidden="false" customHeight="false" outlineLevel="0" collapsed="false">
      <c r="A382" s="0" t="s">
        <v>1673</v>
      </c>
      <c r="B382" s="0" t="s">
        <v>1674</v>
      </c>
      <c r="C382" s="0" t="s">
        <v>746</v>
      </c>
      <c r="D382" s="31" t="n">
        <v>29567</v>
      </c>
      <c r="E382" s="32" t="s">
        <v>802</v>
      </c>
      <c r="F382" s="32" t="s">
        <v>803</v>
      </c>
      <c r="G382" s="32" t="s">
        <v>804</v>
      </c>
      <c r="H382" s="31" t="n">
        <v>45715</v>
      </c>
      <c r="I382" s="32" t="s">
        <v>761</v>
      </c>
      <c r="J382" s="32" t="s">
        <v>751</v>
      </c>
      <c r="K382" s="0" t="n">
        <v>88</v>
      </c>
      <c r="L382" s="32" t="s">
        <v>752</v>
      </c>
      <c r="M382" s="0" t="n">
        <v>12.6</v>
      </c>
      <c r="N382" s="32" t="s">
        <v>753</v>
      </c>
      <c r="O382" s="32" t="s">
        <v>863</v>
      </c>
      <c r="P382" s="32" t="n">
        <f aca="false">IF(AND(ISNUMBER(K382),K382&gt;=0),K382,IF(ISNUMBER(M382),ROUND(M382*7,0),""))</f>
        <v>88</v>
      </c>
      <c r="Q382" s="0" t="str">
        <f aca="false">IF(ISTEXT(K382),"TEXT - recovered",IF(K382&lt;0,"NEGATIVE",IF(K382&gt;728,"&gt;104 WEEKS","OK")))</f>
        <v>OK</v>
      </c>
      <c r="R382" s="0" t="str">
        <f aca="false">IF(E382="GEN","GM",E382)</f>
        <v>GYN</v>
      </c>
    </row>
    <row r="383" customFormat="false" ht="15" hidden="false" customHeight="false" outlineLevel="0" collapsed="false">
      <c r="A383" s="0" t="s">
        <v>1675</v>
      </c>
      <c r="B383" s="0" t="s">
        <v>1676</v>
      </c>
      <c r="C383" s="0" t="s">
        <v>914</v>
      </c>
      <c r="D383" s="31" t="n">
        <v>35170</v>
      </c>
      <c r="E383" s="32" t="s">
        <v>776</v>
      </c>
      <c r="F383" s="32" t="s">
        <v>777</v>
      </c>
      <c r="G383" s="32" t="s">
        <v>778</v>
      </c>
      <c r="H383" s="31" t="n">
        <v>45719</v>
      </c>
      <c r="I383" s="32" t="s">
        <v>829</v>
      </c>
      <c r="J383" s="32" t="s">
        <v>751</v>
      </c>
      <c r="K383" s="0" t="n">
        <v>108</v>
      </c>
      <c r="L383" s="32" t="s">
        <v>752</v>
      </c>
      <c r="M383" s="0" t="n">
        <v>15.4</v>
      </c>
      <c r="N383" s="32" t="s">
        <v>1630</v>
      </c>
      <c r="O383" s="32" t="s">
        <v>846</v>
      </c>
      <c r="P383" s="32" t="n">
        <f aca="false">IF(AND(ISNUMBER(K383),K383&gt;=0),K383,IF(ISNUMBER(M383),ROUND(M383*7,0),""))</f>
        <v>108</v>
      </c>
      <c r="Q383" s="0" t="str">
        <f aca="false">IF(ISTEXT(K383),"TEXT - recovered",IF(K383&lt;0,"NEGATIVE",IF(K383&gt;728,"&gt;104 WEEKS","OK")))</f>
        <v>OK</v>
      </c>
      <c r="R383" s="0" t="str">
        <f aca="false">IF(E383="GEN","GM",E383)</f>
        <v>GS</v>
      </c>
    </row>
    <row r="384" customFormat="false" ht="15" hidden="false" customHeight="false" outlineLevel="0" collapsed="false">
      <c r="A384" s="0" t="s">
        <v>1677</v>
      </c>
      <c r="B384" s="0" t="s">
        <v>1678</v>
      </c>
      <c r="C384" s="0" t="s">
        <v>1005</v>
      </c>
      <c r="D384" s="31" t="n">
        <v>15874</v>
      </c>
      <c r="E384" s="32" t="s">
        <v>826</v>
      </c>
      <c r="F384" s="32" t="s">
        <v>827</v>
      </c>
      <c r="G384" s="32" t="s">
        <v>828</v>
      </c>
      <c r="H384" s="31" t="n">
        <v>45734</v>
      </c>
      <c r="I384" s="32" t="s">
        <v>769</v>
      </c>
      <c r="J384" s="32" t="s">
        <v>751</v>
      </c>
      <c r="K384" s="0" t="n">
        <v>27</v>
      </c>
      <c r="L384" s="32" t="s">
        <v>752</v>
      </c>
      <c r="M384" s="0" t="n">
        <v>3.9</v>
      </c>
      <c r="N384" s="32" t="s">
        <v>753</v>
      </c>
      <c r="O384" s="32" t="s">
        <v>798</v>
      </c>
      <c r="P384" s="32" t="n">
        <f aca="false">IF(AND(ISNUMBER(K384),K384&gt;=0),K384,IF(ISNUMBER(M384),ROUND(M384*7,0),""))</f>
        <v>27</v>
      </c>
      <c r="Q384" s="0" t="str">
        <f aca="false">IF(ISTEXT(K384),"TEXT - recovered",IF(K384&lt;0,"NEGATIVE",IF(K384&gt;728,"&gt;104 WEEKS","OK")))</f>
        <v>OK</v>
      </c>
      <c r="R384" s="0" t="str">
        <f aca="false">IF(E384="GEN","GM",E384)</f>
        <v>RHE</v>
      </c>
    </row>
    <row r="385" customFormat="false" ht="15" hidden="false" customHeight="false" outlineLevel="0" collapsed="false">
      <c r="A385" s="0" t="s">
        <v>1679</v>
      </c>
      <c r="B385" s="0" t="s">
        <v>1680</v>
      </c>
      <c r="C385" s="0" t="s">
        <v>1009</v>
      </c>
      <c r="D385" s="31" t="n">
        <v>16565</v>
      </c>
      <c r="E385" s="32" t="s">
        <v>747</v>
      </c>
      <c r="F385" s="32" t="s">
        <v>748</v>
      </c>
      <c r="G385" s="32" t="s">
        <v>749</v>
      </c>
      <c r="H385" s="31" t="n">
        <v>45734</v>
      </c>
      <c r="I385" s="32" t="s">
        <v>788</v>
      </c>
      <c r="J385" s="32" t="s">
        <v>751</v>
      </c>
      <c r="K385" s="0" t="n">
        <v>22</v>
      </c>
      <c r="L385" s="32" t="s">
        <v>752</v>
      </c>
      <c r="M385" s="0" t="n">
        <v>3.1</v>
      </c>
      <c r="N385" s="32" t="s">
        <v>753</v>
      </c>
      <c r="O385" s="32" t="s">
        <v>859</v>
      </c>
      <c r="P385" s="32" t="n">
        <f aca="false">IF(AND(ISNUMBER(K385),K385&gt;=0),K385,IF(ISNUMBER(M385),ROUND(M385*7,0),""))</f>
        <v>22</v>
      </c>
      <c r="Q385" s="0" t="str">
        <f aca="false">IF(ISTEXT(K385),"TEXT - recovered",IF(K385&lt;0,"NEGATIVE",IF(K385&gt;728,"&gt;104 WEEKS","OK")))</f>
        <v>OK</v>
      </c>
      <c r="R385" s="0" t="str">
        <f aca="false">IF(E385="GEN","GM",E385)</f>
        <v>GM</v>
      </c>
    </row>
    <row r="386" customFormat="false" ht="15" hidden="false" customHeight="false" outlineLevel="0" collapsed="false">
      <c r="A386" s="0" t="s">
        <v>1681</v>
      </c>
      <c r="B386" s="0" t="s">
        <v>1682</v>
      </c>
      <c r="C386" s="0" t="s">
        <v>874</v>
      </c>
      <c r="D386" s="31" t="n">
        <v>16180</v>
      </c>
      <c r="E386" s="32" t="s">
        <v>747</v>
      </c>
      <c r="F386" s="32" t="s">
        <v>748</v>
      </c>
      <c r="G386" s="32" t="s">
        <v>749</v>
      </c>
      <c r="H386" s="31" t="n">
        <v>45736</v>
      </c>
      <c r="I386" s="32" t="s">
        <v>796</v>
      </c>
      <c r="J386" s="32" t="s">
        <v>751</v>
      </c>
      <c r="K386" s="0" t="n">
        <v>105</v>
      </c>
      <c r="L386" s="32" t="s">
        <v>752</v>
      </c>
      <c r="M386" s="0" t="n">
        <v>15</v>
      </c>
      <c r="N386" s="32" t="s">
        <v>753</v>
      </c>
      <c r="O386" s="32" t="s">
        <v>1683</v>
      </c>
      <c r="P386" s="32" t="n">
        <f aca="false">IF(AND(ISNUMBER(K386),K386&gt;=0),K386,IF(ISNUMBER(M386),ROUND(M386*7,0),""))</f>
        <v>105</v>
      </c>
      <c r="Q386" s="0" t="str">
        <f aca="false">IF(ISTEXT(K386),"TEXT - recovered",IF(K386&lt;0,"NEGATIVE",IF(K386&gt;728,"&gt;104 WEEKS","OK")))</f>
        <v>OK</v>
      </c>
      <c r="R386" s="0" t="str">
        <f aca="false">IF(E386="GEN","GM",E386)</f>
        <v>GM</v>
      </c>
    </row>
    <row r="387" customFormat="false" ht="15" hidden="false" customHeight="false" outlineLevel="0" collapsed="false">
      <c r="A387" s="0" t="s">
        <v>1684</v>
      </c>
      <c r="B387" s="0" t="s">
        <v>1685</v>
      </c>
      <c r="C387" s="0" t="s">
        <v>997</v>
      </c>
      <c r="D387" s="31" t="n">
        <v>24066</v>
      </c>
      <c r="E387" s="32" t="s">
        <v>810</v>
      </c>
      <c r="F387" s="32" t="s">
        <v>811</v>
      </c>
      <c r="G387" s="32" t="s">
        <v>812</v>
      </c>
      <c r="H387" s="31" t="n">
        <v>45715</v>
      </c>
      <c r="I387" s="32" t="s">
        <v>769</v>
      </c>
      <c r="J387" s="32" t="s">
        <v>797</v>
      </c>
      <c r="K387" s="0" t="n">
        <v>69</v>
      </c>
      <c r="L387" s="32" t="s">
        <v>771</v>
      </c>
      <c r="M387" s="0" t="n">
        <v>9.9</v>
      </c>
      <c r="N387" s="32" t="s">
        <v>753</v>
      </c>
      <c r="O387" s="32" t="s">
        <v>798</v>
      </c>
      <c r="P387" s="32" t="n">
        <f aca="false">IF(AND(ISNUMBER(K387),K387&gt;=0),K387,IF(ISNUMBER(M387),ROUND(M387*7,0),""))</f>
        <v>69</v>
      </c>
      <c r="Q387" s="0" t="str">
        <f aca="false">IF(ISTEXT(K387),"TEXT - recovered",IF(K387&lt;0,"NEGATIVE",IF(K387&gt;728,"&gt;104 WEEKS","OK")))</f>
        <v>OK</v>
      </c>
      <c r="R387" s="0" t="str">
        <f aca="false">IF(E387="GEN","GM",E387)</f>
        <v>URO</v>
      </c>
    </row>
    <row r="388" customFormat="false" ht="15" hidden="false" customHeight="false" outlineLevel="0" collapsed="false">
      <c r="A388" s="0" t="s">
        <v>1686</v>
      </c>
      <c r="B388" s="0" t="s">
        <v>1687</v>
      </c>
      <c r="C388" s="0" t="s">
        <v>833</v>
      </c>
      <c r="D388" s="31" t="n">
        <v>16561</v>
      </c>
      <c r="E388" s="32" t="s">
        <v>747</v>
      </c>
      <c r="F388" s="32" t="s">
        <v>748</v>
      </c>
      <c r="G388" s="32" t="s">
        <v>749</v>
      </c>
      <c r="H388" s="31" t="n">
        <v>45713</v>
      </c>
      <c r="I388" s="32" t="s">
        <v>761</v>
      </c>
      <c r="J388" s="32" t="s">
        <v>751</v>
      </c>
      <c r="K388" s="0" t="n">
        <v>117</v>
      </c>
      <c r="L388" s="32" t="s">
        <v>752</v>
      </c>
      <c r="M388" s="0" t="n">
        <v>16.7</v>
      </c>
      <c r="N388" s="32" t="s">
        <v>753</v>
      </c>
      <c r="O388" s="32" t="s">
        <v>846</v>
      </c>
      <c r="P388" s="32" t="n">
        <f aca="false">IF(AND(ISNUMBER(K388),K388&gt;=0),K388,IF(ISNUMBER(M388),ROUND(M388*7,0),""))</f>
        <v>117</v>
      </c>
      <c r="Q388" s="0" t="str">
        <f aca="false">IF(ISTEXT(K388),"TEXT - recovered",IF(K388&lt;0,"NEGATIVE",IF(K388&gt;728,"&gt;104 WEEKS","OK")))</f>
        <v>OK</v>
      </c>
      <c r="R388" s="0" t="str">
        <f aca="false">IF(E388="GEN","GM",E388)</f>
        <v>GM</v>
      </c>
    </row>
    <row r="389" customFormat="false" ht="15" hidden="false" customHeight="false" outlineLevel="0" collapsed="false">
      <c r="A389" s="0" t="s">
        <v>1688</v>
      </c>
      <c r="B389" s="0" t="s">
        <v>1689</v>
      </c>
      <c r="C389" s="0" t="s">
        <v>894</v>
      </c>
      <c r="D389" s="31" t="n">
        <v>33099</v>
      </c>
      <c r="E389" s="32" t="s">
        <v>747</v>
      </c>
      <c r="F389" s="32" t="s">
        <v>748</v>
      </c>
      <c r="G389" s="32" t="s">
        <v>749</v>
      </c>
      <c r="H389" s="31" t="n">
        <v>45720</v>
      </c>
      <c r="I389" s="32" t="s">
        <v>829</v>
      </c>
      <c r="J389" s="32" t="s">
        <v>751</v>
      </c>
      <c r="K389" s="0" t="n">
        <v>89</v>
      </c>
      <c r="L389" s="32" t="s">
        <v>752</v>
      </c>
      <c r="M389" s="0" t="n">
        <v>12.7</v>
      </c>
      <c r="N389" s="32" t="s">
        <v>753</v>
      </c>
      <c r="O389" s="32" t="s">
        <v>798</v>
      </c>
      <c r="P389" s="32" t="n">
        <f aca="false">IF(AND(ISNUMBER(K389),K389&gt;=0),K389,IF(ISNUMBER(M389),ROUND(M389*7,0),""))</f>
        <v>89</v>
      </c>
      <c r="Q389" s="0" t="str">
        <f aca="false">IF(ISTEXT(K389),"TEXT - recovered",IF(K389&lt;0,"NEGATIVE",IF(K389&gt;728,"&gt;104 WEEKS","OK")))</f>
        <v>OK</v>
      </c>
      <c r="R389" s="0" t="str">
        <f aca="false">IF(E389="GEN","GM",E389)</f>
        <v>GM</v>
      </c>
    </row>
    <row r="390" customFormat="false" ht="15" hidden="false" customHeight="false" outlineLevel="0" collapsed="false">
      <c r="A390" s="0" t="s">
        <v>1690</v>
      </c>
      <c r="B390" s="0" t="s">
        <v>1691</v>
      </c>
      <c r="C390" s="0" t="s">
        <v>910</v>
      </c>
      <c r="D390" s="31" t="n">
        <v>21254</v>
      </c>
      <c r="E390" s="32" t="s">
        <v>810</v>
      </c>
      <c r="F390" s="32" t="s">
        <v>811</v>
      </c>
      <c r="G390" s="32" t="s">
        <v>812</v>
      </c>
      <c r="H390" s="31" t="n">
        <v>45729</v>
      </c>
      <c r="I390" s="32" t="s">
        <v>805</v>
      </c>
      <c r="J390" s="32" t="s">
        <v>751</v>
      </c>
      <c r="K390" s="0" t="n">
        <v>106</v>
      </c>
      <c r="L390" s="32" t="s">
        <v>752</v>
      </c>
      <c r="M390" s="0" t="n">
        <v>15.1</v>
      </c>
      <c r="N390" s="32" t="s">
        <v>753</v>
      </c>
      <c r="O390" s="32" t="s">
        <v>806</v>
      </c>
      <c r="P390" s="32" t="n">
        <f aca="false">IF(AND(ISNUMBER(K390),K390&gt;=0),K390,IF(ISNUMBER(M390),ROUND(M390*7,0),""))</f>
        <v>106</v>
      </c>
      <c r="Q390" s="0" t="str">
        <f aca="false">IF(ISTEXT(K390),"TEXT - recovered",IF(K390&lt;0,"NEGATIVE",IF(K390&gt;728,"&gt;104 WEEKS","OK")))</f>
        <v>OK</v>
      </c>
      <c r="R390" s="0" t="str">
        <f aca="false">IF(E390="GEN","GM",E390)</f>
        <v>URO</v>
      </c>
    </row>
    <row r="391" customFormat="false" ht="15" hidden="false" customHeight="false" outlineLevel="0" collapsed="false">
      <c r="A391" s="0" t="s">
        <v>1692</v>
      </c>
      <c r="B391" s="0" t="s">
        <v>1693</v>
      </c>
      <c r="C391" s="0" t="s">
        <v>849</v>
      </c>
      <c r="D391" s="31" t="n">
        <v>25023</v>
      </c>
      <c r="E391" s="32" t="s">
        <v>785</v>
      </c>
      <c r="F391" s="32" t="s">
        <v>786</v>
      </c>
      <c r="G391" s="32" t="s">
        <v>787</v>
      </c>
      <c r="H391" s="31" t="n">
        <v>45719</v>
      </c>
      <c r="I391" s="32" t="s">
        <v>761</v>
      </c>
      <c r="J391" s="32" t="s">
        <v>751</v>
      </c>
      <c r="K391" s="0" t="n">
        <v>29</v>
      </c>
      <c r="L391" s="32" t="s">
        <v>752</v>
      </c>
      <c r="M391" s="0" t="n">
        <v>4.1</v>
      </c>
      <c r="N391" s="32" t="s">
        <v>330</v>
      </c>
      <c r="O391" s="32" t="s">
        <v>830</v>
      </c>
      <c r="P391" s="32" t="n">
        <f aca="false">IF(AND(ISNUMBER(K391),K391&gt;=0),K391,IF(ISNUMBER(M391),ROUND(M391*7,0),""))</f>
        <v>29</v>
      </c>
      <c r="Q391" s="0" t="str">
        <f aca="false">IF(ISTEXT(K391),"TEXT - recovered",IF(K391&lt;0,"NEGATIVE",IF(K391&gt;728,"&gt;104 WEEKS","OK")))</f>
        <v>OK</v>
      </c>
      <c r="R391" s="0" t="str">
        <f aca="false">IF(E391="GEN","GM",E391)</f>
        <v>RS</v>
      </c>
    </row>
    <row r="392" customFormat="false" ht="15" hidden="false" customHeight="false" outlineLevel="0" collapsed="false">
      <c r="A392" s="0" t="s">
        <v>1694</v>
      </c>
      <c r="B392" s="0" t="s">
        <v>1695</v>
      </c>
      <c r="C392" s="0" t="s">
        <v>1013</v>
      </c>
      <c r="D392" s="31" t="n">
        <v>24686</v>
      </c>
      <c r="E392" s="32" t="s">
        <v>747</v>
      </c>
      <c r="F392" s="32" t="s">
        <v>748</v>
      </c>
      <c r="G392" s="32" t="s">
        <v>749</v>
      </c>
      <c r="H392" s="31" t="n">
        <v>45735</v>
      </c>
      <c r="I392" s="32" t="s">
        <v>761</v>
      </c>
      <c r="J392" s="32" t="s">
        <v>797</v>
      </c>
      <c r="K392" s="0" t="n">
        <v>14</v>
      </c>
      <c r="L392" s="32" t="s">
        <v>771</v>
      </c>
      <c r="M392" s="0" t="n">
        <v>2</v>
      </c>
      <c r="N392" s="32" t="s">
        <v>780</v>
      </c>
      <c r="O392" s="32" t="s">
        <v>838</v>
      </c>
      <c r="P392" s="32" t="n">
        <f aca="false">IF(AND(ISNUMBER(K392),K392&gt;=0),K392,IF(ISNUMBER(M392),ROUND(M392*7,0),""))</f>
        <v>14</v>
      </c>
      <c r="Q392" s="0" t="str">
        <f aca="false">IF(ISTEXT(K392),"TEXT - recovered",IF(K392&lt;0,"NEGATIVE",IF(K392&gt;728,"&gt;104 WEEKS","OK")))</f>
        <v>OK</v>
      </c>
      <c r="R392" s="0" t="str">
        <f aca="false">IF(E392="GEN","GM",E392)</f>
        <v>GM</v>
      </c>
    </row>
    <row r="393" customFormat="false" ht="15" hidden="false" customHeight="false" outlineLevel="0" collapsed="false">
      <c r="A393" s="0" t="s">
        <v>1696</v>
      </c>
      <c r="B393" s="0" t="s">
        <v>1697</v>
      </c>
      <c r="C393" s="0" t="s">
        <v>849</v>
      </c>
      <c r="D393" s="31" t="n">
        <v>24000</v>
      </c>
      <c r="E393" s="32" t="s">
        <v>785</v>
      </c>
      <c r="F393" s="32" t="s">
        <v>786</v>
      </c>
      <c r="G393" s="32" t="s">
        <v>787</v>
      </c>
      <c r="H393" s="31" t="n">
        <v>45720</v>
      </c>
      <c r="I393" s="32" t="s">
        <v>805</v>
      </c>
      <c r="J393" s="32" t="s">
        <v>751</v>
      </c>
      <c r="K393" s="0" t="n">
        <v>116</v>
      </c>
      <c r="L393" s="32" t="s">
        <v>752</v>
      </c>
      <c r="M393" s="0" t="n">
        <v>16.6</v>
      </c>
      <c r="N393" s="32" t="s">
        <v>780</v>
      </c>
      <c r="O393" s="32" t="s">
        <v>850</v>
      </c>
      <c r="P393" s="32" t="n">
        <f aca="false">IF(AND(ISNUMBER(K393),K393&gt;=0),K393,IF(ISNUMBER(M393),ROUND(M393*7,0),""))</f>
        <v>116</v>
      </c>
      <c r="Q393" s="0" t="str">
        <f aca="false">IF(ISTEXT(K393),"TEXT - recovered",IF(K393&lt;0,"NEGATIVE",IF(K393&gt;728,"&gt;104 WEEKS","OK")))</f>
        <v>OK</v>
      </c>
      <c r="R393" s="0" t="str">
        <f aca="false">IF(E393="GEN","GM",E393)</f>
        <v>RS</v>
      </c>
    </row>
    <row r="394" customFormat="false" ht="15" hidden="false" customHeight="false" outlineLevel="0" collapsed="false">
      <c r="A394" s="0" t="s">
        <v>1698</v>
      </c>
      <c r="B394" s="0" t="s">
        <v>1699</v>
      </c>
      <c r="C394" s="0" t="s">
        <v>775</v>
      </c>
      <c r="D394" s="31" t="n">
        <v>14755</v>
      </c>
      <c r="E394" s="32" t="s">
        <v>818</v>
      </c>
      <c r="F394" s="32" t="s">
        <v>819</v>
      </c>
      <c r="G394" s="32" t="s">
        <v>820</v>
      </c>
      <c r="H394" s="31" t="n">
        <v>45720</v>
      </c>
      <c r="I394" s="32" t="s">
        <v>796</v>
      </c>
      <c r="J394" s="32" t="s">
        <v>751</v>
      </c>
      <c r="K394" s="32" t="s">
        <v>751</v>
      </c>
      <c r="L394" s="32" t="s">
        <v>752</v>
      </c>
      <c r="M394" s="0" t="n">
        <v>36.9</v>
      </c>
      <c r="N394" s="32" t="s">
        <v>753</v>
      </c>
      <c r="O394" s="32" t="s">
        <v>850</v>
      </c>
      <c r="P394" s="32" t="n">
        <f aca="false">IF(AND(ISNUMBER(K394),K394&gt;=0),K394,IF(ISNUMBER(M394),ROUND(M394*7,0),""))</f>
        <v>258</v>
      </c>
      <c r="Q394" s="0" t="str">
        <f aca="false">IF(ISTEXT(K394),"TEXT - recovered",IF(K394&lt;0,"NEGATIVE",IF(K394&gt;728,"&gt;104 WEEKS","OK")))</f>
        <v>TEXT - recovered</v>
      </c>
      <c r="R394" s="0" t="str">
        <f aca="false">IF(E394="GEN","GM",E394)</f>
        <v>OPH</v>
      </c>
    </row>
    <row r="395" customFormat="false" ht="15" hidden="false" customHeight="false" outlineLevel="0" collapsed="false">
      <c r="A395" s="0" t="s">
        <v>1700</v>
      </c>
      <c r="B395" s="0" t="s">
        <v>1701</v>
      </c>
      <c r="C395" s="0" t="s">
        <v>1398</v>
      </c>
      <c r="D395" s="31" t="n">
        <v>35361</v>
      </c>
      <c r="E395" s="32" t="s">
        <v>818</v>
      </c>
      <c r="F395" s="32" t="s">
        <v>819</v>
      </c>
      <c r="G395" s="32" t="s">
        <v>820</v>
      </c>
      <c r="H395" s="31" t="n">
        <v>45712</v>
      </c>
      <c r="I395" s="32" t="s">
        <v>796</v>
      </c>
      <c r="J395" s="32" t="s">
        <v>797</v>
      </c>
      <c r="K395" s="0" t="n">
        <v>117</v>
      </c>
      <c r="L395" s="32" t="s">
        <v>771</v>
      </c>
      <c r="M395" s="0" t="n">
        <v>16.7</v>
      </c>
      <c r="N395" s="32" t="s">
        <v>1630</v>
      </c>
      <c r="O395" s="32" t="s">
        <v>772</v>
      </c>
      <c r="P395" s="32" t="n">
        <f aca="false">IF(AND(ISNUMBER(K395),K395&gt;=0),K395,IF(ISNUMBER(M395),ROUND(M395*7,0),""))</f>
        <v>117</v>
      </c>
      <c r="Q395" s="0" t="str">
        <f aca="false">IF(ISTEXT(K395),"TEXT - recovered",IF(K395&lt;0,"NEGATIVE",IF(K395&gt;728,"&gt;104 WEEKS","OK")))</f>
        <v>OK</v>
      </c>
      <c r="R395" s="0" t="str">
        <f aca="false">IF(E395="GEN","GM",E395)</f>
        <v>OPH</v>
      </c>
    </row>
    <row r="396" customFormat="false" ht="15" hidden="false" customHeight="false" outlineLevel="0" collapsed="false">
      <c r="A396" s="0" t="s">
        <v>1702</v>
      </c>
      <c r="B396" s="0" t="s">
        <v>1703</v>
      </c>
      <c r="C396" s="0" t="s">
        <v>989</v>
      </c>
      <c r="D396" s="31" t="n">
        <v>17161</v>
      </c>
      <c r="E396" s="32" t="s">
        <v>766</v>
      </c>
      <c r="F396" s="32" t="s">
        <v>767</v>
      </c>
      <c r="G396" s="32" t="s">
        <v>768</v>
      </c>
      <c r="H396" s="31" t="n">
        <v>45714</v>
      </c>
      <c r="I396" s="32" t="s">
        <v>796</v>
      </c>
      <c r="J396" s="32" t="s">
        <v>751</v>
      </c>
      <c r="K396" s="32" t="s">
        <v>751</v>
      </c>
      <c r="L396" s="32" t="s">
        <v>752</v>
      </c>
      <c r="M396" s="0" t="n">
        <v>50.4</v>
      </c>
      <c r="N396" s="32" t="s">
        <v>753</v>
      </c>
      <c r="O396" s="32" t="s">
        <v>772</v>
      </c>
      <c r="P396" s="32" t="n">
        <f aca="false">IF(AND(ISNUMBER(K396),K396&gt;=0),K396,IF(ISNUMBER(M396),ROUND(M396*7,0),""))</f>
        <v>353</v>
      </c>
      <c r="Q396" s="0" t="str">
        <f aca="false">IF(ISTEXT(K396),"TEXT - recovered",IF(K396&lt;0,"NEGATIVE",IF(K396&gt;728,"&gt;104 WEEKS","OK")))</f>
        <v>TEXT - recovered</v>
      </c>
      <c r="R396" s="0" t="str">
        <f aca="false">IF(E396="GEN","GM",E396)</f>
        <v>OR</v>
      </c>
    </row>
    <row r="397" customFormat="false" ht="15" hidden="false" customHeight="false" outlineLevel="0" collapsed="false">
      <c r="A397" s="0" t="s">
        <v>1704</v>
      </c>
      <c r="B397" s="0" t="s">
        <v>1705</v>
      </c>
      <c r="C397" s="0" t="s">
        <v>882</v>
      </c>
      <c r="D397" s="31" t="n">
        <v>25056</v>
      </c>
      <c r="E397" s="32" t="s">
        <v>758</v>
      </c>
      <c r="F397" s="32" t="s">
        <v>759</v>
      </c>
      <c r="G397" s="32" t="s">
        <v>760</v>
      </c>
      <c r="H397" s="31" t="n">
        <v>45722</v>
      </c>
      <c r="I397" s="32" t="s">
        <v>821</v>
      </c>
      <c r="J397" s="32" t="s">
        <v>751</v>
      </c>
      <c r="K397" s="0" t="n">
        <v>95</v>
      </c>
      <c r="L397" s="32" t="s">
        <v>752</v>
      </c>
      <c r="M397" s="0" t="n">
        <v>13.6</v>
      </c>
      <c r="N397" s="32" t="s">
        <v>753</v>
      </c>
      <c r="O397" s="32" t="s">
        <v>850</v>
      </c>
      <c r="P397" s="32" t="n">
        <f aca="false">IF(AND(ISNUMBER(K397),K397&gt;=0),K397,IF(ISNUMBER(M397),ROUND(M397*7,0),""))</f>
        <v>95</v>
      </c>
      <c r="Q397" s="0" t="str">
        <f aca="false">IF(ISTEXT(K397),"TEXT - recovered",IF(K397&lt;0,"NEGATIVE",IF(K397&gt;728,"&gt;104 WEEKS","OK")))</f>
        <v>OK</v>
      </c>
      <c r="R397" s="0" t="str">
        <f aca="false">IF(E397="GEN","GM",E397)</f>
        <v>CS</v>
      </c>
    </row>
    <row r="398" customFormat="false" ht="15" hidden="false" customHeight="false" outlineLevel="0" collapsed="false">
      <c r="A398" s="0" t="s">
        <v>1706</v>
      </c>
      <c r="B398" s="0" t="s">
        <v>1707</v>
      </c>
      <c r="C398" s="0" t="s">
        <v>1025</v>
      </c>
      <c r="D398" s="31" t="n">
        <v>36424</v>
      </c>
      <c r="E398" s="32" t="s">
        <v>785</v>
      </c>
      <c r="F398" s="32" t="s">
        <v>786</v>
      </c>
      <c r="G398" s="32" t="s">
        <v>787</v>
      </c>
      <c r="H398" s="31" t="n">
        <v>45728</v>
      </c>
      <c r="I398" s="32" t="s">
        <v>796</v>
      </c>
      <c r="J398" s="32" t="s">
        <v>751</v>
      </c>
      <c r="K398" s="0" t="n">
        <v>93</v>
      </c>
      <c r="L398" s="32" t="s">
        <v>752</v>
      </c>
      <c r="M398" s="0" t="n">
        <v>13.3</v>
      </c>
      <c r="N398" s="32" t="s">
        <v>753</v>
      </c>
      <c r="O398" s="32" t="s">
        <v>1683</v>
      </c>
      <c r="P398" s="32" t="n">
        <f aca="false">IF(AND(ISNUMBER(K398),K398&gt;=0),K398,IF(ISNUMBER(M398),ROUND(M398*7,0),""))</f>
        <v>93</v>
      </c>
      <c r="Q398" s="0" t="str">
        <f aca="false">IF(ISTEXT(K398),"TEXT - recovered",IF(K398&lt;0,"NEGATIVE",IF(K398&gt;728,"&gt;104 WEEKS","OK")))</f>
        <v>OK</v>
      </c>
      <c r="R398" s="0" t="str">
        <f aca="false">IF(E398="GEN","GM",E398)</f>
        <v>RS</v>
      </c>
    </row>
    <row r="399" customFormat="false" ht="15" hidden="false" customHeight="false" outlineLevel="0" collapsed="false">
      <c r="A399" s="0" t="s">
        <v>1708</v>
      </c>
      <c r="B399" s="0" t="s">
        <v>1709</v>
      </c>
      <c r="C399" s="0" t="s">
        <v>1453</v>
      </c>
      <c r="D399" s="31" t="n">
        <v>27723</v>
      </c>
      <c r="E399" s="32" t="s">
        <v>785</v>
      </c>
      <c r="F399" s="32" t="s">
        <v>786</v>
      </c>
      <c r="G399" s="32" t="s">
        <v>787</v>
      </c>
      <c r="H399" s="31" t="n">
        <v>45720</v>
      </c>
      <c r="I399" s="32" t="s">
        <v>813</v>
      </c>
      <c r="J399" s="32" t="s">
        <v>751</v>
      </c>
      <c r="K399" s="0" t="n">
        <v>25</v>
      </c>
      <c r="L399" s="32" t="s">
        <v>752</v>
      </c>
      <c r="M399" s="0" t="n">
        <v>3.6</v>
      </c>
      <c r="N399" s="32" t="s">
        <v>780</v>
      </c>
      <c r="O399" s="32" t="s">
        <v>789</v>
      </c>
      <c r="P399" s="32" t="n">
        <f aca="false">IF(AND(ISNUMBER(K399),K399&gt;=0),K399,IF(ISNUMBER(M399),ROUND(M399*7,0),""))</f>
        <v>25</v>
      </c>
      <c r="Q399" s="0" t="str">
        <f aca="false">IF(ISTEXT(K399),"TEXT - recovered",IF(K399&lt;0,"NEGATIVE",IF(K399&gt;728,"&gt;104 WEEKS","OK")))</f>
        <v>OK</v>
      </c>
      <c r="R399" s="0" t="str">
        <f aca="false">IF(E399="GEN","GM",E399)</f>
        <v>RS</v>
      </c>
    </row>
    <row r="400" customFormat="false" ht="15" hidden="false" customHeight="false" outlineLevel="0" collapsed="false">
      <c r="A400" s="0" t="s">
        <v>1710</v>
      </c>
      <c r="B400" s="0" t="s">
        <v>1711</v>
      </c>
      <c r="C400" s="0" t="s">
        <v>942</v>
      </c>
      <c r="D400" s="31" t="n">
        <v>36578</v>
      </c>
      <c r="E400" s="32" t="s">
        <v>802</v>
      </c>
      <c r="F400" s="32" t="s">
        <v>803</v>
      </c>
      <c r="G400" s="32" t="s">
        <v>804</v>
      </c>
      <c r="H400" s="31" t="n">
        <v>45721</v>
      </c>
      <c r="I400" s="32" t="s">
        <v>769</v>
      </c>
      <c r="J400" s="32" t="s">
        <v>751</v>
      </c>
      <c r="K400" s="32" t="s">
        <v>751</v>
      </c>
      <c r="L400" s="32" t="s">
        <v>752</v>
      </c>
      <c r="M400" s="0" t="n">
        <v>30.7</v>
      </c>
      <c r="N400" s="32" t="s">
        <v>780</v>
      </c>
      <c r="O400" s="32" t="s">
        <v>834</v>
      </c>
      <c r="P400" s="32" t="n">
        <f aca="false">IF(AND(ISNUMBER(K400),K400&gt;=0),K400,IF(ISNUMBER(M400),ROUND(M400*7,0),""))</f>
        <v>215</v>
      </c>
      <c r="Q400" s="0" t="str">
        <f aca="false">IF(ISTEXT(K400),"TEXT - recovered",IF(K400&lt;0,"NEGATIVE",IF(K400&gt;728,"&gt;104 WEEKS","OK")))</f>
        <v>TEXT - recovered</v>
      </c>
      <c r="R400" s="0" t="str">
        <f aca="false">IF(E400="GEN","GM",E400)</f>
        <v>GYN</v>
      </c>
    </row>
    <row r="401" customFormat="false" ht="15" hidden="false" customHeight="false" outlineLevel="0" collapsed="false">
      <c r="A401" s="0" t="s">
        <v>1712</v>
      </c>
      <c r="B401" s="0" t="s">
        <v>1713</v>
      </c>
      <c r="C401" s="0" t="s">
        <v>1025</v>
      </c>
      <c r="D401" s="31" t="n">
        <v>19598</v>
      </c>
      <c r="E401" s="32" t="s">
        <v>810</v>
      </c>
      <c r="F401" s="32" t="s">
        <v>811</v>
      </c>
      <c r="G401" s="32" t="s">
        <v>812</v>
      </c>
      <c r="H401" s="31" t="n">
        <v>45714</v>
      </c>
      <c r="I401" s="32" t="s">
        <v>805</v>
      </c>
      <c r="J401" s="32" t="s">
        <v>751</v>
      </c>
      <c r="K401" s="0" t="n">
        <v>105</v>
      </c>
      <c r="L401" s="32" t="s">
        <v>752</v>
      </c>
      <c r="M401" s="0" t="n">
        <v>15</v>
      </c>
      <c r="N401" s="32" t="s">
        <v>753</v>
      </c>
      <c r="O401" s="32" t="s">
        <v>842</v>
      </c>
      <c r="P401" s="32" t="n">
        <f aca="false">IF(AND(ISNUMBER(K401),K401&gt;=0),K401,IF(ISNUMBER(M401),ROUND(M401*7,0),""))</f>
        <v>105</v>
      </c>
      <c r="Q401" s="0" t="str">
        <f aca="false">IF(ISTEXT(K401),"TEXT - recovered",IF(K401&lt;0,"NEGATIVE",IF(K401&gt;728,"&gt;104 WEEKS","OK")))</f>
        <v>OK</v>
      </c>
      <c r="R401" s="0" t="str">
        <f aca="false">IF(E401="GEN","GM",E401)</f>
        <v>URO</v>
      </c>
    </row>
    <row r="402" customFormat="false" ht="15" hidden="false" customHeight="false" outlineLevel="0" collapsed="false">
      <c r="A402" s="0" t="s">
        <v>1714</v>
      </c>
      <c r="B402" s="0" t="s">
        <v>1715</v>
      </c>
      <c r="C402" s="0" t="s">
        <v>878</v>
      </c>
      <c r="D402" s="31" t="n">
        <v>24281</v>
      </c>
      <c r="E402" s="32" t="s">
        <v>758</v>
      </c>
      <c r="F402" s="32" t="s">
        <v>759</v>
      </c>
      <c r="G402" s="32" t="s">
        <v>760</v>
      </c>
      <c r="H402" s="31" t="n">
        <v>45721</v>
      </c>
      <c r="I402" s="32" t="s">
        <v>750</v>
      </c>
      <c r="J402" s="32" t="s">
        <v>751</v>
      </c>
      <c r="K402" s="0" t="n">
        <v>71</v>
      </c>
      <c r="L402" s="32" t="s">
        <v>752</v>
      </c>
      <c r="M402" s="0" t="n">
        <v>10.1</v>
      </c>
      <c r="N402" s="32" t="s">
        <v>753</v>
      </c>
      <c r="O402" s="32" t="s">
        <v>850</v>
      </c>
      <c r="P402" s="32" t="n">
        <f aca="false">IF(AND(ISNUMBER(K402),K402&gt;=0),K402,IF(ISNUMBER(M402),ROUND(M402*7,0),""))</f>
        <v>71</v>
      </c>
      <c r="Q402" s="0" t="str">
        <f aca="false">IF(ISTEXT(K402),"TEXT - recovered",IF(K402&lt;0,"NEGATIVE",IF(K402&gt;728,"&gt;104 WEEKS","OK")))</f>
        <v>OK</v>
      </c>
      <c r="R402" s="0" t="str">
        <f aca="false">IF(E402="GEN","GM",E402)</f>
        <v>CS</v>
      </c>
    </row>
    <row r="403" customFormat="false" ht="15" hidden="false" customHeight="false" outlineLevel="0" collapsed="false">
      <c r="A403" s="0" t="s">
        <v>1716</v>
      </c>
      <c r="B403" s="0" t="s">
        <v>1717</v>
      </c>
      <c r="C403" s="0" t="s">
        <v>1013</v>
      </c>
      <c r="D403" s="31" t="n">
        <v>24832</v>
      </c>
      <c r="E403" s="32" t="s">
        <v>766</v>
      </c>
      <c r="F403" s="32" t="s">
        <v>767</v>
      </c>
      <c r="G403" s="32" t="s">
        <v>768</v>
      </c>
      <c r="H403" s="31" t="n">
        <v>45729</v>
      </c>
      <c r="I403" s="32" t="s">
        <v>769</v>
      </c>
      <c r="J403" s="32" t="s">
        <v>751</v>
      </c>
      <c r="K403" s="0" t="n">
        <v>24</v>
      </c>
      <c r="L403" s="32" t="s">
        <v>752</v>
      </c>
      <c r="M403" s="0" t="n">
        <v>3.4</v>
      </c>
      <c r="N403" s="32" t="s">
        <v>1630</v>
      </c>
      <c r="O403" s="32" t="s">
        <v>883</v>
      </c>
      <c r="P403" s="32" t="n">
        <f aca="false">IF(AND(ISNUMBER(K403),K403&gt;=0),K403,IF(ISNUMBER(M403),ROUND(M403*7,0),""))</f>
        <v>24</v>
      </c>
      <c r="Q403" s="0" t="str">
        <f aca="false">IF(ISTEXT(K403),"TEXT - recovered",IF(K403&lt;0,"NEGATIVE",IF(K403&gt;728,"&gt;104 WEEKS","OK")))</f>
        <v>OK</v>
      </c>
      <c r="R403" s="0" t="str">
        <f aca="false">IF(E403="GEN","GM",E403)</f>
        <v>OR</v>
      </c>
    </row>
    <row r="404" customFormat="false" ht="15" hidden="false" customHeight="false" outlineLevel="0" collapsed="false">
      <c r="A404" s="0" t="s">
        <v>1718</v>
      </c>
      <c r="B404" s="0" t="s">
        <v>1719</v>
      </c>
      <c r="C404" s="0" t="s">
        <v>1009</v>
      </c>
      <c r="D404" s="31" t="n">
        <v>29465</v>
      </c>
      <c r="E404" s="32" t="s">
        <v>802</v>
      </c>
      <c r="F404" s="32" t="s">
        <v>803</v>
      </c>
      <c r="G404" s="32" t="s">
        <v>804</v>
      </c>
      <c r="H404" s="31" t="n">
        <v>45736</v>
      </c>
      <c r="I404" s="32" t="s">
        <v>769</v>
      </c>
      <c r="J404" s="32" t="s">
        <v>751</v>
      </c>
      <c r="K404" s="0" t="n">
        <v>38</v>
      </c>
      <c r="L404" s="32" t="s">
        <v>752</v>
      </c>
      <c r="M404" s="0" t="n">
        <v>5.4</v>
      </c>
      <c r="N404" s="32" t="s">
        <v>753</v>
      </c>
      <c r="O404" s="32" t="s">
        <v>867</v>
      </c>
      <c r="P404" s="32" t="n">
        <f aca="false">IF(AND(ISNUMBER(K404),K404&gt;=0),K404,IF(ISNUMBER(M404),ROUND(M404*7,0),""))</f>
        <v>38</v>
      </c>
      <c r="Q404" s="0" t="str">
        <f aca="false">IF(ISTEXT(K404),"TEXT - recovered",IF(K404&lt;0,"NEGATIVE",IF(K404&gt;728,"&gt;104 WEEKS","OK")))</f>
        <v>OK</v>
      </c>
      <c r="R404" s="0" t="str">
        <f aca="false">IF(E404="GEN","GM",E404)</f>
        <v>GYN</v>
      </c>
    </row>
    <row r="405" customFormat="false" ht="15" hidden="false" customHeight="false" outlineLevel="0" collapsed="false">
      <c r="A405" s="0" t="s">
        <v>1720</v>
      </c>
      <c r="B405" s="0" t="s">
        <v>1721</v>
      </c>
      <c r="C405" s="0" t="s">
        <v>775</v>
      </c>
      <c r="D405" s="31" t="n">
        <v>19956</v>
      </c>
      <c r="E405" s="32" t="s">
        <v>758</v>
      </c>
      <c r="F405" s="32" t="s">
        <v>759</v>
      </c>
      <c r="G405" s="32" t="s">
        <v>760</v>
      </c>
      <c r="H405" s="31" t="n">
        <v>45723</v>
      </c>
      <c r="I405" s="32" t="s">
        <v>761</v>
      </c>
      <c r="J405" s="32" t="s">
        <v>751</v>
      </c>
      <c r="K405" s="0" t="n">
        <v>89</v>
      </c>
      <c r="L405" s="32" t="s">
        <v>752</v>
      </c>
      <c r="M405" s="0" t="n">
        <v>12.7</v>
      </c>
      <c r="N405" s="32" t="s">
        <v>330</v>
      </c>
      <c r="O405" s="32" t="s">
        <v>830</v>
      </c>
      <c r="P405" s="32" t="n">
        <f aca="false">IF(AND(ISNUMBER(K405),K405&gt;=0),K405,IF(ISNUMBER(M405),ROUND(M405*7,0),""))</f>
        <v>89</v>
      </c>
      <c r="Q405" s="0" t="str">
        <f aca="false">IF(ISTEXT(K405),"TEXT - recovered",IF(K405&lt;0,"NEGATIVE",IF(K405&gt;728,"&gt;104 WEEKS","OK")))</f>
        <v>OK</v>
      </c>
      <c r="R405" s="0" t="str">
        <f aca="false">IF(E405="GEN","GM",E405)</f>
        <v>CS</v>
      </c>
    </row>
    <row r="406" customFormat="false" ht="15" hidden="false" customHeight="false" outlineLevel="0" collapsed="false">
      <c r="A406" s="0" t="s">
        <v>1722</v>
      </c>
      <c r="B406" s="0" t="s">
        <v>1723</v>
      </c>
      <c r="C406" s="0" t="s">
        <v>866</v>
      </c>
      <c r="D406" s="31" t="n">
        <v>16852</v>
      </c>
      <c r="E406" s="32" t="s">
        <v>818</v>
      </c>
      <c r="F406" s="32" t="s">
        <v>819</v>
      </c>
      <c r="G406" s="32" t="s">
        <v>820</v>
      </c>
      <c r="H406" s="31" t="n">
        <v>45713</v>
      </c>
      <c r="I406" s="32" t="s">
        <v>829</v>
      </c>
      <c r="J406" s="32" t="s">
        <v>751</v>
      </c>
      <c r="K406" s="0" t="n">
        <v>34</v>
      </c>
      <c r="L406" s="32" t="s">
        <v>752</v>
      </c>
      <c r="M406" s="0" t="n">
        <v>4.9</v>
      </c>
      <c r="N406" s="32" t="s">
        <v>753</v>
      </c>
      <c r="O406" s="32" t="s">
        <v>842</v>
      </c>
      <c r="P406" s="32" t="n">
        <f aca="false">IF(AND(ISNUMBER(K406),K406&gt;=0),K406,IF(ISNUMBER(M406),ROUND(M406*7,0),""))</f>
        <v>34</v>
      </c>
      <c r="Q406" s="0" t="str">
        <f aca="false">IF(ISTEXT(K406),"TEXT - recovered",IF(K406&lt;0,"NEGATIVE",IF(K406&gt;728,"&gt;104 WEEKS","OK")))</f>
        <v>OK</v>
      </c>
      <c r="R406" s="0" t="str">
        <f aca="false">IF(E406="GEN","GM",E406)</f>
        <v>OPH</v>
      </c>
    </row>
    <row r="407" customFormat="false" ht="15" hidden="false" customHeight="false" outlineLevel="0" collapsed="false">
      <c r="A407" s="0" t="s">
        <v>1724</v>
      </c>
      <c r="B407" s="0" t="s">
        <v>1725</v>
      </c>
      <c r="C407" s="0" t="s">
        <v>845</v>
      </c>
      <c r="D407" s="31" t="n">
        <v>25433</v>
      </c>
      <c r="E407" s="32" t="s">
        <v>785</v>
      </c>
      <c r="F407" s="32" t="s">
        <v>786</v>
      </c>
      <c r="G407" s="32" t="s">
        <v>787</v>
      </c>
      <c r="H407" s="31" t="n">
        <v>45728</v>
      </c>
      <c r="I407" s="32" t="s">
        <v>750</v>
      </c>
      <c r="J407" s="32" t="s">
        <v>751</v>
      </c>
      <c r="K407" s="0" t="n">
        <v>57</v>
      </c>
      <c r="L407" s="32" t="s">
        <v>752</v>
      </c>
      <c r="M407" s="0" t="n">
        <v>8.1</v>
      </c>
      <c r="N407" s="32" t="s">
        <v>330</v>
      </c>
      <c r="O407" s="32" t="s">
        <v>867</v>
      </c>
      <c r="P407" s="32" t="n">
        <f aca="false">IF(AND(ISNUMBER(K407),K407&gt;=0),K407,IF(ISNUMBER(M407),ROUND(M407*7,0),""))</f>
        <v>57</v>
      </c>
      <c r="Q407" s="0" t="str">
        <f aca="false">IF(ISTEXT(K407),"TEXT - recovered",IF(K407&lt;0,"NEGATIVE",IF(K407&gt;728,"&gt;104 WEEKS","OK")))</f>
        <v>OK</v>
      </c>
      <c r="R407" s="0" t="str">
        <f aca="false">IF(E407="GEN","GM",E407)</f>
        <v>RS</v>
      </c>
    </row>
    <row r="408" customFormat="false" ht="15" hidden="false" customHeight="false" outlineLevel="0" collapsed="false">
      <c r="A408" s="0" t="s">
        <v>1726</v>
      </c>
      <c r="B408" s="0" t="s">
        <v>1727</v>
      </c>
      <c r="C408" s="0" t="s">
        <v>946</v>
      </c>
      <c r="D408" s="31" t="n">
        <v>22616</v>
      </c>
      <c r="E408" s="32" t="s">
        <v>826</v>
      </c>
      <c r="F408" s="32" t="s">
        <v>827</v>
      </c>
      <c r="G408" s="32" t="s">
        <v>828</v>
      </c>
      <c r="H408" s="31" t="n">
        <v>45721</v>
      </c>
      <c r="I408" s="32" t="s">
        <v>829</v>
      </c>
      <c r="J408" s="32" t="s">
        <v>751</v>
      </c>
      <c r="K408" s="0" t="n">
        <v>104</v>
      </c>
      <c r="L408" s="32" t="s">
        <v>752</v>
      </c>
      <c r="M408" s="0" t="n">
        <v>14.9</v>
      </c>
      <c r="N408" s="32" t="s">
        <v>753</v>
      </c>
      <c r="O408" s="32" t="s">
        <v>867</v>
      </c>
      <c r="P408" s="32" t="n">
        <f aca="false">IF(AND(ISNUMBER(K408),K408&gt;=0),K408,IF(ISNUMBER(M408),ROUND(M408*7,0),""))</f>
        <v>104</v>
      </c>
      <c r="Q408" s="0" t="str">
        <f aca="false">IF(ISTEXT(K408),"TEXT - recovered",IF(K408&lt;0,"NEGATIVE",IF(K408&gt;728,"&gt;104 WEEKS","OK")))</f>
        <v>OK</v>
      </c>
      <c r="R408" s="0" t="str">
        <f aca="false">IF(E408="GEN","GM",E408)</f>
        <v>RHE</v>
      </c>
    </row>
    <row r="409" customFormat="false" ht="15" hidden="false" customHeight="false" outlineLevel="0" collapsed="false">
      <c r="A409" s="0" t="s">
        <v>1728</v>
      </c>
      <c r="B409" s="0" t="s">
        <v>1729</v>
      </c>
      <c r="C409" s="0" t="s">
        <v>1029</v>
      </c>
      <c r="D409" s="31" t="n">
        <v>25868</v>
      </c>
      <c r="E409" s="32" t="s">
        <v>802</v>
      </c>
      <c r="F409" s="32" t="s">
        <v>803</v>
      </c>
      <c r="G409" s="32" t="s">
        <v>804</v>
      </c>
      <c r="H409" s="31" t="n">
        <v>45726</v>
      </c>
      <c r="I409" s="32" t="s">
        <v>788</v>
      </c>
      <c r="J409" s="32" t="s">
        <v>751</v>
      </c>
      <c r="K409" s="32" t="s">
        <v>751</v>
      </c>
      <c r="L409" s="32" t="s">
        <v>752</v>
      </c>
      <c r="M409" s="0" t="n">
        <v>51.3</v>
      </c>
      <c r="N409" s="32" t="s">
        <v>753</v>
      </c>
      <c r="O409" s="32" t="s">
        <v>871</v>
      </c>
      <c r="P409" s="32" t="n">
        <f aca="false">IF(AND(ISNUMBER(K409),K409&gt;=0),K409,IF(ISNUMBER(M409),ROUND(M409*7,0),""))</f>
        <v>359</v>
      </c>
      <c r="Q409" s="0" t="str">
        <f aca="false">IF(ISTEXT(K409),"TEXT - recovered",IF(K409&lt;0,"NEGATIVE",IF(K409&gt;728,"&gt;104 WEEKS","OK")))</f>
        <v>TEXT - recovered</v>
      </c>
      <c r="R409" s="0" t="str">
        <f aca="false">IF(E409="GEN","GM",E409)</f>
        <v>GYN</v>
      </c>
    </row>
    <row r="410" customFormat="false" ht="15" hidden="false" customHeight="false" outlineLevel="0" collapsed="false">
      <c r="A410" s="0" t="s">
        <v>1730</v>
      </c>
      <c r="B410" s="0" t="s">
        <v>1731</v>
      </c>
      <c r="C410" s="0" t="s">
        <v>890</v>
      </c>
      <c r="D410" s="31" t="n">
        <v>17371</v>
      </c>
      <c r="E410" s="32" t="s">
        <v>810</v>
      </c>
      <c r="F410" s="32" t="s">
        <v>811</v>
      </c>
      <c r="G410" s="32" t="s">
        <v>812</v>
      </c>
      <c r="H410" s="31" t="n">
        <v>45722</v>
      </c>
      <c r="I410" s="32" t="s">
        <v>829</v>
      </c>
      <c r="J410" s="32" t="s">
        <v>751</v>
      </c>
      <c r="K410" s="0" t="n">
        <v>69</v>
      </c>
      <c r="L410" s="32" t="s">
        <v>752</v>
      </c>
      <c r="M410" s="0" t="n">
        <v>9.9</v>
      </c>
      <c r="N410" s="32" t="s">
        <v>1630</v>
      </c>
      <c r="O410" s="32" t="s">
        <v>806</v>
      </c>
      <c r="P410" s="32" t="n">
        <f aca="false">IF(AND(ISNUMBER(K410),K410&gt;=0),K410,IF(ISNUMBER(M410),ROUND(M410*7,0),""))</f>
        <v>69</v>
      </c>
      <c r="Q410" s="0" t="str">
        <f aca="false">IF(ISTEXT(K410),"TEXT - recovered",IF(K410&lt;0,"NEGATIVE",IF(K410&gt;728,"&gt;104 WEEKS","OK")))</f>
        <v>OK</v>
      </c>
      <c r="R410" s="0" t="str">
        <f aca="false">IF(E410="GEN","GM",E410)</f>
        <v>URO</v>
      </c>
    </row>
    <row r="411" customFormat="false" ht="15" hidden="false" customHeight="false" outlineLevel="0" collapsed="false">
      <c r="A411" s="0" t="s">
        <v>1732</v>
      </c>
      <c r="B411" s="0" t="s">
        <v>1733</v>
      </c>
      <c r="C411" s="0" t="s">
        <v>997</v>
      </c>
      <c r="D411" s="31" t="n">
        <v>34823</v>
      </c>
      <c r="E411" s="32" t="s">
        <v>785</v>
      </c>
      <c r="F411" s="32" t="s">
        <v>786</v>
      </c>
      <c r="G411" s="32" t="s">
        <v>787</v>
      </c>
      <c r="H411" s="31" t="n">
        <v>45729</v>
      </c>
      <c r="I411" s="32" t="s">
        <v>821</v>
      </c>
      <c r="J411" s="32" t="s">
        <v>751</v>
      </c>
      <c r="K411" s="0" t="n">
        <v>84</v>
      </c>
      <c r="L411" s="32" t="s">
        <v>752</v>
      </c>
      <c r="M411" s="0" t="n">
        <v>12</v>
      </c>
      <c r="N411" s="32" t="s">
        <v>753</v>
      </c>
      <c r="O411" s="32" t="s">
        <v>814</v>
      </c>
      <c r="P411" s="32" t="n">
        <f aca="false">IF(AND(ISNUMBER(K411),K411&gt;=0),K411,IF(ISNUMBER(M411),ROUND(M411*7,0),""))</f>
        <v>84</v>
      </c>
      <c r="Q411" s="0" t="str">
        <f aca="false">IF(ISTEXT(K411),"TEXT - recovered",IF(K411&lt;0,"NEGATIVE",IF(K411&gt;728,"&gt;104 WEEKS","OK")))</f>
        <v>OK</v>
      </c>
      <c r="R411" s="0" t="str">
        <f aca="false">IF(E411="GEN","GM",E411)</f>
        <v>RS</v>
      </c>
    </row>
    <row r="412" customFormat="false" ht="15" hidden="false" customHeight="false" outlineLevel="0" collapsed="false">
      <c r="A412" s="0" t="s">
        <v>1734</v>
      </c>
      <c r="B412" s="0" t="s">
        <v>1735</v>
      </c>
      <c r="C412" s="0" t="s">
        <v>845</v>
      </c>
      <c r="D412" s="31" t="n">
        <v>19342</v>
      </c>
      <c r="E412" s="32" t="s">
        <v>747</v>
      </c>
      <c r="F412" s="32" t="s">
        <v>748</v>
      </c>
      <c r="G412" s="32" t="s">
        <v>749</v>
      </c>
      <c r="H412" s="31" t="n">
        <v>45736</v>
      </c>
      <c r="I412" s="32" t="s">
        <v>821</v>
      </c>
      <c r="J412" s="32" t="s">
        <v>751</v>
      </c>
      <c r="K412" s="0" t="n">
        <v>105</v>
      </c>
      <c r="L412" s="32" t="s">
        <v>752</v>
      </c>
      <c r="M412" s="0" t="n">
        <v>15</v>
      </c>
      <c r="N412" s="32" t="s">
        <v>753</v>
      </c>
      <c r="O412" s="32" t="s">
        <v>822</v>
      </c>
      <c r="P412" s="32" t="n">
        <f aca="false">IF(AND(ISNUMBER(K412),K412&gt;=0),K412,IF(ISNUMBER(M412),ROUND(M412*7,0),""))</f>
        <v>105</v>
      </c>
      <c r="Q412" s="0" t="str">
        <f aca="false">IF(ISTEXT(K412),"TEXT - recovered",IF(K412&lt;0,"NEGATIVE",IF(K412&gt;728,"&gt;104 WEEKS","OK")))</f>
        <v>OK</v>
      </c>
      <c r="R412" s="0" t="str">
        <f aca="false">IF(E412="GEN","GM",E412)</f>
        <v>GM</v>
      </c>
    </row>
    <row r="413" customFormat="false" ht="15" hidden="false" customHeight="false" outlineLevel="0" collapsed="false">
      <c r="A413" s="0" t="s">
        <v>1736</v>
      </c>
      <c r="B413" s="0" t="s">
        <v>1737</v>
      </c>
      <c r="C413" s="0" t="s">
        <v>970</v>
      </c>
      <c r="D413" s="31" t="n">
        <v>21282</v>
      </c>
      <c r="E413" s="32" t="s">
        <v>776</v>
      </c>
      <c r="F413" s="32" t="s">
        <v>777</v>
      </c>
      <c r="G413" s="32" t="s">
        <v>778</v>
      </c>
      <c r="H413" s="31" t="n">
        <v>45737</v>
      </c>
      <c r="I413" s="32" t="s">
        <v>788</v>
      </c>
      <c r="J413" s="32" t="s">
        <v>751</v>
      </c>
      <c r="K413" s="0" t="n">
        <v>111</v>
      </c>
      <c r="L413" s="32" t="s">
        <v>752</v>
      </c>
      <c r="M413" s="0" t="n">
        <v>15.9</v>
      </c>
      <c r="N413" s="32" t="s">
        <v>753</v>
      </c>
      <c r="O413" s="32" t="s">
        <v>814</v>
      </c>
      <c r="P413" s="32" t="n">
        <f aca="false">IF(AND(ISNUMBER(K413),K413&gt;=0),K413,IF(ISNUMBER(M413),ROUND(M413*7,0),""))</f>
        <v>111</v>
      </c>
      <c r="Q413" s="0" t="str">
        <f aca="false">IF(ISTEXT(K413),"TEXT - recovered",IF(K413&lt;0,"NEGATIVE",IF(K413&gt;728,"&gt;104 WEEKS","OK")))</f>
        <v>OK</v>
      </c>
      <c r="R413" s="0" t="str">
        <f aca="false">IF(E413="GEN","GM",E413)</f>
        <v>GS</v>
      </c>
    </row>
    <row r="414" customFormat="false" ht="15" hidden="false" customHeight="false" outlineLevel="0" collapsed="false">
      <c r="A414" s="0" t="s">
        <v>1738</v>
      </c>
      <c r="B414" s="0" t="s">
        <v>1739</v>
      </c>
      <c r="C414" s="0" t="s">
        <v>1017</v>
      </c>
      <c r="D414" s="31" t="n">
        <v>34188</v>
      </c>
      <c r="E414" s="32" t="s">
        <v>802</v>
      </c>
      <c r="F414" s="32" t="s">
        <v>803</v>
      </c>
      <c r="G414" s="32" t="s">
        <v>804</v>
      </c>
      <c r="H414" s="31" t="n">
        <v>45722</v>
      </c>
      <c r="I414" s="32" t="s">
        <v>805</v>
      </c>
      <c r="J414" s="32" t="s">
        <v>751</v>
      </c>
      <c r="K414" s="32" t="s">
        <v>751</v>
      </c>
      <c r="L414" s="32" t="s">
        <v>752</v>
      </c>
      <c r="M414" s="0" t="n">
        <v>33</v>
      </c>
      <c r="N414" s="32" t="s">
        <v>753</v>
      </c>
      <c r="O414" s="32" t="s">
        <v>850</v>
      </c>
      <c r="P414" s="32" t="n">
        <f aca="false">IF(AND(ISNUMBER(K414),K414&gt;=0),K414,IF(ISNUMBER(M414),ROUND(M414*7,0),""))</f>
        <v>231</v>
      </c>
      <c r="Q414" s="0" t="str">
        <f aca="false">IF(ISTEXT(K414),"TEXT - recovered",IF(K414&lt;0,"NEGATIVE",IF(K414&gt;728,"&gt;104 WEEKS","OK")))</f>
        <v>TEXT - recovered</v>
      </c>
      <c r="R414" s="0" t="str">
        <f aca="false">IF(E414="GEN","GM",E414)</f>
        <v>GYN</v>
      </c>
    </row>
    <row r="415" customFormat="false" ht="15" hidden="false" customHeight="false" outlineLevel="0" collapsed="false">
      <c r="A415" s="0" t="s">
        <v>1740</v>
      </c>
      <c r="B415" s="0" t="s">
        <v>1741</v>
      </c>
      <c r="C415" s="0" t="s">
        <v>894</v>
      </c>
      <c r="D415" s="31" t="n">
        <v>15048</v>
      </c>
      <c r="E415" s="32" t="s">
        <v>818</v>
      </c>
      <c r="F415" s="32" t="s">
        <v>819</v>
      </c>
      <c r="G415" s="32" t="s">
        <v>820</v>
      </c>
      <c r="H415" s="31" t="n">
        <v>45713</v>
      </c>
      <c r="I415" s="32" t="s">
        <v>821</v>
      </c>
      <c r="J415" s="32" t="s">
        <v>751</v>
      </c>
      <c r="K415" s="0" t="n">
        <v>65</v>
      </c>
      <c r="L415" s="32" t="s">
        <v>752</v>
      </c>
      <c r="M415" s="0" t="n">
        <v>9.3</v>
      </c>
      <c r="N415" s="32" t="s">
        <v>330</v>
      </c>
      <c r="O415" s="32" t="s">
        <v>846</v>
      </c>
      <c r="P415" s="32" t="n">
        <f aca="false">IF(AND(ISNUMBER(K415),K415&gt;=0),K415,IF(ISNUMBER(M415),ROUND(M415*7,0),""))</f>
        <v>65</v>
      </c>
      <c r="Q415" s="0" t="str">
        <f aca="false">IF(ISTEXT(K415),"TEXT - recovered",IF(K415&lt;0,"NEGATIVE",IF(K415&gt;728,"&gt;104 WEEKS","OK")))</f>
        <v>OK</v>
      </c>
      <c r="R415" s="0" t="str">
        <f aca="false">IF(E415="GEN","GM",E415)</f>
        <v>OPH</v>
      </c>
    </row>
    <row r="416" customFormat="false" ht="15" hidden="false" customHeight="false" outlineLevel="0" collapsed="false">
      <c r="A416" s="0" t="s">
        <v>1742</v>
      </c>
      <c r="B416" s="0" t="s">
        <v>1743</v>
      </c>
      <c r="C416" s="0" t="s">
        <v>954</v>
      </c>
      <c r="D416" s="31" t="n">
        <v>27129</v>
      </c>
      <c r="E416" s="32" t="s">
        <v>766</v>
      </c>
      <c r="F416" s="32" t="s">
        <v>767</v>
      </c>
      <c r="G416" s="32" t="s">
        <v>768</v>
      </c>
      <c r="H416" s="31" t="n">
        <v>45716</v>
      </c>
      <c r="I416" s="32" t="s">
        <v>821</v>
      </c>
      <c r="J416" s="32" t="s">
        <v>751</v>
      </c>
      <c r="K416" s="32" t="s">
        <v>751</v>
      </c>
      <c r="L416" s="32" t="s">
        <v>752</v>
      </c>
      <c r="M416" s="0" t="n">
        <v>55.1</v>
      </c>
      <c r="N416" s="32" t="s">
        <v>753</v>
      </c>
      <c r="O416" s="32" t="s">
        <v>863</v>
      </c>
      <c r="P416" s="32" t="n">
        <f aca="false">IF(AND(ISNUMBER(K416),K416&gt;=0),K416,IF(ISNUMBER(M416),ROUND(M416*7,0),""))</f>
        <v>386</v>
      </c>
      <c r="Q416" s="0" t="str">
        <f aca="false">IF(ISTEXT(K416),"TEXT - recovered",IF(K416&lt;0,"NEGATIVE",IF(K416&gt;728,"&gt;104 WEEKS","OK")))</f>
        <v>TEXT - recovered</v>
      </c>
      <c r="R416" s="0" t="str">
        <f aca="false">IF(E416="GEN","GM",E416)</f>
        <v>OR</v>
      </c>
    </row>
    <row r="417" customFormat="false" ht="15" hidden="false" customHeight="false" outlineLevel="0" collapsed="false">
      <c r="A417" s="0" t="s">
        <v>1744</v>
      </c>
      <c r="B417" s="0" t="s">
        <v>1745</v>
      </c>
      <c r="C417" s="0" t="s">
        <v>1005</v>
      </c>
      <c r="D417" s="31" t="n">
        <v>21054</v>
      </c>
      <c r="E417" s="32" t="s">
        <v>785</v>
      </c>
      <c r="F417" s="32" t="s">
        <v>786</v>
      </c>
      <c r="G417" s="32" t="s">
        <v>787</v>
      </c>
      <c r="H417" s="31" t="n">
        <v>45736</v>
      </c>
      <c r="I417" s="32" t="s">
        <v>761</v>
      </c>
      <c r="J417" s="32" t="s">
        <v>751</v>
      </c>
      <c r="K417" s="0" t="n">
        <v>95</v>
      </c>
      <c r="L417" s="32" t="s">
        <v>752</v>
      </c>
      <c r="M417" s="0" t="n">
        <v>13.6</v>
      </c>
      <c r="N417" s="32" t="s">
        <v>1630</v>
      </c>
      <c r="O417" s="32" t="s">
        <v>867</v>
      </c>
      <c r="P417" s="32" t="n">
        <f aca="false">IF(AND(ISNUMBER(K417),K417&gt;=0),K417,IF(ISNUMBER(M417),ROUND(M417*7,0),""))</f>
        <v>95</v>
      </c>
      <c r="Q417" s="0" t="str">
        <f aca="false">IF(ISTEXT(K417),"TEXT - recovered",IF(K417&lt;0,"NEGATIVE",IF(K417&gt;728,"&gt;104 WEEKS","OK")))</f>
        <v>OK</v>
      </c>
      <c r="R417" s="0" t="str">
        <f aca="false">IF(E417="GEN","GM",E417)</f>
        <v>RS</v>
      </c>
    </row>
    <row r="418" customFormat="false" ht="15" hidden="false" customHeight="false" outlineLevel="0" collapsed="false">
      <c r="A418" s="0" t="s">
        <v>1746</v>
      </c>
      <c r="B418" s="0" t="s">
        <v>1747</v>
      </c>
      <c r="C418" s="0" t="s">
        <v>837</v>
      </c>
      <c r="D418" s="31" t="n">
        <v>26043</v>
      </c>
      <c r="E418" s="32" t="s">
        <v>793</v>
      </c>
      <c r="F418" s="32" t="s">
        <v>794</v>
      </c>
      <c r="G418" s="32" t="s">
        <v>795</v>
      </c>
      <c r="H418" s="31" t="n">
        <v>45737</v>
      </c>
      <c r="I418" s="32" t="s">
        <v>779</v>
      </c>
      <c r="J418" s="32" t="s">
        <v>751</v>
      </c>
      <c r="K418" s="0" t="n">
        <v>46</v>
      </c>
      <c r="L418" s="32" t="s">
        <v>752</v>
      </c>
      <c r="M418" s="0" t="n">
        <v>6.6</v>
      </c>
      <c r="N418" s="32" t="s">
        <v>753</v>
      </c>
      <c r="O418" s="32" t="s">
        <v>838</v>
      </c>
      <c r="P418" s="32" t="n">
        <f aca="false">IF(AND(ISNUMBER(K418),K418&gt;=0),K418,IF(ISNUMBER(M418),ROUND(M418*7,0),""))</f>
        <v>46</v>
      </c>
      <c r="Q418" s="0" t="str">
        <f aca="false">IF(ISTEXT(K418),"TEXT - recovered",IF(K418&lt;0,"NEGATIVE",IF(K418&gt;728,"&gt;104 WEEKS","OK")))</f>
        <v>OK</v>
      </c>
      <c r="R418" s="0" t="str">
        <f aca="false">IF(E418="GEN","GM",E418)</f>
        <v>EM</v>
      </c>
    </row>
    <row r="419" customFormat="false" ht="15" hidden="false" customHeight="false" outlineLevel="0" collapsed="false">
      <c r="A419" s="0" t="s">
        <v>1748</v>
      </c>
      <c r="B419" s="0" t="s">
        <v>1749</v>
      </c>
      <c r="C419" s="0" t="s">
        <v>1402</v>
      </c>
      <c r="D419" s="31" t="n">
        <v>24035</v>
      </c>
      <c r="E419" s="32" t="s">
        <v>793</v>
      </c>
      <c r="F419" s="32" t="s">
        <v>794</v>
      </c>
      <c r="G419" s="32" t="s">
        <v>795</v>
      </c>
      <c r="H419" s="31" t="n">
        <v>45730</v>
      </c>
      <c r="I419" s="32" t="s">
        <v>796</v>
      </c>
      <c r="J419" s="32" t="s">
        <v>751</v>
      </c>
      <c r="K419" s="0" t="n">
        <v>56</v>
      </c>
      <c r="L419" s="32" t="s">
        <v>752</v>
      </c>
      <c r="M419" s="0" t="n">
        <v>8</v>
      </c>
      <c r="N419" s="32" t="s">
        <v>753</v>
      </c>
      <c r="O419" s="32" t="s">
        <v>867</v>
      </c>
      <c r="P419" s="32" t="n">
        <f aca="false">IF(AND(ISNUMBER(K419),K419&gt;=0),K419,IF(ISNUMBER(M419),ROUND(M419*7,0),""))</f>
        <v>56</v>
      </c>
      <c r="Q419" s="0" t="str">
        <f aca="false">IF(ISTEXT(K419),"TEXT - recovered",IF(K419&lt;0,"NEGATIVE",IF(K419&gt;728,"&gt;104 WEEKS","OK")))</f>
        <v>OK</v>
      </c>
      <c r="R419" s="0" t="str">
        <f aca="false">IF(E419="GEN","GM",E419)</f>
        <v>EM</v>
      </c>
    </row>
    <row r="420" customFormat="false" ht="15" hidden="false" customHeight="false" outlineLevel="0" collapsed="false">
      <c r="A420" s="0" t="s">
        <v>1750</v>
      </c>
      <c r="B420" s="0" t="s">
        <v>1751</v>
      </c>
      <c r="C420" s="0" t="s">
        <v>1414</v>
      </c>
      <c r="D420" s="31" t="n">
        <v>27115</v>
      </c>
      <c r="E420" s="32" t="s">
        <v>758</v>
      </c>
      <c r="F420" s="32" t="s">
        <v>759</v>
      </c>
      <c r="G420" s="32" t="s">
        <v>760</v>
      </c>
      <c r="H420" s="31" t="n">
        <v>45737</v>
      </c>
      <c r="I420" s="32" t="s">
        <v>821</v>
      </c>
      <c r="J420" s="32" t="s">
        <v>751</v>
      </c>
      <c r="K420" s="0" t="n">
        <v>17</v>
      </c>
      <c r="L420" s="32" t="s">
        <v>752</v>
      </c>
      <c r="M420" s="0" t="n">
        <v>2.4</v>
      </c>
      <c r="N420" s="32" t="s">
        <v>753</v>
      </c>
      <c r="O420" s="32" t="s">
        <v>871</v>
      </c>
      <c r="P420" s="32" t="n">
        <f aca="false">IF(AND(ISNUMBER(K420),K420&gt;=0),K420,IF(ISNUMBER(M420),ROUND(M420*7,0),""))</f>
        <v>17</v>
      </c>
      <c r="Q420" s="0" t="str">
        <f aca="false">IF(ISTEXT(K420),"TEXT - recovered",IF(K420&lt;0,"NEGATIVE",IF(K420&gt;728,"&gt;104 WEEKS","OK")))</f>
        <v>OK</v>
      </c>
      <c r="R420" s="0" t="str">
        <f aca="false">IF(E420="GEN","GM",E420)</f>
        <v>CS</v>
      </c>
    </row>
    <row r="421" customFormat="false" ht="15" hidden="false" customHeight="false" outlineLevel="0" collapsed="false">
      <c r="A421" s="0" t="s">
        <v>1752</v>
      </c>
      <c r="B421" s="0" t="s">
        <v>1753</v>
      </c>
      <c r="C421" s="0" t="s">
        <v>942</v>
      </c>
      <c r="D421" s="31" t="n">
        <v>24893</v>
      </c>
      <c r="E421" s="32" t="s">
        <v>758</v>
      </c>
      <c r="F421" s="32" t="s">
        <v>759</v>
      </c>
      <c r="G421" s="32" t="s">
        <v>760</v>
      </c>
      <c r="H421" s="31" t="n">
        <v>45726</v>
      </c>
      <c r="I421" s="32" t="s">
        <v>813</v>
      </c>
      <c r="J421" s="32" t="s">
        <v>751</v>
      </c>
      <c r="K421" s="0" t="n">
        <v>64</v>
      </c>
      <c r="L421" s="32" t="s">
        <v>752</v>
      </c>
      <c r="M421" s="0" t="n">
        <v>9.1</v>
      </c>
      <c r="N421" s="32" t="s">
        <v>330</v>
      </c>
      <c r="O421" s="32" t="s">
        <v>838</v>
      </c>
      <c r="P421" s="32" t="n">
        <f aca="false">IF(AND(ISNUMBER(K421),K421&gt;=0),K421,IF(ISNUMBER(M421),ROUND(M421*7,0),""))</f>
        <v>64</v>
      </c>
      <c r="Q421" s="0" t="str">
        <f aca="false">IF(ISTEXT(K421),"TEXT - recovered",IF(K421&lt;0,"NEGATIVE",IF(K421&gt;728,"&gt;104 WEEKS","OK")))</f>
        <v>OK</v>
      </c>
      <c r="R421" s="0" t="str">
        <f aca="false">IF(E421="GEN","GM",E421)</f>
        <v>CS</v>
      </c>
    </row>
    <row r="422" customFormat="false" ht="15" hidden="false" customHeight="false" outlineLevel="0" collapsed="false">
      <c r="A422" s="0" t="s">
        <v>1754</v>
      </c>
      <c r="B422" s="0" t="s">
        <v>1755</v>
      </c>
      <c r="C422" s="0" t="s">
        <v>833</v>
      </c>
      <c r="D422" s="31" t="n">
        <v>19474</v>
      </c>
      <c r="E422" s="32" t="s">
        <v>776</v>
      </c>
      <c r="F422" s="32" t="s">
        <v>777</v>
      </c>
      <c r="G422" s="32" t="s">
        <v>778</v>
      </c>
      <c r="H422" s="31" t="n">
        <v>45728</v>
      </c>
      <c r="I422" s="32" t="s">
        <v>761</v>
      </c>
      <c r="J422" s="32" t="s">
        <v>751</v>
      </c>
      <c r="K422" s="0" t="n">
        <v>75</v>
      </c>
      <c r="L422" s="32" t="s">
        <v>752</v>
      </c>
      <c r="M422" s="0" t="n">
        <v>10.7</v>
      </c>
      <c r="N422" s="32" t="s">
        <v>753</v>
      </c>
      <c r="O422" s="32" t="s">
        <v>867</v>
      </c>
      <c r="P422" s="32" t="n">
        <f aca="false">IF(AND(ISNUMBER(K422),K422&gt;=0),K422,IF(ISNUMBER(M422),ROUND(M422*7,0),""))</f>
        <v>75</v>
      </c>
      <c r="Q422" s="0" t="str">
        <f aca="false">IF(ISTEXT(K422),"TEXT - recovered",IF(K422&lt;0,"NEGATIVE",IF(K422&gt;728,"&gt;104 WEEKS","OK")))</f>
        <v>OK</v>
      </c>
      <c r="R422" s="0" t="str">
        <f aca="false">IF(E422="GEN","GM",E422)</f>
        <v>GS</v>
      </c>
    </row>
    <row r="423" customFormat="false" ht="15" hidden="false" customHeight="false" outlineLevel="0" collapsed="false">
      <c r="A423" s="0" t="s">
        <v>1756</v>
      </c>
      <c r="B423" s="0" t="s">
        <v>1757</v>
      </c>
      <c r="C423" s="0" t="s">
        <v>993</v>
      </c>
      <c r="D423" s="31" t="n">
        <v>35753</v>
      </c>
      <c r="E423" s="32" t="s">
        <v>826</v>
      </c>
      <c r="F423" s="32" t="s">
        <v>827</v>
      </c>
      <c r="G423" s="32" t="s">
        <v>828</v>
      </c>
      <c r="H423" s="31" t="n">
        <v>45716</v>
      </c>
      <c r="I423" s="32" t="s">
        <v>813</v>
      </c>
      <c r="J423" s="32" t="s">
        <v>751</v>
      </c>
      <c r="K423" s="0" t="n">
        <v>76</v>
      </c>
      <c r="L423" s="32" t="s">
        <v>752</v>
      </c>
      <c r="M423" s="0" t="n">
        <v>10.9</v>
      </c>
      <c r="N423" s="32" t="s">
        <v>330</v>
      </c>
      <c r="O423" s="32" t="s">
        <v>754</v>
      </c>
      <c r="P423" s="32" t="n">
        <f aca="false">IF(AND(ISNUMBER(K423),K423&gt;=0),K423,IF(ISNUMBER(M423),ROUND(M423*7,0),""))</f>
        <v>76</v>
      </c>
      <c r="Q423" s="0" t="str">
        <f aca="false">IF(ISTEXT(K423),"TEXT - recovered",IF(K423&lt;0,"NEGATIVE",IF(K423&gt;728,"&gt;104 WEEKS","OK")))</f>
        <v>OK</v>
      </c>
      <c r="R423" s="0" t="str">
        <f aca="false">IF(E423="GEN","GM",E423)</f>
        <v>RHE</v>
      </c>
    </row>
    <row r="424" customFormat="false" ht="15" hidden="false" customHeight="false" outlineLevel="0" collapsed="false">
      <c r="A424" s="0" t="s">
        <v>1758</v>
      </c>
      <c r="B424" s="0" t="s">
        <v>1759</v>
      </c>
      <c r="C424" s="0" t="s">
        <v>841</v>
      </c>
      <c r="D424" s="31" t="n">
        <v>33900</v>
      </c>
      <c r="E424" s="32" t="s">
        <v>776</v>
      </c>
      <c r="F424" s="32" t="s">
        <v>777</v>
      </c>
      <c r="G424" s="32" t="s">
        <v>778</v>
      </c>
      <c r="H424" s="31" t="n">
        <v>45715</v>
      </c>
      <c r="I424" s="32" t="s">
        <v>750</v>
      </c>
      <c r="J424" s="32" t="s">
        <v>751</v>
      </c>
      <c r="K424" s="0" t="n">
        <v>49</v>
      </c>
      <c r="L424" s="32" t="s">
        <v>752</v>
      </c>
      <c r="M424" s="0" t="n">
        <v>7</v>
      </c>
      <c r="N424" s="32" t="s">
        <v>753</v>
      </c>
      <c r="O424" s="32" t="s">
        <v>850</v>
      </c>
      <c r="P424" s="32" t="n">
        <f aca="false">IF(AND(ISNUMBER(K424),K424&gt;=0),K424,IF(ISNUMBER(M424),ROUND(M424*7,0),""))</f>
        <v>49</v>
      </c>
      <c r="Q424" s="0" t="str">
        <f aca="false">IF(ISTEXT(K424),"TEXT - recovered",IF(K424&lt;0,"NEGATIVE",IF(K424&gt;728,"&gt;104 WEEKS","OK")))</f>
        <v>OK</v>
      </c>
      <c r="R424" s="0" t="str">
        <f aca="false">IF(E424="GEN","GM",E424)</f>
        <v>GS</v>
      </c>
    </row>
    <row r="425" customFormat="false" ht="15" hidden="false" customHeight="false" outlineLevel="0" collapsed="false">
      <c r="A425" s="0" t="s">
        <v>1760</v>
      </c>
      <c r="B425" s="0" t="s">
        <v>1761</v>
      </c>
      <c r="C425" s="0" t="s">
        <v>902</v>
      </c>
      <c r="D425" s="31" t="n">
        <v>22744</v>
      </c>
      <c r="E425" s="32" t="s">
        <v>785</v>
      </c>
      <c r="F425" s="32" t="s">
        <v>786</v>
      </c>
      <c r="G425" s="32" t="s">
        <v>787</v>
      </c>
      <c r="H425" s="31" t="n">
        <v>45719</v>
      </c>
      <c r="I425" s="32" t="s">
        <v>788</v>
      </c>
      <c r="J425" s="32" t="s">
        <v>751</v>
      </c>
      <c r="K425" s="32" t="s">
        <v>751</v>
      </c>
      <c r="L425" s="32" t="s">
        <v>752</v>
      </c>
      <c r="M425" s="0" t="n">
        <v>41.3</v>
      </c>
      <c r="N425" s="32" t="s">
        <v>753</v>
      </c>
      <c r="O425" s="32" t="s">
        <v>883</v>
      </c>
      <c r="P425" s="32" t="n">
        <f aca="false">IF(AND(ISNUMBER(K425),K425&gt;=0),K425,IF(ISNUMBER(M425),ROUND(M425*7,0),""))</f>
        <v>289</v>
      </c>
      <c r="Q425" s="0" t="str">
        <f aca="false">IF(ISTEXT(K425),"TEXT - recovered",IF(K425&lt;0,"NEGATIVE",IF(K425&gt;728,"&gt;104 WEEKS","OK")))</f>
        <v>TEXT - recovered</v>
      </c>
      <c r="R425" s="0" t="str">
        <f aca="false">IF(E425="GEN","GM",E425)</f>
        <v>RS</v>
      </c>
    </row>
    <row r="426" customFormat="false" ht="15" hidden="false" customHeight="false" outlineLevel="0" collapsed="false">
      <c r="A426" s="0" t="s">
        <v>1762</v>
      </c>
      <c r="B426" s="0" t="s">
        <v>1763</v>
      </c>
      <c r="C426" s="0" t="s">
        <v>866</v>
      </c>
      <c r="D426" s="31" t="n">
        <v>33283</v>
      </c>
      <c r="E426" s="32" t="s">
        <v>818</v>
      </c>
      <c r="F426" s="32" t="s">
        <v>819</v>
      </c>
      <c r="G426" s="32" t="s">
        <v>820</v>
      </c>
      <c r="H426" s="31" t="n">
        <v>45720</v>
      </c>
      <c r="I426" s="32" t="s">
        <v>761</v>
      </c>
      <c r="J426" s="32" t="s">
        <v>751</v>
      </c>
      <c r="K426" s="0" t="n">
        <v>14</v>
      </c>
      <c r="L426" s="32" t="s">
        <v>752</v>
      </c>
      <c r="M426" s="0" t="n">
        <v>2</v>
      </c>
      <c r="N426" s="32" t="s">
        <v>780</v>
      </c>
      <c r="O426" s="32" t="s">
        <v>798</v>
      </c>
      <c r="P426" s="32" t="n">
        <f aca="false">IF(AND(ISNUMBER(K426),K426&gt;=0),K426,IF(ISNUMBER(M426),ROUND(M426*7,0),""))</f>
        <v>14</v>
      </c>
      <c r="Q426" s="0" t="str">
        <f aca="false">IF(ISTEXT(K426),"TEXT - recovered",IF(K426&lt;0,"NEGATIVE",IF(K426&gt;728,"&gt;104 WEEKS","OK")))</f>
        <v>OK</v>
      </c>
      <c r="R426" s="0" t="str">
        <f aca="false">IF(E426="GEN","GM",E426)</f>
        <v>OPH</v>
      </c>
    </row>
    <row r="427" customFormat="false" ht="15" hidden="false" customHeight="false" outlineLevel="0" collapsed="false">
      <c r="A427" s="0" t="s">
        <v>1764</v>
      </c>
      <c r="B427" s="0" t="s">
        <v>1765</v>
      </c>
      <c r="C427" s="0" t="s">
        <v>898</v>
      </c>
      <c r="D427" s="31" t="n">
        <v>32152</v>
      </c>
      <c r="E427" s="32" t="s">
        <v>766</v>
      </c>
      <c r="F427" s="32" t="s">
        <v>767</v>
      </c>
      <c r="G427" s="32" t="s">
        <v>768</v>
      </c>
      <c r="H427" s="31" t="n">
        <v>45726</v>
      </c>
      <c r="I427" s="32" t="s">
        <v>821</v>
      </c>
      <c r="J427" s="32" t="s">
        <v>751</v>
      </c>
      <c r="K427" s="0" t="n">
        <v>75</v>
      </c>
      <c r="L427" s="32" t="s">
        <v>752</v>
      </c>
      <c r="M427" s="0" t="n">
        <v>10.7</v>
      </c>
      <c r="N427" s="32" t="s">
        <v>753</v>
      </c>
      <c r="O427" s="32" t="s">
        <v>846</v>
      </c>
      <c r="P427" s="32" t="n">
        <f aca="false">IF(AND(ISNUMBER(K427),K427&gt;=0),K427,IF(ISNUMBER(M427),ROUND(M427*7,0),""))</f>
        <v>75</v>
      </c>
      <c r="Q427" s="0" t="str">
        <f aca="false">IF(ISTEXT(K427),"TEXT - recovered",IF(K427&lt;0,"NEGATIVE",IF(K427&gt;728,"&gt;104 WEEKS","OK")))</f>
        <v>OK</v>
      </c>
      <c r="R427" s="0" t="str">
        <f aca="false">IF(E427="GEN","GM",E427)</f>
        <v>OR</v>
      </c>
    </row>
    <row r="428" customFormat="false" ht="15" hidden="false" customHeight="false" outlineLevel="0" collapsed="false">
      <c r="A428" s="0" t="s">
        <v>1766</v>
      </c>
      <c r="B428" s="0" t="s">
        <v>1767</v>
      </c>
      <c r="C428" s="0" t="s">
        <v>870</v>
      </c>
      <c r="D428" s="31" t="n">
        <v>14774</v>
      </c>
      <c r="E428" s="32" t="s">
        <v>802</v>
      </c>
      <c r="F428" s="32" t="s">
        <v>803</v>
      </c>
      <c r="G428" s="32" t="s">
        <v>804</v>
      </c>
      <c r="H428" s="31" t="n">
        <v>45719</v>
      </c>
      <c r="I428" s="32" t="s">
        <v>750</v>
      </c>
      <c r="J428" s="32" t="s">
        <v>751</v>
      </c>
      <c r="K428" s="0" t="n">
        <v>27</v>
      </c>
      <c r="L428" s="32" t="s">
        <v>752</v>
      </c>
      <c r="M428" s="0" t="n">
        <v>3.9</v>
      </c>
      <c r="N428" s="32" t="s">
        <v>753</v>
      </c>
      <c r="O428" s="32" t="s">
        <v>1683</v>
      </c>
      <c r="P428" s="32" t="n">
        <f aca="false">IF(AND(ISNUMBER(K428),K428&gt;=0),K428,IF(ISNUMBER(M428),ROUND(M428*7,0),""))</f>
        <v>27</v>
      </c>
      <c r="Q428" s="0" t="str">
        <f aca="false">IF(ISTEXT(K428),"TEXT - recovered",IF(K428&lt;0,"NEGATIVE",IF(K428&gt;728,"&gt;104 WEEKS","OK")))</f>
        <v>OK</v>
      </c>
      <c r="R428" s="0" t="str">
        <f aca="false">IF(E428="GEN","GM",E428)</f>
        <v>GYN</v>
      </c>
    </row>
    <row r="429" customFormat="false" ht="15" hidden="false" customHeight="false" outlineLevel="0" collapsed="false">
      <c r="A429" s="0" t="s">
        <v>1768</v>
      </c>
      <c r="B429" s="0" t="s">
        <v>1769</v>
      </c>
      <c r="C429" s="0" t="s">
        <v>1017</v>
      </c>
      <c r="D429" s="31" t="n">
        <v>31005</v>
      </c>
      <c r="E429" s="32" t="s">
        <v>826</v>
      </c>
      <c r="F429" s="32" t="s">
        <v>827</v>
      </c>
      <c r="G429" s="32" t="s">
        <v>828</v>
      </c>
      <c r="H429" s="31" t="n">
        <v>45723</v>
      </c>
      <c r="I429" s="32" t="s">
        <v>769</v>
      </c>
      <c r="J429" s="32" t="s">
        <v>751</v>
      </c>
      <c r="K429" s="32" t="s">
        <v>751</v>
      </c>
      <c r="L429" s="32" t="s">
        <v>752</v>
      </c>
      <c r="M429" s="0" t="n">
        <v>46.1</v>
      </c>
      <c r="N429" s="32" t="s">
        <v>753</v>
      </c>
      <c r="O429" s="32" t="s">
        <v>814</v>
      </c>
      <c r="P429" s="32" t="n">
        <f aca="false">IF(AND(ISNUMBER(K429),K429&gt;=0),K429,IF(ISNUMBER(M429),ROUND(M429*7,0),""))</f>
        <v>323</v>
      </c>
      <c r="Q429" s="0" t="str">
        <f aca="false">IF(ISTEXT(K429),"TEXT - recovered",IF(K429&lt;0,"NEGATIVE",IF(K429&gt;728,"&gt;104 WEEKS","OK")))</f>
        <v>TEXT - recovered</v>
      </c>
      <c r="R429" s="0" t="str">
        <f aca="false">IF(E429="GEN","GM",E429)</f>
        <v>RHE</v>
      </c>
    </row>
    <row r="430" customFormat="false" ht="15" hidden="false" customHeight="false" outlineLevel="0" collapsed="false">
      <c r="A430" s="0" t="s">
        <v>1770</v>
      </c>
      <c r="B430" s="0" t="s">
        <v>1771</v>
      </c>
      <c r="C430" s="0" t="s">
        <v>934</v>
      </c>
      <c r="D430" s="31" t="n">
        <v>26638</v>
      </c>
      <c r="E430" s="32" t="s">
        <v>818</v>
      </c>
      <c r="F430" s="32" t="s">
        <v>819</v>
      </c>
      <c r="G430" s="32" t="s">
        <v>820</v>
      </c>
      <c r="H430" s="31" t="n">
        <v>45726</v>
      </c>
      <c r="I430" s="32" t="s">
        <v>761</v>
      </c>
      <c r="J430" s="32" t="s">
        <v>751</v>
      </c>
      <c r="K430" s="32" t="s">
        <v>751</v>
      </c>
      <c r="L430" s="32" t="s">
        <v>752</v>
      </c>
      <c r="M430" s="0" t="n">
        <v>25.3</v>
      </c>
      <c r="N430" s="32" t="s">
        <v>753</v>
      </c>
      <c r="O430" s="32" t="s">
        <v>798</v>
      </c>
      <c r="P430" s="32" t="n">
        <f aca="false">IF(AND(ISNUMBER(K430),K430&gt;=0),K430,IF(ISNUMBER(M430),ROUND(M430*7,0),""))</f>
        <v>177</v>
      </c>
      <c r="Q430" s="0" t="str">
        <f aca="false">IF(ISTEXT(K430),"TEXT - recovered",IF(K430&lt;0,"NEGATIVE",IF(K430&gt;728,"&gt;104 WEEKS","OK")))</f>
        <v>TEXT - recovered</v>
      </c>
      <c r="R430" s="0" t="str">
        <f aca="false">IF(E430="GEN","GM",E430)</f>
        <v>OPH</v>
      </c>
    </row>
    <row r="431" customFormat="false" ht="15" hidden="false" customHeight="false" outlineLevel="0" collapsed="false">
      <c r="A431" s="0" t="s">
        <v>1772</v>
      </c>
      <c r="B431" s="0" t="s">
        <v>1773</v>
      </c>
      <c r="C431" s="0" t="s">
        <v>922</v>
      </c>
      <c r="D431" s="31" t="n">
        <v>25102</v>
      </c>
      <c r="E431" s="32" t="s">
        <v>766</v>
      </c>
      <c r="F431" s="32" t="s">
        <v>767</v>
      </c>
      <c r="G431" s="32" t="s">
        <v>768</v>
      </c>
      <c r="H431" s="31" t="n">
        <v>45723</v>
      </c>
      <c r="I431" s="32" t="s">
        <v>761</v>
      </c>
      <c r="J431" s="32" t="s">
        <v>751</v>
      </c>
      <c r="K431" s="0" t="n">
        <v>93</v>
      </c>
      <c r="L431" s="32" t="s">
        <v>752</v>
      </c>
      <c r="M431" s="0" t="n">
        <v>13.3</v>
      </c>
      <c r="N431" s="32" t="s">
        <v>780</v>
      </c>
      <c r="O431" s="32" t="s">
        <v>850</v>
      </c>
      <c r="P431" s="32" t="n">
        <f aca="false">IF(AND(ISNUMBER(K431),K431&gt;=0),K431,IF(ISNUMBER(M431),ROUND(M431*7,0),""))</f>
        <v>93</v>
      </c>
      <c r="Q431" s="0" t="str">
        <f aca="false">IF(ISTEXT(K431),"TEXT - recovered",IF(K431&lt;0,"NEGATIVE",IF(K431&gt;728,"&gt;104 WEEKS","OK")))</f>
        <v>OK</v>
      </c>
      <c r="R431" s="0" t="str">
        <f aca="false">IF(E431="GEN","GM",E431)</f>
        <v>OR</v>
      </c>
    </row>
    <row r="432" customFormat="false" ht="15" hidden="false" customHeight="false" outlineLevel="0" collapsed="false">
      <c r="A432" s="0" t="s">
        <v>1774</v>
      </c>
      <c r="B432" s="0" t="s">
        <v>1775</v>
      </c>
      <c r="C432" s="0" t="s">
        <v>970</v>
      </c>
      <c r="D432" s="31" t="n">
        <v>16183</v>
      </c>
      <c r="E432" s="32" t="s">
        <v>818</v>
      </c>
      <c r="F432" s="32" t="s">
        <v>819</v>
      </c>
      <c r="G432" s="32" t="s">
        <v>820</v>
      </c>
      <c r="H432" s="31" t="n">
        <v>45735</v>
      </c>
      <c r="I432" s="32" t="s">
        <v>788</v>
      </c>
      <c r="J432" s="32" t="s">
        <v>751</v>
      </c>
      <c r="K432" s="0" t="n">
        <v>88</v>
      </c>
      <c r="L432" s="32" t="s">
        <v>752</v>
      </c>
      <c r="M432" s="0" t="n">
        <v>12.6</v>
      </c>
      <c r="N432" s="32" t="s">
        <v>753</v>
      </c>
      <c r="O432" s="32" t="s">
        <v>822</v>
      </c>
      <c r="P432" s="32" t="n">
        <f aca="false">IF(AND(ISNUMBER(K432),K432&gt;=0),K432,IF(ISNUMBER(M432),ROUND(M432*7,0),""))</f>
        <v>88</v>
      </c>
      <c r="Q432" s="0" t="str">
        <f aca="false">IF(ISTEXT(K432),"TEXT - recovered",IF(K432&lt;0,"NEGATIVE",IF(K432&gt;728,"&gt;104 WEEKS","OK")))</f>
        <v>OK</v>
      </c>
      <c r="R432" s="0" t="str">
        <f aca="false">IF(E432="GEN","GM",E432)</f>
        <v>OPH</v>
      </c>
    </row>
    <row r="433" customFormat="false" ht="15" hidden="false" customHeight="false" outlineLevel="0" collapsed="false">
      <c r="A433" s="0" t="s">
        <v>1776</v>
      </c>
      <c r="B433" s="0" t="s">
        <v>1777</v>
      </c>
      <c r="C433" s="0" t="s">
        <v>882</v>
      </c>
      <c r="D433" s="31" t="n">
        <v>34023</v>
      </c>
      <c r="E433" s="32" t="s">
        <v>826</v>
      </c>
      <c r="F433" s="32" t="s">
        <v>827</v>
      </c>
      <c r="G433" s="32" t="s">
        <v>828</v>
      </c>
      <c r="H433" s="31" t="n">
        <v>45712</v>
      </c>
      <c r="I433" s="32" t="s">
        <v>750</v>
      </c>
      <c r="J433" s="32" t="s">
        <v>751</v>
      </c>
      <c r="K433" s="0" t="n">
        <v>42</v>
      </c>
      <c r="L433" s="32" t="s">
        <v>752</v>
      </c>
      <c r="M433" s="0" t="n">
        <v>6</v>
      </c>
      <c r="N433" s="32" t="s">
        <v>780</v>
      </c>
      <c r="O433" s="32" t="s">
        <v>830</v>
      </c>
      <c r="P433" s="32" t="n">
        <f aca="false">IF(AND(ISNUMBER(K433),K433&gt;=0),K433,IF(ISNUMBER(M433),ROUND(M433*7,0),""))</f>
        <v>42</v>
      </c>
      <c r="Q433" s="0" t="str">
        <f aca="false">IF(ISTEXT(K433),"TEXT - recovered",IF(K433&lt;0,"NEGATIVE",IF(K433&gt;728,"&gt;104 WEEKS","OK")))</f>
        <v>OK</v>
      </c>
      <c r="R433" s="0" t="str">
        <f aca="false">IF(E433="GEN","GM",E433)</f>
        <v>RHE</v>
      </c>
    </row>
    <row r="434" customFormat="false" ht="15" hidden="false" customHeight="false" outlineLevel="0" collapsed="false">
      <c r="A434" s="0" t="s">
        <v>1778</v>
      </c>
      <c r="B434" s="0" t="s">
        <v>1779</v>
      </c>
      <c r="C434" s="0" t="s">
        <v>866</v>
      </c>
      <c r="D434" s="31" t="n">
        <v>35811</v>
      </c>
      <c r="E434" s="32" t="s">
        <v>758</v>
      </c>
      <c r="F434" s="32" t="s">
        <v>759</v>
      </c>
      <c r="G434" s="32" t="s">
        <v>760</v>
      </c>
      <c r="H434" s="31" t="n">
        <v>45729</v>
      </c>
      <c r="I434" s="32" t="s">
        <v>821</v>
      </c>
      <c r="J434" s="32" t="s">
        <v>751</v>
      </c>
      <c r="K434" s="0" t="n">
        <v>109</v>
      </c>
      <c r="L434" s="32" t="s">
        <v>752</v>
      </c>
      <c r="M434" s="0" t="n">
        <v>15.6</v>
      </c>
      <c r="N434" s="32" t="s">
        <v>753</v>
      </c>
      <c r="O434" s="32" t="s">
        <v>1683</v>
      </c>
      <c r="P434" s="32" t="n">
        <f aca="false">IF(AND(ISNUMBER(K434),K434&gt;=0),K434,IF(ISNUMBER(M434),ROUND(M434*7,0),""))</f>
        <v>109</v>
      </c>
      <c r="Q434" s="0" t="str">
        <f aca="false">IF(ISTEXT(K434),"TEXT - recovered",IF(K434&lt;0,"NEGATIVE",IF(K434&gt;728,"&gt;104 WEEKS","OK")))</f>
        <v>OK</v>
      </c>
      <c r="R434" s="0" t="str">
        <f aca="false">IF(E434="GEN","GM",E434)</f>
        <v>CS</v>
      </c>
    </row>
    <row r="435" customFormat="false" ht="15" hidden="false" customHeight="false" outlineLevel="0" collapsed="false">
      <c r="A435" s="0" t="s">
        <v>1780</v>
      </c>
      <c r="B435" s="0" t="s">
        <v>1781</v>
      </c>
      <c r="C435" s="0" t="s">
        <v>942</v>
      </c>
      <c r="D435" s="31" t="n">
        <v>35313</v>
      </c>
      <c r="E435" s="32" t="s">
        <v>785</v>
      </c>
      <c r="F435" s="32" t="s">
        <v>786</v>
      </c>
      <c r="G435" s="32" t="s">
        <v>787</v>
      </c>
      <c r="H435" s="31" t="n">
        <v>45734</v>
      </c>
      <c r="I435" s="32" t="s">
        <v>788</v>
      </c>
      <c r="J435" s="32" t="s">
        <v>751</v>
      </c>
      <c r="K435" s="0" t="n">
        <v>37</v>
      </c>
      <c r="L435" s="32" t="s">
        <v>752</v>
      </c>
      <c r="M435" s="0" t="n">
        <v>5.3</v>
      </c>
      <c r="N435" s="32" t="s">
        <v>753</v>
      </c>
      <c r="O435" s="32" t="s">
        <v>859</v>
      </c>
      <c r="P435" s="32" t="n">
        <f aca="false">IF(AND(ISNUMBER(K435),K435&gt;=0),K435,IF(ISNUMBER(M435),ROUND(M435*7,0),""))</f>
        <v>37</v>
      </c>
      <c r="Q435" s="0" t="str">
        <f aca="false">IF(ISTEXT(K435),"TEXT - recovered",IF(K435&lt;0,"NEGATIVE",IF(K435&gt;728,"&gt;104 WEEKS","OK")))</f>
        <v>OK</v>
      </c>
      <c r="R435" s="0" t="str">
        <f aca="false">IF(E435="GEN","GM",E435)</f>
        <v>RS</v>
      </c>
    </row>
    <row r="436" customFormat="false" ht="15" hidden="false" customHeight="false" outlineLevel="0" collapsed="false">
      <c r="A436" s="0" t="s">
        <v>1782</v>
      </c>
      <c r="B436" s="0" t="s">
        <v>1783</v>
      </c>
      <c r="C436" s="0" t="s">
        <v>962</v>
      </c>
      <c r="D436" s="31" t="n">
        <v>32222</v>
      </c>
      <c r="E436" s="32" t="s">
        <v>802</v>
      </c>
      <c r="F436" s="32" t="s">
        <v>803</v>
      </c>
      <c r="G436" s="32" t="s">
        <v>804</v>
      </c>
      <c r="H436" s="31" t="n">
        <v>45734</v>
      </c>
      <c r="I436" s="32" t="s">
        <v>761</v>
      </c>
      <c r="J436" s="32" t="s">
        <v>751</v>
      </c>
      <c r="K436" s="0" t="n">
        <v>54</v>
      </c>
      <c r="L436" s="32" t="s">
        <v>752</v>
      </c>
      <c r="M436" s="0" t="n">
        <v>7.7</v>
      </c>
      <c r="N436" s="32" t="s">
        <v>780</v>
      </c>
      <c r="O436" s="32" t="s">
        <v>842</v>
      </c>
      <c r="P436" s="32" t="n">
        <f aca="false">IF(AND(ISNUMBER(K436),K436&gt;=0),K436,IF(ISNUMBER(M436),ROUND(M436*7,0),""))</f>
        <v>54</v>
      </c>
      <c r="Q436" s="0" t="str">
        <f aca="false">IF(ISTEXT(K436),"TEXT - recovered",IF(K436&lt;0,"NEGATIVE",IF(K436&gt;728,"&gt;104 WEEKS","OK")))</f>
        <v>OK</v>
      </c>
      <c r="R436" s="0" t="str">
        <f aca="false">IF(E436="GEN","GM",E436)</f>
        <v>GYN</v>
      </c>
    </row>
    <row r="437" customFormat="false" ht="15" hidden="false" customHeight="false" outlineLevel="0" collapsed="false">
      <c r="A437" s="0" t="s">
        <v>1784</v>
      </c>
      <c r="B437" s="0" t="s">
        <v>1785</v>
      </c>
      <c r="C437" s="0" t="s">
        <v>1017</v>
      </c>
      <c r="D437" s="31" t="n">
        <v>27435</v>
      </c>
      <c r="E437" s="32" t="s">
        <v>818</v>
      </c>
      <c r="F437" s="32" t="s">
        <v>819</v>
      </c>
      <c r="G437" s="32" t="s">
        <v>820</v>
      </c>
      <c r="H437" s="31" t="n">
        <v>45730</v>
      </c>
      <c r="I437" s="32" t="s">
        <v>829</v>
      </c>
      <c r="J437" s="32" t="s">
        <v>797</v>
      </c>
      <c r="K437" s="0" t="n">
        <v>69</v>
      </c>
      <c r="L437" s="32" t="s">
        <v>771</v>
      </c>
      <c r="M437" s="0" t="n">
        <v>9.9</v>
      </c>
      <c r="N437" s="32" t="s">
        <v>1630</v>
      </c>
      <c r="O437" s="32" t="s">
        <v>883</v>
      </c>
      <c r="P437" s="32" t="n">
        <f aca="false">IF(AND(ISNUMBER(K437),K437&gt;=0),K437,IF(ISNUMBER(M437),ROUND(M437*7,0),""))</f>
        <v>69</v>
      </c>
      <c r="Q437" s="0" t="str">
        <f aca="false">IF(ISTEXT(K437),"TEXT - recovered",IF(K437&lt;0,"NEGATIVE",IF(K437&gt;728,"&gt;104 WEEKS","OK")))</f>
        <v>OK</v>
      </c>
      <c r="R437" s="0" t="str">
        <f aca="false">IF(E437="GEN","GM",E437)</f>
        <v>OPH</v>
      </c>
    </row>
    <row r="438" customFormat="false" ht="15" hidden="false" customHeight="false" outlineLevel="0" collapsed="false">
      <c r="A438" s="0" t="s">
        <v>1786</v>
      </c>
      <c r="B438" s="0" t="s">
        <v>1787</v>
      </c>
      <c r="C438" s="0" t="s">
        <v>870</v>
      </c>
      <c r="D438" s="31" t="n">
        <v>29069</v>
      </c>
      <c r="E438" s="32" t="s">
        <v>818</v>
      </c>
      <c r="F438" s="32" t="s">
        <v>819</v>
      </c>
      <c r="G438" s="32" t="s">
        <v>820</v>
      </c>
      <c r="H438" s="31" t="n">
        <v>45714</v>
      </c>
      <c r="I438" s="32" t="s">
        <v>796</v>
      </c>
      <c r="J438" s="32" t="s">
        <v>751</v>
      </c>
      <c r="K438" s="0" t="n">
        <v>108</v>
      </c>
      <c r="L438" s="32" t="s">
        <v>752</v>
      </c>
      <c r="M438" s="0" t="n">
        <v>15.4</v>
      </c>
      <c r="N438" s="32" t="s">
        <v>753</v>
      </c>
      <c r="O438" s="32" t="s">
        <v>772</v>
      </c>
      <c r="P438" s="32" t="n">
        <f aca="false">IF(AND(ISNUMBER(K438),K438&gt;=0),K438,IF(ISNUMBER(M438),ROUND(M438*7,0),""))</f>
        <v>108</v>
      </c>
      <c r="Q438" s="0" t="str">
        <f aca="false">IF(ISTEXT(K438),"TEXT - recovered",IF(K438&lt;0,"NEGATIVE",IF(K438&gt;728,"&gt;104 WEEKS","OK")))</f>
        <v>OK</v>
      </c>
      <c r="R438" s="0" t="str">
        <f aca="false">IF(E438="GEN","GM",E438)</f>
        <v>OPH</v>
      </c>
    </row>
    <row r="439" customFormat="false" ht="15" hidden="false" customHeight="false" outlineLevel="0" collapsed="false">
      <c r="A439" s="0" t="s">
        <v>1788</v>
      </c>
      <c r="B439" s="0" t="s">
        <v>1789</v>
      </c>
      <c r="C439" s="0" t="s">
        <v>966</v>
      </c>
      <c r="D439" s="31" t="n">
        <v>33779</v>
      </c>
      <c r="E439" s="32" t="s">
        <v>826</v>
      </c>
      <c r="F439" s="32" t="s">
        <v>827</v>
      </c>
      <c r="G439" s="32" t="s">
        <v>828</v>
      </c>
      <c r="H439" s="31" t="n">
        <v>45736</v>
      </c>
      <c r="I439" s="32" t="s">
        <v>829</v>
      </c>
      <c r="J439" s="32" t="s">
        <v>751</v>
      </c>
      <c r="K439" s="0" t="n">
        <v>24</v>
      </c>
      <c r="L439" s="32" t="s">
        <v>752</v>
      </c>
      <c r="M439" s="0" t="n">
        <v>3.4</v>
      </c>
      <c r="N439" s="32" t="s">
        <v>753</v>
      </c>
      <c r="O439" s="32" t="s">
        <v>772</v>
      </c>
      <c r="P439" s="32" t="n">
        <f aca="false">IF(AND(ISNUMBER(K439),K439&gt;=0),K439,IF(ISNUMBER(M439),ROUND(M439*7,0),""))</f>
        <v>24</v>
      </c>
      <c r="Q439" s="0" t="str">
        <f aca="false">IF(ISTEXT(K439),"TEXT - recovered",IF(K439&lt;0,"NEGATIVE",IF(K439&gt;728,"&gt;104 WEEKS","OK")))</f>
        <v>OK</v>
      </c>
      <c r="R439" s="0" t="str">
        <f aca="false">IF(E439="GEN","GM",E439)</f>
        <v>RHE</v>
      </c>
    </row>
    <row r="440" customFormat="false" ht="15" hidden="false" customHeight="false" outlineLevel="0" collapsed="false">
      <c r="A440" s="0" t="s">
        <v>1790</v>
      </c>
      <c r="B440" s="0" t="s">
        <v>1791</v>
      </c>
      <c r="C440" s="0" t="s">
        <v>1393</v>
      </c>
      <c r="D440" s="31" t="n">
        <v>25489</v>
      </c>
      <c r="E440" s="32" t="s">
        <v>810</v>
      </c>
      <c r="F440" s="32" t="s">
        <v>811</v>
      </c>
      <c r="G440" s="32" t="s">
        <v>812</v>
      </c>
      <c r="H440" s="31" t="n">
        <v>45722</v>
      </c>
      <c r="I440" s="32" t="s">
        <v>788</v>
      </c>
      <c r="J440" s="32" t="s">
        <v>751</v>
      </c>
      <c r="K440" s="0" t="n">
        <v>107</v>
      </c>
      <c r="L440" s="32" t="s">
        <v>752</v>
      </c>
      <c r="M440" s="0" t="n">
        <v>15.3</v>
      </c>
      <c r="N440" s="32" t="s">
        <v>753</v>
      </c>
      <c r="O440" s="32" t="s">
        <v>1683</v>
      </c>
      <c r="P440" s="32" t="n">
        <f aca="false">IF(AND(ISNUMBER(K440),K440&gt;=0),K440,IF(ISNUMBER(M440),ROUND(M440*7,0),""))</f>
        <v>107</v>
      </c>
      <c r="Q440" s="0" t="str">
        <f aca="false">IF(ISTEXT(K440),"TEXT - recovered",IF(K440&lt;0,"NEGATIVE",IF(K440&gt;728,"&gt;104 WEEKS","OK")))</f>
        <v>OK</v>
      </c>
      <c r="R440" s="0" t="str">
        <f aca="false">IF(E440="GEN","GM",E440)</f>
        <v>URO</v>
      </c>
    </row>
    <row r="441" customFormat="false" ht="15" hidden="false" customHeight="false" outlineLevel="0" collapsed="false">
      <c r="A441" s="0" t="s">
        <v>1792</v>
      </c>
      <c r="B441" s="0" t="s">
        <v>1793</v>
      </c>
      <c r="C441" s="0" t="s">
        <v>792</v>
      </c>
      <c r="D441" s="31" t="n">
        <v>27833</v>
      </c>
      <c r="E441" s="32" t="s">
        <v>766</v>
      </c>
      <c r="F441" s="32" t="s">
        <v>767</v>
      </c>
      <c r="G441" s="32" t="s">
        <v>768</v>
      </c>
      <c r="H441" s="31" t="n">
        <v>45723</v>
      </c>
      <c r="I441" s="32" t="s">
        <v>750</v>
      </c>
      <c r="J441" s="32" t="s">
        <v>797</v>
      </c>
      <c r="K441" s="0" t="n">
        <v>92</v>
      </c>
      <c r="L441" s="32" t="s">
        <v>771</v>
      </c>
      <c r="M441" s="0" t="n">
        <v>13.1</v>
      </c>
      <c r="N441" s="32" t="s">
        <v>753</v>
      </c>
      <c r="O441" s="32" t="s">
        <v>814</v>
      </c>
      <c r="P441" s="32" t="n">
        <f aca="false">IF(AND(ISNUMBER(K441),K441&gt;=0),K441,IF(ISNUMBER(M441),ROUND(M441*7,0),""))</f>
        <v>92</v>
      </c>
      <c r="Q441" s="0" t="str">
        <f aca="false">IF(ISTEXT(K441),"TEXT - recovered",IF(K441&lt;0,"NEGATIVE",IF(K441&gt;728,"&gt;104 WEEKS","OK")))</f>
        <v>OK</v>
      </c>
      <c r="R441" s="0" t="str">
        <f aca="false">IF(E441="GEN","GM",E441)</f>
        <v>OR</v>
      </c>
    </row>
    <row r="442" customFormat="false" ht="15" hidden="false" customHeight="false" outlineLevel="0" collapsed="false">
      <c r="A442" s="0" t="s">
        <v>1794</v>
      </c>
      <c r="B442" s="0" t="s">
        <v>1795</v>
      </c>
      <c r="C442" s="0" t="s">
        <v>1029</v>
      </c>
      <c r="D442" s="31" t="n">
        <v>27181</v>
      </c>
      <c r="E442" s="32" t="s">
        <v>758</v>
      </c>
      <c r="F442" s="32" t="s">
        <v>759</v>
      </c>
      <c r="G442" s="32" t="s">
        <v>760</v>
      </c>
      <c r="H442" s="31" t="n">
        <v>45737</v>
      </c>
      <c r="I442" s="32" t="s">
        <v>769</v>
      </c>
      <c r="J442" s="32" t="s">
        <v>797</v>
      </c>
      <c r="K442" s="0" t="n">
        <v>49</v>
      </c>
      <c r="L442" s="32" t="s">
        <v>771</v>
      </c>
      <c r="M442" s="0" t="n">
        <v>7</v>
      </c>
      <c r="N442" s="32" t="s">
        <v>753</v>
      </c>
      <c r="O442" s="32" t="s">
        <v>754</v>
      </c>
      <c r="P442" s="32" t="n">
        <f aca="false">IF(AND(ISNUMBER(K442),K442&gt;=0),K442,IF(ISNUMBER(M442),ROUND(M442*7,0),""))</f>
        <v>49</v>
      </c>
      <c r="Q442" s="0" t="str">
        <f aca="false">IF(ISTEXT(K442),"TEXT - recovered",IF(K442&lt;0,"NEGATIVE",IF(K442&gt;728,"&gt;104 WEEKS","OK")))</f>
        <v>OK</v>
      </c>
      <c r="R442" s="0" t="str">
        <f aca="false">IF(E442="GEN","GM",E442)</f>
        <v>CS</v>
      </c>
    </row>
    <row r="443" customFormat="false" ht="15" hidden="false" customHeight="false" outlineLevel="0" collapsed="false">
      <c r="A443" s="0" t="s">
        <v>1796</v>
      </c>
      <c r="B443" s="0" t="s">
        <v>1797</v>
      </c>
      <c r="C443" s="0" t="s">
        <v>1021</v>
      </c>
      <c r="D443" s="31" t="n">
        <v>15572</v>
      </c>
      <c r="E443" s="32" t="s">
        <v>747</v>
      </c>
      <c r="F443" s="32" t="s">
        <v>748</v>
      </c>
      <c r="G443" s="32" t="s">
        <v>749</v>
      </c>
      <c r="H443" s="31" t="n">
        <v>45729</v>
      </c>
      <c r="I443" s="32" t="s">
        <v>788</v>
      </c>
      <c r="J443" s="32" t="s">
        <v>751</v>
      </c>
      <c r="K443" s="32" t="s">
        <v>751</v>
      </c>
      <c r="L443" s="32" t="s">
        <v>752</v>
      </c>
      <c r="M443" s="0" t="n">
        <v>44.6</v>
      </c>
      <c r="N443" s="32" t="s">
        <v>753</v>
      </c>
      <c r="O443" s="32" t="s">
        <v>850</v>
      </c>
      <c r="P443" s="32" t="n">
        <f aca="false">IF(AND(ISNUMBER(K443),K443&gt;=0),K443,IF(ISNUMBER(M443),ROUND(M443*7,0),""))</f>
        <v>312</v>
      </c>
      <c r="Q443" s="0" t="str">
        <f aca="false">IF(ISTEXT(K443),"TEXT - recovered",IF(K443&lt;0,"NEGATIVE",IF(K443&gt;728,"&gt;104 WEEKS","OK")))</f>
        <v>TEXT - recovered</v>
      </c>
      <c r="R443" s="0" t="str">
        <f aca="false">IF(E443="GEN","GM",E443)</f>
        <v>GM</v>
      </c>
    </row>
    <row r="444" customFormat="false" ht="15" hidden="false" customHeight="false" outlineLevel="0" collapsed="false">
      <c r="A444" s="0" t="s">
        <v>1798</v>
      </c>
      <c r="B444" s="0" t="s">
        <v>1799</v>
      </c>
      <c r="C444" s="0" t="s">
        <v>950</v>
      </c>
      <c r="D444" s="31" t="n">
        <v>33635</v>
      </c>
      <c r="E444" s="32" t="s">
        <v>758</v>
      </c>
      <c r="F444" s="32" t="s">
        <v>759</v>
      </c>
      <c r="G444" s="32" t="s">
        <v>760</v>
      </c>
      <c r="H444" s="31" t="n">
        <v>45727</v>
      </c>
      <c r="I444" s="32" t="s">
        <v>813</v>
      </c>
      <c r="J444" s="32" t="s">
        <v>751</v>
      </c>
      <c r="K444" s="0" t="n">
        <v>24</v>
      </c>
      <c r="L444" s="32" t="s">
        <v>752</v>
      </c>
      <c r="M444" s="0" t="n">
        <v>3.4</v>
      </c>
      <c r="N444" s="32" t="s">
        <v>753</v>
      </c>
      <c r="O444" s="32" t="s">
        <v>814</v>
      </c>
      <c r="P444" s="32" t="n">
        <f aca="false">IF(AND(ISNUMBER(K444),K444&gt;=0),K444,IF(ISNUMBER(M444),ROUND(M444*7,0),""))</f>
        <v>24</v>
      </c>
      <c r="Q444" s="0" t="str">
        <f aca="false">IF(ISTEXT(K444),"TEXT - recovered",IF(K444&lt;0,"NEGATIVE",IF(K444&gt;728,"&gt;104 WEEKS","OK")))</f>
        <v>OK</v>
      </c>
      <c r="R444" s="0" t="str">
        <f aca="false">IF(E444="GEN","GM",E444)</f>
        <v>CS</v>
      </c>
    </row>
    <row r="445" customFormat="false" ht="15" hidden="false" customHeight="false" outlineLevel="0" collapsed="false">
      <c r="A445" s="0" t="s">
        <v>1800</v>
      </c>
      <c r="B445" s="0" t="s">
        <v>1801</v>
      </c>
      <c r="C445" s="0" t="s">
        <v>775</v>
      </c>
      <c r="D445" s="31" t="n">
        <v>33062</v>
      </c>
      <c r="E445" s="32" t="s">
        <v>826</v>
      </c>
      <c r="F445" s="32" t="s">
        <v>827</v>
      </c>
      <c r="G445" s="32" t="s">
        <v>828</v>
      </c>
      <c r="H445" s="31" t="n">
        <v>45713</v>
      </c>
      <c r="I445" s="32" t="s">
        <v>829</v>
      </c>
      <c r="J445" s="32" t="s">
        <v>751</v>
      </c>
      <c r="K445" s="0" t="n">
        <v>71</v>
      </c>
      <c r="L445" s="32" t="s">
        <v>752</v>
      </c>
      <c r="M445" s="0" t="n">
        <v>10.1</v>
      </c>
      <c r="N445" s="32" t="s">
        <v>753</v>
      </c>
      <c r="O445" s="32" t="s">
        <v>863</v>
      </c>
      <c r="P445" s="32" t="n">
        <f aca="false">IF(AND(ISNUMBER(K445),K445&gt;=0),K445,IF(ISNUMBER(M445),ROUND(M445*7,0),""))</f>
        <v>71</v>
      </c>
      <c r="Q445" s="0" t="str">
        <f aca="false">IF(ISTEXT(K445),"TEXT - recovered",IF(K445&lt;0,"NEGATIVE",IF(K445&gt;728,"&gt;104 WEEKS","OK")))</f>
        <v>OK</v>
      </c>
      <c r="R445" s="0" t="str">
        <f aca="false">IF(E445="GEN","GM",E445)</f>
        <v>RHE</v>
      </c>
    </row>
    <row r="446" customFormat="false" ht="15" hidden="false" customHeight="false" outlineLevel="0" collapsed="false">
      <c r="A446" s="0" t="s">
        <v>1802</v>
      </c>
      <c r="B446" s="0" t="s">
        <v>1803</v>
      </c>
      <c r="C446" s="0" t="s">
        <v>874</v>
      </c>
      <c r="D446" s="31" t="n">
        <v>31971</v>
      </c>
      <c r="E446" s="32" t="s">
        <v>810</v>
      </c>
      <c r="F446" s="32" t="s">
        <v>811</v>
      </c>
      <c r="G446" s="32" t="s">
        <v>812</v>
      </c>
      <c r="H446" s="31" t="n">
        <v>45719</v>
      </c>
      <c r="I446" s="32" t="s">
        <v>813</v>
      </c>
      <c r="J446" s="32" t="s">
        <v>751</v>
      </c>
      <c r="K446" s="32" t="s">
        <v>751</v>
      </c>
      <c r="L446" s="32" t="s">
        <v>752</v>
      </c>
      <c r="M446" s="0" t="n">
        <v>26.3</v>
      </c>
      <c r="N446" s="32" t="s">
        <v>753</v>
      </c>
      <c r="O446" s="32" t="s">
        <v>830</v>
      </c>
      <c r="P446" s="32" t="n">
        <f aca="false">IF(AND(ISNUMBER(K446),K446&gt;=0),K446,IF(ISNUMBER(M446),ROUND(M446*7,0),""))</f>
        <v>184</v>
      </c>
      <c r="Q446" s="0" t="str">
        <f aca="false">IF(ISTEXT(K446),"TEXT - recovered",IF(K446&lt;0,"NEGATIVE",IF(K446&gt;728,"&gt;104 WEEKS","OK")))</f>
        <v>TEXT - recovered</v>
      </c>
      <c r="R446" s="0" t="str">
        <f aca="false">IF(E446="GEN","GM",E446)</f>
        <v>URO</v>
      </c>
    </row>
    <row r="447" customFormat="false" ht="15" hidden="false" customHeight="false" outlineLevel="0" collapsed="false">
      <c r="A447" s="0" t="s">
        <v>1804</v>
      </c>
      <c r="B447" s="0" t="s">
        <v>1805</v>
      </c>
      <c r="C447" s="0" t="s">
        <v>1398</v>
      </c>
      <c r="D447" s="31" t="n">
        <v>35650</v>
      </c>
      <c r="E447" s="32" t="s">
        <v>802</v>
      </c>
      <c r="F447" s="32" t="s">
        <v>803</v>
      </c>
      <c r="G447" s="32" t="s">
        <v>804</v>
      </c>
      <c r="H447" s="31" t="n">
        <v>45722</v>
      </c>
      <c r="I447" s="32" t="s">
        <v>769</v>
      </c>
      <c r="J447" s="32" t="s">
        <v>751</v>
      </c>
      <c r="K447" s="0" t="n">
        <v>64</v>
      </c>
      <c r="L447" s="32" t="s">
        <v>752</v>
      </c>
      <c r="M447" s="0" t="n">
        <v>9.1</v>
      </c>
      <c r="N447" s="32" t="s">
        <v>753</v>
      </c>
      <c r="O447" s="32" t="s">
        <v>863</v>
      </c>
      <c r="P447" s="32" t="n">
        <f aca="false">IF(AND(ISNUMBER(K447),K447&gt;=0),K447,IF(ISNUMBER(M447),ROUND(M447*7,0),""))</f>
        <v>64</v>
      </c>
      <c r="Q447" s="0" t="str">
        <f aca="false">IF(ISTEXT(K447),"TEXT - recovered",IF(K447&lt;0,"NEGATIVE",IF(K447&gt;728,"&gt;104 WEEKS","OK")))</f>
        <v>OK</v>
      </c>
      <c r="R447" s="0" t="str">
        <f aca="false">IF(E447="GEN","GM",E447)</f>
        <v>GYN</v>
      </c>
    </row>
    <row r="448" customFormat="false" ht="15" hidden="false" customHeight="false" outlineLevel="0" collapsed="false">
      <c r="A448" s="0" t="s">
        <v>1806</v>
      </c>
      <c r="B448" s="0" t="s">
        <v>1807</v>
      </c>
      <c r="C448" s="0" t="s">
        <v>882</v>
      </c>
      <c r="D448" s="31" t="n">
        <v>24530</v>
      </c>
      <c r="E448" s="32" t="s">
        <v>826</v>
      </c>
      <c r="F448" s="32" t="s">
        <v>827</v>
      </c>
      <c r="G448" s="32" t="s">
        <v>828</v>
      </c>
      <c r="H448" s="31" t="n">
        <v>45733</v>
      </c>
      <c r="I448" s="32" t="s">
        <v>769</v>
      </c>
      <c r="J448" s="32" t="s">
        <v>751</v>
      </c>
      <c r="K448" s="0" t="n">
        <v>68</v>
      </c>
      <c r="L448" s="32" t="s">
        <v>752</v>
      </c>
      <c r="M448" s="0" t="n">
        <v>9.7</v>
      </c>
      <c r="N448" s="32" t="s">
        <v>753</v>
      </c>
      <c r="O448" s="32" t="s">
        <v>838</v>
      </c>
      <c r="P448" s="32" t="n">
        <f aca="false">IF(AND(ISNUMBER(K448),K448&gt;=0),K448,IF(ISNUMBER(M448),ROUND(M448*7,0),""))</f>
        <v>68</v>
      </c>
      <c r="Q448" s="0" t="str">
        <f aca="false">IF(ISTEXT(K448),"TEXT - recovered",IF(K448&lt;0,"NEGATIVE",IF(K448&gt;728,"&gt;104 WEEKS","OK")))</f>
        <v>OK</v>
      </c>
      <c r="R448" s="0" t="str">
        <f aca="false">IF(E448="GEN","GM",E448)</f>
        <v>RHE</v>
      </c>
    </row>
    <row r="449" customFormat="false" ht="15" hidden="false" customHeight="false" outlineLevel="0" collapsed="false">
      <c r="A449" s="0" t="s">
        <v>1808</v>
      </c>
      <c r="B449" s="0" t="s">
        <v>1809</v>
      </c>
      <c r="C449" s="0" t="s">
        <v>966</v>
      </c>
      <c r="D449" s="31" t="n">
        <v>26204</v>
      </c>
      <c r="E449" s="32" t="s">
        <v>802</v>
      </c>
      <c r="F449" s="32" t="s">
        <v>803</v>
      </c>
      <c r="G449" s="32" t="s">
        <v>804</v>
      </c>
      <c r="H449" s="31" t="n">
        <v>45733</v>
      </c>
      <c r="I449" s="32" t="s">
        <v>821</v>
      </c>
      <c r="J449" s="32" t="s">
        <v>751</v>
      </c>
      <c r="K449" s="32" t="s">
        <v>751</v>
      </c>
      <c r="L449" s="32" t="s">
        <v>752</v>
      </c>
      <c r="M449" s="0" t="n">
        <v>21.3</v>
      </c>
      <c r="N449" s="32" t="s">
        <v>753</v>
      </c>
      <c r="O449" s="32" t="s">
        <v>867</v>
      </c>
      <c r="P449" s="32" t="n">
        <f aca="false">IF(AND(ISNUMBER(K449),K449&gt;=0),K449,IF(ISNUMBER(M449),ROUND(M449*7,0),""))</f>
        <v>149</v>
      </c>
      <c r="Q449" s="0" t="str">
        <f aca="false">IF(ISTEXT(K449),"TEXT - recovered",IF(K449&lt;0,"NEGATIVE",IF(K449&gt;728,"&gt;104 WEEKS","OK")))</f>
        <v>TEXT - recovered</v>
      </c>
      <c r="R449" s="0" t="str">
        <f aca="false">IF(E449="GEN","GM",E449)</f>
        <v>GYN</v>
      </c>
    </row>
    <row r="450" customFormat="false" ht="15" hidden="false" customHeight="false" outlineLevel="0" collapsed="false">
      <c r="A450" s="0" t="s">
        <v>1810</v>
      </c>
      <c r="B450" s="0" t="s">
        <v>1811</v>
      </c>
      <c r="C450" s="0" t="s">
        <v>801</v>
      </c>
      <c r="D450" s="31" t="n">
        <v>27805</v>
      </c>
      <c r="E450" s="32" t="s">
        <v>802</v>
      </c>
      <c r="F450" s="32" t="s">
        <v>803</v>
      </c>
      <c r="G450" s="32" t="s">
        <v>804</v>
      </c>
      <c r="H450" s="31" t="n">
        <v>45721</v>
      </c>
      <c r="I450" s="32" t="s">
        <v>769</v>
      </c>
      <c r="J450" s="32" t="s">
        <v>751</v>
      </c>
      <c r="K450" s="0" t="n">
        <v>16</v>
      </c>
      <c r="L450" s="32" t="s">
        <v>752</v>
      </c>
      <c r="M450" s="0" t="n">
        <v>2.3</v>
      </c>
      <c r="N450" s="32" t="s">
        <v>753</v>
      </c>
      <c r="O450" s="32" t="s">
        <v>871</v>
      </c>
      <c r="P450" s="32" t="n">
        <f aca="false">IF(AND(ISNUMBER(K450),K450&gt;=0),K450,IF(ISNUMBER(M450),ROUND(M450*7,0),""))</f>
        <v>16</v>
      </c>
      <c r="Q450" s="0" t="str">
        <f aca="false">IF(ISTEXT(K450),"TEXT - recovered",IF(K450&lt;0,"NEGATIVE",IF(K450&gt;728,"&gt;104 WEEKS","OK")))</f>
        <v>OK</v>
      </c>
      <c r="R450" s="0" t="str">
        <f aca="false">IF(E450="GEN","GM",E450)</f>
        <v>GYN</v>
      </c>
    </row>
    <row r="451" customFormat="false" ht="15" hidden="false" customHeight="false" outlineLevel="0" collapsed="false">
      <c r="A451" s="0" t="s">
        <v>1812</v>
      </c>
      <c r="B451" s="0" t="s">
        <v>1813</v>
      </c>
      <c r="C451" s="0" t="s">
        <v>845</v>
      </c>
      <c r="D451" s="31" t="n">
        <v>14742</v>
      </c>
      <c r="E451" s="32" t="s">
        <v>818</v>
      </c>
      <c r="F451" s="32" t="s">
        <v>819</v>
      </c>
      <c r="G451" s="32" t="s">
        <v>820</v>
      </c>
      <c r="H451" s="31" t="n">
        <v>45734</v>
      </c>
      <c r="I451" s="32" t="s">
        <v>761</v>
      </c>
      <c r="J451" s="32" t="s">
        <v>751</v>
      </c>
      <c r="K451" s="0" t="n">
        <v>118</v>
      </c>
      <c r="L451" s="32" t="s">
        <v>752</v>
      </c>
      <c r="M451" s="0" t="n">
        <v>16.9</v>
      </c>
      <c r="N451" s="32" t="s">
        <v>753</v>
      </c>
      <c r="O451" s="32" t="s">
        <v>772</v>
      </c>
      <c r="P451" s="32" t="n">
        <f aca="false">IF(AND(ISNUMBER(K451),K451&gt;=0),K451,IF(ISNUMBER(M451),ROUND(M451*7,0),""))</f>
        <v>118</v>
      </c>
      <c r="Q451" s="0" t="str">
        <f aca="false">IF(ISTEXT(K451),"TEXT - recovered",IF(K451&lt;0,"NEGATIVE",IF(K451&gt;728,"&gt;104 WEEKS","OK")))</f>
        <v>OK</v>
      </c>
      <c r="R451" s="0" t="str">
        <f aca="false">IF(E451="GEN","GM",E451)</f>
        <v>OPH</v>
      </c>
    </row>
    <row r="452" customFormat="false" ht="15" hidden="false" customHeight="false" outlineLevel="0" collapsed="false">
      <c r="A452" s="0" t="s">
        <v>1814</v>
      </c>
      <c r="B452" s="0" t="s">
        <v>1815</v>
      </c>
      <c r="C452" s="0" t="s">
        <v>765</v>
      </c>
      <c r="D452" s="31" t="n">
        <v>19968</v>
      </c>
      <c r="E452" s="32" t="s">
        <v>785</v>
      </c>
      <c r="F452" s="32" t="s">
        <v>786</v>
      </c>
      <c r="G452" s="32" t="s">
        <v>787</v>
      </c>
      <c r="H452" s="31" t="n">
        <v>45727</v>
      </c>
      <c r="I452" s="32" t="s">
        <v>761</v>
      </c>
      <c r="J452" s="32" t="s">
        <v>751</v>
      </c>
      <c r="K452" s="0" t="n">
        <v>33</v>
      </c>
      <c r="L452" s="32" t="s">
        <v>752</v>
      </c>
      <c r="M452" s="0" t="n">
        <v>4.7</v>
      </c>
      <c r="N452" s="32" t="s">
        <v>753</v>
      </c>
      <c r="O452" s="32" t="s">
        <v>867</v>
      </c>
      <c r="P452" s="32" t="n">
        <f aca="false">IF(AND(ISNUMBER(K452),K452&gt;=0),K452,IF(ISNUMBER(M452),ROUND(M452*7,0),""))</f>
        <v>33</v>
      </c>
      <c r="Q452" s="0" t="str">
        <f aca="false">IF(ISTEXT(K452),"TEXT - recovered",IF(K452&lt;0,"NEGATIVE",IF(K452&gt;728,"&gt;104 WEEKS","OK")))</f>
        <v>OK</v>
      </c>
      <c r="R452" s="0" t="str">
        <f aca="false">IF(E452="GEN","GM",E452)</f>
        <v>RS</v>
      </c>
    </row>
    <row r="453" customFormat="false" ht="15" hidden="false" customHeight="false" outlineLevel="0" collapsed="false">
      <c r="A453" s="0" t="s">
        <v>1816</v>
      </c>
      <c r="B453" s="0" t="s">
        <v>1817</v>
      </c>
      <c r="C453" s="0" t="s">
        <v>1402</v>
      </c>
      <c r="D453" s="31" t="n">
        <v>33401</v>
      </c>
      <c r="E453" s="32" t="s">
        <v>818</v>
      </c>
      <c r="F453" s="32" t="s">
        <v>819</v>
      </c>
      <c r="G453" s="32" t="s">
        <v>820</v>
      </c>
      <c r="H453" s="31" t="n">
        <v>45712</v>
      </c>
      <c r="I453" s="32" t="s">
        <v>813</v>
      </c>
      <c r="J453" s="32" t="s">
        <v>751</v>
      </c>
      <c r="K453" s="0" t="n">
        <v>81</v>
      </c>
      <c r="L453" s="32" t="s">
        <v>752</v>
      </c>
      <c r="M453" s="0" t="n">
        <v>11.6</v>
      </c>
      <c r="N453" s="32" t="s">
        <v>780</v>
      </c>
      <c r="O453" s="32" t="s">
        <v>798</v>
      </c>
      <c r="P453" s="32" t="n">
        <f aca="false">IF(AND(ISNUMBER(K453),K453&gt;=0),K453,IF(ISNUMBER(M453),ROUND(M453*7,0),""))</f>
        <v>81</v>
      </c>
      <c r="Q453" s="0" t="str">
        <f aca="false">IF(ISTEXT(K453),"TEXT - recovered",IF(K453&lt;0,"NEGATIVE",IF(K453&gt;728,"&gt;104 WEEKS","OK")))</f>
        <v>OK</v>
      </c>
      <c r="R453" s="0" t="str">
        <f aca="false">IF(E453="GEN","GM",E453)</f>
        <v>OPH</v>
      </c>
    </row>
    <row r="454" customFormat="false" ht="15" hidden="false" customHeight="false" outlineLevel="0" collapsed="false">
      <c r="A454" s="0" t="s">
        <v>1818</v>
      </c>
      <c r="B454" s="0" t="s">
        <v>1819</v>
      </c>
      <c r="C454" s="0" t="s">
        <v>958</v>
      </c>
      <c r="D454" s="31" t="n">
        <v>36825</v>
      </c>
      <c r="E454" s="32" t="s">
        <v>810</v>
      </c>
      <c r="F454" s="32" t="s">
        <v>811</v>
      </c>
      <c r="G454" s="32" t="s">
        <v>812</v>
      </c>
      <c r="H454" s="31" t="n">
        <v>45723</v>
      </c>
      <c r="I454" s="32" t="s">
        <v>829</v>
      </c>
      <c r="J454" s="32" t="s">
        <v>751</v>
      </c>
      <c r="K454" s="0" t="n">
        <v>35</v>
      </c>
      <c r="L454" s="32" t="s">
        <v>752</v>
      </c>
      <c r="M454" s="0" t="n">
        <v>5</v>
      </c>
      <c r="N454" s="32" t="s">
        <v>1630</v>
      </c>
      <c r="O454" s="32" t="s">
        <v>859</v>
      </c>
      <c r="P454" s="32" t="n">
        <f aca="false">IF(AND(ISNUMBER(K454),K454&gt;=0),K454,IF(ISNUMBER(M454),ROUND(M454*7,0),""))</f>
        <v>35</v>
      </c>
      <c r="Q454" s="0" t="str">
        <f aca="false">IF(ISTEXT(K454),"TEXT - recovered",IF(K454&lt;0,"NEGATIVE",IF(K454&gt;728,"&gt;104 WEEKS","OK")))</f>
        <v>OK</v>
      </c>
      <c r="R454" s="0" t="str">
        <f aca="false">IF(E454="GEN","GM",E454)</f>
        <v>URO</v>
      </c>
    </row>
    <row r="455" customFormat="false" ht="15" hidden="false" customHeight="false" outlineLevel="0" collapsed="false">
      <c r="A455" s="0" t="s">
        <v>1820</v>
      </c>
      <c r="B455" s="0" t="s">
        <v>1821</v>
      </c>
      <c r="C455" s="0" t="s">
        <v>1453</v>
      </c>
      <c r="D455" s="31" t="n">
        <v>23790</v>
      </c>
      <c r="E455" s="32" t="s">
        <v>826</v>
      </c>
      <c r="F455" s="32" t="s">
        <v>827</v>
      </c>
      <c r="G455" s="32" t="s">
        <v>828</v>
      </c>
      <c r="H455" s="31" t="n">
        <v>45737</v>
      </c>
      <c r="I455" s="32" t="s">
        <v>761</v>
      </c>
      <c r="J455" s="32" t="s">
        <v>751</v>
      </c>
      <c r="K455" s="0" t="n">
        <v>52</v>
      </c>
      <c r="L455" s="32" t="s">
        <v>752</v>
      </c>
      <c r="M455" s="0" t="n">
        <v>7.4</v>
      </c>
      <c r="N455" s="32" t="s">
        <v>753</v>
      </c>
      <c r="O455" s="32" t="s">
        <v>883</v>
      </c>
      <c r="P455" s="32" t="n">
        <f aca="false">IF(AND(ISNUMBER(K455),K455&gt;=0),K455,IF(ISNUMBER(M455),ROUND(M455*7,0),""))</f>
        <v>52</v>
      </c>
      <c r="Q455" s="0" t="str">
        <f aca="false">IF(ISTEXT(K455),"TEXT - recovered",IF(K455&lt;0,"NEGATIVE",IF(K455&gt;728,"&gt;104 WEEKS","OK")))</f>
        <v>OK</v>
      </c>
      <c r="R455" s="0" t="str">
        <f aca="false">IF(E455="GEN","GM",E455)</f>
        <v>RHE</v>
      </c>
    </row>
    <row r="456" customFormat="false" ht="15" hidden="false" customHeight="false" outlineLevel="0" collapsed="false">
      <c r="A456" s="0" t="s">
        <v>1822</v>
      </c>
      <c r="B456" s="0" t="s">
        <v>1823</v>
      </c>
      <c r="C456" s="0" t="s">
        <v>950</v>
      </c>
      <c r="D456" s="31" t="n">
        <v>19763</v>
      </c>
      <c r="E456" s="32" t="s">
        <v>810</v>
      </c>
      <c r="F456" s="32" t="s">
        <v>811</v>
      </c>
      <c r="G456" s="32" t="s">
        <v>812</v>
      </c>
      <c r="H456" s="31" t="n">
        <v>45716</v>
      </c>
      <c r="I456" s="32" t="s">
        <v>805</v>
      </c>
      <c r="J456" s="32" t="s">
        <v>751</v>
      </c>
      <c r="K456" s="0" t="n">
        <v>63</v>
      </c>
      <c r="L456" s="32" t="s">
        <v>752</v>
      </c>
      <c r="M456" s="0" t="n">
        <v>9</v>
      </c>
      <c r="N456" s="32" t="s">
        <v>780</v>
      </c>
      <c r="O456" s="32" t="s">
        <v>789</v>
      </c>
      <c r="P456" s="32" t="n">
        <f aca="false">IF(AND(ISNUMBER(K456),K456&gt;=0),K456,IF(ISNUMBER(M456),ROUND(M456*7,0),""))</f>
        <v>63</v>
      </c>
      <c r="Q456" s="0" t="str">
        <f aca="false">IF(ISTEXT(K456),"TEXT - recovered",IF(K456&lt;0,"NEGATIVE",IF(K456&gt;728,"&gt;104 WEEKS","OK")))</f>
        <v>OK</v>
      </c>
      <c r="R456" s="0" t="str">
        <f aca="false">IF(E456="GEN","GM",E456)</f>
        <v>URO</v>
      </c>
    </row>
    <row r="457" customFormat="false" ht="15" hidden="false" customHeight="false" outlineLevel="0" collapsed="false">
      <c r="A457" s="0" t="s">
        <v>1824</v>
      </c>
      <c r="B457" s="0" t="s">
        <v>1825</v>
      </c>
      <c r="C457" s="0" t="s">
        <v>886</v>
      </c>
      <c r="D457" s="31" t="n">
        <v>21303</v>
      </c>
      <c r="E457" s="32" t="s">
        <v>793</v>
      </c>
      <c r="F457" s="32" t="s">
        <v>794</v>
      </c>
      <c r="G457" s="32" t="s">
        <v>795</v>
      </c>
      <c r="H457" s="31" t="n">
        <v>45720</v>
      </c>
      <c r="I457" s="32" t="s">
        <v>821</v>
      </c>
      <c r="J457" s="32" t="s">
        <v>751</v>
      </c>
      <c r="K457" s="32" t="s">
        <v>751</v>
      </c>
      <c r="L457" s="32" t="s">
        <v>752</v>
      </c>
      <c r="M457" s="0" t="n">
        <v>24.9</v>
      </c>
      <c r="N457" s="32" t="s">
        <v>753</v>
      </c>
      <c r="O457" s="32" t="s">
        <v>814</v>
      </c>
      <c r="P457" s="32" t="n">
        <f aca="false">IF(AND(ISNUMBER(K457),K457&gt;=0),K457,IF(ISNUMBER(M457),ROUND(M457*7,0),""))</f>
        <v>174</v>
      </c>
      <c r="Q457" s="0" t="str">
        <f aca="false">IF(ISTEXT(K457),"TEXT - recovered",IF(K457&lt;0,"NEGATIVE",IF(K457&gt;728,"&gt;104 WEEKS","OK")))</f>
        <v>TEXT - recovered</v>
      </c>
      <c r="R457" s="0" t="str">
        <f aca="false">IF(E457="GEN","GM",E457)</f>
        <v>EM</v>
      </c>
    </row>
    <row r="458" customFormat="false" ht="15" hidden="false" customHeight="false" outlineLevel="0" collapsed="false">
      <c r="A458" s="0" t="s">
        <v>1826</v>
      </c>
      <c r="B458" s="0" t="s">
        <v>1827</v>
      </c>
      <c r="C458" s="0" t="s">
        <v>926</v>
      </c>
      <c r="D458" s="31" t="n">
        <v>22810</v>
      </c>
      <c r="E458" s="32" t="s">
        <v>793</v>
      </c>
      <c r="F458" s="32" t="s">
        <v>794</v>
      </c>
      <c r="G458" s="32" t="s">
        <v>795</v>
      </c>
      <c r="H458" s="31" t="n">
        <v>45719</v>
      </c>
      <c r="I458" s="32" t="s">
        <v>829</v>
      </c>
      <c r="J458" s="32" t="s">
        <v>751</v>
      </c>
      <c r="K458" s="0" t="n">
        <v>76</v>
      </c>
      <c r="L458" s="32" t="s">
        <v>752</v>
      </c>
      <c r="M458" s="0" t="n">
        <v>10.9</v>
      </c>
      <c r="N458" s="32" t="s">
        <v>330</v>
      </c>
      <c r="O458" s="32" t="s">
        <v>762</v>
      </c>
      <c r="P458" s="32" t="n">
        <f aca="false">IF(AND(ISNUMBER(K458),K458&gt;=0),K458,IF(ISNUMBER(M458),ROUND(M458*7,0),""))</f>
        <v>76</v>
      </c>
      <c r="Q458" s="0" t="str">
        <f aca="false">IF(ISTEXT(K458),"TEXT - recovered",IF(K458&lt;0,"NEGATIVE",IF(K458&gt;728,"&gt;104 WEEKS","OK")))</f>
        <v>OK</v>
      </c>
      <c r="R458" s="0" t="str">
        <f aca="false">IF(E458="GEN","GM",E458)</f>
        <v>EM</v>
      </c>
    </row>
    <row r="459" customFormat="false" ht="15" hidden="false" customHeight="false" outlineLevel="0" collapsed="false">
      <c r="A459" s="0" t="s">
        <v>1828</v>
      </c>
      <c r="B459" s="0" t="s">
        <v>1829</v>
      </c>
      <c r="C459" s="0" t="s">
        <v>930</v>
      </c>
      <c r="D459" s="31" t="n">
        <v>27203</v>
      </c>
      <c r="E459" s="32" t="s">
        <v>810</v>
      </c>
      <c r="F459" s="32" t="s">
        <v>811</v>
      </c>
      <c r="G459" s="32" t="s">
        <v>812</v>
      </c>
      <c r="H459" s="31" t="n">
        <v>45723</v>
      </c>
      <c r="I459" s="32" t="s">
        <v>788</v>
      </c>
      <c r="J459" s="32" t="s">
        <v>751</v>
      </c>
      <c r="K459" s="0" t="n">
        <v>84</v>
      </c>
      <c r="L459" s="32" t="s">
        <v>752</v>
      </c>
      <c r="M459" s="0" t="n">
        <v>12</v>
      </c>
      <c r="N459" s="32" t="s">
        <v>753</v>
      </c>
      <c r="O459" s="32" t="s">
        <v>1683</v>
      </c>
      <c r="P459" s="32" t="n">
        <f aca="false">IF(AND(ISNUMBER(K459),K459&gt;=0),K459,IF(ISNUMBER(M459),ROUND(M459*7,0),""))</f>
        <v>84</v>
      </c>
      <c r="Q459" s="0" t="str">
        <f aca="false">IF(ISTEXT(K459),"TEXT - recovered",IF(K459&lt;0,"NEGATIVE",IF(K459&gt;728,"&gt;104 WEEKS","OK")))</f>
        <v>OK</v>
      </c>
      <c r="R459" s="0" t="str">
        <f aca="false">IF(E459="GEN","GM",E459)</f>
        <v>URO</v>
      </c>
    </row>
    <row r="460" customFormat="false" ht="15" hidden="false" customHeight="false" outlineLevel="0" collapsed="false">
      <c r="A460" s="0" t="s">
        <v>1830</v>
      </c>
      <c r="B460" s="0" t="s">
        <v>1831</v>
      </c>
      <c r="C460" s="0" t="s">
        <v>977</v>
      </c>
      <c r="D460" s="31" t="n">
        <v>29468</v>
      </c>
      <c r="E460" s="32" t="s">
        <v>810</v>
      </c>
      <c r="F460" s="32" t="s">
        <v>811</v>
      </c>
      <c r="G460" s="32" t="s">
        <v>812</v>
      </c>
      <c r="H460" s="31" t="n">
        <v>45726</v>
      </c>
      <c r="I460" s="32" t="s">
        <v>813</v>
      </c>
      <c r="J460" s="32" t="s">
        <v>751</v>
      </c>
      <c r="K460" s="0" t="n">
        <v>106</v>
      </c>
      <c r="L460" s="32" t="s">
        <v>752</v>
      </c>
      <c r="M460" s="0" t="n">
        <v>15.1</v>
      </c>
      <c r="N460" s="32" t="s">
        <v>753</v>
      </c>
      <c r="O460" s="32" t="s">
        <v>781</v>
      </c>
      <c r="P460" s="32" t="n">
        <f aca="false">IF(AND(ISNUMBER(K460),K460&gt;=0),K460,IF(ISNUMBER(M460),ROUND(M460*7,0),""))</f>
        <v>106</v>
      </c>
      <c r="Q460" s="0" t="str">
        <f aca="false">IF(ISTEXT(K460),"TEXT - recovered",IF(K460&lt;0,"NEGATIVE",IF(K460&gt;728,"&gt;104 WEEKS","OK")))</f>
        <v>OK</v>
      </c>
      <c r="R460" s="0" t="str">
        <f aca="false">IF(E460="GEN","GM",E460)</f>
        <v>URO</v>
      </c>
    </row>
    <row r="461" customFormat="false" ht="15" hidden="false" customHeight="false" outlineLevel="0" collapsed="false">
      <c r="A461" s="0" t="s">
        <v>1832</v>
      </c>
      <c r="B461" s="0" t="s">
        <v>1833</v>
      </c>
      <c r="C461" s="0" t="s">
        <v>966</v>
      </c>
      <c r="D461" s="31" t="n">
        <v>27495</v>
      </c>
      <c r="E461" s="32" t="s">
        <v>785</v>
      </c>
      <c r="F461" s="32" t="s">
        <v>786</v>
      </c>
      <c r="G461" s="32" t="s">
        <v>787</v>
      </c>
      <c r="H461" s="31" t="n">
        <v>45721</v>
      </c>
      <c r="I461" s="32" t="s">
        <v>813</v>
      </c>
      <c r="J461" s="32" t="s">
        <v>751</v>
      </c>
      <c r="K461" s="0" t="n">
        <v>81</v>
      </c>
      <c r="L461" s="32" t="s">
        <v>752</v>
      </c>
      <c r="M461" s="0" t="n">
        <v>11.6</v>
      </c>
      <c r="N461" s="32" t="s">
        <v>753</v>
      </c>
      <c r="O461" s="32" t="s">
        <v>859</v>
      </c>
      <c r="P461" s="32" t="n">
        <f aca="false">IF(AND(ISNUMBER(K461),K461&gt;=0),K461,IF(ISNUMBER(M461),ROUND(M461*7,0),""))</f>
        <v>81</v>
      </c>
      <c r="Q461" s="0" t="str">
        <f aca="false">IF(ISTEXT(K461),"TEXT - recovered",IF(K461&lt;0,"NEGATIVE",IF(K461&gt;728,"&gt;104 WEEKS","OK")))</f>
        <v>OK</v>
      </c>
      <c r="R461" s="0" t="str">
        <f aca="false">IF(E461="GEN","GM",E461)</f>
        <v>RS</v>
      </c>
    </row>
    <row r="462" customFormat="false" ht="15" hidden="false" customHeight="false" outlineLevel="0" collapsed="false">
      <c r="A462" s="0" t="s">
        <v>1834</v>
      </c>
      <c r="B462" s="0" t="s">
        <v>1835</v>
      </c>
      <c r="C462" s="0" t="s">
        <v>930</v>
      </c>
      <c r="D462" s="31" t="n">
        <v>20170</v>
      </c>
      <c r="E462" s="32" t="s">
        <v>785</v>
      </c>
      <c r="F462" s="32" t="s">
        <v>786</v>
      </c>
      <c r="G462" s="32" t="s">
        <v>787</v>
      </c>
      <c r="H462" s="31" t="n">
        <v>45715</v>
      </c>
      <c r="I462" s="32" t="s">
        <v>761</v>
      </c>
      <c r="J462" s="32" t="s">
        <v>751</v>
      </c>
      <c r="K462" s="0" t="n">
        <v>110</v>
      </c>
      <c r="L462" s="32" t="s">
        <v>752</v>
      </c>
      <c r="M462" s="0" t="n">
        <v>15.7</v>
      </c>
      <c r="N462" s="32" t="s">
        <v>753</v>
      </c>
      <c r="O462" s="32" t="s">
        <v>859</v>
      </c>
      <c r="P462" s="32" t="n">
        <f aca="false">IF(AND(ISNUMBER(K462),K462&gt;=0),K462,IF(ISNUMBER(M462),ROUND(M462*7,0),""))</f>
        <v>110</v>
      </c>
      <c r="Q462" s="0" t="str">
        <f aca="false">IF(ISTEXT(K462),"TEXT - recovered",IF(K462&lt;0,"NEGATIVE",IF(K462&gt;728,"&gt;104 WEEKS","OK")))</f>
        <v>OK</v>
      </c>
      <c r="R462" s="0" t="str">
        <f aca="false">IF(E462="GEN","GM",E462)</f>
        <v>RS</v>
      </c>
    </row>
    <row r="463" customFormat="false" ht="15" hidden="false" customHeight="false" outlineLevel="0" collapsed="false">
      <c r="A463" s="0" t="s">
        <v>1836</v>
      </c>
      <c r="B463" s="0" t="s">
        <v>1837</v>
      </c>
      <c r="C463" s="0" t="s">
        <v>837</v>
      </c>
      <c r="D463" s="31" t="n">
        <v>22045</v>
      </c>
      <c r="E463" s="32" t="s">
        <v>818</v>
      </c>
      <c r="F463" s="32" t="s">
        <v>819</v>
      </c>
      <c r="G463" s="32" t="s">
        <v>820</v>
      </c>
      <c r="H463" s="31" t="n">
        <v>45712</v>
      </c>
      <c r="I463" s="32" t="s">
        <v>813</v>
      </c>
      <c r="J463" s="32" t="s">
        <v>751</v>
      </c>
      <c r="K463" s="0" t="n">
        <v>73</v>
      </c>
      <c r="L463" s="32" t="s">
        <v>752</v>
      </c>
      <c r="M463" s="0" t="n">
        <v>10.4</v>
      </c>
      <c r="N463" s="32" t="s">
        <v>780</v>
      </c>
      <c r="O463" s="32" t="s">
        <v>850</v>
      </c>
      <c r="P463" s="32" t="n">
        <f aca="false">IF(AND(ISNUMBER(K463),K463&gt;=0),K463,IF(ISNUMBER(M463),ROUND(M463*7,0),""))</f>
        <v>73</v>
      </c>
      <c r="Q463" s="0" t="str">
        <f aca="false">IF(ISTEXT(K463),"TEXT - recovered",IF(K463&lt;0,"NEGATIVE",IF(K463&gt;728,"&gt;104 WEEKS","OK")))</f>
        <v>OK</v>
      </c>
      <c r="R463" s="0" t="str">
        <f aca="false">IF(E463="GEN","GM",E463)</f>
        <v>OPH</v>
      </c>
    </row>
    <row r="464" customFormat="false" ht="15" hidden="false" customHeight="false" outlineLevel="0" collapsed="false">
      <c r="A464" s="0" t="s">
        <v>1838</v>
      </c>
      <c r="B464" s="0" t="s">
        <v>1839</v>
      </c>
      <c r="C464" s="0" t="s">
        <v>809</v>
      </c>
      <c r="D464" s="31" t="n">
        <v>30539</v>
      </c>
      <c r="E464" s="32" t="s">
        <v>766</v>
      </c>
      <c r="F464" s="32" t="s">
        <v>767</v>
      </c>
      <c r="G464" s="32" t="s">
        <v>768</v>
      </c>
      <c r="H464" s="31" t="n">
        <v>45735</v>
      </c>
      <c r="I464" s="32" t="s">
        <v>805</v>
      </c>
      <c r="J464" s="32" t="s">
        <v>751</v>
      </c>
      <c r="K464" s="32" t="s">
        <v>751</v>
      </c>
      <c r="L464" s="32" t="s">
        <v>752</v>
      </c>
      <c r="M464" s="0" t="n">
        <v>49.7</v>
      </c>
      <c r="N464" s="32" t="s">
        <v>753</v>
      </c>
      <c r="O464" s="32" t="s">
        <v>822</v>
      </c>
      <c r="P464" s="32" t="n">
        <f aca="false">IF(AND(ISNUMBER(K464),K464&gt;=0),K464,IF(ISNUMBER(M464),ROUND(M464*7,0),""))</f>
        <v>348</v>
      </c>
      <c r="Q464" s="0" t="str">
        <f aca="false">IF(ISTEXT(K464),"TEXT - recovered",IF(K464&lt;0,"NEGATIVE",IF(K464&gt;728,"&gt;104 WEEKS","OK")))</f>
        <v>TEXT - recovered</v>
      </c>
      <c r="R464" s="0" t="str">
        <f aca="false">IF(E464="GEN","GM",E464)</f>
        <v>OR</v>
      </c>
    </row>
    <row r="465" customFormat="false" ht="15" hidden="false" customHeight="false" outlineLevel="0" collapsed="false">
      <c r="A465" s="0" t="s">
        <v>1840</v>
      </c>
      <c r="B465" s="0" t="s">
        <v>1841</v>
      </c>
      <c r="C465" s="0" t="s">
        <v>890</v>
      </c>
      <c r="D465" s="31" t="n">
        <v>27975</v>
      </c>
      <c r="E465" s="32" t="s">
        <v>818</v>
      </c>
      <c r="F465" s="32" t="s">
        <v>819</v>
      </c>
      <c r="G465" s="32" t="s">
        <v>820</v>
      </c>
      <c r="H465" s="31" t="n">
        <v>45716</v>
      </c>
      <c r="I465" s="32" t="s">
        <v>779</v>
      </c>
      <c r="J465" s="32" t="s">
        <v>751</v>
      </c>
      <c r="K465" s="0" t="n">
        <v>35</v>
      </c>
      <c r="L465" s="32" t="s">
        <v>752</v>
      </c>
      <c r="M465" s="0" t="n">
        <v>5</v>
      </c>
      <c r="N465" s="32" t="s">
        <v>780</v>
      </c>
      <c r="O465" s="32" t="s">
        <v>789</v>
      </c>
      <c r="P465" s="32" t="n">
        <f aca="false">IF(AND(ISNUMBER(K465),K465&gt;=0),K465,IF(ISNUMBER(M465),ROUND(M465*7,0),""))</f>
        <v>35</v>
      </c>
      <c r="Q465" s="0" t="str">
        <f aca="false">IF(ISTEXT(K465),"TEXT - recovered",IF(K465&lt;0,"NEGATIVE",IF(K465&gt;728,"&gt;104 WEEKS","OK")))</f>
        <v>OK</v>
      </c>
      <c r="R465" s="0" t="str">
        <f aca="false">IF(E465="GEN","GM",E465)</f>
        <v>OPH</v>
      </c>
    </row>
    <row r="466" customFormat="false" ht="15" hidden="false" customHeight="false" outlineLevel="0" collapsed="false">
      <c r="A466" s="0" t="s">
        <v>1842</v>
      </c>
      <c r="B466" s="0" t="s">
        <v>1843</v>
      </c>
      <c r="C466" s="0" t="s">
        <v>765</v>
      </c>
      <c r="D466" s="31" t="n">
        <v>17630</v>
      </c>
      <c r="E466" s="32" t="s">
        <v>776</v>
      </c>
      <c r="F466" s="32" t="s">
        <v>777</v>
      </c>
      <c r="G466" s="32" t="s">
        <v>778</v>
      </c>
      <c r="H466" s="31" t="n">
        <v>45713</v>
      </c>
      <c r="I466" s="32" t="s">
        <v>750</v>
      </c>
      <c r="J466" s="32" t="s">
        <v>751</v>
      </c>
      <c r="K466" s="0" t="n">
        <v>56</v>
      </c>
      <c r="L466" s="32" t="s">
        <v>752</v>
      </c>
      <c r="M466" s="0" t="n">
        <v>8</v>
      </c>
      <c r="N466" s="32" t="s">
        <v>780</v>
      </c>
      <c r="O466" s="32" t="s">
        <v>863</v>
      </c>
      <c r="P466" s="32" t="n">
        <f aca="false">IF(AND(ISNUMBER(K466),K466&gt;=0),K466,IF(ISNUMBER(M466),ROUND(M466*7,0),""))</f>
        <v>56</v>
      </c>
      <c r="Q466" s="0" t="str">
        <f aca="false">IF(ISTEXT(K466),"TEXT - recovered",IF(K466&lt;0,"NEGATIVE",IF(K466&gt;728,"&gt;104 WEEKS","OK")))</f>
        <v>OK</v>
      </c>
      <c r="R466" s="0" t="str">
        <f aca="false">IF(E466="GEN","GM",E466)</f>
        <v>GS</v>
      </c>
    </row>
    <row r="467" customFormat="false" ht="15" hidden="false" customHeight="false" outlineLevel="0" collapsed="false">
      <c r="A467" s="0" t="s">
        <v>1844</v>
      </c>
      <c r="B467" s="0" t="s">
        <v>1845</v>
      </c>
      <c r="C467" s="0" t="s">
        <v>1398</v>
      </c>
      <c r="D467" s="31" t="n">
        <v>31365</v>
      </c>
      <c r="E467" s="32" t="s">
        <v>776</v>
      </c>
      <c r="F467" s="32" t="s">
        <v>777</v>
      </c>
      <c r="G467" s="32" t="s">
        <v>778</v>
      </c>
      <c r="H467" s="31" t="n">
        <v>45713</v>
      </c>
      <c r="I467" s="32" t="s">
        <v>761</v>
      </c>
      <c r="J467" s="32" t="s">
        <v>797</v>
      </c>
      <c r="K467" s="0" t="n">
        <v>93</v>
      </c>
      <c r="L467" s="32" t="s">
        <v>771</v>
      </c>
      <c r="M467" s="0" t="n">
        <v>13.3</v>
      </c>
      <c r="N467" s="32" t="s">
        <v>753</v>
      </c>
      <c r="O467" s="32" t="s">
        <v>838</v>
      </c>
      <c r="P467" s="32" t="n">
        <f aca="false">IF(AND(ISNUMBER(K467),K467&gt;=0),K467,IF(ISNUMBER(M467),ROUND(M467*7,0),""))</f>
        <v>93</v>
      </c>
      <c r="Q467" s="0" t="str">
        <f aca="false">IF(ISTEXT(K467),"TEXT - recovered",IF(K467&lt;0,"NEGATIVE",IF(K467&gt;728,"&gt;104 WEEKS","OK")))</f>
        <v>OK</v>
      </c>
      <c r="R467" s="0" t="str">
        <f aca="false">IF(E467="GEN","GM",E467)</f>
        <v>GS</v>
      </c>
    </row>
    <row r="468" customFormat="false" ht="15" hidden="false" customHeight="false" outlineLevel="0" collapsed="false">
      <c r="A468" s="0" t="s">
        <v>1846</v>
      </c>
      <c r="B468" s="0" t="s">
        <v>1847</v>
      </c>
      <c r="C468" s="0" t="s">
        <v>950</v>
      </c>
      <c r="D468" s="31" t="n">
        <v>23547</v>
      </c>
      <c r="E468" s="32" t="s">
        <v>747</v>
      </c>
      <c r="F468" s="32" t="s">
        <v>748</v>
      </c>
      <c r="G468" s="32" t="s">
        <v>749</v>
      </c>
      <c r="H468" s="31" t="n">
        <v>45712</v>
      </c>
      <c r="I468" s="32" t="s">
        <v>761</v>
      </c>
      <c r="J468" s="32" t="s">
        <v>751</v>
      </c>
      <c r="K468" s="0" t="n">
        <v>57</v>
      </c>
      <c r="L468" s="32" t="s">
        <v>752</v>
      </c>
      <c r="M468" s="0" t="n">
        <v>8.1</v>
      </c>
      <c r="N468" s="32" t="s">
        <v>753</v>
      </c>
      <c r="O468" s="32" t="s">
        <v>822</v>
      </c>
      <c r="P468" s="32" t="n">
        <f aca="false">IF(AND(ISNUMBER(K468),K468&gt;=0),K468,IF(ISNUMBER(M468),ROUND(M468*7,0),""))</f>
        <v>57</v>
      </c>
      <c r="Q468" s="0" t="str">
        <f aca="false">IF(ISTEXT(K468),"TEXT - recovered",IF(K468&lt;0,"NEGATIVE",IF(K468&gt;728,"&gt;104 WEEKS","OK")))</f>
        <v>OK</v>
      </c>
      <c r="R468" s="0" t="str">
        <f aca="false">IF(E468="GEN","GM",E468)</f>
        <v>GM</v>
      </c>
    </row>
    <row r="469" customFormat="false" ht="15" hidden="false" customHeight="false" outlineLevel="0" collapsed="false">
      <c r="A469" s="0" t="s">
        <v>1848</v>
      </c>
      <c r="B469" s="0" t="s">
        <v>1849</v>
      </c>
      <c r="C469" s="0" t="s">
        <v>902</v>
      </c>
      <c r="D469" s="31" t="n">
        <v>23876</v>
      </c>
      <c r="E469" s="32" t="s">
        <v>826</v>
      </c>
      <c r="F469" s="32" t="s">
        <v>827</v>
      </c>
      <c r="G469" s="32" t="s">
        <v>828</v>
      </c>
      <c r="H469" s="31" t="n">
        <v>45726</v>
      </c>
      <c r="I469" s="32" t="s">
        <v>829</v>
      </c>
      <c r="J469" s="32" t="s">
        <v>751</v>
      </c>
      <c r="K469" s="0" t="n">
        <v>52</v>
      </c>
      <c r="L469" s="32" t="s">
        <v>752</v>
      </c>
      <c r="M469" s="0" t="n">
        <v>7.4</v>
      </c>
      <c r="N469" s="32" t="s">
        <v>753</v>
      </c>
      <c r="O469" s="32" t="s">
        <v>789</v>
      </c>
      <c r="P469" s="32" t="n">
        <f aca="false">IF(AND(ISNUMBER(K469),K469&gt;=0),K469,IF(ISNUMBER(M469),ROUND(M469*7,0),""))</f>
        <v>52</v>
      </c>
      <c r="Q469" s="0" t="str">
        <f aca="false">IF(ISTEXT(K469),"TEXT - recovered",IF(K469&lt;0,"NEGATIVE",IF(K469&gt;728,"&gt;104 WEEKS","OK")))</f>
        <v>OK</v>
      </c>
      <c r="R469" s="0" t="str">
        <f aca="false">IF(E469="GEN","GM",E469)</f>
        <v>RHE</v>
      </c>
    </row>
    <row r="470" customFormat="false" ht="15" hidden="false" customHeight="false" outlineLevel="0" collapsed="false">
      <c r="A470" s="0" t="s">
        <v>1850</v>
      </c>
      <c r="B470" s="0" t="s">
        <v>1851</v>
      </c>
      <c r="C470" s="0" t="s">
        <v>1009</v>
      </c>
      <c r="D470" s="31" t="n">
        <v>16343</v>
      </c>
      <c r="E470" s="32" t="s">
        <v>758</v>
      </c>
      <c r="F470" s="32" t="s">
        <v>759</v>
      </c>
      <c r="G470" s="32" t="s">
        <v>760</v>
      </c>
      <c r="H470" s="31" t="n">
        <v>45728</v>
      </c>
      <c r="I470" s="32" t="s">
        <v>761</v>
      </c>
      <c r="J470" s="32" t="s">
        <v>751</v>
      </c>
      <c r="K470" s="0" t="n">
        <v>108</v>
      </c>
      <c r="L470" s="32" t="s">
        <v>752</v>
      </c>
      <c r="M470" s="0" t="n">
        <v>15.4</v>
      </c>
      <c r="N470" s="32" t="s">
        <v>330</v>
      </c>
      <c r="O470" s="32" t="s">
        <v>814</v>
      </c>
      <c r="P470" s="32" t="n">
        <f aca="false">IF(AND(ISNUMBER(K470),K470&gt;=0),K470,IF(ISNUMBER(M470),ROUND(M470*7,0),""))</f>
        <v>108</v>
      </c>
      <c r="Q470" s="0" t="str">
        <f aca="false">IF(ISTEXT(K470),"TEXT - recovered",IF(K470&lt;0,"NEGATIVE",IF(K470&gt;728,"&gt;104 WEEKS","OK")))</f>
        <v>OK</v>
      </c>
      <c r="R470" s="0" t="str">
        <f aca="false">IF(E470="GEN","GM",E470)</f>
        <v>CS</v>
      </c>
    </row>
    <row r="471" customFormat="false" ht="15" hidden="false" customHeight="false" outlineLevel="0" collapsed="false">
      <c r="A471" s="0" t="s">
        <v>1852</v>
      </c>
      <c r="B471" s="0" t="s">
        <v>1853</v>
      </c>
      <c r="C471" s="0" t="s">
        <v>1029</v>
      </c>
      <c r="D471" s="31" t="n">
        <v>30129</v>
      </c>
      <c r="E471" s="32" t="s">
        <v>802</v>
      </c>
      <c r="F471" s="32" t="s">
        <v>803</v>
      </c>
      <c r="G471" s="32" t="s">
        <v>804</v>
      </c>
      <c r="H471" s="31" t="n">
        <v>45714</v>
      </c>
      <c r="I471" s="32" t="s">
        <v>821</v>
      </c>
      <c r="J471" s="32" t="s">
        <v>751</v>
      </c>
      <c r="K471" s="0" t="n">
        <v>116</v>
      </c>
      <c r="L471" s="32" t="s">
        <v>752</v>
      </c>
      <c r="M471" s="0" t="n">
        <v>16.6</v>
      </c>
      <c r="N471" s="32" t="s">
        <v>1630</v>
      </c>
      <c r="O471" s="32" t="s">
        <v>762</v>
      </c>
      <c r="P471" s="32" t="n">
        <f aca="false">IF(AND(ISNUMBER(K471),K471&gt;=0),K471,IF(ISNUMBER(M471),ROUND(M471*7,0),""))</f>
        <v>116</v>
      </c>
      <c r="Q471" s="0" t="str">
        <f aca="false">IF(ISTEXT(K471),"TEXT - recovered",IF(K471&lt;0,"NEGATIVE",IF(K471&gt;728,"&gt;104 WEEKS","OK")))</f>
        <v>OK</v>
      </c>
      <c r="R471" s="0" t="str">
        <f aca="false">IF(E471="GEN","GM",E471)</f>
        <v>GYN</v>
      </c>
    </row>
    <row r="472" customFormat="false" ht="15" hidden="false" customHeight="false" outlineLevel="0" collapsed="false">
      <c r="A472" s="0" t="s">
        <v>1854</v>
      </c>
      <c r="B472" s="0" t="s">
        <v>1855</v>
      </c>
      <c r="C472" s="0" t="s">
        <v>970</v>
      </c>
      <c r="D472" s="31" t="n">
        <v>17607</v>
      </c>
      <c r="E472" s="32" t="s">
        <v>793</v>
      </c>
      <c r="F472" s="32" t="s">
        <v>794</v>
      </c>
      <c r="G472" s="32" t="s">
        <v>795</v>
      </c>
      <c r="H472" s="31" t="n">
        <v>45713</v>
      </c>
      <c r="I472" s="32" t="s">
        <v>805</v>
      </c>
      <c r="J472" s="32" t="s">
        <v>751</v>
      </c>
      <c r="K472" s="0" t="n">
        <v>106</v>
      </c>
      <c r="L472" s="32" t="s">
        <v>752</v>
      </c>
      <c r="M472" s="0" t="n">
        <v>15.1</v>
      </c>
      <c r="N472" s="32" t="s">
        <v>330</v>
      </c>
      <c r="O472" s="32" t="s">
        <v>781</v>
      </c>
      <c r="P472" s="32" t="n">
        <f aca="false">IF(AND(ISNUMBER(K472),K472&gt;=0),K472,IF(ISNUMBER(M472),ROUND(M472*7,0),""))</f>
        <v>106</v>
      </c>
      <c r="Q472" s="0" t="str">
        <f aca="false">IF(ISTEXT(K472),"TEXT - recovered",IF(K472&lt;0,"NEGATIVE",IF(K472&gt;728,"&gt;104 WEEKS","OK")))</f>
        <v>OK</v>
      </c>
      <c r="R472" s="0" t="str">
        <f aca="false">IF(E472="GEN","GM",E472)</f>
        <v>EM</v>
      </c>
    </row>
    <row r="473" customFormat="false" ht="15" hidden="false" customHeight="false" outlineLevel="0" collapsed="false">
      <c r="A473" s="0" t="s">
        <v>1856</v>
      </c>
      <c r="B473" s="0" t="s">
        <v>1857</v>
      </c>
      <c r="C473" s="0" t="s">
        <v>809</v>
      </c>
      <c r="D473" s="31" t="n">
        <v>22682</v>
      </c>
      <c r="E473" s="32" t="s">
        <v>802</v>
      </c>
      <c r="F473" s="32" t="s">
        <v>803</v>
      </c>
      <c r="G473" s="32" t="s">
        <v>804</v>
      </c>
      <c r="H473" s="31" t="n">
        <v>45736</v>
      </c>
      <c r="I473" s="32" t="s">
        <v>821</v>
      </c>
      <c r="J473" s="32" t="s">
        <v>751</v>
      </c>
      <c r="K473" s="0" t="n">
        <v>64</v>
      </c>
      <c r="L473" s="32" t="s">
        <v>752</v>
      </c>
      <c r="M473" s="0" t="n">
        <v>9.1</v>
      </c>
      <c r="N473" s="32" t="s">
        <v>330</v>
      </c>
      <c r="O473" s="32" t="s">
        <v>781</v>
      </c>
      <c r="P473" s="32" t="n">
        <f aca="false">IF(AND(ISNUMBER(K473),K473&gt;=0),K473,IF(ISNUMBER(M473),ROUND(M473*7,0),""))</f>
        <v>64</v>
      </c>
      <c r="Q473" s="0" t="str">
        <f aca="false">IF(ISTEXT(K473),"TEXT - recovered",IF(K473&lt;0,"NEGATIVE",IF(K473&gt;728,"&gt;104 WEEKS","OK")))</f>
        <v>OK</v>
      </c>
      <c r="R473" s="0" t="str">
        <f aca="false">IF(E473="GEN","GM",E473)</f>
        <v>GYN</v>
      </c>
    </row>
    <row r="474" customFormat="false" ht="15" hidden="false" customHeight="false" outlineLevel="0" collapsed="false">
      <c r="A474" s="0" t="s">
        <v>1858</v>
      </c>
      <c r="B474" s="0" t="s">
        <v>1859</v>
      </c>
      <c r="C474" s="0" t="s">
        <v>970</v>
      </c>
      <c r="D474" s="31" t="n">
        <v>28659</v>
      </c>
      <c r="E474" s="32" t="s">
        <v>826</v>
      </c>
      <c r="F474" s="32" t="s">
        <v>827</v>
      </c>
      <c r="G474" s="32" t="s">
        <v>828</v>
      </c>
      <c r="H474" s="31" t="n">
        <v>45723</v>
      </c>
      <c r="I474" s="32" t="s">
        <v>796</v>
      </c>
      <c r="J474" s="32" t="s">
        <v>751</v>
      </c>
      <c r="K474" s="0" t="n">
        <v>15</v>
      </c>
      <c r="L474" s="32" t="s">
        <v>752</v>
      </c>
      <c r="M474" s="0" t="n">
        <v>2.1</v>
      </c>
      <c r="N474" s="32" t="s">
        <v>1630</v>
      </c>
      <c r="O474" s="32" t="s">
        <v>814</v>
      </c>
      <c r="P474" s="32" t="n">
        <f aca="false">IF(AND(ISNUMBER(K474),K474&gt;=0),K474,IF(ISNUMBER(M474),ROUND(M474*7,0),""))</f>
        <v>15</v>
      </c>
      <c r="Q474" s="0" t="str">
        <f aca="false">IF(ISTEXT(K474),"TEXT - recovered",IF(K474&lt;0,"NEGATIVE",IF(K474&gt;728,"&gt;104 WEEKS","OK")))</f>
        <v>OK</v>
      </c>
      <c r="R474" s="0" t="str">
        <f aca="false">IF(E474="GEN","GM",E474)</f>
        <v>RHE</v>
      </c>
    </row>
    <row r="475" customFormat="false" ht="15" hidden="false" customHeight="false" outlineLevel="0" collapsed="false">
      <c r="A475" s="0" t="s">
        <v>1860</v>
      </c>
      <c r="B475" s="0" t="s">
        <v>1861</v>
      </c>
      <c r="C475" s="0" t="s">
        <v>746</v>
      </c>
      <c r="D475" s="31" t="n">
        <v>32713</v>
      </c>
      <c r="E475" s="32" t="s">
        <v>826</v>
      </c>
      <c r="F475" s="32" t="s">
        <v>827</v>
      </c>
      <c r="G475" s="32" t="s">
        <v>828</v>
      </c>
      <c r="H475" s="31" t="n">
        <v>45719</v>
      </c>
      <c r="I475" s="32" t="s">
        <v>813</v>
      </c>
      <c r="J475" s="32" t="s">
        <v>751</v>
      </c>
      <c r="K475" s="0" t="n">
        <v>49</v>
      </c>
      <c r="L475" s="32" t="s">
        <v>752</v>
      </c>
      <c r="M475" s="0" t="n">
        <v>7</v>
      </c>
      <c r="N475" s="32" t="s">
        <v>753</v>
      </c>
      <c r="O475" s="32" t="s">
        <v>830</v>
      </c>
      <c r="P475" s="32" t="n">
        <f aca="false">IF(AND(ISNUMBER(K475),K475&gt;=0),K475,IF(ISNUMBER(M475),ROUND(M475*7,0),""))</f>
        <v>49</v>
      </c>
      <c r="Q475" s="0" t="str">
        <f aca="false">IF(ISTEXT(K475),"TEXT - recovered",IF(K475&lt;0,"NEGATIVE",IF(K475&gt;728,"&gt;104 WEEKS","OK")))</f>
        <v>OK</v>
      </c>
      <c r="R475" s="0" t="str">
        <f aca="false">IF(E475="GEN","GM",E475)</f>
        <v>RHE</v>
      </c>
    </row>
    <row r="476" customFormat="false" ht="15" hidden="false" customHeight="false" outlineLevel="0" collapsed="false">
      <c r="A476" s="0" t="s">
        <v>1862</v>
      </c>
      <c r="B476" s="0" t="s">
        <v>1863</v>
      </c>
      <c r="C476" s="0" t="s">
        <v>882</v>
      </c>
      <c r="D476" s="31" t="n">
        <v>18420</v>
      </c>
      <c r="E476" s="32" t="s">
        <v>793</v>
      </c>
      <c r="F476" s="32" t="s">
        <v>794</v>
      </c>
      <c r="G476" s="32" t="s">
        <v>795</v>
      </c>
      <c r="H476" s="31" t="n">
        <v>45736</v>
      </c>
      <c r="I476" s="32" t="s">
        <v>779</v>
      </c>
      <c r="J476" s="32" t="s">
        <v>751</v>
      </c>
      <c r="K476" s="0" t="n">
        <v>61</v>
      </c>
      <c r="L476" s="32" t="s">
        <v>752</v>
      </c>
      <c r="M476" s="0" t="n">
        <v>8.7</v>
      </c>
      <c r="N476" s="32" t="s">
        <v>780</v>
      </c>
      <c r="O476" s="32" t="s">
        <v>806</v>
      </c>
      <c r="P476" s="32" t="n">
        <f aca="false">IF(AND(ISNUMBER(K476),K476&gt;=0),K476,IF(ISNUMBER(M476),ROUND(M476*7,0),""))</f>
        <v>61</v>
      </c>
      <c r="Q476" s="0" t="str">
        <f aca="false">IF(ISTEXT(K476),"TEXT - recovered",IF(K476&lt;0,"NEGATIVE",IF(K476&gt;728,"&gt;104 WEEKS","OK")))</f>
        <v>OK</v>
      </c>
      <c r="R476" s="0" t="str">
        <f aca="false">IF(E476="GEN","GM",E476)</f>
        <v>EM</v>
      </c>
    </row>
    <row r="477" customFormat="false" ht="15" hidden="false" customHeight="false" outlineLevel="0" collapsed="false">
      <c r="A477" s="0" t="s">
        <v>1864</v>
      </c>
      <c r="B477" s="0" t="s">
        <v>1865</v>
      </c>
      <c r="C477" s="0" t="s">
        <v>985</v>
      </c>
      <c r="D477" s="31" t="n">
        <v>19551</v>
      </c>
      <c r="E477" s="32" t="s">
        <v>793</v>
      </c>
      <c r="F477" s="32" t="s">
        <v>794</v>
      </c>
      <c r="G477" s="32" t="s">
        <v>795</v>
      </c>
      <c r="H477" s="31" t="n">
        <v>45727</v>
      </c>
      <c r="I477" s="32" t="s">
        <v>821</v>
      </c>
      <c r="J477" s="32" t="s">
        <v>797</v>
      </c>
      <c r="K477" s="0" t="n">
        <v>68</v>
      </c>
      <c r="L477" s="32" t="s">
        <v>771</v>
      </c>
      <c r="M477" s="0" t="n">
        <v>9.7</v>
      </c>
      <c r="N477" s="32" t="s">
        <v>753</v>
      </c>
      <c r="O477" s="32" t="s">
        <v>859</v>
      </c>
      <c r="P477" s="32" t="n">
        <f aca="false">IF(AND(ISNUMBER(K477),K477&gt;=0),K477,IF(ISNUMBER(M477),ROUND(M477*7,0),""))</f>
        <v>68</v>
      </c>
      <c r="Q477" s="0" t="str">
        <f aca="false">IF(ISTEXT(K477),"TEXT - recovered",IF(K477&lt;0,"NEGATIVE",IF(K477&gt;728,"&gt;104 WEEKS","OK")))</f>
        <v>OK</v>
      </c>
      <c r="R477" s="0" t="str">
        <f aca="false">IF(E477="GEN","GM",E477)</f>
        <v>EM</v>
      </c>
    </row>
    <row r="478" customFormat="false" ht="15" hidden="false" customHeight="false" outlineLevel="0" collapsed="false">
      <c r="A478" s="0" t="s">
        <v>1866</v>
      </c>
      <c r="B478" s="0" t="s">
        <v>1867</v>
      </c>
      <c r="C478" s="0" t="s">
        <v>962</v>
      </c>
      <c r="D478" s="31" t="n">
        <v>25997</v>
      </c>
      <c r="E478" s="32" t="s">
        <v>793</v>
      </c>
      <c r="F478" s="32" t="s">
        <v>794</v>
      </c>
      <c r="G478" s="32" t="s">
        <v>795</v>
      </c>
      <c r="H478" s="31" t="n">
        <v>45720</v>
      </c>
      <c r="I478" s="32" t="s">
        <v>813</v>
      </c>
      <c r="J478" s="32" t="s">
        <v>751</v>
      </c>
      <c r="K478" s="0" t="n">
        <v>53</v>
      </c>
      <c r="L478" s="32" t="s">
        <v>752</v>
      </c>
      <c r="M478" s="0" t="n">
        <v>7.6</v>
      </c>
      <c r="N478" s="32" t="s">
        <v>753</v>
      </c>
      <c r="O478" s="32" t="s">
        <v>846</v>
      </c>
      <c r="P478" s="32" t="n">
        <f aca="false">IF(AND(ISNUMBER(K478),K478&gt;=0),K478,IF(ISNUMBER(M478),ROUND(M478*7,0),""))</f>
        <v>53</v>
      </c>
      <c r="Q478" s="0" t="str">
        <f aca="false">IF(ISTEXT(K478),"TEXT - recovered",IF(K478&lt;0,"NEGATIVE",IF(K478&gt;728,"&gt;104 WEEKS","OK")))</f>
        <v>OK</v>
      </c>
      <c r="R478" s="0" t="str">
        <f aca="false">IF(E478="GEN","GM",E478)</f>
        <v>EM</v>
      </c>
    </row>
    <row r="479" customFormat="false" ht="15" hidden="false" customHeight="false" outlineLevel="0" collapsed="false">
      <c r="A479" s="0" t="s">
        <v>1868</v>
      </c>
      <c r="B479" s="0" t="s">
        <v>1869</v>
      </c>
      <c r="C479" s="0" t="s">
        <v>989</v>
      </c>
      <c r="D479" s="31" t="n">
        <v>19980</v>
      </c>
      <c r="E479" s="32" t="s">
        <v>785</v>
      </c>
      <c r="F479" s="32" t="s">
        <v>786</v>
      </c>
      <c r="G479" s="32" t="s">
        <v>787</v>
      </c>
      <c r="H479" s="31" t="n">
        <v>45733</v>
      </c>
      <c r="I479" s="32" t="s">
        <v>829</v>
      </c>
      <c r="J479" s="32" t="s">
        <v>751</v>
      </c>
      <c r="K479" s="32" t="s">
        <v>751</v>
      </c>
      <c r="L479" s="32" t="s">
        <v>752</v>
      </c>
      <c r="M479" s="0" t="n">
        <v>43.9</v>
      </c>
      <c r="N479" s="32" t="s">
        <v>780</v>
      </c>
      <c r="O479" s="32" t="s">
        <v>814</v>
      </c>
      <c r="P479" s="32" t="n">
        <f aca="false">IF(AND(ISNUMBER(K479),K479&gt;=0),K479,IF(ISNUMBER(M479),ROUND(M479*7,0),""))</f>
        <v>307</v>
      </c>
      <c r="Q479" s="0" t="str">
        <f aca="false">IF(ISTEXT(K479),"TEXT - recovered",IF(K479&lt;0,"NEGATIVE",IF(K479&gt;728,"&gt;104 WEEKS","OK")))</f>
        <v>TEXT - recovered</v>
      </c>
      <c r="R479" s="0" t="str">
        <f aca="false">IF(E479="GEN","GM",E479)</f>
        <v>RS</v>
      </c>
    </row>
    <row r="480" customFormat="false" ht="15" hidden="false" customHeight="false" outlineLevel="0" collapsed="false">
      <c r="A480" s="0" t="s">
        <v>1870</v>
      </c>
      <c r="B480" s="0" t="s">
        <v>1871</v>
      </c>
      <c r="C480" s="0" t="s">
        <v>849</v>
      </c>
      <c r="D480" s="31" t="n">
        <v>17235</v>
      </c>
      <c r="E480" s="32" t="s">
        <v>766</v>
      </c>
      <c r="F480" s="32" t="s">
        <v>767</v>
      </c>
      <c r="G480" s="32" t="s">
        <v>768</v>
      </c>
      <c r="H480" s="31" t="n">
        <v>45721</v>
      </c>
      <c r="I480" s="32" t="s">
        <v>788</v>
      </c>
      <c r="J480" s="32" t="s">
        <v>751</v>
      </c>
      <c r="K480" s="0" t="n">
        <v>98</v>
      </c>
      <c r="L480" s="32" t="s">
        <v>752</v>
      </c>
      <c r="M480" s="0" t="n">
        <v>14</v>
      </c>
      <c r="N480" s="32" t="s">
        <v>753</v>
      </c>
      <c r="O480" s="32" t="s">
        <v>806</v>
      </c>
      <c r="P480" s="32" t="n">
        <f aca="false">IF(AND(ISNUMBER(K480),K480&gt;=0),K480,IF(ISNUMBER(M480),ROUND(M480*7,0),""))</f>
        <v>98</v>
      </c>
      <c r="Q480" s="0" t="str">
        <f aca="false">IF(ISTEXT(K480),"TEXT - recovered",IF(K480&lt;0,"NEGATIVE",IF(K480&gt;728,"&gt;104 WEEKS","OK")))</f>
        <v>OK</v>
      </c>
      <c r="R480" s="0" t="str">
        <f aca="false">IF(E480="GEN","GM",E480)</f>
        <v>OR</v>
      </c>
    </row>
    <row r="481" customFormat="false" ht="15" hidden="false" customHeight="false" outlineLevel="0" collapsed="false">
      <c r="A481" s="0" t="s">
        <v>1872</v>
      </c>
      <c r="B481" s="0" t="s">
        <v>1873</v>
      </c>
      <c r="C481" s="0" t="s">
        <v>1025</v>
      </c>
      <c r="D481" s="31" t="n">
        <v>33383</v>
      </c>
      <c r="E481" s="32" t="s">
        <v>758</v>
      </c>
      <c r="F481" s="32" t="s">
        <v>759</v>
      </c>
      <c r="G481" s="32" t="s">
        <v>760</v>
      </c>
      <c r="H481" s="31" t="n">
        <v>45714</v>
      </c>
      <c r="I481" s="32" t="s">
        <v>761</v>
      </c>
      <c r="J481" s="32" t="s">
        <v>751</v>
      </c>
      <c r="K481" s="0" t="n">
        <v>17</v>
      </c>
      <c r="L481" s="32" t="s">
        <v>752</v>
      </c>
      <c r="M481" s="0" t="n">
        <v>2.4</v>
      </c>
      <c r="N481" s="32" t="s">
        <v>753</v>
      </c>
      <c r="O481" s="32" t="s">
        <v>850</v>
      </c>
      <c r="P481" s="32" t="n">
        <f aca="false">IF(AND(ISNUMBER(K481),K481&gt;=0),K481,IF(ISNUMBER(M481),ROUND(M481*7,0),""))</f>
        <v>17</v>
      </c>
      <c r="Q481" s="0" t="str">
        <f aca="false">IF(ISTEXT(K481),"TEXT - recovered",IF(K481&lt;0,"NEGATIVE",IF(K481&gt;728,"&gt;104 WEEKS","OK")))</f>
        <v>OK</v>
      </c>
      <c r="R481" s="0" t="str">
        <f aca="false">IF(E481="GEN","GM",E481)</f>
        <v>CS</v>
      </c>
    </row>
    <row r="482" customFormat="false" ht="15" hidden="false" customHeight="false" outlineLevel="0" collapsed="false">
      <c r="A482" s="0" t="s">
        <v>1874</v>
      </c>
      <c r="B482" s="0" t="s">
        <v>1875</v>
      </c>
      <c r="C482" s="0" t="s">
        <v>862</v>
      </c>
      <c r="D482" s="31" t="n">
        <v>24428</v>
      </c>
      <c r="E482" s="32" t="s">
        <v>826</v>
      </c>
      <c r="F482" s="32" t="s">
        <v>827</v>
      </c>
      <c r="G482" s="32" t="s">
        <v>828</v>
      </c>
      <c r="H482" s="31" t="n">
        <v>45723</v>
      </c>
      <c r="I482" s="32" t="s">
        <v>769</v>
      </c>
      <c r="J482" s="32" t="s">
        <v>751</v>
      </c>
      <c r="K482" s="32" t="s">
        <v>751</v>
      </c>
      <c r="L482" s="32" t="s">
        <v>752</v>
      </c>
      <c r="M482" s="0" t="n">
        <v>54.3</v>
      </c>
      <c r="N482" s="32" t="s">
        <v>1630</v>
      </c>
      <c r="O482" s="32" t="s">
        <v>806</v>
      </c>
      <c r="P482" s="32" t="n">
        <f aca="false">IF(AND(ISNUMBER(K482),K482&gt;=0),K482,IF(ISNUMBER(M482),ROUND(M482*7,0),""))</f>
        <v>380</v>
      </c>
      <c r="Q482" s="0" t="str">
        <f aca="false">IF(ISTEXT(K482),"TEXT - recovered",IF(K482&lt;0,"NEGATIVE",IF(K482&gt;728,"&gt;104 WEEKS","OK")))</f>
        <v>TEXT - recovered</v>
      </c>
      <c r="R482" s="0" t="str">
        <f aca="false">IF(E482="GEN","GM",E482)</f>
        <v>RHE</v>
      </c>
    </row>
    <row r="483" customFormat="false" ht="15" hidden="false" customHeight="false" outlineLevel="0" collapsed="false">
      <c r="A483" s="0" t="s">
        <v>1876</v>
      </c>
      <c r="B483" s="0" t="s">
        <v>1877</v>
      </c>
      <c r="C483" s="0" t="s">
        <v>757</v>
      </c>
      <c r="D483" s="31" t="n">
        <v>26854</v>
      </c>
      <c r="E483" s="32" t="s">
        <v>758</v>
      </c>
      <c r="F483" s="32" t="s">
        <v>759</v>
      </c>
      <c r="G483" s="32" t="s">
        <v>760</v>
      </c>
      <c r="H483" s="31" t="n">
        <v>45720</v>
      </c>
      <c r="I483" s="32" t="s">
        <v>796</v>
      </c>
      <c r="J483" s="32" t="s">
        <v>751</v>
      </c>
      <c r="K483" s="0" t="n">
        <v>61</v>
      </c>
      <c r="L483" s="32" t="s">
        <v>752</v>
      </c>
      <c r="M483" s="0" t="n">
        <v>8.7</v>
      </c>
      <c r="N483" s="32" t="s">
        <v>753</v>
      </c>
      <c r="O483" s="32" t="s">
        <v>762</v>
      </c>
      <c r="P483" s="32" t="n">
        <f aca="false">IF(AND(ISNUMBER(K483),K483&gt;=0),K483,IF(ISNUMBER(M483),ROUND(M483*7,0),""))</f>
        <v>61</v>
      </c>
      <c r="Q483" s="0" t="str">
        <f aca="false">IF(ISTEXT(K483),"TEXT - recovered",IF(K483&lt;0,"NEGATIVE",IF(K483&gt;728,"&gt;104 WEEKS","OK")))</f>
        <v>OK</v>
      </c>
      <c r="R483" s="0" t="str">
        <f aca="false">IF(E483="GEN","GM",E483)</f>
        <v>CS</v>
      </c>
    </row>
    <row r="484" customFormat="false" ht="15" hidden="false" customHeight="false" outlineLevel="0" collapsed="false">
      <c r="A484" s="0" t="s">
        <v>1878</v>
      </c>
      <c r="B484" s="0" t="s">
        <v>1879</v>
      </c>
      <c r="C484" s="0" t="s">
        <v>792</v>
      </c>
      <c r="D484" s="31" t="n">
        <v>16317</v>
      </c>
      <c r="E484" s="32" t="s">
        <v>758</v>
      </c>
      <c r="F484" s="32" t="s">
        <v>759</v>
      </c>
      <c r="G484" s="32" t="s">
        <v>760</v>
      </c>
      <c r="H484" s="31" t="n">
        <v>45721</v>
      </c>
      <c r="I484" s="32" t="s">
        <v>796</v>
      </c>
      <c r="J484" s="32" t="s">
        <v>751</v>
      </c>
      <c r="K484" s="0" t="n">
        <v>41</v>
      </c>
      <c r="L484" s="32" t="s">
        <v>752</v>
      </c>
      <c r="M484" s="0" t="n">
        <v>5.9</v>
      </c>
      <c r="N484" s="32" t="s">
        <v>780</v>
      </c>
      <c r="O484" s="32" t="s">
        <v>830</v>
      </c>
      <c r="P484" s="32" t="n">
        <f aca="false">IF(AND(ISNUMBER(K484),K484&gt;=0),K484,IF(ISNUMBER(M484),ROUND(M484*7,0),""))</f>
        <v>41</v>
      </c>
      <c r="Q484" s="0" t="str">
        <f aca="false">IF(ISTEXT(K484),"TEXT - recovered",IF(K484&lt;0,"NEGATIVE",IF(K484&gt;728,"&gt;104 WEEKS","OK")))</f>
        <v>OK</v>
      </c>
      <c r="R484" s="0" t="str">
        <f aca="false">IF(E484="GEN","GM",E484)</f>
        <v>CS</v>
      </c>
    </row>
    <row r="485" customFormat="false" ht="15" hidden="false" customHeight="false" outlineLevel="0" collapsed="false">
      <c r="A485" s="0" t="s">
        <v>1880</v>
      </c>
      <c r="B485" s="0" t="s">
        <v>1881</v>
      </c>
      <c r="C485" s="0" t="s">
        <v>825</v>
      </c>
      <c r="D485" s="31" t="n">
        <v>34810</v>
      </c>
      <c r="E485" s="32" t="s">
        <v>810</v>
      </c>
      <c r="F485" s="32" t="s">
        <v>811</v>
      </c>
      <c r="G485" s="32" t="s">
        <v>812</v>
      </c>
      <c r="H485" s="31" t="n">
        <v>45714</v>
      </c>
      <c r="I485" s="32" t="s">
        <v>750</v>
      </c>
      <c r="J485" s="32" t="s">
        <v>797</v>
      </c>
      <c r="K485" s="0" t="n">
        <v>28</v>
      </c>
      <c r="L485" s="32" t="s">
        <v>771</v>
      </c>
      <c r="M485" s="0" t="n">
        <v>4</v>
      </c>
      <c r="N485" s="32" t="s">
        <v>753</v>
      </c>
      <c r="O485" s="32" t="s">
        <v>798</v>
      </c>
      <c r="P485" s="32" t="n">
        <f aca="false">IF(AND(ISNUMBER(K485),K485&gt;=0),K485,IF(ISNUMBER(M485),ROUND(M485*7,0),""))</f>
        <v>28</v>
      </c>
      <c r="Q485" s="0" t="str">
        <f aca="false">IF(ISTEXT(K485),"TEXT - recovered",IF(K485&lt;0,"NEGATIVE",IF(K485&gt;728,"&gt;104 WEEKS","OK")))</f>
        <v>OK</v>
      </c>
      <c r="R485" s="0" t="str">
        <f aca="false">IF(E485="GEN","GM",E485)</f>
        <v>URO</v>
      </c>
    </row>
    <row r="486" customFormat="false" ht="15" hidden="false" customHeight="false" outlineLevel="0" collapsed="false">
      <c r="A486" s="0" t="s">
        <v>1882</v>
      </c>
      <c r="B486" s="0" t="s">
        <v>1883</v>
      </c>
      <c r="C486" s="0" t="s">
        <v>1013</v>
      </c>
      <c r="D486" s="31" t="n">
        <v>16320</v>
      </c>
      <c r="E486" s="32" t="s">
        <v>758</v>
      </c>
      <c r="F486" s="32" t="s">
        <v>759</v>
      </c>
      <c r="G486" s="32" t="s">
        <v>760</v>
      </c>
      <c r="H486" s="31" t="n">
        <v>45712</v>
      </c>
      <c r="I486" s="32" t="s">
        <v>779</v>
      </c>
      <c r="J486" s="32" t="s">
        <v>751</v>
      </c>
      <c r="K486" s="0" t="n">
        <v>28</v>
      </c>
      <c r="L486" s="32" t="s">
        <v>752</v>
      </c>
      <c r="M486" s="0" t="n">
        <v>4</v>
      </c>
      <c r="N486" s="32" t="s">
        <v>780</v>
      </c>
      <c r="O486" s="32" t="s">
        <v>867</v>
      </c>
      <c r="P486" s="32" t="n">
        <f aca="false">IF(AND(ISNUMBER(K486),K486&gt;=0),K486,IF(ISNUMBER(M486),ROUND(M486*7,0),""))</f>
        <v>28</v>
      </c>
      <c r="Q486" s="0" t="str">
        <f aca="false">IF(ISTEXT(K486),"TEXT - recovered",IF(K486&lt;0,"NEGATIVE",IF(K486&gt;728,"&gt;104 WEEKS","OK")))</f>
        <v>OK</v>
      </c>
      <c r="R486" s="0" t="str">
        <f aca="false">IF(E486="GEN","GM",E486)</f>
        <v>CS</v>
      </c>
    </row>
    <row r="487" customFormat="false" ht="15" hidden="false" customHeight="false" outlineLevel="0" collapsed="false">
      <c r="A487" s="0" t="s">
        <v>1884</v>
      </c>
      <c r="B487" s="0" t="s">
        <v>1885</v>
      </c>
      <c r="C487" s="0" t="s">
        <v>857</v>
      </c>
      <c r="D487" s="31" t="n">
        <v>28189</v>
      </c>
      <c r="E487" s="32" t="s">
        <v>818</v>
      </c>
      <c r="F487" s="32" t="s">
        <v>819</v>
      </c>
      <c r="G487" s="32" t="s">
        <v>820</v>
      </c>
      <c r="H487" s="31" t="n">
        <v>45721</v>
      </c>
      <c r="I487" s="32" t="s">
        <v>805</v>
      </c>
      <c r="J487" s="32" t="s">
        <v>751</v>
      </c>
      <c r="K487" s="32" t="s">
        <v>751</v>
      </c>
      <c r="L487" s="32" t="s">
        <v>752</v>
      </c>
      <c r="M487" s="0" t="n">
        <v>43</v>
      </c>
      <c r="N487" s="32" t="s">
        <v>1630</v>
      </c>
      <c r="O487" s="32" t="s">
        <v>781</v>
      </c>
      <c r="P487" s="32" t="n">
        <f aca="false">IF(AND(ISNUMBER(K487),K487&gt;=0),K487,IF(ISNUMBER(M487),ROUND(M487*7,0),""))</f>
        <v>301</v>
      </c>
      <c r="Q487" s="0" t="str">
        <f aca="false">IF(ISTEXT(K487),"TEXT - recovered",IF(K487&lt;0,"NEGATIVE",IF(K487&gt;728,"&gt;104 WEEKS","OK")))</f>
        <v>TEXT - recovered</v>
      </c>
      <c r="R487" s="0" t="str">
        <f aca="false">IF(E487="GEN","GM",E487)</f>
        <v>OPH</v>
      </c>
    </row>
    <row r="488" customFormat="false" ht="15" hidden="false" customHeight="false" outlineLevel="0" collapsed="false">
      <c r="A488" s="0" t="s">
        <v>1886</v>
      </c>
      <c r="B488" s="0" t="s">
        <v>1887</v>
      </c>
      <c r="C488" s="0" t="s">
        <v>853</v>
      </c>
      <c r="D488" s="31" t="n">
        <v>20608</v>
      </c>
      <c r="E488" s="32" t="s">
        <v>818</v>
      </c>
      <c r="F488" s="32" t="s">
        <v>819</v>
      </c>
      <c r="G488" s="32" t="s">
        <v>820</v>
      </c>
      <c r="H488" s="31" t="n">
        <v>45723</v>
      </c>
      <c r="I488" s="32" t="s">
        <v>769</v>
      </c>
      <c r="J488" s="32" t="s">
        <v>751</v>
      </c>
      <c r="K488" s="0" t="n">
        <v>62</v>
      </c>
      <c r="L488" s="32" t="s">
        <v>752</v>
      </c>
      <c r="M488" s="0" t="n">
        <v>8.9</v>
      </c>
      <c r="N488" s="32" t="s">
        <v>753</v>
      </c>
      <c r="O488" s="32" t="s">
        <v>798</v>
      </c>
      <c r="P488" s="32" t="n">
        <f aca="false">IF(AND(ISNUMBER(K488),K488&gt;=0),K488,IF(ISNUMBER(M488),ROUND(M488*7,0),""))</f>
        <v>62</v>
      </c>
      <c r="Q488" s="0" t="str">
        <f aca="false">IF(ISTEXT(K488),"TEXT - recovered",IF(K488&lt;0,"NEGATIVE",IF(K488&gt;728,"&gt;104 WEEKS","OK")))</f>
        <v>OK</v>
      </c>
      <c r="R488" s="0" t="str">
        <f aca="false">IF(E488="GEN","GM",E488)</f>
        <v>OPH</v>
      </c>
    </row>
    <row r="489" customFormat="false" ht="15" hidden="false" customHeight="false" outlineLevel="0" collapsed="false">
      <c r="A489" s="0" t="s">
        <v>1888</v>
      </c>
      <c r="B489" s="0" t="s">
        <v>1889</v>
      </c>
      <c r="C489" s="0" t="s">
        <v>1021</v>
      </c>
      <c r="D489" s="31" t="n">
        <v>32520</v>
      </c>
      <c r="E489" s="32" t="s">
        <v>793</v>
      </c>
      <c r="F489" s="32" t="s">
        <v>794</v>
      </c>
      <c r="G489" s="32" t="s">
        <v>795</v>
      </c>
      <c r="H489" s="31" t="n">
        <v>45736</v>
      </c>
      <c r="I489" s="32" t="s">
        <v>750</v>
      </c>
      <c r="J489" s="32" t="s">
        <v>751</v>
      </c>
      <c r="K489" s="0" t="n">
        <v>25</v>
      </c>
      <c r="L489" s="32" t="s">
        <v>752</v>
      </c>
      <c r="M489" s="0" t="n">
        <v>3.6</v>
      </c>
      <c r="N489" s="32" t="s">
        <v>1630</v>
      </c>
      <c r="O489" s="32" t="s">
        <v>1683</v>
      </c>
      <c r="P489" s="32" t="n">
        <f aca="false">IF(AND(ISNUMBER(K489),K489&gt;=0),K489,IF(ISNUMBER(M489),ROUND(M489*7,0),""))</f>
        <v>25</v>
      </c>
      <c r="Q489" s="0" t="str">
        <f aca="false">IF(ISTEXT(K489),"TEXT - recovered",IF(K489&lt;0,"NEGATIVE",IF(K489&gt;728,"&gt;104 WEEKS","OK")))</f>
        <v>OK</v>
      </c>
      <c r="R489" s="0" t="str">
        <f aca="false">IF(E489="GEN","GM",E489)</f>
        <v>EM</v>
      </c>
    </row>
    <row r="490" customFormat="false" ht="15" hidden="false" customHeight="false" outlineLevel="0" collapsed="false">
      <c r="A490" s="0" t="s">
        <v>1890</v>
      </c>
      <c r="B490" s="0" t="s">
        <v>1891</v>
      </c>
      <c r="C490" s="0" t="s">
        <v>784</v>
      </c>
      <c r="D490" s="31" t="n">
        <v>29819</v>
      </c>
      <c r="E490" s="32" t="s">
        <v>793</v>
      </c>
      <c r="F490" s="32" t="s">
        <v>794</v>
      </c>
      <c r="G490" s="32" t="s">
        <v>795</v>
      </c>
      <c r="H490" s="31" t="n">
        <v>45723</v>
      </c>
      <c r="I490" s="32" t="s">
        <v>805</v>
      </c>
      <c r="J490" s="32" t="s">
        <v>751</v>
      </c>
      <c r="K490" s="0" t="n">
        <v>109</v>
      </c>
      <c r="L490" s="32" t="s">
        <v>752</v>
      </c>
      <c r="M490" s="0" t="n">
        <v>15.6</v>
      </c>
      <c r="N490" s="32" t="s">
        <v>753</v>
      </c>
      <c r="O490" s="32" t="s">
        <v>806</v>
      </c>
      <c r="P490" s="32" t="n">
        <f aca="false">IF(AND(ISNUMBER(K490),K490&gt;=0),K490,IF(ISNUMBER(M490),ROUND(M490*7,0),""))</f>
        <v>109</v>
      </c>
      <c r="Q490" s="0" t="str">
        <f aca="false">IF(ISTEXT(K490),"TEXT - recovered",IF(K490&lt;0,"NEGATIVE",IF(K490&gt;728,"&gt;104 WEEKS","OK")))</f>
        <v>OK</v>
      </c>
      <c r="R490" s="0" t="str">
        <f aca="false">IF(E490="GEN","GM",E490)</f>
        <v>EM</v>
      </c>
    </row>
    <row r="491" customFormat="false" ht="15" hidden="false" customHeight="false" outlineLevel="0" collapsed="false">
      <c r="A491" s="0" t="s">
        <v>1892</v>
      </c>
      <c r="B491" s="0" t="s">
        <v>1893</v>
      </c>
      <c r="C491" s="0" t="s">
        <v>841</v>
      </c>
      <c r="D491" s="31" t="n">
        <v>33738</v>
      </c>
      <c r="E491" s="32" t="s">
        <v>818</v>
      </c>
      <c r="F491" s="32" t="s">
        <v>819</v>
      </c>
      <c r="G491" s="32" t="s">
        <v>820</v>
      </c>
      <c r="H491" s="31" t="n">
        <v>45737</v>
      </c>
      <c r="I491" s="32" t="s">
        <v>796</v>
      </c>
      <c r="J491" s="32" t="s">
        <v>751</v>
      </c>
      <c r="K491" s="0" t="n">
        <v>112</v>
      </c>
      <c r="L491" s="32" t="s">
        <v>752</v>
      </c>
      <c r="M491" s="0" t="n">
        <v>16</v>
      </c>
      <c r="N491" s="32" t="s">
        <v>330</v>
      </c>
      <c r="O491" s="32" t="s">
        <v>834</v>
      </c>
      <c r="P491" s="32" t="n">
        <f aca="false">IF(AND(ISNUMBER(K491),K491&gt;=0),K491,IF(ISNUMBER(M491),ROUND(M491*7,0),""))</f>
        <v>112</v>
      </c>
      <c r="Q491" s="0" t="str">
        <f aca="false">IF(ISTEXT(K491),"TEXT - recovered",IF(K491&lt;0,"NEGATIVE",IF(K491&gt;728,"&gt;104 WEEKS","OK")))</f>
        <v>OK</v>
      </c>
      <c r="R491" s="0" t="str">
        <f aca="false">IF(E491="GEN","GM",E491)</f>
        <v>OPH</v>
      </c>
    </row>
    <row r="492" customFormat="false" ht="15" hidden="false" customHeight="false" outlineLevel="0" collapsed="false">
      <c r="A492" s="0" t="s">
        <v>1894</v>
      </c>
      <c r="B492" s="0" t="s">
        <v>1895</v>
      </c>
      <c r="C492" s="0" t="s">
        <v>981</v>
      </c>
      <c r="D492" s="31" t="n">
        <v>27194</v>
      </c>
      <c r="E492" s="32" t="s">
        <v>793</v>
      </c>
      <c r="F492" s="32" t="s">
        <v>794</v>
      </c>
      <c r="G492" s="32" t="s">
        <v>795</v>
      </c>
      <c r="H492" s="31" t="n">
        <v>45730</v>
      </c>
      <c r="I492" s="32" t="s">
        <v>761</v>
      </c>
      <c r="J492" s="32" t="s">
        <v>751</v>
      </c>
      <c r="K492" s="0" t="n">
        <v>46</v>
      </c>
      <c r="L492" s="32" t="s">
        <v>752</v>
      </c>
      <c r="M492" s="0" t="n">
        <v>6.6</v>
      </c>
      <c r="N492" s="32" t="s">
        <v>753</v>
      </c>
      <c r="O492" s="32" t="s">
        <v>781</v>
      </c>
      <c r="P492" s="32" t="n">
        <f aca="false">IF(AND(ISNUMBER(K492),K492&gt;=0),K492,IF(ISNUMBER(M492),ROUND(M492*7,0),""))</f>
        <v>46</v>
      </c>
      <c r="Q492" s="0" t="str">
        <f aca="false">IF(ISTEXT(K492),"TEXT - recovered",IF(K492&lt;0,"NEGATIVE",IF(K492&gt;728,"&gt;104 WEEKS","OK")))</f>
        <v>OK</v>
      </c>
      <c r="R492" s="0" t="str">
        <f aca="false">IF(E492="GEN","GM",E492)</f>
        <v>EM</v>
      </c>
    </row>
    <row r="493" customFormat="false" ht="15" hidden="false" customHeight="false" outlineLevel="0" collapsed="false">
      <c r="A493" s="0" t="s">
        <v>1896</v>
      </c>
      <c r="B493" s="0" t="s">
        <v>1897</v>
      </c>
      <c r="C493" s="0" t="s">
        <v>902</v>
      </c>
      <c r="D493" s="31" t="n">
        <v>22470</v>
      </c>
      <c r="E493" s="32" t="s">
        <v>758</v>
      </c>
      <c r="F493" s="32" t="s">
        <v>759</v>
      </c>
      <c r="G493" s="32" t="s">
        <v>760</v>
      </c>
      <c r="H493" s="31" t="n">
        <v>45734</v>
      </c>
      <c r="I493" s="32" t="s">
        <v>813</v>
      </c>
      <c r="J493" s="32" t="s">
        <v>751</v>
      </c>
      <c r="K493" s="0" t="n">
        <v>66</v>
      </c>
      <c r="L493" s="32" t="s">
        <v>752</v>
      </c>
      <c r="M493" s="0" t="n">
        <v>9.4</v>
      </c>
      <c r="N493" s="32" t="s">
        <v>753</v>
      </c>
      <c r="O493" s="32" t="s">
        <v>846</v>
      </c>
      <c r="P493" s="32" t="n">
        <f aca="false">IF(AND(ISNUMBER(K493),K493&gt;=0),K493,IF(ISNUMBER(M493),ROUND(M493*7,0),""))</f>
        <v>66</v>
      </c>
      <c r="Q493" s="0" t="str">
        <f aca="false">IF(ISTEXT(K493),"TEXT - recovered",IF(K493&lt;0,"NEGATIVE",IF(K493&gt;728,"&gt;104 WEEKS","OK")))</f>
        <v>OK</v>
      </c>
      <c r="R493" s="0" t="str">
        <f aca="false">IF(E493="GEN","GM",E493)</f>
        <v>CS</v>
      </c>
    </row>
    <row r="494" customFormat="false" ht="15" hidden="false" customHeight="false" outlineLevel="0" collapsed="false">
      <c r="A494" s="0" t="s">
        <v>1898</v>
      </c>
      <c r="B494" s="0" t="s">
        <v>1899</v>
      </c>
      <c r="C494" s="0" t="s">
        <v>981</v>
      </c>
      <c r="D494" s="31" t="n">
        <v>15626</v>
      </c>
      <c r="E494" s="32" t="s">
        <v>776</v>
      </c>
      <c r="F494" s="32" t="s">
        <v>777</v>
      </c>
      <c r="G494" s="32" t="s">
        <v>778</v>
      </c>
      <c r="H494" s="31" t="n">
        <v>45722</v>
      </c>
      <c r="I494" s="32" t="s">
        <v>821</v>
      </c>
      <c r="J494" s="32" t="s">
        <v>751</v>
      </c>
      <c r="K494" s="32" t="s">
        <v>751</v>
      </c>
      <c r="L494" s="32" t="s">
        <v>752</v>
      </c>
      <c r="M494" s="0" t="n">
        <v>32.6</v>
      </c>
      <c r="N494" s="32" t="s">
        <v>753</v>
      </c>
      <c r="O494" s="32" t="s">
        <v>846</v>
      </c>
      <c r="P494" s="32" t="n">
        <f aca="false">IF(AND(ISNUMBER(K494),K494&gt;=0),K494,IF(ISNUMBER(M494),ROUND(M494*7,0),""))</f>
        <v>228</v>
      </c>
      <c r="Q494" s="0" t="str">
        <f aca="false">IF(ISTEXT(K494),"TEXT - recovered",IF(K494&lt;0,"NEGATIVE",IF(K494&gt;728,"&gt;104 WEEKS","OK")))</f>
        <v>TEXT - recovered</v>
      </c>
      <c r="R494" s="0" t="str">
        <f aca="false">IF(E494="GEN","GM",E494)</f>
        <v>GS</v>
      </c>
    </row>
    <row r="495" customFormat="false" ht="15" hidden="false" customHeight="false" outlineLevel="0" collapsed="false">
      <c r="A495" s="0" t="s">
        <v>1900</v>
      </c>
      <c r="B495" s="0" t="s">
        <v>1901</v>
      </c>
      <c r="C495" s="0" t="s">
        <v>977</v>
      </c>
      <c r="D495" s="31" t="n">
        <v>18461</v>
      </c>
      <c r="E495" s="32" t="s">
        <v>793</v>
      </c>
      <c r="F495" s="32" t="s">
        <v>794</v>
      </c>
      <c r="G495" s="32" t="s">
        <v>795</v>
      </c>
      <c r="H495" s="31" t="n">
        <v>45721</v>
      </c>
      <c r="I495" s="32" t="s">
        <v>829</v>
      </c>
      <c r="J495" s="32" t="s">
        <v>751</v>
      </c>
      <c r="K495" s="0" t="n">
        <v>43</v>
      </c>
      <c r="L495" s="32" t="s">
        <v>752</v>
      </c>
      <c r="M495" s="0" t="n">
        <v>6.1</v>
      </c>
      <c r="N495" s="32" t="s">
        <v>753</v>
      </c>
      <c r="O495" s="32" t="s">
        <v>859</v>
      </c>
      <c r="P495" s="32" t="n">
        <f aca="false">IF(AND(ISNUMBER(K495),K495&gt;=0),K495,IF(ISNUMBER(M495),ROUND(M495*7,0),""))</f>
        <v>43</v>
      </c>
      <c r="Q495" s="0" t="str">
        <f aca="false">IF(ISTEXT(K495),"TEXT - recovered",IF(K495&lt;0,"NEGATIVE",IF(K495&gt;728,"&gt;104 WEEKS","OK")))</f>
        <v>OK</v>
      </c>
      <c r="R495" s="0" t="str">
        <f aca="false">IF(E495="GEN","GM",E495)</f>
        <v>EM</v>
      </c>
    </row>
    <row r="496" customFormat="false" ht="15" hidden="false" customHeight="false" outlineLevel="0" collapsed="false">
      <c r="A496" s="0" t="s">
        <v>1902</v>
      </c>
      <c r="B496" s="0" t="s">
        <v>1903</v>
      </c>
      <c r="C496" s="0" t="s">
        <v>962</v>
      </c>
      <c r="D496" s="31" t="n">
        <v>23442</v>
      </c>
      <c r="E496" s="32" t="s">
        <v>818</v>
      </c>
      <c r="F496" s="32" t="s">
        <v>819</v>
      </c>
      <c r="G496" s="32" t="s">
        <v>820</v>
      </c>
      <c r="H496" s="31" t="n">
        <v>45714</v>
      </c>
      <c r="I496" s="32" t="s">
        <v>779</v>
      </c>
      <c r="J496" s="32" t="s">
        <v>751</v>
      </c>
      <c r="K496" s="0" t="n">
        <v>114</v>
      </c>
      <c r="L496" s="32" t="s">
        <v>752</v>
      </c>
      <c r="M496" s="0" t="n">
        <v>16.3</v>
      </c>
      <c r="N496" s="32" t="s">
        <v>753</v>
      </c>
      <c r="O496" s="32" t="s">
        <v>789</v>
      </c>
      <c r="P496" s="32" t="n">
        <f aca="false">IF(AND(ISNUMBER(K496),K496&gt;=0),K496,IF(ISNUMBER(M496),ROUND(M496*7,0),""))</f>
        <v>114</v>
      </c>
      <c r="Q496" s="0" t="str">
        <f aca="false">IF(ISTEXT(K496),"TEXT - recovered",IF(K496&lt;0,"NEGATIVE",IF(K496&gt;728,"&gt;104 WEEKS","OK")))</f>
        <v>OK</v>
      </c>
      <c r="R496" s="0" t="str">
        <f aca="false">IF(E496="GEN","GM",E496)</f>
        <v>OPH</v>
      </c>
    </row>
    <row r="497" customFormat="false" ht="15" hidden="false" customHeight="false" outlineLevel="0" collapsed="false">
      <c r="A497" s="0" t="s">
        <v>1904</v>
      </c>
      <c r="B497" s="0" t="s">
        <v>1905</v>
      </c>
      <c r="C497" s="0" t="s">
        <v>922</v>
      </c>
      <c r="D497" s="31" t="n">
        <v>28493</v>
      </c>
      <c r="E497" s="32" t="s">
        <v>802</v>
      </c>
      <c r="F497" s="32" t="s">
        <v>803</v>
      </c>
      <c r="G497" s="32" t="s">
        <v>804</v>
      </c>
      <c r="H497" s="31" t="n">
        <v>45719</v>
      </c>
      <c r="I497" s="32" t="s">
        <v>821</v>
      </c>
      <c r="J497" s="32" t="s">
        <v>751</v>
      </c>
      <c r="K497" s="0" t="n">
        <v>30</v>
      </c>
      <c r="L497" s="32" t="s">
        <v>752</v>
      </c>
      <c r="M497" s="0" t="n">
        <v>4.3</v>
      </c>
      <c r="N497" s="32" t="s">
        <v>780</v>
      </c>
      <c r="O497" s="32" t="s">
        <v>838</v>
      </c>
      <c r="P497" s="32" t="n">
        <f aca="false">IF(AND(ISNUMBER(K497),K497&gt;=0),K497,IF(ISNUMBER(M497),ROUND(M497*7,0),""))</f>
        <v>30</v>
      </c>
      <c r="Q497" s="0" t="str">
        <f aca="false">IF(ISTEXT(K497),"TEXT - recovered",IF(K497&lt;0,"NEGATIVE",IF(K497&gt;728,"&gt;104 WEEKS","OK")))</f>
        <v>OK</v>
      </c>
      <c r="R497" s="0" t="str">
        <f aca="false">IF(E497="GEN","GM",E497)</f>
        <v>GYN</v>
      </c>
    </row>
    <row r="498" customFormat="false" ht="15" hidden="false" customHeight="false" outlineLevel="0" collapsed="false">
      <c r="A498" s="0" t="s">
        <v>1906</v>
      </c>
      <c r="B498" s="0" t="s">
        <v>1907</v>
      </c>
      <c r="C498" s="0" t="s">
        <v>946</v>
      </c>
      <c r="D498" s="31" t="n">
        <v>31964</v>
      </c>
      <c r="E498" s="32" t="s">
        <v>810</v>
      </c>
      <c r="F498" s="32" t="s">
        <v>811</v>
      </c>
      <c r="G498" s="32" t="s">
        <v>812</v>
      </c>
      <c r="H498" s="31" t="n">
        <v>45719</v>
      </c>
      <c r="I498" s="32" t="s">
        <v>805</v>
      </c>
      <c r="J498" s="32" t="s">
        <v>751</v>
      </c>
      <c r="K498" s="0" t="n">
        <v>37</v>
      </c>
      <c r="L498" s="32" t="s">
        <v>752</v>
      </c>
      <c r="M498" s="0" t="n">
        <v>5.3</v>
      </c>
      <c r="N498" s="32" t="s">
        <v>330</v>
      </c>
      <c r="O498" s="32" t="s">
        <v>871</v>
      </c>
      <c r="P498" s="32" t="n">
        <f aca="false">IF(AND(ISNUMBER(K498),K498&gt;=0),K498,IF(ISNUMBER(M498),ROUND(M498*7,0),""))</f>
        <v>37</v>
      </c>
      <c r="Q498" s="0" t="str">
        <f aca="false">IF(ISTEXT(K498),"TEXT - recovered",IF(K498&lt;0,"NEGATIVE",IF(K498&gt;728,"&gt;104 WEEKS","OK")))</f>
        <v>OK</v>
      </c>
      <c r="R498" s="0" t="str">
        <f aca="false">IF(E498="GEN","GM",E498)</f>
        <v>URO</v>
      </c>
    </row>
    <row r="499" customFormat="false" ht="15" hidden="false" customHeight="false" outlineLevel="0" collapsed="false">
      <c r="A499" s="0" t="s">
        <v>1908</v>
      </c>
      <c r="B499" s="0" t="s">
        <v>1909</v>
      </c>
      <c r="C499" s="0" t="s">
        <v>878</v>
      </c>
      <c r="D499" s="31" t="n">
        <v>26025</v>
      </c>
      <c r="E499" s="32" t="s">
        <v>793</v>
      </c>
      <c r="F499" s="32" t="s">
        <v>794</v>
      </c>
      <c r="G499" s="32" t="s">
        <v>795</v>
      </c>
      <c r="H499" s="31" t="n">
        <v>45737</v>
      </c>
      <c r="I499" s="32" t="s">
        <v>769</v>
      </c>
      <c r="J499" s="32" t="s">
        <v>858</v>
      </c>
      <c r="K499" s="0" t="n">
        <v>116</v>
      </c>
      <c r="L499" s="32" t="s">
        <v>752</v>
      </c>
      <c r="M499" s="0" t="n">
        <v>16.6</v>
      </c>
      <c r="N499" s="32" t="s">
        <v>753</v>
      </c>
      <c r="O499" s="32" t="s">
        <v>834</v>
      </c>
      <c r="P499" s="32" t="n">
        <f aca="false">IF(AND(ISNUMBER(K499),K499&gt;=0),K499,IF(ISNUMBER(M499),ROUND(M499*7,0),""))</f>
        <v>116</v>
      </c>
      <c r="Q499" s="0" t="str">
        <f aca="false">IF(ISTEXT(K499),"TEXT - recovered",IF(K499&lt;0,"NEGATIVE",IF(K499&gt;728,"&gt;104 WEEKS","OK")))</f>
        <v>OK</v>
      </c>
      <c r="R499" s="0" t="str">
        <f aca="false">IF(E499="GEN","GM",E499)</f>
        <v>EM</v>
      </c>
    </row>
    <row r="500" customFormat="false" ht="15" hidden="false" customHeight="false" outlineLevel="0" collapsed="false">
      <c r="A500" s="0" t="s">
        <v>1910</v>
      </c>
      <c r="B500" s="0" t="s">
        <v>1911</v>
      </c>
      <c r="C500" s="0" t="s">
        <v>765</v>
      </c>
      <c r="D500" s="31" t="n">
        <v>21570</v>
      </c>
      <c r="E500" s="32" t="s">
        <v>826</v>
      </c>
      <c r="F500" s="32" t="s">
        <v>827</v>
      </c>
      <c r="G500" s="32" t="s">
        <v>828</v>
      </c>
      <c r="H500" s="31" t="n">
        <v>45729</v>
      </c>
      <c r="I500" s="32" t="s">
        <v>813</v>
      </c>
      <c r="J500" s="32" t="s">
        <v>751</v>
      </c>
      <c r="K500" s="0" t="n">
        <v>103</v>
      </c>
      <c r="L500" s="32" t="s">
        <v>752</v>
      </c>
      <c r="M500" s="0" t="n">
        <v>14.7</v>
      </c>
      <c r="N500" s="32" t="s">
        <v>780</v>
      </c>
      <c r="O500" s="32" t="s">
        <v>846</v>
      </c>
      <c r="P500" s="32" t="n">
        <f aca="false">IF(AND(ISNUMBER(K500),K500&gt;=0),K500,IF(ISNUMBER(M500),ROUND(M500*7,0),""))</f>
        <v>103</v>
      </c>
      <c r="Q500" s="0" t="str">
        <f aca="false">IF(ISTEXT(K500),"TEXT - recovered",IF(K500&lt;0,"NEGATIVE",IF(K500&gt;728,"&gt;104 WEEKS","OK")))</f>
        <v>OK</v>
      </c>
      <c r="R500" s="0" t="str">
        <f aca="false">IF(E500="GEN","GM",E500)</f>
        <v>RHE</v>
      </c>
    </row>
    <row r="501" customFormat="false" ht="15" hidden="false" customHeight="false" outlineLevel="0" collapsed="false">
      <c r="A501" s="0" t="s">
        <v>1912</v>
      </c>
      <c r="B501" s="0" t="s">
        <v>1913</v>
      </c>
      <c r="C501" s="0" t="s">
        <v>926</v>
      </c>
      <c r="D501" s="31" t="n">
        <v>31583</v>
      </c>
      <c r="E501" s="32" t="s">
        <v>802</v>
      </c>
      <c r="F501" s="32" t="s">
        <v>803</v>
      </c>
      <c r="G501" s="32" t="s">
        <v>804</v>
      </c>
      <c r="H501" s="31" t="n">
        <v>45730</v>
      </c>
      <c r="I501" s="32" t="s">
        <v>761</v>
      </c>
      <c r="J501" s="32" t="s">
        <v>751</v>
      </c>
      <c r="K501" s="0" t="n">
        <v>99</v>
      </c>
      <c r="L501" s="32" t="s">
        <v>752</v>
      </c>
      <c r="M501" s="0" t="n">
        <v>14.1</v>
      </c>
      <c r="N501" s="32" t="s">
        <v>753</v>
      </c>
      <c r="O501" s="32" t="s">
        <v>850</v>
      </c>
      <c r="P501" s="32" t="n">
        <f aca="false">IF(AND(ISNUMBER(K501),K501&gt;=0),K501,IF(ISNUMBER(M501),ROUND(M501*7,0),""))</f>
        <v>99</v>
      </c>
      <c r="Q501" s="0" t="str">
        <f aca="false">IF(ISTEXT(K501),"TEXT - recovered",IF(K501&lt;0,"NEGATIVE",IF(K501&gt;728,"&gt;104 WEEKS","OK")))</f>
        <v>OK</v>
      </c>
      <c r="R501" s="0" t="str">
        <f aca="false">IF(E501="GEN","GM",E501)</f>
        <v>GYN</v>
      </c>
    </row>
    <row r="502" customFormat="false" ht="15" hidden="false" customHeight="false" outlineLevel="0" collapsed="false">
      <c r="A502" s="0" t="s">
        <v>1914</v>
      </c>
      <c r="B502" s="0" t="s">
        <v>1915</v>
      </c>
      <c r="C502" s="0" t="s">
        <v>1402</v>
      </c>
      <c r="D502" s="31" t="n">
        <v>35790</v>
      </c>
      <c r="E502" s="32" t="s">
        <v>826</v>
      </c>
      <c r="F502" s="32" t="s">
        <v>827</v>
      </c>
      <c r="G502" s="32" t="s">
        <v>828</v>
      </c>
      <c r="H502" s="31" t="n">
        <v>45733</v>
      </c>
      <c r="I502" s="32" t="s">
        <v>779</v>
      </c>
      <c r="J502" s="32" t="s">
        <v>751</v>
      </c>
      <c r="K502" s="32" t="s">
        <v>751</v>
      </c>
      <c r="L502" s="32" t="s">
        <v>752</v>
      </c>
      <c r="M502" s="0" t="n">
        <v>27</v>
      </c>
      <c r="N502" s="32" t="s">
        <v>753</v>
      </c>
      <c r="O502" s="32" t="s">
        <v>863</v>
      </c>
      <c r="P502" s="32" t="n">
        <f aca="false">IF(AND(ISNUMBER(K502),K502&gt;=0),K502,IF(ISNUMBER(M502),ROUND(M502*7,0),""))</f>
        <v>189</v>
      </c>
      <c r="Q502" s="0" t="str">
        <f aca="false">IF(ISTEXT(K502),"TEXT - recovered",IF(K502&lt;0,"NEGATIVE",IF(K502&gt;728,"&gt;104 WEEKS","OK")))</f>
        <v>TEXT - recovered</v>
      </c>
      <c r="R502" s="0" t="str">
        <f aca="false">IF(E502="GEN","GM",E502)</f>
        <v>RHE</v>
      </c>
    </row>
    <row r="503" customFormat="false" ht="15" hidden="false" customHeight="false" outlineLevel="0" collapsed="false">
      <c r="A503" s="0" t="s">
        <v>1916</v>
      </c>
      <c r="B503" s="0" t="s">
        <v>1917</v>
      </c>
      <c r="C503" s="0" t="s">
        <v>746</v>
      </c>
      <c r="D503" s="31" t="n">
        <v>35036</v>
      </c>
      <c r="E503" s="32" t="s">
        <v>818</v>
      </c>
      <c r="F503" s="32" t="s">
        <v>819</v>
      </c>
      <c r="G503" s="32" t="s">
        <v>820</v>
      </c>
      <c r="H503" s="31" t="n">
        <v>45712</v>
      </c>
      <c r="I503" s="32" t="s">
        <v>813</v>
      </c>
      <c r="J503" s="32" t="s">
        <v>751</v>
      </c>
      <c r="K503" s="0" t="n">
        <v>69</v>
      </c>
      <c r="L503" s="32" t="s">
        <v>752</v>
      </c>
      <c r="M503" s="0" t="n">
        <v>9.9</v>
      </c>
      <c r="N503" s="32" t="s">
        <v>1630</v>
      </c>
      <c r="O503" s="32" t="s">
        <v>754</v>
      </c>
      <c r="P503" s="32" t="n">
        <f aca="false">IF(AND(ISNUMBER(K503),K503&gt;=0),K503,IF(ISNUMBER(M503),ROUND(M503*7,0),""))</f>
        <v>69</v>
      </c>
      <c r="Q503" s="0" t="str">
        <f aca="false">IF(ISTEXT(K503),"TEXT - recovered",IF(K503&lt;0,"NEGATIVE",IF(K503&gt;728,"&gt;104 WEEKS","OK")))</f>
        <v>OK</v>
      </c>
      <c r="R503" s="0" t="str">
        <f aca="false">IF(E503="GEN","GM",E503)</f>
        <v>OPH</v>
      </c>
    </row>
    <row r="504" customFormat="false" ht="15" hidden="false" customHeight="false" outlineLevel="0" collapsed="false">
      <c r="A504" s="0" t="s">
        <v>1918</v>
      </c>
      <c r="B504" s="0" t="s">
        <v>1919</v>
      </c>
      <c r="C504" s="0" t="s">
        <v>1013</v>
      </c>
      <c r="D504" s="31" t="n">
        <v>19857</v>
      </c>
      <c r="E504" s="32" t="s">
        <v>758</v>
      </c>
      <c r="F504" s="32" t="s">
        <v>759</v>
      </c>
      <c r="G504" s="32" t="s">
        <v>760</v>
      </c>
      <c r="H504" s="31" t="n">
        <v>45720</v>
      </c>
      <c r="I504" s="32" t="s">
        <v>805</v>
      </c>
      <c r="J504" s="32" t="s">
        <v>797</v>
      </c>
      <c r="K504" s="0" t="n">
        <v>14</v>
      </c>
      <c r="L504" s="32" t="s">
        <v>771</v>
      </c>
      <c r="M504" s="0" t="n">
        <v>2</v>
      </c>
      <c r="N504" s="32" t="s">
        <v>1630</v>
      </c>
      <c r="O504" s="32" t="s">
        <v>859</v>
      </c>
      <c r="P504" s="32" t="n">
        <f aca="false">IF(AND(ISNUMBER(K504),K504&gt;=0),K504,IF(ISNUMBER(M504),ROUND(M504*7,0),""))</f>
        <v>14</v>
      </c>
      <c r="Q504" s="0" t="str">
        <f aca="false">IF(ISTEXT(K504),"TEXT - recovered",IF(K504&lt;0,"NEGATIVE",IF(K504&gt;728,"&gt;104 WEEKS","OK")))</f>
        <v>OK</v>
      </c>
      <c r="R504" s="0" t="str">
        <f aca="false">IF(E504="GEN","GM",E504)</f>
        <v>CS</v>
      </c>
    </row>
    <row r="505" customFormat="false" ht="15" hidden="false" customHeight="false" outlineLevel="0" collapsed="false">
      <c r="A505" s="0" t="s">
        <v>1920</v>
      </c>
      <c r="B505" s="0" t="s">
        <v>1921</v>
      </c>
      <c r="C505" s="0" t="s">
        <v>1393</v>
      </c>
      <c r="D505" s="31" t="n">
        <v>23353</v>
      </c>
      <c r="E505" s="32" t="s">
        <v>776</v>
      </c>
      <c r="F505" s="32" t="s">
        <v>777</v>
      </c>
      <c r="G505" s="32" t="s">
        <v>778</v>
      </c>
      <c r="H505" s="31" t="n">
        <v>45715</v>
      </c>
      <c r="I505" s="32" t="s">
        <v>769</v>
      </c>
      <c r="J505" s="32" t="s">
        <v>751</v>
      </c>
      <c r="K505" s="0" t="n">
        <v>87</v>
      </c>
      <c r="L505" s="32" t="s">
        <v>752</v>
      </c>
      <c r="M505" s="0" t="n">
        <v>12.4</v>
      </c>
      <c r="N505" s="32" t="s">
        <v>780</v>
      </c>
      <c r="O505" s="32" t="s">
        <v>1683</v>
      </c>
      <c r="P505" s="32" t="n">
        <f aca="false">IF(AND(ISNUMBER(K505),K505&gt;=0),K505,IF(ISNUMBER(M505),ROUND(M505*7,0),""))</f>
        <v>87</v>
      </c>
      <c r="Q505" s="0" t="str">
        <f aca="false">IF(ISTEXT(K505),"TEXT - recovered",IF(K505&lt;0,"NEGATIVE",IF(K505&gt;728,"&gt;104 WEEKS","OK")))</f>
        <v>OK</v>
      </c>
      <c r="R505" s="0" t="str">
        <f aca="false">IF(E505="GEN","GM",E505)</f>
        <v>GS</v>
      </c>
    </row>
    <row r="506" customFormat="false" ht="15" hidden="false" customHeight="false" outlineLevel="0" collapsed="false">
      <c r="A506" s="0" t="s">
        <v>1922</v>
      </c>
      <c r="B506" s="0" t="s">
        <v>1923</v>
      </c>
      <c r="C506" s="0" t="s">
        <v>1029</v>
      </c>
      <c r="D506" s="31" t="n">
        <v>24792</v>
      </c>
      <c r="E506" s="32" t="s">
        <v>747</v>
      </c>
      <c r="F506" s="32" t="s">
        <v>748</v>
      </c>
      <c r="G506" s="32" t="s">
        <v>749</v>
      </c>
      <c r="H506" s="31" t="n">
        <v>45723</v>
      </c>
      <c r="I506" s="32" t="s">
        <v>788</v>
      </c>
      <c r="J506" s="32" t="s">
        <v>751</v>
      </c>
      <c r="K506" s="0" t="n">
        <v>21</v>
      </c>
      <c r="L506" s="32" t="s">
        <v>752</v>
      </c>
      <c r="M506" s="0" t="n">
        <v>3</v>
      </c>
      <c r="N506" s="32" t="s">
        <v>330</v>
      </c>
      <c r="O506" s="32" t="s">
        <v>754</v>
      </c>
      <c r="P506" s="32" t="n">
        <f aca="false">IF(AND(ISNUMBER(K506),K506&gt;=0),K506,IF(ISNUMBER(M506),ROUND(M506*7,0),""))</f>
        <v>21</v>
      </c>
      <c r="Q506" s="0" t="str">
        <f aca="false">IF(ISTEXT(K506),"TEXT - recovered",IF(K506&lt;0,"NEGATIVE",IF(K506&gt;728,"&gt;104 WEEKS","OK")))</f>
        <v>OK</v>
      </c>
      <c r="R506" s="0" t="str">
        <f aca="false">IF(E506="GEN","GM",E506)</f>
        <v>GM</v>
      </c>
    </row>
    <row r="507" customFormat="false" ht="15" hidden="false" customHeight="false" outlineLevel="0" collapsed="false">
      <c r="A507" s="0" t="s">
        <v>1924</v>
      </c>
      <c r="B507" s="0" t="s">
        <v>1925</v>
      </c>
      <c r="C507" s="0" t="s">
        <v>882</v>
      </c>
      <c r="D507" s="31" t="n">
        <v>27444</v>
      </c>
      <c r="E507" s="32" t="s">
        <v>810</v>
      </c>
      <c r="F507" s="32" t="s">
        <v>811</v>
      </c>
      <c r="G507" s="32" t="s">
        <v>812</v>
      </c>
      <c r="H507" s="31" t="n">
        <v>45721</v>
      </c>
      <c r="I507" s="32" t="s">
        <v>761</v>
      </c>
      <c r="J507" s="32" t="s">
        <v>751</v>
      </c>
      <c r="K507" s="0" t="n">
        <v>27</v>
      </c>
      <c r="L507" s="32" t="s">
        <v>752</v>
      </c>
      <c r="M507" s="0" t="n">
        <v>3.9</v>
      </c>
      <c r="N507" s="32" t="s">
        <v>753</v>
      </c>
      <c r="O507" s="32" t="s">
        <v>830</v>
      </c>
      <c r="P507" s="32" t="n">
        <f aca="false">IF(AND(ISNUMBER(K507),K507&gt;=0),K507,IF(ISNUMBER(M507),ROUND(M507*7,0),""))</f>
        <v>27</v>
      </c>
      <c r="Q507" s="0" t="str">
        <f aca="false">IF(ISTEXT(K507),"TEXT - recovered",IF(K507&lt;0,"NEGATIVE",IF(K507&gt;728,"&gt;104 WEEKS","OK")))</f>
        <v>OK</v>
      </c>
      <c r="R507" s="0" t="str">
        <f aca="false">IF(E507="GEN","GM",E507)</f>
        <v>URO</v>
      </c>
    </row>
    <row r="508" customFormat="false" ht="15" hidden="false" customHeight="false" outlineLevel="0" collapsed="false">
      <c r="A508" s="0" t="s">
        <v>1926</v>
      </c>
      <c r="B508" s="0" t="s">
        <v>1927</v>
      </c>
      <c r="C508" s="0" t="s">
        <v>942</v>
      </c>
      <c r="D508" s="31" t="n">
        <v>15170</v>
      </c>
      <c r="E508" s="32" t="s">
        <v>802</v>
      </c>
      <c r="F508" s="32" t="s">
        <v>803</v>
      </c>
      <c r="G508" s="32" t="s">
        <v>804</v>
      </c>
      <c r="H508" s="31" t="n">
        <v>45735</v>
      </c>
      <c r="I508" s="32" t="s">
        <v>796</v>
      </c>
      <c r="J508" s="32" t="s">
        <v>751</v>
      </c>
      <c r="K508" s="0" t="n">
        <v>101</v>
      </c>
      <c r="L508" s="32" t="s">
        <v>752</v>
      </c>
      <c r="M508" s="0" t="n">
        <v>14.4</v>
      </c>
      <c r="N508" s="32" t="s">
        <v>753</v>
      </c>
      <c r="O508" s="32" t="s">
        <v>754</v>
      </c>
      <c r="P508" s="32" t="n">
        <f aca="false">IF(AND(ISNUMBER(K508),K508&gt;=0),K508,IF(ISNUMBER(M508),ROUND(M508*7,0),""))</f>
        <v>101</v>
      </c>
      <c r="Q508" s="0" t="str">
        <f aca="false">IF(ISTEXT(K508),"TEXT - recovered",IF(K508&lt;0,"NEGATIVE",IF(K508&gt;728,"&gt;104 WEEKS","OK")))</f>
        <v>OK</v>
      </c>
      <c r="R508" s="0" t="str">
        <f aca="false">IF(E508="GEN","GM",E508)</f>
        <v>GYN</v>
      </c>
    </row>
    <row r="509" customFormat="false" ht="15" hidden="false" customHeight="false" outlineLevel="0" collapsed="false">
      <c r="A509" s="0" t="s">
        <v>1928</v>
      </c>
      <c r="B509" s="0" t="s">
        <v>1929</v>
      </c>
      <c r="C509" s="0" t="s">
        <v>985</v>
      </c>
      <c r="D509" s="31" t="n">
        <v>26088</v>
      </c>
      <c r="E509" s="32" t="s">
        <v>793</v>
      </c>
      <c r="F509" s="32" t="s">
        <v>794</v>
      </c>
      <c r="G509" s="32" t="s">
        <v>795</v>
      </c>
      <c r="H509" s="31" t="n">
        <v>45737</v>
      </c>
      <c r="I509" s="32" t="s">
        <v>821</v>
      </c>
      <c r="J509" s="32" t="s">
        <v>751</v>
      </c>
      <c r="K509" s="0" t="n">
        <v>56</v>
      </c>
      <c r="L509" s="32" t="s">
        <v>752</v>
      </c>
      <c r="M509" s="0" t="n">
        <v>8</v>
      </c>
      <c r="N509" s="32" t="s">
        <v>1630</v>
      </c>
      <c r="O509" s="32" t="s">
        <v>806</v>
      </c>
      <c r="P509" s="32" t="n">
        <f aca="false">IF(AND(ISNUMBER(K509),K509&gt;=0),K509,IF(ISNUMBER(M509),ROUND(M509*7,0),""))</f>
        <v>56</v>
      </c>
      <c r="Q509" s="0" t="str">
        <f aca="false">IF(ISTEXT(K509),"TEXT - recovered",IF(K509&lt;0,"NEGATIVE",IF(K509&gt;728,"&gt;104 WEEKS","OK")))</f>
        <v>OK</v>
      </c>
      <c r="R509" s="0" t="str">
        <f aca="false">IF(E509="GEN","GM",E509)</f>
        <v>EM</v>
      </c>
    </row>
    <row r="510" customFormat="false" ht="15" hidden="false" customHeight="false" outlineLevel="0" collapsed="false">
      <c r="A510" s="0" t="s">
        <v>1930</v>
      </c>
      <c r="B510" s="0" t="s">
        <v>1931</v>
      </c>
      <c r="C510" s="0" t="s">
        <v>981</v>
      </c>
      <c r="D510" s="31" t="n">
        <v>23851</v>
      </c>
      <c r="E510" s="32" t="s">
        <v>766</v>
      </c>
      <c r="F510" s="32" t="s">
        <v>767</v>
      </c>
      <c r="G510" s="32" t="s">
        <v>768</v>
      </c>
      <c r="H510" s="31" t="n">
        <v>45729</v>
      </c>
      <c r="I510" s="32" t="s">
        <v>769</v>
      </c>
      <c r="J510" s="32" t="s">
        <v>751</v>
      </c>
      <c r="K510" s="0" t="n">
        <v>30</v>
      </c>
      <c r="L510" s="32" t="s">
        <v>752</v>
      </c>
      <c r="M510" s="0" t="n">
        <v>4.3</v>
      </c>
      <c r="N510" s="32" t="s">
        <v>753</v>
      </c>
      <c r="O510" s="32" t="s">
        <v>762</v>
      </c>
      <c r="P510" s="32" t="n">
        <f aca="false">IF(AND(ISNUMBER(K510),K510&gt;=0),K510,IF(ISNUMBER(M510),ROUND(M510*7,0),""))</f>
        <v>30</v>
      </c>
      <c r="Q510" s="0" t="str">
        <f aca="false">IF(ISTEXT(K510),"TEXT - recovered",IF(K510&lt;0,"NEGATIVE",IF(K510&gt;728,"&gt;104 WEEKS","OK")))</f>
        <v>OK</v>
      </c>
      <c r="R510" s="0" t="str">
        <f aca="false">IF(E510="GEN","GM",E510)</f>
        <v>OR</v>
      </c>
    </row>
    <row r="511" customFormat="false" ht="15" hidden="false" customHeight="false" outlineLevel="0" collapsed="false">
      <c r="A511" s="0" t="s">
        <v>1932</v>
      </c>
      <c r="B511" s="0" t="s">
        <v>1933</v>
      </c>
      <c r="C511" s="0" t="s">
        <v>922</v>
      </c>
      <c r="D511" s="31" t="n">
        <v>30380</v>
      </c>
      <c r="E511" s="32" t="s">
        <v>785</v>
      </c>
      <c r="F511" s="32" t="s">
        <v>786</v>
      </c>
      <c r="G511" s="32" t="s">
        <v>787</v>
      </c>
      <c r="H511" s="31" t="n">
        <v>45733</v>
      </c>
      <c r="I511" s="32" t="s">
        <v>769</v>
      </c>
      <c r="J511" s="32" t="s">
        <v>751</v>
      </c>
      <c r="K511" s="0" t="n">
        <v>62</v>
      </c>
      <c r="L511" s="32" t="s">
        <v>752</v>
      </c>
      <c r="M511" s="0" t="n">
        <v>8.9</v>
      </c>
      <c r="N511" s="32" t="s">
        <v>753</v>
      </c>
      <c r="O511" s="32" t="s">
        <v>883</v>
      </c>
      <c r="P511" s="32" t="n">
        <f aca="false">IF(AND(ISNUMBER(K511),K511&gt;=0),K511,IF(ISNUMBER(M511),ROUND(M511*7,0),""))</f>
        <v>62</v>
      </c>
      <c r="Q511" s="0" t="str">
        <f aca="false">IF(ISTEXT(K511),"TEXT - recovered",IF(K511&lt;0,"NEGATIVE",IF(K511&gt;728,"&gt;104 WEEKS","OK")))</f>
        <v>OK</v>
      </c>
      <c r="R511" s="0" t="str">
        <f aca="false">IF(E511="GEN","GM",E511)</f>
        <v>RS</v>
      </c>
    </row>
    <row r="512" customFormat="false" ht="15" hidden="false" customHeight="false" outlineLevel="0" collapsed="false">
      <c r="A512" s="0" t="s">
        <v>1934</v>
      </c>
      <c r="B512" s="0" t="s">
        <v>1935</v>
      </c>
      <c r="C512" s="0" t="s">
        <v>914</v>
      </c>
      <c r="D512" s="31" t="n">
        <v>22680</v>
      </c>
      <c r="E512" s="32" t="s">
        <v>826</v>
      </c>
      <c r="F512" s="32" t="s">
        <v>827</v>
      </c>
      <c r="G512" s="32" t="s">
        <v>828</v>
      </c>
      <c r="H512" s="31" t="n">
        <v>45716</v>
      </c>
      <c r="I512" s="32" t="s">
        <v>829</v>
      </c>
      <c r="J512" s="32" t="s">
        <v>751</v>
      </c>
      <c r="K512" s="0" t="n">
        <v>78</v>
      </c>
      <c r="L512" s="32" t="s">
        <v>752</v>
      </c>
      <c r="M512" s="0" t="n">
        <v>11.1</v>
      </c>
      <c r="N512" s="32" t="s">
        <v>1630</v>
      </c>
      <c r="O512" s="32" t="s">
        <v>871</v>
      </c>
      <c r="P512" s="32" t="n">
        <f aca="false">IF(AND(ISNUMBER(K512),K512&gt;=0),K512,IF(ISNUMBER(M512),ROUND(M512*7,0),""))</f>
        <v>78</v>
      </c>
      <c r="Q512" s="0" t="str">
        <f aca="false">IF(ISTEXT(K512),"TEXT - recovered",IF(K512&lt;0,"NEGATIVE",IF(K512&gt;728,"&gt;104 WEEKS","OK")))</f>
        <v>OK</v>
      </c>
      <c r="R512" s="0" t="str">
        <f aca="false">IF(E512="GEN","GM",E512)</f>
        <v>RHE</v>
      </c>
    </row>
    <row r="513" customFormat="false" ht="15" hidden="false" customHeight="false" outlineLevel="0" collapsed="false">
      <c r="A513" s="0" t="s">
        <v>1936</v>
      </c>
      <c r="B513" s="0" t="s">
        <v>1937</v>
      </c>
      <c r="C513" s="0" t="s">
        <v>938</v>
      </c>
      <c r="D513" s="31" t="n">
        <v>21957</v>
      </c>
      <c r="E513" s="32" t="s">
        <v>826</v>
      </c>
      <c r="F513" s="32" t="s">
        <v>827</v>
      </c>
      <c r="G513" s="32" t="s">
        <v>828</v>
      </c>
      <c r="H513" s="31" t="n">
        <v>45726</v>
      </c>
      <c r="I513" s="32" t="s">
        <v>761</v>
      </c>
      <c r="J513" s="32" t="s">
        <v>751</v>
      </c>
      <c r="K513" s="0" t="n">
        <v>59</v>
      </c>
      <c r="L513" s="32" t="s">
        <v>752</v>
      </c>
      <c r="M513" s="0" t="n">
        <v>8.4</v>
      </c>
      <c r="N513" s="32" t="s">
        <v>780</v>
      </c>
      <c r="O513" s="32" t="s">
        <v>1683</v>
      </c>
      <c r="P513" s="32" t="n">
        <f aca="false">IF(AND(ISNUMBER(K513),K513&gt;=0),K513,IF(ISNUMBER(M513),ROUND(M513*7,0),""))</f>
        <v>59</v>
      </c>
      <c r="Q513" s="0" t="str">
        <f aca="false">IF(ISTEXT(K513),"TEXT - recovered",IF(K513&lt;0,"NEGATIVE",IF(K513&gt;728,"&gt;104 WEEKS","OK")))</f>
        <v>OK</v>
      </c>
      <c r="R513" s="0" t="str">
        <f aca="false">IF(E513="GEN","GM",E513)</f>
        <v>RHE</v>
      </c>
    </row>
    <row r="514" customFormat="false" ht="15" hidden="false" customHeight="false" outlineLevel="0" collapsed="false">
      <c r="A514" s="0" t="s">
        <v>1938</v>
      </c>
      <c r="B514" s="0" t="s">
        <v>1939</v>
      </c>
      <c r="C514" s="0" t="s">
        <v>910</v>
      </c>
      <c r="D514" s="31" t="n">
        <v>24874</v>
      </c>
      <c r="E514" s="32" t="s">
        <v>766</v>
      </c>
      <c r="F514" s="32" t="s">
        <v>767</v>
      </c>
      <c r="G514" s="32" t="s">
        <v>768</v>
      </c>
      <c r="H514" s="31" t="n">
        <v>45713</v>
      </c>
      <c r="I514" s="32" t="s">
        <v>788</v>
      </c>
      <c r="J514" s="32" t="s">
        <v>751</v>
      </c>
      <c r="K514" s="0" t="n">
        <v>71</v>
      </c>
      <c r="L514" s="32" t="s">
        <v>752</v>
      </c>
      <c r="M514" s="0" t="n">
        <v>10.1</v>
      </c>
      <c r="N514" s="32" t="s">
        <v>753</v>
      </c>
      <c r="O514" s="32" t="s">
        <v>850</v>
      </c>
      <c r="P514" s="32" t="n">
        <f aca="false">IF(AND(ISNUMBER(K514),K514&gt;=0),K514,IF(ISNUMBER(M514),ROUND(M514*7,0),""))</f>
        <v>71</v>
      </c>
      <c r="Q514" s="0" t="str">
        <f aca="false">IF(ISTEXT(K514),"TEXT - recovered",IF(K514&lt;0,"NEGATIVE",IF(K514&gt;728,"&gt;104 WEEKS","OK")))</f>
        <v>OK</v>
      </c>
      <c r="R514" s="0" t="str">
        <f aca="false">IF(E514="GEN","GM",E514)</f>
        <v>OR</v>
      </c>
    </row>
    <row r="515" customFormat="false" ht="15" hidden="false" customHeight="false" outlineLevel="0" collapsed="false">
      <c r="A515" s="0" t="s">
        <v>1940</v>
      </c>
      <c r="B515" s="0" t="s">
        <v>1941</v>
      </c>
      <c r="C515" s="0" t="s">
        <v>757</v>
      </c>
      <c r="D515" s="31" t="n">
        <v>32834</v>
      </c>
      <c r="E515" s="32" t="s">
        <v>758</v>
      </c>
      <c r="F515" s="32" t="s">
        <v>759</v>
      </c>
      <c r="G515" s="32" t="s">
        <v>760</v>
      </c>
      <c r="H515" s="31" t="n">
        <v>45734</v>
      </c>
      <c r="I515" s="32" t="s">
        <v>829</v>
      </c>
      <c r="J515" s="32" t="s">
        <v>751</v>
      </c>
      <c r="K515" s="0" t="n">
        <v>107</v>
      </c>
      <c r="L515" s="32" t="s">
        <v>752</v>
      </c>
      <c r="M515" s="0" t="n">
        <v>15.3</v>
      </c>
      <c r="N515" s="32" t="s">
        <v>753</v>
      </c>
      <c r="O515" s="32" t="s">
        <v>798</v>
      </c>
      <c r="P515" s="32" t="n">
        <f aca="false">IF(AND(ISNUMBER(K515),K515&gt;=0),K515,IF(ISNUMBER(M515),ROUND(M515*7,0),""))</f>
        <v>107</v>
      </c>
      <c r="Q515" s="0" t="str">
        <f aca="false">IF(ISTEXT(K515),"TEXT - recovered",IF(K515&lt;0,"NEGATIVE",IF(K515&gt;728,"&gt;104 WEEKS","OK")))</f>
        <v>OK</v>
      </c>
      <c r="R515" s="0" t="str">
        <f aca="false">IF(E515="GEN","GM",E515)</f>
        <v>CS</v>
      </c>
    </row>
    <row r="516" customFormat="false" ht="15" hidden="false" customHeight="false" outlineLevel="0" collapsed="false">
      <c r="A516" s="0" t="s">
        <v>1942</v>
      </c>
      <c r="B516" s="0" t="s">
        <v>1943</v>
      </c>
      <c r="C516" s="0" t="s">
        <v>970</v>
      </c>
      <c r="D516" s="31" t="n">
        <v>27399</v>
      </c>
      <c r="E516" s="32" t="s">
        <v>810</v>
      </c>
      <c r="F516" s="32" t="s">
        <v>811</v>
      </c>
      <c r="G516" s="32" t="s">
        <v>812</v>
      </c>
      <c r="H516" s="31" t="n">
        <v>45733</v>
      </c>
      <c r="I516" s="32" t="s">
        <v>829</v>
      </c>
      <c r="J516" s="32" t="s">
        <v>751</v>
      </c>
      <c r="K516" s="32" t="s">
        <v>751</v>
      </c>
      <c r="L516" s="32" t="s">
        <v>752</v>
      </c>
      <c r="M516" s="0" t="n">
        <v>37.3</v>
      </c>
      <c r="N516" s="32" t="s">
        <v>753</v>
      </c>
      <c r="O516" s="32" t="s">
        <v>798</v>
      </c>
      <c r="P516" s="32" t="n">
        <f aca="false">IF(AND(ISNUMBER(K516),K516&gt;=0),K516,IF(ISNUMBER(M516),ROUND(M516*7,0),""))</f>
        <v>261</v>
      </c>
      <c r="Q516" s="0" t="str">
        <f aca="false">IF(ISTEXT(K516),"TEXT - recovered",IF(K516&lt;0,"NEGATIVE",IF(K516&gt;728,"&gt;104 WEEKS","OK")))</f>
        <v>TEXT - recovered</v>
      </c>
      <c r="R516" s="0" t="str">
        <f aca="false">IF(E516="GEN","GM",E516)</f>
        <v>URO</v>
      </c>
    </row>
    <row r="517" customFormat="false" ht="15" hidden="false" customHeight="false" outlineLevel="0" collapsed="false">
      <c r="A517" s="0" t="s">
        <v>1944</v>
      </c>
      <c r="B517" s="0" t="s">
        <v>1945</v>
      </c>
      <c r="C517" s="0" t="s">
        <v>898</v>
      </c>
      <c r="D517" s="31" t="n">
        <v>19872</v>
      </c>
      <c r="E517" s="32" t="s">
        <v>818</v>
      </c>
      <c r="F517" s="32" t="s">
        <v>819</v>
      </c>
      <c r="G517" s="32" t="s">
        <v>820</v>
      </c>
      <c r="H517" s="31" t="n">
        <v>45714</v>
      </c>
      <c r="I517" s="32" t="s">
        <v>788</v>
      </c>
      <c r="J517" s="32" t="s">
        <v>751</v>
      </c>
      <c r="K517" s="32" t="s">
        <v>751</v>
      </c>
      <c r="L517" s="32" t="s">
        <v>752</v>
      </c>
      <c r="M517" s="0" t="n">
        <v>45.1</v>
      </c>
      <c r="N517" s="32" t="s">
        <v>753</v>
      </c>
      <c r="O517" s="32" t="s">
        <v>871</v>
      </c>
      <c r="P517" s="32" t="n">
        <f aca="false">IF(AND(ISNUMBER(K517),K517&gt;=0),K517,IF(ISNUMBER(M517),ROUND(M517*7,0),""))</f>
        <v>316</v>
      </c>
      <c r="Q517" s="0" t="str">
        <f aca="false">IF(ISTEXT(K517),"TEXT - recovered",IF(K517&lt;0,"NEGATIVE",IF(K517&gt;728,"&gt;104 WEEKS","OK")))</f>
        <v>TEXT - recovered</v>
      </c>
      <c r="R517" s="0" t="str">
        <f aca="false">IF(E517="GEN","GM",E517)</f>
        <v>OPH</v>
      </c>
    </row>
    <row r="518" customFormat="false" ht="15" hidden="false" customHeight="false" outlineLevel="0" collapsed="false">
      <c r="A518" s="0" t="s">
        <v>1946</v>
      </c>
      <c r="B518" s="0" t="s">
        <v>1947</v>
      </c>
      <c r="C518" s="0" t="s">
        <v>1001</v>
      </c>
      <c r="D518" s="31" t="n">
        <v>36088</v>
      </c>
      <c r="E518" s="32" t="s">
        <v>766</v>
      </c>
      <c r="F518" s="32" t="s">
        <v>767</v>
      </c>
      <c r="G518" s="32" t="s">
        <v>768</v>
      </c>
      <c r="H518" s="31" t="n">
        <v>45728</v>
      </c>
      <c r="I518" s="32" t="s">
        <v>779</v>
      </c>
      <c r="J518" s="32" t="s">
        <v>797</v>
      </c>
      <c r="K518" s="0" t="n">
        <v>71</v>
      </c>
      <c r="L518" s="32" t="s">
        <v>771</v>
      </c>
      <c r="M518" s="0" t="n">
        <v>10.1</v>
      </c>
      <c r="N518" s="32" t="s">
        <v>753</v>
      </c>
      <c r="O518" s="32" t="s">
        <v>789</v>
      </c>
      <c r="P518" s="32" t="n">
        <f aca="false">IF(AND(ISNUMBER(K518),K518&gt;=0),K518,IF(ISNUMBER(M518),ROUND(M518*7,0),""))</f>
        <v>71</v>
      </c>
      <c r="Q518" s="0" t="str">
        <f aca="false">IF(ISTEXT(K518),"TEXT - recovered",IF(K518&lt;0,"NEGATIVE",IF(K518&gt;728,"&gt;104 WEEKS","OK")))</f>
        <v>OK</v>
      </c>
      <c r="R518" s="0" t="str">
        <f aca="false">IF(E518="GEN","GM",E518)</f>
        <v>OR</v>
      </c>
    </row>
    <row r="519" customFormat="false" ht="15" hidden="false" customHeight="false" outlineLevel="0" collapsed="false">
      <c r="A519" s="0" t="s">
        <v>1948</v>
      </c>
      <c r="B519" s="0" t="s">
        <v>1949</v>
      </c>
      <c r="C519" s="0" t="s">
        <v>857</v>
      </c>
      <c r="D519" s="31" t="n">
        <v>19194</v>
      </c>
      <c r="E519" s="32" t="s">
        <v>785</v>
      </c>
      <c r="F519" s="32" t="s">
        <v>786</v>
      </c>
      <c r="G519" s="32" t="s">
        <v>787</v>
      </c>
      <c r="H519" s="31" t="n">
        <v>45715</v>
      </c>
      <c r="I519" s="32" t="s">
        <v>796</v>
      </c>
      <c r="J519" s="32" t="s">
        <v>751</v>
      </c>
      <c r="K519" s="0" t="n">
        <v>96</v>
      </c>
      <c r="L519" s="32" t="s">
        <v>752</v>
      </c>
      <c r="M519" s="0" t="n">
        <v>13.7</v>
      </c>
      <c r="N519" s="32" t="s">
        <v>753</v>
      </c>
      <c r="O519" s="32" t="s">
        <v>846</v>
      </c>
      <c r="P519" s="32" t="n">
        <f aca="false">IF(AND(ISNUMBER(K519),K519&gt;=0),K519,IF(ISNUMBER(M519),ROUND(M519*7,0),""))</f>
        <v>96</v>
      </c>
      <c r="Q519" s="0" t="str">
        <f aca="false">IF(ISTEXT(K519),"TEXT - recovered",IF(K519&lt;0,"NEGATIVE",IF(K519&gt;728,"&gt;104 WEEKS","OK")))</f>
        <v>OK</v>
      </c>
      <c r="R519" s="0" t="str">
        <f aca="false">IF(E519="GEN","GM",E519)</f>
        <v>RS</v>
      </c>
    </row>
    <row r="520" customFormat="false" ht="15" hidden="false" customHeight="false" outlineLevel="0" collapsed="false">
      <c r="A520" s="0" t="s">
        <v>1950</v>
      </c>
      <c r="B520" s="0" t="s">
        <v>1951</v>
      </c>
      <c r="C520" s="0" t="s">
        <v>910</v>
      </c>
      <c r="D520" s="31" t="n">
        <v>36293</v>
      </c>
      <c r="E520" s="32" t="s">
        <v>747</v>
      </c>
      <c r="F520" s="32" t="s">
        <v>748</v>
      </c>
      <c r="G520" s="32" t="s">
        <v>749</v>
      </c>
      <c r="H520" s="31" t="n">
        <v>45716</v>
      </c>
      <c r="I520" s="32" t="s">
        <v>779</v>
      </c>
      <c r="J520" s="32" t="s">
        <v>751</v>
      </c>
      <c r="K520" s="0" t="n">
        <v>40</v>
      </c>
      <c r="L520" s="32" t="s">
        <v>752</v>
      </c>
      <c r="M520" s="0" t="n">
        <v>5.7</v>
      </c>
      <c r="N520" s="32" t="s">
        <v>1630</v>
      </c>
      <c r="O520" s="32" t="s">
        <v>806</v>
      </c>
      <c r="P520" s="32" t="n">
        <f aca="false">IF(AND(ISNUMBER(K520),K520&gt;=0),K520,IF(ISNUMBER(M520),ROUND(M520*7,0),""))</f>
        <v>40</v>
      </c>
      <c r="Q520" s="0" t="str">
        <f aca="false">IF(ISTEXT(K520),"TEXT - recovered",IF(K520&lt;0,"NEGATIVE",IF(K520&gt;728,"&gt;104 WEEKS","OK")))</f>
        <v>OK</v>
      </c>
      <c r="R520" s="0" t="str">
        <f aca="false">IF(E520="GEN","GM",E520)</f>
        <v>GM</v>
      </c>
    </row>
    <row r="521" customFormat="false" ht="15" hidden="false" customHeight="false" outlineLevel="0" collapsed="false">
      <c r="A521" s="0" t="s">
        <v>1952</v>
      </c>
      <c r="B521" s="0" t="s">
        <v>1953</v>
      </c>
      <c r="C521" s="0" t="s">
        <v>910</v>
      </c>
      <c r="D521" s="31" t="n">
        <v>34755</v>
      </c>
      <c r="E521" s="32" t="s">
        <v>766</v>
      </c>
      <c r="F521" s="32" t="s">
        <v>767</v>
      </c>
      <c r="G521" s="32" t="s">
        <v>768</v>
      </c>
      <c r="H521" s="31" t="n">
        <v>45737</v>
      </c>
      <c r="I521" s="32" t="s">
        <v>805</v>
      </c>
      <c r="J521" s="32" t="s">
        <v>858</v>
      </c>
      <c r="K521" s="0" t="n">
        <v>83</v>
      </c>
      <c r="L521" s="32" t="s">
        <v>752</v>
      </c>
      <c r="M521" s="0" t="n">
        <v>11.9</v>
      </c>
      <c r="N521" s="32" t="s">
        <v>1630</v>
      </c>
      <c r="O521" s="32" t="s">
        <v>798</v>
      </c>
      <c r="P521" s="32" t="n">
        <f aca="false">IF(AND(ISNUMBER(K521),K521&gt;=0),K521,IF(ISNUMBER(M521),ROUND(M521*7,0),""))</f>
        <v>83</v>
      </c>
      <c r="Q521" s="0" t="str">
        <f aca="false">IF(ISTEXT(K521),"TEXT - recovered",IF(K521&lt;0,"NEGATIVE",IF(K521&gt;728,"&gt;104 WEEKS","OK")))</f>
        <v>OK</v>
      </c>
      <c r="R521" s="0" t="str">
        <f aca="false">IF(E521="GEN","GM",E521)</f>
        <v>OR</v>
      </c>
    </row>
    <row r="522" customFormat="false" ht="15" hidden="false" customHeight="false" outlineLevel="0" collapsed="false">
      <c r="A522" s="0" t="s">
        <v>1954</v>
      </c>
      <c r="B522" s="0" t="s">
        <v>1955</v>
      </c>
      <c r="C522" s="0" t="s">
        <v>1390</v>
      </c>
      <c r="D522" s="31" t="n">
        <v>19848</v>
      </c>
      <c r="E522" s="32" t="s">
        <v>747</v>
      </c>
      <c r="F522" s="32" t="s">
        <v>748</v>
      </c>
      <c r="G522" s="32" t="s">
        <v>749</v>
      </c>
      <c r="H522" s="31" t="n">
        <v>45714</v>
      </c>
      <c r="I522" s="32" t="s">
        <v>805</v>
      </c>
      <c r="J522" s="32" t="s">
        <v>751</v>
      </c>
      <c r="K522" s="0" t="n">
        <v>24</v>
      </c>
      <c r="L522" s="32" t="s">
        <v>752</v>
      </c>
      <c r="M522" s="0" t="n">
        <v>3.4</v>
      </c>
      <c r="N522" s="32" t="s">
        <v>753</v>
      </c>
      <c r="O522" s="32" t="s">
        <v>781</v>
      </c>
      <c r="P522" s="32" t="n">
        <f aca="false">IF(AND(ISNUMBER(K522),K522&gt;=0),K522,IF(ISNUMBER(M522),ROUND(M522*7,0),""))</f>
        <v>24</v>
      </c>
      <c r="Q522" s="0" t="str">
        <f aca="false">IF(ISTEXT(K522),"TEXT - recovered",IF(K522&lt;0,"NEGATIVE",IF(K522&gt;728,"&gt;104 WEEKS","OK")))</f>
        <v>OK</v>
      </c>
      <c r="R522" s="0" t="str">
        <f aca="false">IF(E522="GEN","GM",E522)</f>
        <v>GM</v>
      </c>
    </row>
    <row r="523" customFormat="false" ht="15" hidden="false" customHeight="false" outlineLevel="0" collapsed="false">
      <c r="A523" s="0" t="s">
        <v>1956</v>
      </c>
      <c r="B523" s="0" t="s">
        <v>1957</v>
      </c>
      <c r="C523" s="0" t="s">
        <v>977</v>
      </c>
      <c r="D523" s="31" t="n">
        <v>24618</v>
      </c>
      <c r="E523" s="32" t="s">
        <v>810</v>
      </c>
      <c r="F523" s="32" t="s">
        <v>811</v>
      </c>
      <c r="G523" s="32" t="s">
        <v>812</v>
      </c>
      <c r="H523" s="31" t="n">
        <v>45716</v>
      </c>
      <c r="I523" s="32" t="s">
        <v>788</v>
      </c>
      <c r="J523" s="32" t="s">
        <v>751</v>
      </c>
      <c r="K523" s="0" t="n">
        <v>114</v>
      </c>
      <c r="L523" s="32" t="s">
        <v>752</v>
      </c>
      <c r="M523" s="0" t="n">
        <v>16.3</v>
      </c>
      <c r="N523" s="32" t="s">
        <v>780</v>
      </c>
      <c r="O523" s="32" t="s">
        <v>846</v>
      </c>
      <c r="P523" s="32" t="n">
        <f aca="false">IF(AND(ISNUMBER(K523),K523&gt;=0),K523,IF(ISNUMBER(M523),ROUND(M523*7,0),""))</f>
        <v>114</v>
      </c>
      <c r="Q523" s="0" t="str">
        <f aca="false">IF(ISTEXT(K523),"TEXT - recovered",IF(K523&lt;0,"NEGATIVE",IF(K523&gt;728,"&gt;104 WEEKS","OK")))</f>
        <v>OK</v>
      </c>
      <c r="R523" s="0" t="str">
        <f aca="false">IF(E523="GEN","GM",E523)</f>
        <v>URO</v>
      </c>
    </row>
    <row r="524" customFormat="false" ht="15" hidden="false" customHeight="false" outlineLevel="0" collapsed="false">
      <c r="A524" s="0" t="s">
        <v>1958</v>
      </c>
      <c r="B524" s="0" t="s">
        <v>1959</v>
      </c>
      <c r="C524" s="0" t="s">
        <v>981</v>
      </c>
      <c r="D524" s="31" t="n">
        <v>32944</v>
      </c>
      <c r="E524" s="32" t="s">
        <v>810</v>
      </c>
      <c r="F524" s="32" t="s">
        <v>811</v>
      </c>
      <c r="G524" s="32" t="s">
        <v>812</v>
      </c>
      <c r="H524" s="31" t="n">
        <v>45716</v>
      </c>
      <c r="I524" s="32" t="s">
        <v>796</v>
      </c>
      <c r="J524" s="32" t="s">
        <v>751</v>
      </c>
      <c r="K524" s="0" t="n">
        <v>57</v>
      </c>
      <c r="L524" s="32" t="s">
        <v>752</v>
      </c>
      <c r="M524" s="0" t="n">
        <v>8.1</v>
      </c>
      <c r="N524" s="32" t="s">
        <v>1630</v>
      </c>
      <c r="O524" s="32" t="s">
        <v>842</v>
      </c>
      <c r="P524" s="32" t="n">
        <f aca="false">IF(AND(ISNUMBER(K524),K524&gt;=0),K524,IF(ISNUMBER(M524),ROUND(M524*7,0),""))</f>
        <v>57</v>
      </c>
      <c r="Q524" s="0" t="str">
        <f aca="false">IF(ISTEXT(K524),"TEXT - recovered",IF(K524&lt;0,"NEGATIVE",IF(K524&gt;728,"&gt;104 WEEKS","OK")))</f>
        <v>OK</v>
      </c>
      <c r="R524" s="0" t="str">
        <f aca="false">IF(E524="GEN","GM",E524)</f>
        <v>URO</v>
      </c>
    </row>
    <row r="525" customFormat="false" ht="15" hidden="false" customHeight="false" outlineLevel="0" collapsed="false">
      <c r="A525" s="0" t="s">
        <v>1960</v>
      </c>
      <c r="B525" s="0" t="s">
        <v>1961</v>
      </c>
      <c r="C525" s="0" t="s">
        <v>942</v>
      </c>
      <c r="D525" s="31" t="n">
        <v>31575</v>
      </c>
      <c r="E525" s="32" t="s">
        <v>785</v>
      </c>
      <c r="F525" s="32" t="s">
        <v>786</v>
      </c>
      <c r="G525" s="32" t="s">
        <v>787</v>
      </c>
      <c r="H525" s="31" t="n">
        <v>45712</v>
      </c>
      <c r="I525" s="32" t="s">
        <v>761</v>
      </c>
      <c r="J525" s="32" t="s">
        <v>751</v>
      </c>
      <c r="K525" s="32" t="s">
        <v>751</v>
      </c>
      <c r="L525" s="32" t="s">
        <v>752</v>
      </c>
      <c r="M525" s="0" t="n">
        <v>18.7</v>
      </c>
      <c r="N525" s="32" t="s">
        <v>330</v>
      </c>
      <c r="O525" s="32" t="s">
        <v>762</v>
      </c>
      <c r="P525" s="32" t="n">
        <f aca="false">IF(AND(ISNUMBER(K525),K525&gt;=0),K525,IF(ISNUMBER(M525),ROUND(M525*7,0),""))</f>
        <v>131</v>
      </c>
      <c r="Q525" s="0" t="str">
        <f aca="false">IF(ISTEXT(K525),"TEXT - recovered",IF(K525&lt;0,"NEGATIVE",IF(K525&gt;728,"&gt;104 WEEKS","OK")))</f>
        <v>TEXT - recovered</v>
      </c>
      <c r="R525" s="0" t="str">
        <f aca="false">IF(E525="GEN","GM",E525)</f>
        <v>RS</v>
      </c>
    </row>
    <row r="526" customFormat="false" ht="15" hidden="false" customHeight="false" outlineLevel="0" collapsed="false">
      <c r="A526" s="0" t="s">
        <v>1962</v>
      </c>
      <c r="B526" s="0" t="s">
        <v>1963</v>
      </c>
      <c r="C526" s="0" t="s">
        <v>997</v>
      </c>
      <c r="D526" s="31" t="n">
        <v>23242</v>
      </c>
      <c r="E526" s="32" t="s">
        <v>776</v>
      </c>
      <c r="F526" s="32" t="s">
        <v>777</v>
      </c>
      <c r="G526" s="32" t="s">
        <v>778</v>
      </c>
      <c r="H526" s="31" t="n">
        <v>45734</v>
      </c>
      <c r="I526" s="32" t="s">
        <v>821</v>
      </c>
      <c r="J526" s="32" t="s">
        <v>751</v>
      </c>
      <c r="K526" s="0" t="n">
        <v>38</v>
      </c>
      <c r="L526" s="32" t="s">
        <v>752</v>
      </c>
      <c r="M526" s="0" t="n">
        <v>5.4</v>
      </c>
      <c r="N526" s="32" t="s">
        <v>753</v>
      </c>
      <c r="O526" s="32" t="s">
        <v>806</v>
      </c>
      <c r="P526" s="32" t="n">
        <f aca="false">IF(AND(ISNUMBER(K526),K526&gt;=0),K526,IF(ISNUMBER(M526),ROUND(M526*7,0),""))</f>
        <v>38</v>
      </c>
      <c r="Q526" s="0" t="str">
        <f aca="false">IF(ISTEXT(K526),"TEXT - recovered",IF(K526&lt;0,"NEGATIVE",IF(K526&gt;728,"&gt;104 WEEKS","OK")))</f>
        <v>OK</v>
      </c>
      <c r="R526" s="0" t="str">
        <f aca="false">IF(E526="GEN","GM",E526)</f>
        <v>GS</v>
      </c>
    </row>
    <row r="527" customFormat="false" ht="15" hidden="false" customHeight="false" outlineLevel="0" collapsed="false">
      <c r="A527" s="0" t="s">
        <v>1964</v>
      </c>
      <c r="B527" s="0" t="s">
        <v>1965</v>
      </c>
      <c r="C527" s="0" t="s">
        <v>970</v>
      </c>
      <c r="D527" s="31" t="n">
        <v>16434</v>
      </c>
      <c r="E527" s="32" t="s">
        <v>785</v>
      </c>
      <c r="F527" s="32" t="s">
        <v>786</v>
      </c>
      <c r="G527" s="32" t="s">
        <v>787</v>
      </c>
      <c r="H527" s="31" t="n">
        <v>45721</v>
      </c>
      <c r="I527" s="32" t="s">
        <v>821</v>
      </c>
      <c r="J527" s="32" t="s">
        <v>751</v>
      </c>
      <c r="K527" s="0" t="n">
        <v>78</v>
      </c>
      <c r="L527" s="32" t="s">
        <v>752</v>
      </c>
      <c r="M527" s="0" t="n">
        <v>11.1</v>
      </c>
      <c r="N527" s="32" t="s">
        <v>753</v>
      </c>
      <c r="O527" s="32" t="s">
        <v>863</v>
      </c>
      <c r="P527" s="32" t="n">
        <f aca="false">IF(AND(ISNUMBER(K527),K527&gt;=0),K527,IF(ISNUMBER(M527),ROUND(M527*7,0),""))</f>
        <v>78</v>
      </c>
      <c r="Q527" s="0" t="str">
        <f aca="false">IF(ISTEXT(K527),"TEXT - recovered",IF(K527&lt;0,"NEGATIVE",IF(K527&gt;728,"&gt;104 WEEKS","OK")))</f>
        <v>OK</v>
      </c>
      <c r="R527" s="0" t="str">
        <f aca="false">IF(E527="GEN","GM",E527)</f>
        <v>RS</v>
      </c>
    </row>
    <row r="528" customFormat="false" ht="15" hidden="false" customHeight="false" outlineLevel="0" collapsed="false">
      <c r="A528" s="0" t="s">
        <v>1966</v>
      </c>
      <c r="B528" s="0" t="s">
        <v>1967</v>
      </c>
      <c r="C528" s="0" t="s">
        <v>958</v>
      </c>
      <c r="D528" s="31" t="n">
        <v>14940</v>
      </c>
      <c r="E528" s="32" t="s">
        <v>802</v>
      </c>
      <c r="F528" s="32" t="s">
        <v>803</v>
      </c>
      <c r="G528" s="32" t="s">
        <v>804</v>
      </c>
      <c r="H528" s="31" t="n">
        <v>45712</v>
      </c>
      <c r="I528" s="32" t="s">
        <v>805</v>
      </c>
      <c r="J528" s="32" t="s">
        <v>858</v>
      </c>
      <c r="K528" s="0" t="n">
        <v>116</v>
      </c>
      <c r="L528" s="32" t="s">
        <v>752</v>
      </c>
      <c r="M528" s="0" t="n">
        <v>16.6</v>
      </c>
      <c r="N528" s="32" t="s">
        <v>753</v>
      </c>
      <c r="O528" s="32" t="s">
        <v>781</v>
      </c>
      <c r="P528" s="32" t="n">
        <f aca="false">IF(AND(ISNUMBER(K528),K528&gt;=0),K528,IF(ISNUMBER(M528),ROUND(M528*7,0),""))</f>
        <v>116</v>
      </c>
      <c r="Q528" s="0" t="str">
        <f aca="false">IF(ISTEXT(K528),"TEXT - recovered",IF(K528&lt;0,"NEGATIVE",IF(K528&gt;728,"&gt;104 WEEKS","OK")))</f>
        <v>OK</v>
      </c>
      <c r="R528" s="0" t="str">
        <f aca="false">IF(E528="GEN","GM",E528)</f>
        <v>GYN</v>
      </c>
    </row>
    <row r="529" customFormat="false" ht="15" hidden="false" customHeight="false" outlineLevel="0" collapsed="false">
      <c r="A529" s="0" t="s">
        <v>1968</v>
      </c>
      <c r="B529" s="0" t="s">
        <v>1969</v>
      </c>
      <c r="C529" s="0" t="s">
        <v>918</v>
      </c>
      <c r="D529" s="31" t="n">
        <v>25898</v>
      </c>
      <c r="E529" s="32" t="s">
        <v>747</v>
      </c>
      <c r="F529" s="32" t="s">
        <v>748</v>
      </c>
      <c r="G529" s="32" t="s">
        <v>749</v>
      </c>
      <c r="H529" s="31" t="n">
        <v>45730</v>
      </c>
      <c r="I529" s="32" t="s">
        <v>805</v>
      </c>
      <c r="J529" s="32" t="s">
        <v>751</v>
      </c>
      <c r="K529" s="0" t="n">
        <v>115</v>
      </c>
      <c r="L529" s="32" t="s">
        <v>752</v>
      </c>
      <c r="M529" s="0" t="n">
        <v>16.4</v>
      </c>
      <c r="N529" s="32" t="s">
        <v>330</v>
      </c>
      <c r="O529" s="32" t="s">
        <v>846</v>
      </c>
      <c r="P529" s="32" t="n">
        <f aca="false">IF(AND(ISNUMBER(K529),K529&gt;=0),K529,IF(ISNUMBER(M529),ROUND(M529*7,0),""))</f>
        <v>115</v>
      </c>
      <c r="Q529" s="0" t="str">
        <f aca="false">IF(ISTEXT(K529),"TEXT - recovered",IF(K529&lt;0,"NEGATIVE",IF(K529&gt;728,"&gt;104 WEEKS","OK")))</f>
        <v>OK</v>
      </c>
      <c r="R529" s="0" t="str">
        <f aca="false">IF(E529="GEN","GM",E529)</f>
        <v>GM</v>
      </c>
    </row>
    <row r="530" customFormat="false" ht="15" hidden="false" customHeight="false" outlineLevel="0" collapsed="false">
      <c r="A530" s="0" t="s">
        <v>1970</v>
      </c>
      <c r="B530" s="0" t="s">
        <v>1971</v>
      </c>
      <c r="C530" s="0" t="s">
        <v>1001</v>
      </c>
      <c r="D530" s="31" t="n">
        <v>26872</v>
      </c>
      <c r="E530" s="32" t="s">
        <v>826</v>
      </c>
      <c r="F530" s="32" t="s">
        <v>827</v>
      </c>
      <c r="G530" s="32" t="s">
        <v>828</v>
      </c>
      <c r="H530" s="31" t="n">
        <v>45716</v>
      </c>
      <c r="I530" s="32" t="s">
        <v>805</v>
      </c>
      <c r="J530" s="32" t="s">
        <v>751</v>
      </c>
      <c r="K530" s="32" t="s">
        <v>751</v>
      </c>
      <c r="L530" s="32" t="s">
        <v>752</v>
      </c>
      <c r="M530" s="0" t="n">
        <v>47.7</v>
      </c>
      <c r="N530" s="32" t="s">
        <v>780</v>
      </c>
      <c r="O530" s="32" t="s">
        <v>830</v>
      </c>
      <c r="P530" s="32" t="n">
        <f aca="false">IF(AND(ISNUMBER(K530),K530&gt;=0),K530,IF(ISNUMBER(M530),ROUND(M530*7,0),""))</f>
        <v>334</v>
      </c>
      <c r="Q530" s="0" t="str">
        <f aca="false">IF(ISTEXT(K530),"TEXT - recovered",IF(K530&lt;0,"NEGATIVE",IF(K530&gt;728,"&gt;104 WEEKS","OK")))</f>
        <v>TEXT - recovered</v>
      </c>
      <c r="R530" s="0" t="str">
        <f aca="false">IF(E530="GEN","GM",E530)</f>
        <v>RHE</v>
      </c>
    </row>
    <row r="531" customFormat="false" ht="15" hidden="false" customHeight="false" outlineLevel="0" collapsed="false">
      <c r="A531" s="0" t="s">
        <v>1972</v>
      </c>
      <c r="B531" s="0" t="s">
        <v>1973</v>
      </c>
      <c r="C531" s="0" t="s">
        <v>977</v>
      </c>
      <c r="D531" s="31" t="n">
        <v>32699</v>
      </c>
      <c r="E531" s="32" t="s">
        <v>818</v>
      </c>
      <c r="F531" s="32" t="s">
        <v>819</v>
      </c>
      <c r="G531" s="32" t="s">
        <v>820</v>
      </c>
      <c r="H531" s="31" t="n">
        <v>45719</v>
      </c>
      <c r="I531" s="32" t="s">
        <v>796</v>
      </c>
      <c r="J531" s="32" t="s">
        <v>751</v>
      </c>
      <c r="K531" s="32" t="s">
        <v>751</v>
      </c>
      <c r="L531" s="32" t="s">
        <v>752</v>
      </c>
      <c r="M531" s="0" t="n">
        <v>29</v>
      </c>
      <c r="N531" s="32" t="s">
        <v>780</v>
      </c>
      <c r="O531" s="32" t="s">
        <v>883</v>
      </c>
      <c r="P531" s="32" t="n">
        <f aca="false">IF(AND(ISNUMBER(K531),K531&gt;=0),K531,IF(ISNUMBER(M531),ROUND(M531*7,0),""))</f>
        <v>203</v>
      </c>
      <c r="Q531" s="0" t="str">
        <f aca="false">IF(ISTEXT(K531),"TEXT - recovered",IF(K531&lt;0,"NEGATIVE",IF(K531&gt;728,"&gt;104 WEEKS","OK")))</f>
        <v>TEXT - recovered</v>
      </c>
      <c r="R531" s="0" t="str">
        <f aca="false">IF(E531="GEN","GM",E531)</f>
        <v>OPH</v>
      </c>
    </row>
    <row r="532" customFormat="false" ht="15" hidden="false" customHeight="false" outlineLevel="0" collapsed="false">
      <c r="A532" s="0" t="s">
        <v>1974</v>
      </c>
      <c r="B532" s="0" t="s">
        <v>1975</v>
      </c>
      <c r="C532" s="0" t="s">
        <v>765</v>
      </c>
      <c r="D532" s="31" t="n">
        <v>25832</v>
      </c>
      <c r="E532" s="32" t="s">
        <v>818</v>
      </c>
      <c r="F532" s="32" t="s">
        <v>819</v>
      </c>
      <c r="G532" s="32" t="s">
        <v>820</v>
      </c>
      <c r="H532" s="31" t="n">
        <v>45728</v>
      </c>
      <c r="I532" s="32" t="s">
        <v>796</v>
      </c>
      <c r="J532" s="32" t="s">
        <v>751</v>
      </c>
      <c r="K532" s="0" t="n">
        <v>67</v>
      </c>
      <c r="L532" s="32" t="s">
        <v>752</v>
      </c>
      <c r="M532" s="0" t="n">
        <v>9.6</v>
      </c>
      <c r="N532" s="32" t="s">
        <v>753</v>
      </c>
      <c r="O532" s="32" t="s">
        <v>850</v>
      </c>
      <c r="P532" s="32" t="n">
        <f aca="false">IF(AND(ISNUMBER(K532),K532&gt;=0),K532,IF(ISNUMBER(M532),ROUND(M532*7,0),""))</f>
        <v>67</v>
      </c>
      <c r="Q532" s="0" t="str">
        <f aca="false">IF(ISTEXT(K532),"TEXT - recovered",IF(K532&lt;0,"NEGATIVE",IF(K532&gt;728,"&gt;104 WEEKS","OK")))</f>
        <v>OK</v>
      </c>
      <c r="R532" s="0" t="str">
        <f aca="false">IF(E532="GEN","GM",E532)</f>
        <v>OPH</v>
      </c>
    </row>
    <row r="533" customFormat="false" ht="15" hidden="false" customHeight="false" outlineLevel="0" collapsed="false">
      <c r="A533" s="0" t="s">
        <v>1976</v>
      </c>
      <c r="B533" s="0" t="s">
        <v>1977</v>
      </c>
      <c r="C533" s="0" t="s">
        <v>1390</v>
      </c>
      <c r="D533" s="31" t="n">
        <v>15348</v>
      </c>
      <c r="E533" s="32" t="s">
        <v>785</v>
      </c>
      <c r="F533" s="32" t="s">
        <v>786</v>
      </c>
      <c r="G533" s="32" t="s">
        <v>787</v>
      </c>
      <c r="H533" s="31" t="n">
        <v>45720</v>
      </c>
      <c r="I533" s="32" t="s">
        <v>829</v>
      </c>
      <c r="J533" s="32" t="s">
        <v>751</v>
      </c>
      <c r="K533" s="0" t="n">
        <v>51</v>
      </c>
      <c r="L533" s="32" t="s">
        <v>752</v>
      </c>
      <c r="M533" s="0" t="n">
        <v>7.3</v>
      </c>
      <c r="N533" s="32" t="s">
        <v>753</v>
      </c>
      <c r="O533" s="32" t="s">
        <v>1683</v>
      </c>
      <c r="P533" s="32" t="n">
        <f aca="false">IF(AND(ISNUMBER(K533),K533&gt;=0),K533,IF(ISNUMBER(M533),ROUND(M533*7,0),""))</f>
        <v>51</v>
      </c>
      <c r="Q533" s="0" t="str">
        <f aca="false">IF(ISTEXT(K533),"TEXT - recovered",IF(K533&lt;0,"NEGATIVE",IF(K533&gt;728,"&gt;104 WEEKS","OK")))</f>
        <v>OK</v>
      </c>
      <c r="R533" s="0" t="str">
        <f aca="false">IF(E533="GEN","GM",E533)</f>
        <v>RS</v>
      </c>
    </row>
    <row r="534" customFormat="false" ht="15" hidden="false" customHeight="false" outlineLevel="0" collapsed="false">
      <c r="A534" s="0" t="s">
        <v>1978</v>
      </c>
      <c r="B534" s="0" t="s">
        <v>1979</v>
      </c>
      <c r="C534" s="0" t="s">
        <v>853</v>
      </c>
      <c r="D534" s="31" t="n">
        <v>20394</v>
      </c>
      <c r="E534" s="32" t="s">
        <v>747</v>
      </c>
      <c r="F534" s="32" t="s">
        <v>748</v>
      </c>
      <c r="G534" s="32" t="s">
        <v>749</v>
      </c>
      <c r="H534" s="31" t="n">
        <v>45733</v>
      </c>
      <c r="I534" s="32" t="s">
        <v>779</v>
      </c>
      <c r="J534" s="32" t="s">
        <v>751</v>
      </c>
      <c r="K534" s="0" t="n">
        <v>37</v>
      </c>
      <c r="L534" s="32" t="s">
        <v>752</v>
      </c>
      <c r="M534" s="0" t="n">
        <v>5.3</v>
      </c>
      <c r="N534" s="32" t="s">
        <v>330</v>
      </c>
      <c r="O534" s="32" t="s">
        <v>762</v>
      </c>
      <c r="P534" s="32" t="n">
        <f aca="false">IF(AND(ISNUMBER(K534),K534&gt;=0),K534,IF(ISNUMBER(M534),ROUND(M534*7,0),""))</f>
        <v>37</v>
      </c>
      <c r="Q534" s="0" t="str">
        <f aca="false">IF(ISTEXT(K534),"TEXT - recovered",IF(K534&lt;0,"NEGATIVE",IF(K534&gt;728,"&gt;104 WEEKS","OK")))</f>
        <v>OK</v>
      </c>
      <c r="R534" s="0" t="str">
        <f aca="false">IF(E534="GEN","GM",E534)</f>
        <v>GM</v>
      </c>
    </row>
    <row r="535" customFormat="false" ht="15" hidden="false" customHeight="false" outlineLevel="0" collapsed="false">
      <c r="A535" s="0" t="s">
        <v>1980</v>
      </c>
      <c r="B535" s="0" t="s">
        <v>1981</v>
      </c>
      <c r="C535" s="0" t="s">
        <v>870</v>
      </c>
      <c r="D535" s="31" t="n">
        <v>17327</v>
      </c>
      <c r="E535" s="32" t="s">
        <v>810</v>
      </c>
      <c r="F535" s="32" t="s">
        <v>811</v>
      </c>
      <c r="G535" s="32" t="s">
        <v>812</v>
      </c>
      <c r="H535" s="31" t="n">
        <v>45720</v>
      </c>
      <c r="I535" s="32" t="s">
        <v>761</v>
      </c>
      <c r="J535" s="32" t="s">
        <v>751</v>
      </c>
      <c r="K535" s="0" t="n">
        <v>20</v>
      </c>
      <c r="L535" s="32" t="s">
        <v>752</v>
      </c>
      <c r="M535" s="0" t="n">
        <v>2.9</v>
      </c>
      <c r="N535" s="32" t="s">
        <v>753</v>
      </c>
      <c r="O535" s="32" t="s">
        <v>867</v>
      </c>
      <c r="P535" s="32" t="n">
        <f aca="false">IF(AND(ISNUMBER(K535),K535&gt;=0),K535,IF(ISNUMBER(M535),ROUND(M535*7,0),""))</f>
        <v>20</v>
      </c>
      <c r="Q535" s="0" t="str">
        <f aca="false">IF(ISTEXT(K535),"TEXT - recovered",IF(K535&lt;0,"NEGATIVE",IF(K535&gt;728,"&gt;104 WEEKS","OK")))</f>
        <v>OK</v>
      </c>
      <c r="R535" s="0" t="str">
        <f aca="false">IF(E535="GEN","GM",E535)</f>
        <v>URO</v>
      </c>
    </row>
    <row r="536" customFormat="false" ht="15" hidden="false" customHeight="false" outlineLevel="0" collapsed="false">
      <c r="A536" s="0" t="s">
        <v>1982</v>
      </c>
      <c r="B536" s="0" t="s">
        <v>1983</v>
      </c>
      <c r="C536" s="0" t="s">
        <v>1390</v>
      </c>
      <c r="D536" s="31" t="n">
        <v>29681</v>
      </c>
      <c r="E536" s="32" t="s">
        <v>785</v>
      </c>
      <c r="F536" s="32" t="s">
        <v>786</v>
      </c>
      <c r="G536" s="32" t="s">
        <v>787</v>
      </c>
      <c r="H536" s="31" t="n">
        <v>45730</v>
      </c>
      <c r="I536" s="32" t="s">
        <v>796</v>
      </c>
      <c r="J536" s="32" t="s">
        <v>751</v>
      </c>
      <c r="K536" s="32" t="s">
        <v>751</v>
      </c>
      <c r="L536" s="32" t="s">
        <v>752</v>
      </c>
      <c r="M536" s="0" t="n">
        <v>38.7</v>
      </c>
      <c r="N536" s="32" t="s">
        <v>753</v>
      </c>
      <c r="O536" s="32" t="s">
        <v>754</v>
      </c>
      <c r="P536" s="32" t="n">
        <f aca="false">IF(AND(ISNUMBER(K536),K536&gt;=0),K536,IF(ISNUMBER(M536),ROUND(M536*7,0),""))</f>
        <v>271</v>
      </c>
      <c r="Q536" s="0" t="str">
        <f aca="false">IF(ISTEXT(K536),"TEXT - recovered",IF(K536&lt;0,"NEGATIVE",IF(K536&gt;728,"&gt;104 WEEKS","OK")))</f>
        <v>TEXT - recovered</v>
      </c>
      <c r="R536" s="0" t="str">
        <f aca="false">IF(E536="GEN","GM",E536)</f>
        <v>RS</v>
      </c>
    </row>
    <row r="537" customFormat="false" ht="15" hidden="false" customHeight="false" outlineLevel="0" collapsed="false">
      <c r="A537" s="0" t="s">
        <v>1984</v>
      </c>
      <c r="B537" s="0" t="s">
        <v>1985</v>
      </c>
      <c r="C537" s="0" t="s">
        <v>841</v>
      </c>
      <c r="D537" s="31" t="n">
        <v>22112</v>
      </c>
      <c r="E537" s="32" t="s">
        <v>818</v>
      </c>
      <c r="F537" s="32" t="s">
        <v>819</v>
      </c>
      <c r="G537" s="32" t="s">
        <v>820</v>
      </c>
      <c r="H537" s="31" t="n">
        <v>45737</v>
      </c>
      <c r="I537" s="32" t="s">
        <v>805</v>
      </c>
      <c r="J537" s="32" t="s">
        <v>770</v>
      </c>
      <c r="K537" s="0" t="n">
        <v>224</v>
      </c>
      <c r="L537" s="32" t="s">
        <v>771</v>
      </c>
      <c r="M537" s="0" t="n">
        <v>32</v>
      </c>
      <c r="N537" s="32" t="s">
        <v>753</v>
      </c>
      <c r="O537" s="32" t="s">
        <v>859</v>
      </c>
      <c r="P537" s="32" t="n">
        <f aca="false">IF(AND(ISNUMBER(K537),K537&gt;=0),K537,IF(ISNUMBER(M537),ROUND(M537*7,0),""))</f>
        <v>224</v>
      </c>
      <c r="Q537" s="0" t="str">
        <f aca="false">IF(ISTEXT(K537),"TEXT - recovered",IF(K537&lt;0,"NEGATIVE",IF(K537&gt;728,"&gt;104 WEEKS","OK")))</f>
        <v>OK</v>
      </c>
      <c r="R537" s="0" t="str">
        <f aca="false">IF(E537="GEN","GM",E537)</f>
        <v>OPH</v>
      </c>
    </row>
    <row r="538" customFormat="false" ht="15" hidden="false" customHeight="false" outlineLevel="0" collapsed="false">
      <c r="A538" s="0" t="s">
        <v>1986</v>
      </c>
      <c r="B538" s="0" t="s">
        <v>1987</v>
      </c>
      <c r="C538" s="0" t="s">
        <v>765</v>
      </c>
      <c r="D538" s="31" t="n">
        <v>31510</v>
      </c>
      <c r="E538" s="32" t="s">
        <v>802</v>
      </c>
      <c r="F538" s="32" t="s">
        <v>803</v>
      </c>
      <c r="G538" s="32" t="s">
        <v>804</v>
      </c>
      <c r="H538" s="31" t="n">
        <v>45726</v>
      </c>
      <c r="I538" s="32" t="s">
        <v>813</v>
      </c>
      <c r="J538" s="32" t="s">
        <v>770</v>
      </c>
      <c r="K538" s="0" t="n">
        <v>230</v>
      </c>
      <c r="L538" s="32" t="s">
        <v>771</v>
      </c>
      <c r="M538" s="0" t="n">
        <v>32.9</v>
      </c>
      <c r="N538" s="32" t="s">
        <v>753</v>
      </c>
      <c r="O538" s="32" t="s">
        <v>772</v>
      </c>
      <c r="P538" s="32" t="n">
        <f aca="false">IF(AND(ISNUMBER(K538),K538&gt;=0),K538,IF(ISNUMBER(M538),ROUND(M538*7,0),""))</f>
        <v>230</v>
      </c>
      <c r="Q538" s="0" t="str">
        <f aca="false">IF(ISTEXT(K538),"TEXT - recovered",IF(K538&lt;0,"NEGATIVE",IF(K538&gt;728,"&gt;104 WEEKS","OK")))</f>
        <v>OK</v>
      </c>
      <c r="R538" s="0" t="str">
        <f aca="false">IF(E538="GEN","GM",E538)</f>
        <v>GYN</v>
      </c>
    </row>
    <row r="539" customFormat="false" ht="15" hidden="false" customHeight="false" outlineLevel="0" collapsed="false">
      <c r="A539" s="0" t="s">
        <v>1988</v>
      </c>
      <c r="B539" s="0" t="s">
        <v>1989</v>
      </c>
      <c r="C539" s="0" t="s">
        <v>866</v>
      </c>
      <c r="D539" s="31" t="n">
        <v>33565</v>
      </c>
      <c r="E539" s="32" t="s">
        <v>802</v>
      </c>
      <c r="F539" s="32" t="s">
        <v>803</v>
      </c>
      <c r="G539" s="32" t="s">
        <v>804</v>
      </c>
      <c r="H539" s="31" t="n">
        <v>45733</v>
      </c>
      <c r="I539" s="32" t="s">
        <v>750</v>
      </c>
      <c r="J539" s="32" t="s">
        <v>751</v>
      </c>
      <c r="K539" s="0" t="n">
        <v>57</v>
      </c>
      <c r="L539" s="32" t="s">
        <v>752</v>
      </c>
      <c r="M539" s="0" t="n">
        <v>8.1</v>
      </c>
      <c r="N539" s="32" t="s">
        <v>753</v>
      </c>
      <c r="O539" s="32" t="s">
        <v>822</v>
      </c>
      <c r="P539" s="32" t="n">
        <f aca="false">IF(AND(ISNUMBER(K539),K539&gt;=0),K539,IF(ISNUMBER(M539),ROUND(M539*7,0),""))</f>
        <v>57</v>
      </c>
      <c r="Q539" s="0" t="str">
        <f aca="false">IF(ISTEXT(K539),"TEXT - recovered",IF(K539&lt;0,"NEGATIVE",IF(K539&gt;728,"&gt;104 WEEKS","OK")))</f>
        <v>OK</v>
      </c>
      <c r="R539" s="0" t="str">
        <f aca="false">IF(E539="GEN","GM",E539)</f>
        <v>GYN</v>
      </c>
    </row>
    <row r="540" customFormat="false" ht="15" hidden="false" customHeight="false" outlineLevel="0" collapsed="false">
      <c r="A540" s="0" t="s">
        <v>1990</v>
      </c>
      <c r="B540" s="0" t="s">
        <v>1991</v>
      </c>
      <c r="C540" s="0" t="s">
        <v>930</v>
      </c>
      <c r="D540" s="31" t="n">
        <v>30177</v>
      </c>
      <c r="E540" s="32" t="s">
        <v>785</v>
      </c>
      <c r="F540" s="32" t="s">
        <v>786</v>
      </c>
      <c r="G540" s="32" t="s">
        <v>787</v>
      </c>
      <c r="H540" s="31" t="n">
        <v>45714</v>
      </c>
      <c r="I540" s="32" t="s">
        <v>788</v>
      </c>
      <c r="J540" s="32" t="s">
        <v>751</v>
      </c>
      <c r="K540" s="0" t="n">
        <v>35</v>
      </c>
      <c r="L540" s="32" t="s">
        <v>752</v>
      </c>
      <c r="M540" s="0" t="n">
        <v>5</v>
      </c>
      <c r="N540" s="32" t="s">
        <v>780</v>
      </c>
      <c r="O540" s="32" t="s">
        <v>871</v>
      </c>
      <c r="P540" s="32" t="n">
        <f aca="false">IF(AND(ISNUMBER(K540),K540&gt;=0),K540,IF(ISNUMBER(M540),ROUND(M540*7,0),""))</f>
        <v>35</v>
      </c>
      <c r="Q540" s="0" t="str">
        <f aca="false">IF(ISTEXT(K540),"TEXT - recovered",IF(K540&lt;0,"NEGATIVE",IF(K540&gt;728,"&gt;104 WEEKS","OK")))</f>
        <v>OK</v>
      </c>
      <c r="R540" s="0" t="str">
        <f aca="false">IF(E540="GEN","GM",E540)</f>
        <v>RS</v>
      </c>
    </row>
    <row r="541" customFormat="false" ht="15" hidden="false" customHeight="false" outlineLevel="0" collapsed="false">
      <c r="A541" s="0" t="s">
        <v>1992</v>
      </c>
      <c r="B541" s="0" t="s">
        <v>1993</v>
      </c>
      <c r="C541" s="0" t="s">
        <v>870</v>
      </c>
      <c r="D541" s="31" t="n">
        <v>22938</v>
      </c>
      <c r="E541" s="32" t="s">
        <v>826</v>
      </c>
      <c r="F541" s="32" t="s">
        <v>827</v>
      </c>
      <c r="G541" s="32" t="s">
        <v>828</v>
      </c>
      <c r="H541" s="31" t="n">
        <v>45726</v>
      </c>
      <c r="I541" s="32" t="s">
        <v>813</v>
      </c>
      <c r="J541" s="32" t="s">
        <v>797</v>
      </c>
      <c r="K541" s="0" t="n">
        <v>47</v>
      </c>
      <c r="L541" s="32" t="s">
        <v>771</v>
      </c>
      <c r="M541" s="0" t="n">
        <v>6.7</v>
      </c>
      <c r="N541" s="32" t="s">
        <v>753</v>
      </c>
      <c r="O541" s="32" t="s">
        <v>762</v>
      </c>
      <c r="P541" s="32" t="n">
        <f aca="false">IF(AND(ISNUMBER(K541),K541&gt;=0),K541,IF(ISNUMBER(M541),ROUND(M541*7,0),""))</f>
        <v>47</v>
      </c>
      <c r="Q541" s="0" t="str">
        <f aca="false">IF(ISTEXT(K541),"TEXT - recovered",IF(K541&lt;0,"NEGATIVE",IF(K541&gt;728,"&gt;104 WEEKS","OK")))</f>
        <v>OK</v>
      </c>
      <c r="R541" s="0" t="str">
        <f aca="false">IF(E541="GEN","GM",E541)</f>
        <v>RHE</v>
      </c>
    </row>
    <row r="542" customFormat="false" ht="15" hidden="false" customHeight="false" outlineLevel="0" collapsed="false">
      <c r="A542" s="0" t="s">
        <v>1994</v>
      </c>
      <c r="B542" s="0" t="s">
        <v>1995</v>
      </c>
      <c r="C542" s="0" t="s">
        <v>938</v>
      </c>
      <c r="D542" s="31" t="n">
        <v>28776</v>
      </c>
      <c r="E542" s="32" t="s">
        <v>802</v>
      </c>
      <c r="F542" s="32" t="s">
        <v>803</v>
      </c>
      <c r="G542" s="32" t="s">
        <v>804</v>
      </c>
      <c r="H542" s="31" t="n">
        <v>45728</v>
      </c>
      <c r="I542" s="32" t="s">
        <v>769</v>
      </c>
      <c r="J542" s="32" t="s">
        <v>751</v>
      </c>
      <c r="K542" s="0" t="n">
        <v>35</v>
      </c>
      <c r="L542" s="32" t="s">
        <v>752</v>
      </c>
      <c r="M542" s="0" t="n">
        <v>5</v>
      </c>
      <c r="N542" s="32" t="s">
        <v>780</v>
      </c>
      <c r="O542" s="32" t="s">
        <v>806</v>
      </c>
      <c r="P542" s="32" t="n">
        <f aca="false">IF(AND(ISNUMBER(K542),K542&gt;=0),K542,IF(ISNUMBER(M542),ROUND(M542*7,0),""))</f>
        <v>35</v>
      </c>
      <c r="Q542" s="0" t="str">
        <f aca="false">IF(ISTEXT(K542),"TEXT - recovered",IF(K542&lt;0,"NEGATIVE",IF(K542&gt;728,"&gt;104 WEEKS","OK")))</f>
        <v>OK</v>
      </c>
      <c r="R542" s="0" t="str">
        <f aca="false">IF(E542="GEN","GM",E542)</f>
        <v>GYN</v>
      </c>
    </row>
    <row r="543" customFormat="false" ht="15" hidden="false" customHeight="false" outlineLevel="0" collapsed="false">
      <c r="A543" s="0" t="s">
        <v>1996</v>
      </c>
      <c r="B543" s="0" t="s">
        <v>1997</v>
      </c>
      <c r="C543" s="0" t="s">
        <v>993</v>
      </c>
      <c r="D543" s="31" t="n">
        <v>18616</v>
      </c>
      <c r="E543" s="32" t="s">
        <v>810</v>
      </c>
      <c r="F543" s="32" t="s">
        <v>811</v>
      </c>
      <c r="G543" s="32" t="s">
        <v>812</v>
      </c>
      <c r="H543" s="31" t="n">
        <v>45730</v>
      </c>
      <c r="I543" s="32" t="s">
        <v>750</v>
      </c>
      <c r="J543" s="32" t="s">
        <v>751</v>
      </c>
      <c r="K543" s="0" t="n">
        <v>72</v>
      </c>
      <c r="L543" s="32" t="s">
        <v>752</v>
      </c>
      <c r="M543" s="0" t="n">
        <v>10.3</v>
      </c>
      <c r="N543" s="32" t="s">
        <v>330</v>
      </c>
      <c r="O543" s="32" t="s">
        <v>863</v>
      </c>
      <c r="P543" s="32" t="n">
        <f aca="false">IF(AND(ISNUMBER(K543),K543&gt;=0),K543,IF(ISNUMBER(M543),ROUND(M543*7,0),""))</f>
        <v>72</v>
      </c>
      <c r="Q543" s="0" t="str">
        <f aca="false">IF(ISTEXT(K543),"TEXT - recovered",IF(K543&lt;0,"NEGATIVE",IF(K543&gt;728,"&gt;104 WEEKS","OK")))</f>
        <v>OK</v>
      </c>
      <c r="R543" s="0" t="str">
        <f aca="false">IF(E543="GEN","GM",E543)</f>
        <v>URO</v>
      </c>
    </row>
    <row r="544" customFormat="false" ht="15" hidden="false" customHeight="false" outlineLevel="0" collapsed="false">
      <c r="A544" s="0" t="s">
        <v>1998</v>
      </c>
      <c r="B544" s="0" t="s">
        <v>1999</v>
      </c>
      <c r="C544" s="0" t="s">
        <v>1460</v>
      </c>
      <c r="D544" s="31" t="n">
        <v>21409</v>
      </c>
      <c r="E544" s="32" t="s">
        <v>826</v>
      </c>
      <c r="F544" s="32" t="s">
        <v>827</v>
      </c>
      <c r="G544" s="32" t="s">
        <v>828</v>
      </c>
      <c r="H544" s="31" t="n">
        <v>45719</v>
      </c>
      <c r="I544" s="32" t="s">
        <v>829</v>
      </c>
      <c r="J544" s="32" t="s">
        <v>751</v>
      </c>
      <c r="K544" s="0" t="n">
        <v>86</v>
      </c>
      <c r="L544" s="32" t="s">
        <v>752</v>
      </c>
      <c r="M544" s="0" t="n">
        <v>12.3</v>
      </c>
      <c r="N544" s="32" t="s">
        <v>753</v>
      </c>
      <c r="O544" s="32" t="s">
        <v>863</v>
      </c>
      <c r="P544" s="32" t="n">
        <f aca="false">IF(AND(ISNUMBER(K544),K544&gt;=0),K544,IF(ISNUMBER(M544),ROUND(M544*7,0),""))</f>
        <v>86</v>
      </c>
      <c r="Q544" s="0" t="str">
        <f aca="false">IF(ISTEXT(K544),"TEXT - recovered",IF(K544&lt;0,"NEGATIVE",IF(K544&gt;728,"&gt;104 WEEKS","OK")))</f>
        <v>OK</v>
      </c>
      <c r="R544" s="0" t="str">
        <f aca="false">IF(E544="GEN","GM",E544)</f>
        <v>RHE</v>
      </c>
    </row>
    <row r="545" customFormat="false" ht="15" hidden="false" customHeight="false" outlineLevel="0" collapsed="false">
      <c r="A545" s="0" t="s">
        <v>2000</v>
      </c>
      <c r="B545" s="0" t="s">
        <v>2001</v>
      </c>
      <c r="C545" s="0" t="s">
        <v>882</v>
      </c>
      <c r="D545" s="31" t="n">
        <v>26483</v>
      </c>
      <c r="E545" s="32" t="s">
        <v>826</v>
      </c>
      <c r="F545" s="32" t="s">
        <v>827</v>
      </c>
      <c r="G545" s="32" t="s">
        <v>828</v>
      </c>
      <c r="H545" s="31" t="n">
        <v>45720</v>
      </c>
      <c r="I545" s="32" t="s">
        <v>796</v>
      </c>
      <c r="J545" s="32" t="s">
        <v>751</v>
      </c>
      <c r="K545" s="0" t="n">
        <v>21</v>
      </c>
      <c r="L545" s="32" t="s">
        <v>752</v>
      </c>
      <c r="M545" s="0" t="n">
        <v>3</v>
      </c>
      <c r="N545" s="32" t="s">
        <v>753</v>
      </c>
      <c r="O545" s="32" t="s">
        <v>863</v>
      </c>
      <c r="P545" s="32" t="n">
        <f aca="false">IF(AND(ISNUMBER(K545),K545&gt;=0),K545,IF(ISNUMBER(M545),ROUND(M545*7,0),""))</f>
        <v>21</v>
      </c>
      <c r="Q545" s="0" t="str">
        <f aca="false">IF(ISTEXT(K545),"TEXT - recovered",IF(K545&lt;0,"NEGATIVE",IF(K545&gt;728,"&gt;104 WEEKS","OK")))</f>
        <v>OK</v>
      </c>
      <c r="R545" s="0" t="str">
        <f aca="false">IF(E545="GEN","GM",E545)</f>
        <v>RHE</v>
      </c>
    </row>
    <row r="546" customFormat="false" ht="15" hidden="false" customHeight="false" outlineLevel="0" collapsed="false">
      <c r="A546" s="0" t="s">
        <v>2002</v>
      </c>
      <c r="B546" s="0" t="s">
        <v>2003</v>
      </c>
      <c r="C546" s="0" t="s">
        <v>906</v>
      </c>
      <c r="D546" s="31" t="n">
        <v>32423</v>
      </c>
      <c r="E546" s="32" t="s">
        <v>793</v>
      </c>
      <c r="F546" s="32" t="s">
        <v>794</v>
      </c>
      <c r="G546" s="32" t="s">
        <v>795</v>
      </c>
      <c r="H546" s="31" t="n">
        <v>45720</v>
      </c>
      <c r="I546" s="32" t="s">
        <v>779</v>
      </c>
      <c r="J546" s="32" t="s">
        <v>751</v>
      </c>
      <c r="K546" s="0" t="n">
        <v>111</v>
      </c>
      <c r="L546" s="32" t="s">
        <v>752</v>
      </c>
      <c r="M546" s="0" t="n">
        <v>15.9</v>
      </c>
      <c r="N546" s="32" t="s">
        <v>753</v>
      </c>
      <c r="O546" s="32" t="s">
        <v>822</v>
      </c>
      <c r="P546" s="32" t="n">
        <f aca="false">IF(AND(ISNUMBER(K546),K546&gt;=0),K546,IF(ISNUMBER(M546),ROUND(M546*7,0),""))</f>
        <v>111</v>
      </c>
      <c r="Q546" s="0" t="str">
        <f aca="false">IF(ISTEXT(K546),"TEXT - recovered",IF(K546&lt;0,"NEGATIVE",IF(K546&gt;728,"&gt;104 WEEKS","OK")))</f>
        <v>OK</v>
      </c>
      <c r="R546" s="0" t="str">
        <f aca="false">IF(E546="GEN","GM",E546)</f>
        <v>EM</v>
      </c>
    </row>
    <row r="547" customFormat="false" ht="15" hidden="false" customHeight="false" outlineLevel="0" collapsed="false">
      <c r="A547" s="0" t="s">
        <v>2004</v>
      </c>
      <c r="B547" s="0" t="s">
        <v>2005</v>
      </c>
      <c r="C547" s="0" t="s">
        <v>801</v>
      </c>
      <c r="D547" s="31" t="n">
        <v>15592</v>
      </c>
      <c r="E547" s="32" t="s">
        <v>793</v>
      </c>
      <c r="F547" s="32" t="s">
        <v>794</v>
      </c>
      <c r="G547" s="32" t="s">
        <v>795</v>
      </c>
      <c r="H547" s="31" t="n">
        <v>45722</v>
      </c>
      <c r="I547" s="32" t="s">
        <v>829</v>
      </c>
      <c r="J547" s="32" t="s">
        <v>797</v>
      </c>
      <c r="K547" s="0" t="n">
        <v>82</v>
      </c>
      <c r="L547" s="32" t="s">
        <v>771</v>
      </c>
      <c r="M547" s="0" t="n">
        <v>11.7</v>
      </c>
      <c r="N547" s="32" t="s">
        <v>753</v>
      </c>
      <c r="O547" s="32" t="s">
        <v>762</v>
      </c>
      <c r="P547" s="32" t="n">
        <f aca="false">IF(AND(ISNUMBER(K547),K547&gt;=0),K547,IF(ISNUMBER(M547),ROUND(M547*7,0),""))</f>
        <v>82</v>
      </c>
      <c r="Q547" s="0" t="str">
        <f aca="false">IF(ISTEXT(K547),"TEXT - recovered",IF(K547&lt;0,"NEGATIVE",IF(K547&gt;728,"&gt;104 WEEKS","OK")))</f>
        <v>OK</v>
      </c>
      <c r="R547" s="0" t="str">
        <f aca="false">IF(E547="GEN","GM",E547)</f>
        <v>EM</v>
      </c>
    </row>
    <row r="548" customFormat="false" ht="15" hidden="false" customHeight="false" outlineLevel="0" collapsed="false">
      <c r="A548" s="0" t="s">
        <v>2006</v>
      </c>
      <c r="B548" s="0" t="s">
        <v>2007</v>
      </c>
      <c r="C548" s="0" t="s">
        <v>997</v>
      </c>
      <c r="D548" s="31" t="n">
        <v>27701</v>
      </c>
      <c r="E548" s="32" t="s">
        <v>793</v>
      </c>
      <c r="F548" s="32" t="s">
        <v>794</v>
      </c>
      <c r="G548" s="32" t="s">
        <v>795</v>
      </c>
      <c r="H548" s="31" t="n">
        <v>45737</v>
      </c>
      <c r="I548" s="32" t="s">
        <v>821</v>
      </c>
      <c r="J548" s="32" t="s">
        <v>751</v>
      </c>
      <c r="K548" s="0" t="n">
        <v>116</v>
      </c>
      <c r="L548" s="32" t="s">
        <v>752</v>
      </c>
      <c r="M548" s="0" t="n">
        <v>16.6</v>
      </c>
      <c r="N548" s="32" t="s">
        <v>753</v>
      </c>
      <c r="O548" s="32" t="s">
        <v>842</v>
      </c>
      <c r="P548" s="32" t="n">
        <f aca="false">IF(AND(ISNUMBER(K548),K548&gt;=0),K548,IF(ISNUMBER(M548),ROUND(M548*7,0),""))</f>
        <v>116</v>
      </c>
      <c r="Q548" s="0" t="str">
        <f aca="false">IF(ISTEXT(K548),"TEXT - recovered",IF(K548&lt;0,"NEGATIVE",IF(K548&gt;728,"&gt;104 WEEKS","OK")))</f>
        <v>OK</v>
      </c>
      <c r="R548" s="0" t="str">
        <f aca="false">IF(E548="GEN","GM",E548)</f>
        <v>EM</v>
      </c>
    </row>
    <row r="549" customFormat="false" ht="15" hidden="false" customHeight="false" outlineLevel="0" collapsed="false">
      <c r="A549" s="0" t="s">
        <v>2008</v>
      </c>
      <c r="B549" s="0" t="s">
        <v>2009</v>
      </c>
      <c r="C549" s="0" t="s">
        <v>997</v>
      </c>
      <c r="D549" s="31" t="n">
        <v>31850</v>
      </c>
      <c r="E549" s="32" t="s">
        <v>776</v>
      </c>
      <c r="F549" s="32" t="s">
        <v>777</v>
      </c>
      <c r="G549" s="32" t="s">
        <v>778</v>
      </c>
      <c r="H549" s="31" t="n">
        <v>45730</v>
      </c>
      <c r="I549" s="32" t="s">
        <v>805</v>
      </c>
      <c r="J549" s="32" t="s">
        <v>751</v>
      </c>
      <c r="K549" s="0" t="n">
        <v>46</v>
      </c>
      <c r="L549" s="32" t="s">
        <v>752</v>
      </c>
      <c r="M549" s="0" t="n">
        <v>6.6</v>
      </c>
      <c r="N549" s="32" t="s">
        <v>330</v>
      </c>
      <c r="O549" s="32" t="s">
        <v>838</v>
      </c>
      <c r="P549" s="32" t="n">
        <f aca="false">IF(AND(ISNUMBER(K549),K549&gt;=0),K549,IF(ISNUMBER(M549),ROUND(M549*7,0),""))</f>
        <v>46</v>
      </c>
      <c r="Q549" s="0" t="str">
        <f aca="false">IF(ISTEXT(K549),"TEXT - recovered",IF(K549&lt;0,"NEGATIVE",IF(K549&gt;728,"&gt;104 WEEKS","OK")))</f>
        <v>OK</v>
      </c>
      <c r="R549" s="0" t="str">
        <f aca="false">IF(E549="GEN","GM",E549)</f>
        <v>GS</v>
      </c>
    </row>
    <row r="550" customFormat="false" ht="15" hidden="false" customHeight="false" outlineLevel="0" collapsed="false">
      <c r="A550" s="0" t="s">
        <v>2010</v>
      </c>
      <c r="B550" s="0" t="s">
        <v>2011</v>
      </c>
      <c r="C550" s="0" t="s">
        <v>809</v>
      </c>
      <c r="D550" s="31" t="n">
        <v>30611</v>
      </c>
      <c r="E550" s="32" t="s">
        <v>818</v>
      </c>
      <c r="F550" s="32" t="s">
        <v>819</v>
      </c>
      <c r="G550" s="32" t="s">
        <v>820</v>
      </c>
      <c r="H550" s="31" t="n">
        <v>45722</v>
      </c>
      <c r="I550" s="32" t="s">
        <v>779</v>
      </c>
      <c r="J550" s="32" t="s">
        <v>858</v>
      </c>
      <c r="K550" s="0" t="n">
        <v>38</v>
      </c>
      <c r="L550" s="32" t="s">
        <v>752</v>
      </c>
      <c r="M550" s="0" t="n">
        <v>5.4</v>
      </c>
      <c r="N550" s="32" t="s">
        <v>753</v>
      </c>
      <c r="O550" s="32" t="s">
        <v>846</v>
      </c>
      <c r="P550" s="32" t="n">
        <f aca="false">IF(AND(ISNUMBER(K550),K550&gt;=0),K550,IF(ISNUMBER(M550),ROUND(M550*7,0),""))</f>
        <v>38</v>
      </c>
      <c r="Q550" s="0" t="str">
        <f aca="false">IF(ISTEXT(K550),"TEXT - recovered",IF(K550&lt;0,"NEGATIVE",IF(K550&gt;728,"&gt;104 WEEKS","OK")))</f>
        <v>OK</v>
      </c>
      <c r="R550" s="0" t="str">
        <f aca="false">IF(E550="GEN","GM",E550)</f>
        <v>OPH</v>
      </c>
    </row>
    <row r="551" customFormat="false" ht="15" hidden="false" customHeight="false" outlineLevel="0" collapsed="false">
      <c r="A551" s="0" t="s">
        <v>2012</v>
      </c>
      <c r="B551" s="0" t="s">
        <v>2013</v>
      </c>
      <c r="C551" s="0" t="s">
        <v>894</v>
      </c>
      <c r="D551" s="31" t="n">
        <v>28379</v>
      </c>
      <c r="E551" s="32" t="s">
        <v>776</v>
      </c>
      <c r="F551" s="32" t="s">
        <v>777</v>
      </c>
      <c r="G551" s="32" t="s">
        <v>778</v>
      </c>
      <c r="H551" s="31" t="n">
        <v>45729</v>
      </c>
      <c r="I551" s="32" t="s">
        <v>761</v>
      </c>
      <c r="J551" s="32" t="s">
        <v>751</v>
      </c>
      <c r="K551" s="0" t="n">
        <v>98</v>
      </c>
      <c r="L551" s="32" t="s">
        <v>752</v>
      </c>
      <c r="M551" s="0" t="n">
        <v>14</v>
      </c>
      <c r="N551" s="32" t="s">
        <v>330</v>
      </c>
      <c r="O551" s="32" t="s">
        <v>863</v>
      </c>
      <c r="P551" s="32" t="n">
        <f aca="false">IF(AND(ISNUMBER(K551),K551&gt;=0),K551,IF(ISNUMBER(M551),ROUND(M551*7,0),""))</f>
        <v>98</v>
      </c>
      <c r="Q551" s="0" t="str">
        <f aca="false">IF(ISTEXT(K551),"TEXT - recovered",IF(K551&lt;0,"NEGATIVE",IF(K551&gt;728,"&gt;104 WEEKS","OK")))</f>
        <v>OK</v>
      </c>
      <c r="R551" s="0" t="str">
        <f aca="false">IF(E551="GEN","GM",E551)</f>
        <v>GS</v>
      </c>
    </row>
    <row r="552" customFormat="false" ht="15" hidden="false" customHeight="false" outlineLevel="0" collapsed="false">
      <c r="A552" s="0" t="s">
        <v>2014</v>
      </c>
      <c r="B552" s="0" t="s">
        <v>2015</v>
      </c>
      <c r="C552" s="0" t="s">
        <v>938</v>
      </c>
      <c r="D552" s="31" t="n">
        <v>24084</v>
      </c>
      <c r="E552" s="32" t="s">
        <v>747</v>
      </c>
      <c r="F552" s="32" t="s">
        <v>748</v>
      </c>
      <c r="G552" s="32" t="s">
        <v>749</v>
      </c>
      <c r="H552" s="31" t="n">
        <v>45729</v>
      </c>
      <c r="I552" s="32" t="s">
        <v>829</v>
      </c>
      <c r="J552" s="32" t="s">
        <v>751</v>
      </c>
      <c r="K552" s="0" t="n">
        <v>98</v>
      </c>
      <c r="L552" s="32" t="s">
        <v>752</v>
      </c>
      <c r="M552" s="0" t="n">
        <v>14</v>
      </c>
      <c r="N552" s="32" t="s">
        <v>753</v>
      </c>
      <c r="O552" s="32" t="s">
        <v>814</v>
      </c>
      <c r="P552" s="32" t="n">
        <f aca="false">IF(AND(ISNUMBER(K552),K552&gt;=0),K552,IF(ISNUMBER(M552),ROUND(M552*7,0),""))</f>
        <v>98</v>
      </c>
      <c r="Q552" s="0" t="str">
        <f aca="false">IF(ISTEXT(K552),"TEXT - recovered",IF(K552&lt;0,"NEGATIVE",IF(K552&gt;728,"&gt;104 WEEKS","OK")))</f>
        <v>OK</v>
      </c>
      <c r="R552" s="0" t="str">
        <f aca="false">IF(E552="GEN","GM",E552)</f>
        <v>GM</v>
      </c>
    </row>
    <row r="553" customFormat="false" ht="15" hidden="false" customHeight="false" outlineLevel="0" collapsed="false">
      <c r="A553" s="0" t="s">
        <v>2016</v>
      </c>
      <c r="B553" s="0" t="s">
        <v>2017</v>
      </c>
      <c r="C553" s="0" t="s">
        <v>841</v>
      </c>
      <c r="D553" s="31" t="n">
        <v>17715</v>
      </c>
      <c r="E553" s="32" t="s">
        <v>810</v>
      </c>
      <c r="F553" s="32" t="s">
        <v>811</v>
      </c>
      <c r="G553" s="32" t="s">
        <v>812</v>
      </c>
      <c r="H553" s="31" t="n">
        <v>45720</v>
      </c>
      <c r="I553" s="32" t="s">
        <v>796</v>
      </c>
      <c r="J553" s="32" t="s">
        <v>797</v>
      </c>
      <c r="K553" s="0" t="n">
        <v>112</v>
      </c>
      <c r="L553" s="32" t="s">
        <v>771</v>
      </c>
      <c r="M553" s="0" t="n">
        <v>16</v>
      </c>
      <c r="N553" s="32" t="s">
        <v>753</v>
      </c>
      <c r="O553" s="32" t="s">
        <v>863</v>
      </c>
      <c r="P553" s="32" t="n">
        <f aca="false">IF(AND(ISNUMBER(K553),K553&gt;=0),K553,IF(ISNUMBER(M553),ROUND(M553*7,0),""))</f>
        <v>112</v>
      </c>
      <c r="Q553" s="0" t="str">
        <f aca="false">IF(ISTEXT(K553),"TEXT - recovered",IF(K553&lt;0,"NEGATIVE",IF(K553&gt;728,"&gt;104 WEEKS","OK")))</f>
        <v>OK</v>
      </c>
      <c r="R553" s="0" t="str">
        <f aca="false">IF(E553="GEN","GM",E553)</f>
        <v>URO</v>
      </c>
    </row>
    <row r="554" customFormat="false" ht="15" hidden="false" customHeight="false" outlineLevel="0" collapsed="false">
      <c r="A554" s="0" t="s">
        <v>2018</v>
      </c>
      <c r="B554" s="0" t="s">
        <v>2019</v>
      </c>
      <c r="C554" s="0" t="s">
        <v>825</v>
      </c>
      <c r="D554" s="31" t="n">
        <v>21545</v>
      </c>
      <c r="E554" s="32" t="s">
        <v>766</v>
      </c>
      <c r="F554" s="32" t="s">
        <v>767</v>
      </c>
      <c r="G554" s="32" t="s">
        <v>768</v>
      </c>
      <c r="H554" s="31" t="n">
        <v>45726</v>
      </c>
      <c r="I554" s="32" t="s">
        <v>788</v>
      </c>
      <c r="J554" s="32" t="s">
        <v>751</v>
      </c>
      <c r="K554" s="0" t="n">
        <v>38</v>
      </c>
      <c r="L554" s="32" t="s">
        <v>752</v>
      </c>
      <c r="M554" s="0" t="n">
        <v>5.4</v>
      </c>
      <c r="N554" s="32" t="s">
        <v>753</v>
      </c>
      <c r="O554" s="32" t="s">
        <v>863</v>
      </c>
      <c r="P554" s="32" t="n">
        <f aca="false">IF(AND(ISNUMBER(K554),K554&gt;=0),K554,IF(ISNUMBER(M554),ROUND(M554*7,0),""))</f>
        <v>38</v>
      </c>
      <c r="Q554" s="0" t="str">
        <f aca="false">IF(ISTEXT(K554),"TEXT - recovered",IF(K554&lt;0,"NEGATIVE",IF(K554&gt;728,"&gt;104 WEEKS","OK")))</f>
        <v>OK</v>
      </c>
      <c r="R554" s="0" t="str">
        <f aca="false">IF(E554="GEN","GM",E554)</f>
        <v>OR</v>
      </c>
    </row>
    <row r="555" customFormat="false" ht="15" hidden="false" customHeight="false" outlineLevel="0" collapsed="false">
      <c r="A555" s="0" t="s">
        <v>2020</v>
      </c>
      <c r="B555" s="0" t="s">
        <v>2021</v>
      </c>
      <c r="C555" s="0" t="s">
        <v>1029</v>
      </c>
      <c r="D555" s="31" t="n">
        <v>22581</v>
      </c>
      <c r="E555" s="32" t="s">
        <v>766</v>
      </c>
      <c r="F555" s="32" t="s">
        <v>767</v>
      </c>
      <c r="G555" s="32" t="s">
        <v>768</v>
      </c>
      <c r="H555" s="31" t="n">
        <v>45723</v>
      </c>
      <c r="I555" s="32" t="s">
        <v>829</v>
      </c>
      <c r="J555" s="32" t="s">
        <v>751</v>
      </c>
      <c r="K555" s="0" t="n">
        <v>51</v>
      </c>
      <c r="L555" s="32" t="s">
        <v>752</v>
      </c>
      <c r="M555" s="0" t="n">
        <v>7.3</v>
      </c>
      <c r="N555" s="32" t="s">
        <v>753</v>
      </c>
      <c r="O555" s="32" t="s">
        <v>867</v>
      </c>
      <c r="P555" s="32" t="n">
        <f aca="false">IF(AND(ISNUMBER(K555),K555&gt;=0),K555,IF(ISNUMBER(M555),ROUND(M555*7,0),""))</f>
        <v>51</v>
      </c>
      <c r="Q555" s="0" t="str">
        <f aca="false">IF(ISTEXT(K555),"TEXT - recovered",IF(K555&lt;0,"NEGATIVE",IF(K555&gt;728,"&gt;104 WEEKS","OK")))</f>
        <v>OK</v>
      </c>
      <c r="R555" s="0" t="str">
        <f aca="false">IF(E555="GEN","GM",E555)</f>
        <v>OR</v>
      </c>
    </row>
    <row r="556" customFormat="false" ht="15" hidden="false" customHeight="false" outlineLevel="0" collapsed="false">
      <c r="A556" s="0" t="s">
        <v>2022</v>
      </c>
      <c r="B556" s="0" t="s">
        <v>2023</v>
      </c>
      <c r="C556" s="0" t="s">
        <v>918</v>
      </c>
      <c r="D556" s="31" t="n">
        <v>32934</v>
      </c>
      <c r="E556" s="32" t="s">
        <v>785</v>
      </c>
      <c r="F556" s="32" t="s">
        <v>786</v>
      </c>
      <c r="G556" s="32" t="s">
        <v>787</v>
      </c>
      <c r="H556" s="31" t="n">
        <v>45719</v>
      </c>
      <c r="I556" s="32" t="s">
        <v>829</v>
      </c>
      <c r="J556" s="32" t="s">
        <v>751</v>
      </c>
      <c r="K556" s="0" t="n">
        <v>74</v>
      </c>
      <c r="L556" s="32" t="s">
        <v>752</v>
      </c>
      <c r="M556" s="0" t="n">
        <v>10.6</v>
      </c>
      <c r="N556" s="32" t="s">
        <v>753</v>
      </c>
      <c r="O556" s="32" t="s">
        <v>806</v>
      </c>
      <c r="P556" s="32" t="n">
        <f aca="false">IF(AND(ISNUMBER(K556),K556&gt;=0),K556,IF(ISNUMBER(M556),ROUND(M556*7,0),""))</f>
        <v>74</v>
      </c>
      <c r="Q556" s="0" t="str">
        <f aca="false">IF(ISTEXT(K556),"TEXT - recovered",IF(K556&lt;0,"NEGATIVE",IF(K556&gt;728,"&gt;104 WEEKS","OK")))</f>
        <v>OK</v>
      </c>
      <c r="R556" s="0" t="str">
        <f aca="false">IF(E556="GEN","GM",E556)</f>
        <v>RS</v>
      </c>
    </row>
    <row r="557" customFormat="false" ht="15" hidden="false" customHeight="false" outlineLevel="0" collapsed="false">
      <c r="A557" s="0" t="s">
        <v>2024</v>
      </c>
      <c r="B557" s="0" t="s">
        <v>2025</v>
      </c>
      <c r="C557" s="0" t="s">
        <v>1033</v>
      </c>
      <c r="D557" s="31" t="n">
        <v>28036</v>
      </c>
      <c r="E557" s="32" t="s">
        <v>793</v>
      </c>
      <c r="F557" s="32" t="s">
        <v>794</v>
      </c>
      <c r="G557" s="32" t="s">
        <v>795</v>
      </c>
      <c r="H557" s="31" t="n">
        <v>45735</v>
      </c>
      <c r="I557" s="32" t="s">
        <v>821</v>
      </c>
      <c r="J557" s="32" t="s">
        <v>751</v>
      </c>
      <c r="K557" s="0" t="n">
        <v>75</v>
      </c>
      <c r="L557" s="32" t="s">
        <v>752</v>
      </c>
      <c r="M557" s="0" t="n">
        <v>10.7</v>
      </c>
      <c r="N557" s="32" t="s">
        <v>780</v>
      </c>
      <c r="O557" s="32" t="s">
        <v>772</v>
      </c>
      <c r="P557" s="32" t="n">
        <f aca="false">IF(AND(ISNUMBER(K557),K557&gt;=0),K557,IF(ISNUMBER(M557),ROUND(M557*7,0),""))</f>
        <v>75</v>
      </c>
      <c r="Q557" s="0" t="str">
        <f aca="false">IF(ISTEXT(K557),"TEXT - recovered",IF(K557&lt;0,"NEGATIVE",IF(K557&gt;728,"&gt;104 WEEKS","OK")))</f>
        <v>OK</v>
      </c>
      <c r="R557" s="0" t="str">
        <f aca="false">IF(E557="GEN","GM",E557)</f>
        <v>EM</v>
      </c>
    </row>
    <row r="558" customFormat="false" ht="15" hidden="false" customHeight="false" outlineLevel="0" collapsed="false">
      <c r="A558" s="0" t="s">
        <v>2026</v>
      </c>
      <c r="B558" s="0" t="s">
        <v>2027</v>
      </c>
      <c r="C558" s="0" t="s">
        <v>962</v>
      </c>
      <c r="D558" s="31" t="n">
        <v>26557</v>
      </c>
      <c r="E558" s="32" t="s">
        <v>793</v>
      </c>
      <c r="F558" s="32" t="s">
        <v>794</v>
      </c>
      <c r="G558" s="32" t="s">
        <v>795</v>
      </c>
      <c r="H558" s="31" t="n">
        <v>45723</v>
      </c>
      <c r="I558" s="32" t="s">
        <v>750</v>
      </c>
      <c r="J558" s="32" t="s">
        <v>751</v>
      </c>
      <c r="K558" s="0" t="n">
        <v>92</v>
      </c>
      <c r="L558" s="32" t="s">
        <v>752</v>
      </c>
      <c r="M558" s="0" t="n">
        <v>13.1</v>
      </c>
      <c r="N558" s="32" t="s">
        <v>753</v>
      </c>
      <c r="O558" s="32" t="s">
        <v>838</v>
      </c>
      <c r="P558" s="32" t="n">
        <f aca="false">IF(AND(ISNUMBER(K558),K558&gt;=0),K558,IF(ISNUMBER(M558),ROUND(M558*7,0),""))</f>
        <v>92</v>
      </c>
      <c r="Q558" s="0" t="str">
        <f aca="false">IF(ISTEXT(K558),"TEXT - recovered",IF(K558&lt;0,"NEGATIVE",IF(K558&gt;728,"&gt;104 WEEKS","OK")))</f>
        <v>OK</v>
      </c>
      <c r="R558" s="0" t="str">
        <f aca="false">IF(E558="GEN","GM",E558)</f>
        <v>EM</v>
      </c>
    </row>
    <row r="559" customFormat="false" ht="15" hidden="false" customHeight="false" outlineLevel="0" collapsed="false">
      <c r="A559" s="0" t="s">
        <v>2028</v>
      </c>
      <c r="B559" s="0" t="s">
        <v>2029</v>
      </c>
      <c r="C559" s="0" t="s">
        <v>922</v>
      </c>
      <c r="D559" s="31" t="n">
        <v>35559</v>
      </c>
      <c r="E559" s="32" t="s">
        <v>747</v>
      </c>
      <c r="F559" s="32" t="s">
        <v>748</v>
      </c>
      <c r="G559" s="32" t="s">
        <v>749</v>
      </c>
      <c r="H559" s="31" t="n">
        <v>45728</v>
      </c>
      <c r="I559" s="32" t="s">
        <v>761</v>
      </c>
      <c r="J559" s="32" t="s">
        <v>751</v>
      </c>
      <c r="K559" s="0" t="n">
        <v>68</v>
      </c>
      <c r="L559" s="32" t="s">
        <v>752</v>
      </c>
      <c r="M559" s="0" t="n">
        <v>9.7</v>
      </c>
      <c r="N559" s="32" t="s">
        <v>753</v>
      </c>
      <c r="O559" s="32" t="s">
        <v>871</v>
      </c>
      <c r="P559" s="32" t="n">
        <f aca="false">IF(AND(ISNUMBER(K559),K559&gt;=0),K559,IF(ISNUMBER(M559),ROUND(M559*7,0),""))</f>
        <v>68</v>
      </c>
      <c r="Q559" s="0" t="str">
        <f aca="false">IF(ISTEXT(K559),"TEXT - recovered",IF(K559&lt;0,"NEGATIVE",IF(K559&gt;728,"&gt;104 WEEKS","OK")))</f>
        <v>OK</v>
      </c>
      <c r="R559" s="0" t="str">
        <f aca="false">IF(E559="GEN","GM",E559)</f>
        <v>GM</v>
      </c>
    </row>
    <row r="560" customFormat="false" ht="15" hidden="false" customHeight="false" outlineLevel="0" collapsed="false">
      <c r="A560" s="0" t="s">
        <v>2030</v>
      </c>
      <c r="B560" s="0" t="s">
        <v>2031</v>
      </c>
      <c r="C560" s="0" t="s">
        <v>1390</v>
      </c>
      <c r="D560" s="31" t="n">
        <v>24087</v>
      </c>
      <c r="E560" s="32" t="s">
        <v>793</v>
      </c>
      <c r="F560" s="32" t="s">
        <v>794</v>
      </c>
      <c r="G560" s="32" t="s">
        <v>795</v>
      </c>
      <c r="H560" s="31" t="n">
        <v>45734</v>
      </c>
      <c r="I560" s="32" t="s">
        <v>788</v>
      </c>
      <c r="J560" s="32" t="s">
        <v>751</v>
      </c>
      <c r="K560" s="0" t="n">
        <v>100</v>
      </c>
      <c r="L560" s="32" t="s">
        <v>752</v>
      </c>
      <c r="M560" s="0" t="n">
        <v>14.3</v>
      </c>
      <c r="N560" s="32" t="s">
        <v>753</v>
      </c>
      <c r="O560" s="32" t="s">
        <v>1683</v>
      </c>
      <c r="P560" s="32" t="n">
        <f aca="false">IF(AND(ISNUMBER(K560),K560&gt;=0),K560,IF(ISNUMBER(M560),ROUND(M560*7,0),""))</f>
        <v>100</v>
      </c>
      <c r="Q560" s="0" t="str">
        <f aca="false">IF(ISTEXT(K560),"TEXT - recovered",IF(K560&lt;0,"NEGATIVE",IF(K560&gt;728,"&gt;104 WEEKS","OK")))</f>
        <v>OK</v>
      </c>
      <c r="R560" s="0" t="str">
        <f aca="false">IF(E560="GEN","GM",E560)</f>
        <v>EM</v>
      </c>
    </row>
    <row r="561" customFormat="false" ht="15" hidden="false" customHeight="false" outlineLevel="0" collapsed="false">
      <c r="A561" s="0" t="s">
        <v>2032</v>
      </c>
      <c r="B561" s="0" t="s">
        <v>2033</v>
      </c>
      <c r="C561" s="0" t="s">
        <v>1033</v>
      </c>
      <c r="D561" s="31" t="n">
        <v>32565</v>
      </c>
      <c r="E561" s="32" t="s">
        <v>826</v>
      </c>
      <c r="F561" s="32" t="s">
        <v>827</v>
      </c>
      <c r="G561" s="32" t="s">
        <v>828</v>
      </c>
      <c r="H561" s="31" t="n">
        <v>45723</v>
      </c>
      <c r="I561" s="32" t="s">
        <v>769</v>
      </c>
      <c r="J561" s="32" t="s">
        <v>751</v>
      </c>
      <c r="K561" s="0" t="n">
        <v>79</v>
      </c>
      <c r="L561" s="32" t="s">
        <v>752</v>
      </c>
      <c r="M561" s="0" t="n">
        <v>11.3</v>
      </c>
      <c r="N561" s="32" t="s">
        <v>753</v>
      </c>
      <c r="O561" s="32" t="s">
        <v>850</v>
      </c>
      <c r="P561" s="32" t="n">
        <f aca="false">IF(AND(ISNUMBER(K561),K561&gt;=0),K561,IF(ISNUMBER(M561),ROUND(M561*7,0),""))</f>
        <v>79</v>
      </c>
      <c r="Q561" s="0" t="str">
        <f aca="false">IF(ISTEXT(K561),"TEXT - recovered",IF(K561&lt;0,"NEGATIVE",IF(K561&gt;728,"&gt;104 WEEKS","OK")))</f>
        <v>OK</v>
      </c>
      <c r="R561" s="0" t="str">
        <f aca="false">IF(E561="GEN","GM",E561)</f>
        <v>RHE</v>
      </c>
    </row>
    <row r="562" customFormat="false" ht="15" hidden="false" customHeight="false" outlineLevel="0" collapsed="false">
      <c r="A562" s="0" t="s">
        <v>2034</v>
      </c>
      <c r="B562" s="0" t="s">
        <v>2035</v>
      </c>
      <c r="C562" s="0" t="s">
        <v>1017</v>
      </c>
      <c r="D562" s="31" t="n">
        <v>32525</v>
      </c>
      <c r="E562" s="32" t="s">
        <v>776</v>
      </c>
      <c r="F562" s="32" t="s">
        <v>777</v>
      </c>
      <c r="G562" s="32" t="s">
        <v>778</v>
      </c>
      <c r="H562" s="31" t="n">
        <v>45729</v>
      </c>
      <c r="I562" s="32" t="s">
        <v>805</v>
      </c>
      <c r="J562" s="32" t="s">
        <v>770</v>
      </c>
      <c r="K562" s="0" t="n">
        <v>156</v>
      </c>
      <c r="L562" s="32" t="s">
        <v>771</v>
      </c>
      <c r="M562" s="0" t="n">
        <v>22.3</v>
      </c>
      <c r="N562" s="32" t="s">
        <v>330</v>
      </c>
      <c r="O562" s="32" t="s">
        <v>814</v>
      </c>
      <c r="P562" s="32" t="n">
        <f aca="false">IF(AND(ISNUMBER(K562),K562&gt;=0),K562,IF(ISNUMBER(M562),ROUND(M562*7,0),""))</f>
        <v>156</v>
      </c>
      <c r="Q562" s="0" t="str">
        <f aca="false">IF(ISTEXT(K562),"TEXT - recovered",IF(K562&lt;0,"NEGATIVE",IF(K562&gt;728,"&gt;104 WEEKS","OK")))</f>
        <v>OK</v>
      </c>
      <c r="R562" s="0" t="str">
        <f aca="false">IF(E562="GEN","GM",E562)</f>
        <v>GS</v>
      </c>
    </row>
    <row r="563" customFormat="false" ht="15" hidden="false" customHeight="false" outlineLevel="0" collapsed="false">
      <c r="A563" s="0" t="s">
        <v>2036</v>
      </c>
      <c r="B563" s="0" t="s">
        <v>2037</v>
      </c>
      <c r="C563" s="0" t="s">
        <v>1013</v>
      </c>
      <c r="D563" s="31" t="n">
        <v>34297</v>
      </c>
      <c r="E563" s="32" t="s">
        <v>758</v>
      </c>
      <c r="F563" s="32" t="s">
        <v>759</v>
      </c>
      <c r="G563" s="32" t="s">
        <v>760</v>
      </c>
      <c r="H563" s="31" t="n">
        <v>45723</v>
      </c>
      <c r="I563" s="32" t="s">
        <v>796</v>
      </c>
      <c r="J563" s="32" t="s">
        <v>751</v>
      </c>
      <c r="K563" s="0" t="n">
        <v>100</v>
      </c>
      <c r="L563" s="32" t="s">
        <v>752</v>
      </c>
      <c r="M563" s="0" t="n">
        <v>14.3</v>
      </c>
      <c r="N563" s="32" t="s">
        <v>753</v>
      </c>
      <c r="O563" s="32" t="s">
        <v>806</v>
      </c>
      <c r="P563" s="32" t="n">
        <f aca="false">IF(AND(ISNUMBER(K563),K563&gt;=0),K563,IF(ISNUMBER(M563),ROUND(M563*7,0),""))</f>
        <v>100</v>
      </c>
      <c r="Q563" s="0" t="str">
        <f aca="false">IF(ISTEXT(K563),"TEXT - recovered",IF(K563&lt;0,"NEGATIVE",IF(K563&gt;728,"&gt;104 WEEKS","OK")))</f>
        <v>OK</v>
      </c>
      <c r="R563" s="0" t="str">
        <f aca="false">IF(E563="GEN","GM",E563)</f>
        <v>CS</v>
      </c>
    </row>
    <row r="564" customFormat="false" ht="15" hidden="false" customHeight="false" outlineLevel="0" collapsed="false">
      <c r="A564" s="0" t="s">
        <v>2038</v>
      </c>
      <c r="B564" s="0" t="s">
        <v>2039</v>
      </c>
      <c r="C564" s="0" t="s">
        <v>962</v>
      </c>
      <c r="D564" s="31" t="n">
        <v>32197</v>
      </c>
      <c r="E564" s="32" t="s">
        <v>826</v>
      </c>
      <c r="F564" s="32" t="s">
        <v>827</v>
      </c>
      <c r="G564" s="32" t="s">
        <v>828</v>
      </c>
      <c r="H564" s="31" t="n">
        <v>45727</v>
      </c>
      <c r="I564" s="32" t="s">
        <v>788</v>
      </c>
      <c r="J564" s="32" t="s">
        <v>770</v>
      </c>
      <c r="K564" s="0" t="n">
        <v>355</v>
      </c>
      <c r="L564" s="32" t="s">
        <v>771</v>
      </c>
      <c r="M564" s="0" t="n">
        <v>50.7</v>
      </c>
      <c r="N564" s="32" t="s">
        <v>330</v>
      </c>
      <c r="O564" s="32" t="s">
        <v>842</v>
      </c>
      <c r="P564" s="32" t="n">
        <f aca="false">IF(AND(ISNUMBER(K564),K564&gt;=0),K564,IF(ISNUMBER(M564),ROUND(M564*7,0),""))</f>
        <v>355</v>
      </c>
      <c r="Q564" s="0" t="str">
        <f aca="false">IF(ISTEXT(K564),"TEXT - recovered",IF(K564&lt;0,"NEGATIVE",IF(K564&gt;728,"&gt;104 WEEKS","OK")))</f>
        <v>OK</v>
      </c>
      <c r="R564" s="0" t="str">
        <f aca="false">IF(E564="GEN","GM",E564)</f>
        <v>RHE</v>
      </c>
    </row>
    <row r="565" customFormat="false" ht="15" hidden="false" customHeight="false" outlineLevel="0" collapsed="false">
      <c r="A565" s="0" t="s">
        <v>2040</v>
      </c>
      <c r="B565" s="0" t="s">
        <v>2041</v>
      </c>
      <c r="C565" s="0" t="s">
        <v>926</v>
      </c>
      <c r="D565" s="31" t="n">
        <v>23450</v>
      </c>
      <c r="E565" s="32" t="s">
        <v>810</v>
      </c>
      <c r="F565" s="32" t="s">
        <v>811</v>
      </c>
      <c r="G565" s="32" t="s">
        <v>812</v>
      </c>
      <c r="H565" s="31" t="n">
        <v>45730</v>
      </c>
      <c r="I565" s="32" t="s">
        <v>788</v>
      </c>
      <c r="J565" s="32" t="s">
        <v>751</v>
      </c>
      <c r="K565" s="0" t="n">
        <v>114</v>
      </c>
      <c r="L565" s="32" t="s">
        <v>752</v>
      </c>
      <c r="M565" s="0" t="n">
        <v>16.3</v>
      </c>
      <c r="N565" s="32" t="s">
        <v>780</v>
      </c>
      <c r="O565" s="32" t="s">
        <v>830</v>
      </c>
      <c r="P565" s="32" t="n">
        <f aca="false">IF(AND(ISNUMBER(K565),K565&gt;=0),K565,IF(ISNUMBER(M565),ROUND(M565*7,0),""))</f>
        <v>114</v>
      </c>
      <c r="Q565" s="0" t="str">
        <f aca="false">IF(ISTEXT(K565),"TEXT - recovered",IF(K565&lt;0,"NEGATIVE",IF(K565&gt;728,"&gt;104 WEEKS","OK")))</f>
        <v>OK</v>
      </c>
      <c r="R565" s="0" t="str">
        <f aca="false">IF(E565="GEN","GM",E565)</f>
        <v>URO</v>
      </c>
    </row>
    <row r="566" customFormat="false" ht="15" hidden="false" customHeight="false" outlineLevel="0" collapsed="false">
      <c r="A566" s="0" t="s">
        <v>2042</v>
      </c>
      <c r="B566" s="0" t="s">
        <v>2043</v>
      </c>
      <c r="C566" s="0" t="s">
        <v>930</v>
      </c>
      <c r="D566" s="31" t="n">
        <v>21831</v>
      </c>
      <c r="E566" s="32" t="s">
        <v>802</v>
      </c>
      <c r="F566" s="32" t="s">
        <v>803</v>
      </c>
      <c r="G566" s="32" t="s">
        <v>804</v>
      </c>
      <c r="H566" s="31" t="n">
        <v>45715</v>
      </c>
      <c r="I566" s="32" t="s">
        <v>829</v>
      </c>
      <c r="J566" s="32" t="s">
        <v>751</v>
      </c>
      <c r="K566" s="0" t="n">
        <v>33</v>
      </c>
      <c r="L566" s="32" t="s">
        <v>752</v>
      </c>
      <c r="M566" s="0" t="n">
        <v>4.7</v>
      </c>
      <c r="N566" s="32" t="s">
        <v>753</v>
      </c>
      <c r="O566" s="32" t="s">
        <v>871</v>
      </c>
      <c r="P566" s="32" t="n">
        <f aca="false">IF(AND(ISNUMBER(K566),K566&gt;=0),K566,IF(ISNUMBER(M566),ROUND(M566*7,0),""))</f>
        <v>33</v>
      </c>
      <c r="Q566" s="0" t="str">
        <f aca="false">IF(ISTEXT(K566),"TEXT - recovered",IF(K566&lt;0,"NEGATIVE",IF(K566&gt;728,"&gt;104 WEEKS","OK")))</f>
        <v>OK</v>
      </c>
      <c r="R566" s="0" t="str">
        <f aca="false">IF(E566="GEN","GM",E566)</f>
        <v>GYN</v>
      </c>
    </row>
    <row r="567" customFormat="false" ht="15" hidden="false" customHeight="false" outlineLevel="0" collapsed="false">
      <c r="A567" s="0" t="s">
        <v>2044</v>
      </c>
      <c r="B567" s="0" t="s">
        <v>2045</v>
      </c>
      <c r="C567" s="0" t="s">
        <v>1025</v>
      </c>
      <c r="D567" s="31" t="n">
        <v>32528</v>
      </c>
      <c r="E567" s="32" t="s">
        <v>802</v>
      </c>
      <c r="F567" s="32" t="s">
        <v>803</v>
      </c>
      <c r="G567" s="32" t="s">
        <v>804</v>
      </c>
      <c r="H567" s="31" t="n">
        <v>45728</v>
      </c>
      <c r="I567" s="32" t="s">
        <v>805</v>
      </c>
      <c r="J567" s="32" t="s">
        <v>751</v>
      </c>
      <c r="K567" s="0" t="n">
        <v>65</v>
      </c>
      <c r="L567" s="32" t="s">
        <v>752</v>
      </c>
      <c r="M567" s="0" t="n">
        <v>9.3</v>
      </c>
      <c r="N567" s="32" t="s">
        <v>753</v>
      </c>
      <c r="O567" s="32" t="s">
        <v>806</v>
      </c>
      <c r="P567" s="32" t="n">
        <f aca="false">IF(AND(ISNUMBER(K567),K567&gt;=0),K567,IF(ISNUMBER(M567),ROUND(M567*7,0),""))</f>
        <v>65</v>
      </c>
      <c r="Q567" s="0" t="str">
        <f aca="false">IF(ISTEXT(K567),"TEXT - recovered",IF(K567&lt;0,"NEGATIVE",IF(K567&gt;728,"&gt;104 WEEKS","OK")))</f>
        <v>OK</v>
      </c>
      <c r="R567" s="0" t="str">
        <f aca="false">IF(E567="GEN","GM",E567)</f>
        <v>GYN</v>
      </c>
    </row>
    <row r="568" customFormat="false" ht="15" hidden="false" customHeight="false" outlineLevel="0" collapsed="false">
      <c r="A568" s="0" t="s">
        <v>2046</v>
      </c>
      <c r="B568" s="0" t="s">
        <v>2047</v>
      </c>
      <c r="C568" s="0" t="s">
        <v>981</v>
      </c>
      <c r="D568" s="31" t="n">
        <v>22753</v>
      </c>
      <c r="E568" s="32" t="s">
        <v>776</v>
      </c>
      <c r="F568" s="32" t="s">
        <v>777</v>
      </c>
      <c r="G568" s="32" t="s">
        <v>778</v>
      </c>
      <c r="H568" s="31" t="n">
        <v>45719</v>
      </c>
      <c r="I568" s="32" t="s">
        <v>779</v>
      </c>
      <c r="J568" s="32" t="s">
        <v>770</v>
      </c>
      <c r="K568" s="0" t="n">
        <v>184</v>
      </c>
      <c r="L568" s="32" t="s">
        <v>771</v>
      </c>
      <c r="M568" s="0" t="n">
        <v>26.3</v>
      </c>
      <c r="N568" s="32" t="s">
        <v>753</v>
      </c>
      <c r="O568" s="32" t="s">
        <v>850</v>
      </c>
      <c r="P568" s="32" t="n">
        <f aca="false">IF(AND(ISNUMBER(K568),K568&gt;=0),K568,IF(ISNUMBER(M568),ROUND(M568*7,0),""))</f>
        <v>184</v>
      </c>
      <c r="Q568" s="0" t="str">
        <f aca="false">IF(ISTEXT(K568),"TEXT - recovered",IF(K568&lt;0,"NEGATIVE",IF(K568&gt;728,"&gt;104 WEEKS","OK")))</f>
        <v>OK</v>
      </c>
      <c r="R568" s="0" t="str">
        <f aca="false">IF(E568="GEN","GM",E568)</f>
        <v>GS</v>
      </c>
    </row>
    <row r="569" customFormat="false" ht="15" hidden="false" customHeight="false" outlineLevel="0" collapsed="false">
      <c r="A569" s="0" t="s">
        <v>2048</v>
      </c>
      <c r="B569" s="0" t="s">
        <v>2049</v>
      </c>
      <c r="C569" s="0" t="s">
        <v>946</v>
      </c>
      <c r="D569" s="31" t="n">
        <v>35241</v>
      </c>
      <c r="E569" s="32" t="s">
        <v>818</v>
      </c>
      <c r="F569" s="32" t="s">
        <v>819</v>
      </c>
      <c r="G569" s="32" t="s">
        <v>820</v>
      </c>
      <c r="H569" s="31" t="n">
        <v>45736</v>
      </c>
      <c r="I569" s="32" t="s">
        <v>769</v>
      </c>
      <c r="J569" s="32" t="s">
        <v>751</v>
      </c>
      <c r="K569" s="0" t="n">
        <v>74</v>
      </c>
      <c r="L569" s="32" t="s">
        <v>752</v>
      </c>
      <c r="M569" s="0" t="n">
        <v>10.6</v>
      </c>
      <c r="N569" s="32" t="s">
        <v>753</v>
      </c>
      <c r="O569" s="32" t="s">
        <v>806</v>
      </c>
      <c r="P569" s="32" t="n">
        <f aca="false">IF(AND(ISNUMBER(K569),K569&gt;=0),K569,IF(ISNUMBER(M569),ROUND(M569*7,0),""))</f>
        <v>74</v>
      </c>
      <c r="Q569" s="0" t="str">
        <f aca="false">IF(ISTEXT(K569),"TEXT - recovered",IF(K569&lt;0,"NEGATIVE",IF(K569&gt;728,"&gt;104 WEEKS","OK")))</f>
        <v>OK</v>
      </c>
      <c r="R569" s="0" t="str">
        <f aca="false">IF(E569="GEN","GM",E569)</f>
        <v>OPH</v>
      </c>
    </row>
    <row r="570" customFormat="false" ht="15" hidden="false" customHeight="false" outlineLevel="0" collapsed="false">
      <c r="A570" s="0" t="s">
        <v>2050</v>
      </c>
      <c r="B570" s="0" t="s">
        <v>2051</v>
      </c>
      <c r="C570" s="0" t="s">
        <v>825</v>
      </c>
      <c r="D570" s="31" t="n">
        <v>31269</v>
      </c>
      <c r="E570" s="32" t="s">
        <v>818</v>
      </c>
      <c r="F570" s="32" t="s">
        <v>819</v>
      </c>
      <c r="G570" s="32" t="s">
        <v>820</v>
      </c>
      <c r="H570" s="31" t="n">
        <v>45730</v>
      </c>
      <c r="I570" s="32" t="s">
        <v>769</v>
      </c>
      <c r="J570" s="32" t="s">
        <v>751</v>
      </c>
      <c r="K570" s="0" t="n">
        <v>102</v>
      </c>
      <c r="L570" s="32" t="s">
        <v>752</v>
      </c>
      <c r="M570" s="0" t="n">
        <v>14.6</v>
      </c>
      <c r="N570" s="32" t="s">
        <v>330</v>
      </c>
      <c r="O570" s="32" t="s">
        <v>798</v>
      </c>
      <c r="P570" s="32" t="n">
        <f aca="false">IF(AND(ISNUMBER(K570),K570&gt;=0),K570,IF(ISNUMBER(M570),ROUND(M570*7,0),""))</f>
        <v>102</v>
      </c>
      <c r="Q570" s="0" t="str">
        <f aca="false">IF(ISTEXT(K570),"TEXT - recovered",IF(K570&lt;0,"NEGATIVE",IF(K570&gt;728,"&gt;104 WEEKS","OK")))</f>
        <v>OK</v>
      </c>
      <c r="R570" s="0" t="str">
        <f aca="false">IF(E570="GEN","GM",E570)</f>
        <v>OPH</v>
      </c>
    </row>
    <row r="571" customFormat="false" ht="15" hidden="false" customHeight="false" outlineLevel="0" collapsed="false">
      <c r="A571" s="0" t="s">
        <v>2052</v>
      </c>
      <c r="B571" s="0" t="s">
        <v>2053</v>
      </c>
      <c r="C571" s="0" t="s">
        <v>938</v>
      </c>
      <c r="D571" s="31" t="n">
        <v>18009</v>
      </c>
      <c r="E571" s="32" t="s">
        <v>793</v>
      </c>
      <c r="F571" s="32" t="s">
        <v>794</v>
      </c>
      <c r="G571" s="32" t="s">
        <v>795</v>
      </c>
      <c r="H571" s="31" t="n">
        <v>45713</v>
      </c>
      <c r="I571" s="32" t="s">
        <v>769</v>
      </c>
      <c r="J571" s="32" t="s">
        <v>751</v>
      </c>
      <c r="K571" s="0" t="n">
        <v>15</v>
      </c>
      <c r="L571" s="32" t="s">
        <v>752</v>
      </c>
      <c r="M571" s="0" t="n">
        <v>2.1</v>
      </c>
      <c r="N571" s="32" t="s">
        <v>753</v>
      </c>
      <c r="O571" s="32" t="s">
        <v>754</v>
      </c>
      <c r="P571" s="32" t="n">
        <f aca="false">IF(AND(ISNUMBER(K571),K571&gt;=0),K571,IF(ISNUMBER(M571),ROUND(M571*7,0),""))</f>
        <v>15</v>
      </c>
      <c r="Q571" s="0" t="str">
        <f aca="false">IF(ISTEXT(K571),"TEXT - recovered",IF(K571&lt;0,"NEGATIVE",IF(K571&gt;728,"&gt;104 WEEKS","OK")))</f>
        <v>OK</v>
      </c>
      <c r="R571" s="0" t="str">
        <f aca="false">IF(E571="GEN","GM",E571)</f>
        <v>EM</v>
      </c>
    </row>
    <row r="572" customFormat="false" ht="15" hidden="false" customHeight="false" outlineLevel="0" collapsed="false">
      <c r="A572" s="0" t="s">
        <v>2054</v>
      </c>
      <c r="B572" s="0" t="s">
        <v>2055</v>
      </c>
      <c r="C572" s="0" t="s">
        <v>977</v>
      </c>
      <c r="D572" s="31" t="n">
        <v>31313</v>
      </c>
      <c r="E572" s="32" t="s">
        <v>793</v>
      </c>
      <c r="F572" s="32" t="s">
        <v>794</v>
      </c>
      <c r="G572" s="32" t="s">
        <v>795</v>
      </c>
      <c r="H572" s="31" t="n">
        <v>45722</v>
      </c>
      <c r="I572" s="32" t="s">
        <v>761</v>
      </c>
      <c r="J572" s="32" t="s">
        <v>751</v>
      </c>
      <c r="K572" s="0" t="n">
        <v>58</v>
      </c>
      <c r="L572" s="32" t="s">
        <v>752</v>
      </c>
      <c r="M572" s="0" t="n">
        <v>8.3</v>
      </c>
      <c r="N572" s="32" t="s">
        <v>780</v>
      </c>
      <c r="O572" s="32" t="s">
        <v>772</v>
      </c>
      <c r="P572" s="32" t="n">
        <f aca="false">IF(AND(ISNUMBER(K572),K572&gt;=0),K572,IF(ISNUMBER(M572),ROUND(M572*7,0),""))</f>
        <v>58</v>
      </c>
      <c r="Q572" s="0" t="str">
        <f aca="false">IF(ISTEXT(K572),"TEXT - recovered",IF(K572&lt;0,"NEGATIVE",IF(K572&gt;728,"&gt;104 WEEKS","OK")))</f>
        <v>OK</v>
      </c>
      <c r="R572" s="0" t="str">
        <f aca="false">IF(E572="GEN","GM",E572)</f>
        <v>EM</v>
      </c>
    </row>
    <row r="573" customFormat="false" ht="15" hidden="false" customHeight="false" outlineLevel="0" collapsed="false">
      <c r="A573" s="0" t="s">
        <v>2056</v>
      </c>
      <c r="B573" s="0" t="s">
        <v>2057</v>
      </c>
      <c r="C573" s="0" t="s">
        <v>966</v>
      </c>
      <c r="D573" s="31" t="n">
        <v>36560</v>
      </c>
      <c r="E573" s="32" t="s">
        <v>785</v>
      </c>
      <c r="F573" s="32" t="s">
        <v>786</v>
      </c>
      <c r="G573" s="32" t="s">
        <v>787</v>
      </c>
      <c r="H573" s="31" t="n">
        <v>45719</v>
      </c>
      <c r="I573" s="32" t="s">
        <v>805</v>
      </c>
      <c r="J573" s="32" t="s">
        <v>751</v>
      </c>
      <c r="K573" s="0" t="n">
        <v>33</v>
      </c>
      <c r="L573" s="32" t="s">
        <v>752</v>
      </c>
      <c r="M573" s="0" t="n">
        <v>4.7</v>
      </c>
      <c r="N573" s="32" t="s">
        <v>753</v>
      </c>
      <c r="O573" s="32" t="s">
        <v>822</v>
      </c>
      <c r="P573" s="32" t="n">
        <f aca="false">IF(AND(ISNUMBER(K573),K573&gt;=0),K573,IF(ISNUMBER(M573),ROUND(M573*7,0),""))</f>
        <v>33</v>
      </c>
      <c r="Q573" s="0" t="str">
        <f aca="false">IF(ISTEXT(K573),"TEXT - recovered",IF(K573&lt;0,"NEGATIVE",IF(K573&gt;728,"&gt;104 WEEKS","OK")))</f>
        <v>OK</v>
      </c>
      <c r="R573" s="0" t="str">
        <f aca="false">IF(E573="GEN","GM",E573)</f>
        <v>RS</v>
      </c>
    </row>
    <row r="574" customFormat="false" ht="15" hidden="false" customHeight="false" outlineLevel="0" collapsed="false">
      <c r="A574" s="0" t="s">
        <v>2058</v>
      </c>
      <c r="B574" s="0" t="s">
        <v>2059</v>
      </c>
      <c r="C574" s="0" t="s">
        <v>866</v>
      </c>
      <c r="D574" s="31" t="n">
        <v>36200</v>
      </c>
      <c r="E574" s="32" t="s">
        <v>785</v>
      </c>
      <c r="F574" s="32" t="s">
        <v>786</v>
      </c>
      <c r="G574" s="32" t="s">
        <v>787</v>
      </c>
      <c r="H574" s="31" t="n">
        <v>45712</v>
      </c>
      <c r="I574" s="32" t="s">
        <v>779</v>
      </c>
      <c r="J574" s="32" t="s">
        <v>751</v>
      </c>
      <c r="K574" s="0" t="n">
        <v>26</v>
      </c>
      <c r="L574" s="32" t="s">
        <v>752</v>
      </c>
      <c r="M574" s="0" t="n">
        <v>3.7</v>
      </c>
      <c r="N574" s="32" t="s">
        <v>753</v>
      </c>
      <c r="O574" s="32" t="s">
        <v>830</v>
      </c>
      <c r="P574" s="32" t="n">
        <f aca="false">IF(AND(ISNUMBER(K574),K574&gt;=0),K574,IF(ISNUMBER(M574),ROUND(M574*7,0),""))</f>
        <v>26</v>
      </c>
      <c r="Q574" s="0" t="str">
        <f aca="false">IF(ISTEXT(K574),"TEXT - recovered",IF(K574&lt;0,"NEGATIVE",IF(K574&gt;728,"&gt;104 WEEKS","OK")))</f>
        <v>OK</v>
      </c>
      <c r="R574" s="0" t="str">
        <f aca="false">IF(E574="GEN","GM",E574)</f>
        <v>RS</v>
      </c>
    </row>
    <row r="575" customFormat="false" ht="15" hidden="false" customHeight="false" outlineLevel="0" collapsed="false">
      <c r="A575" s="0" t="s">
        <v>2060</v>
      </c>
      <c r="B575" s="0" t="s">
        <v>2061</v>
      </c>
      <c r="C575" s="0" t="s">
        <v>792</v>
      </c>
      <c r="D575" s="31" t="n">
        <v>17598</v>
      </c>
      <c r="E575" s="32" t="s">
        <v>776</v>
      </c>
      <c r="F575" s="32" t="s">
        <v>777</v>
      </c>
      <c r="G575" s="32" t="s">
        <v>778</v>
      </c>
      <c r="H575" s="31" t="n">
        <v>45729</v>
      </c>
      <c r="I575" s="32" t="s">
        <v>829</v>
      </c>
      <c r="J575" s="32" t="s">
        <v>751</v>
      </c>
      <c r="K575" s="0" t="n">
        <v>85</v>
      </c>
      <c r="L575" s="32" t="s">
        <v>752</v>
      </c>
      <c r="M575" s="0" t="n">
        <v>12.1</v>
      </c>
      <c r="N575" s="32" t="s">
        <v>780</v>
      </c>
      <c r="O575" s="32" t="s">
        <v>789</v>
      </c>
      <c r="P575" s="32" t="n">
        <f aca="false">IF(AND(ISNUMBER(K575),K575&gt;=0),K575,IF(ISNUMBER(M575),ROUND(M575*7,0),""))</f>
        <v>85</v>
      </c>
      <c r="Q575" s="0" t="str">
        <f aca="false">IF(ISTEXT(K575),"TEXT - recovered",IF(K575&lt;0,"NEGATIVE",IF(K575&gt;728,"&gt;104 WEEKS","OK")))</f>
        <v>OK</v>
      </c>
      <c r="R575" s="0" t="str">
        <f aca="false">IF(E575="GEN","GM",E575)</f>
        <v>GS</v>
      </c>
    </row>
    <row r="576" customFormat="false" ht="15" hidden="false" customHeight="false" outlineLevel="0" collapsed="false">
      <c r="A576" s="0" t="s">
        <v>2062</v>
      </c>
      <c r="B576" s="0" t="s">
        <v>2063</v>
      </c>
      <c r="C576" s="0" t="s">
        <v>1398</v>
      </c>
      <c r="D576" s="31" t="n">
        <v>26417</v>
      </c>
      <c r="E576" s="32" t="s">
        <v>810</v>
      </c>
      <c r="F576" s="32" t="s">
        <v>811</v>
      </c>
      <c r="G576" s="32" t="s">
        <v>812</v>
      </c>
      <c r="H576" s="31" t="n">
        <v>45733</v>
      </c>
      <c r="I576" s="32" t="s">
        <v>761</v>
      </c>
      <c r="J576" s="32" t="s">
        <v>751</v>
      </c>
      <c r="K576" s="0" t="n">
        <v>60</v>
      </c>
      <c r="L576" s="32" t="s">
        <v>752</v>
      </c>
      <c r="M576" s="0" t="n">
        <v>8.6</v>
      </c>
      <c r="N576" s="32" t="s">
        <v>753</v>
      </c>
      <c r="O576" s="32" t="s">
        <v>789</v>
      </c>
      <c r="P576" s="32" t="n">
        <f aca="false">IF(AND(ISNUMBER(K576),K576&gt;=0),K576,IF(ISNUMBER(M576),ROUND(M576*7,0),""))</f>
        <v>60</v>
      </c>
      <c r="Q576" s="0" t="str">
        <f aca="false">IF(ISTEXT(K576),"TEXT - recovered",IF(K576&lt;0,"NEGATIVE",IF(K576&gt;728,"&gt;104 WEEKS","OK")))</f>
        <v>OK</v>
      </c>
      <c r="R576" s="0" t="str">
        <f aca="false">IF(E576="GEN","GM",E576)</f>
        <v>URO</v>
      </c>
    </row>
    <row r="577" customFormat="false" ht="15" hidden="false" customHeight="false" outlineLevel="0" collapsed="false">
      <c r="A577" s="0" t="s">
        <v>2064</v>
      </c>
      <c r="B577" s="0" t="s">
        <v>2065</v>
      </c>
      <c r="C577" s="0" t="s">
        <v>841</v>
      </c>
      <c r="D577" s="31" t="n">
        <v>22407</v>
      </c>
      <c r="E577" s="32" t="s">
        <v>802</v>
      </c>
      <c r="F577" s="32" t="s">
        <v>803</v>
      </c>
      <c r="G577" s="32" t="s">
        <v>804</v>
      </c>
      <c r="H577" s="31" t="n">
        <v>45735</v>
      </c>
      <c r="I577" s="32" t="s">
        <v>821</v>
      </c>
      <c r="J577" s="32" t="s">
        <v>770</v>
      </c>
      <c r="K577" s="0" t="n">
        <v>144</v>
      </c>
      <c r="L577" s="32" t="s">
        <v>771</v>
      </c>
      <c r="M577" s="0" t="n">
        <v>20.6</v>
      </c>
      <c r="N577" s="32" t="s">
        <v>753</v>
      </c>
      <c r="O577" s="32" t="s">
        <v>822</v>
      </c>
      <c r="P577" s="32" t="n">
        <f aca="false">IF(AND(ISNUMBER(K577),K577&gt;=0),K577,IF(ISNUMBER(M577),ROUND(M577*7,0),""))</f>
        <v>144</v>
      </c>
      <c r="Q577" s="0" t="str">
        <f aca="false">IF(ISTEXT(K577),"TEXT - recovered",IF(K577&lt;0,"NEGATIVE",IF(K577&gt;728,"&gt;104 WEEKS","OK")))</f>
        <v>OK</v>
      </c>
      <c r="R577" s="0" t="str">
        <f aca="false">IF(E577="GEN","GM",E577)</f>
        <v>GYN</v>
      </c>
    </row>
    <row r="578" customFormat="false" ht="15" hidden="false" customHeight="false" outlineLevel="0" collapsed="false">
      <c r="A578" s="0" t="s">
        <v>2066</v>
      </c>
      <c r="B578" s="0" t="s">
        <v>2067</v>
      </c>
      <c r="C578" s="0" t="s">
        <v>825</v>
      </c>
      <c r="D578" s="31" t="n">
        <v>33288</v>
      </c>
      <c r="E578" s="32" t="s">
        <v>793</v>
      </c>
      <c r="F578" s="32" t="s">
        <v>794</v>
      </c>
      <c r="G578" s="32" t="s">
        <v>795</v>
      </c>
      <c r="H578" s="31" t="n">
        <v>45736</v>
      </c>
      <c r="I578" s="32" t="s">
        <v>761</v>
      </c>
      <c r="J578" s="32" t="s">
        <v>751</v>
      </c>
      <c r="K578" s="0" t="n">
        <v>93</v>
      </c>
      <c r="L578" s="32" t="s">
        <v>752</v>
      </c>
      <c r="M578" s="0" t="n">
        <v>13.3</v>
      </c>
      <c r="N578" s="32" t="s">
        <v>753</v>
      </c>
      <c r="O578" s="32" t="s">
        <v>789</v>
      </c>
      <c r="P578" s="32" t="n">
        <f aca="false">IF(AND(ISNUMBER(K578),K578&gt;=0),K578,IF(ISNUMBER(M578),ROUND(M578*7,0),""))</f>
        <v>93</v>
      </c>
      <c r="Q578" s="0" t="str">
        <f aca="false">IF(ISTEXT(K578),"TEXT - recovered",IF(K578&lt;0,"NEGATIVE",IF(K578&gt;728,"&gt;104 WEEKS","OK")))</f>
        <v>OK</v>
      </c>
      <c r="R578" s="0" t="str">
        <f aca="false">IF(E578="GEN","GM",E578)</f>
        <v>EM</v>
      </c>
    </row>
    <row r="579" customFormat="false" ht="15" hidden="false" customHeight="false" outlineLevel="0" collapsed="false">
      <c r="A579" s="0" t="s">
        <v>2068</v>
      </c>
      <c r="B579" s="0" t="s">
        <v>2069</v>
      </c>
      <c r="C579" s="0" t="s">
        <v>989</v>
      </c>
      <c r="D579" s="31" t="n">
        <v>29823</v>
      </c>
      <c r="E579" s="32" t="s">
        <v>747</v>
      </c>
      <c r="F579" s="32" t="s">
        <v>748</v>
      </c>
      <c r="G579" s="32" t="s">
        <v>749</v>
      </c>
      <c r="H579" s="31" t="n">
        <v>45735</v>
      </c>
      <c r="I579" s="32" t="s">
        <v>796</v>
      </c>
      <c r="J579" s="32" t="s">
        <v>751</v>
      </c>
      <c r="K579" s="0" t="n">
        <v>74</v>
      </c>
      <c r="L579" s="32" t="s">
        <v>752</v>
      </c>
      <c r="M579" s="0" t="n">
        <v>10.6</v>
      </c>
      <c r="N579" s="32" t="s">
        <v>1630</v>
      </c>
      <c r="O579" s="32" t="s">
        <v>814</v>
      </c>
      <c r="P579" s="32" t="n">
        <f aca="false">IF(AND(ISNUMBER(K579),K579&gt;=0),K579,IF(ISNUMBER(M579),ROUND(M579*7,0),""))</f>
        <v>74</v>
      </c>
      <c r="Q579" s="0" t="str">
        <f aca="false">IF(ISTEXT(K579),"TEXT - recovered",IF(K579&lt;0,"NEGATIVE",IF(K579&gt;728,"&gt;104 WEEKS","OK")))</f>
        <v>OK</v>
      </c>
      <c r="R579" s="0" t="str">
        <f aca="false">IF(E579="GEN","GM",E579)</f>
        <v>GM</v>
      </c>
    </row>
    <row r="580" customFormat="false" ht="15" hidden="false" customHeight="false" outlineLevel="0" collapsed="false">
      <c r="A580" s="0" t="s">
        <v>2070</v>
      </c>
      <c r="B580" s="0" t="s">
        <v>2071</v>
      </c>
      <c r="C580" s="0" t="s">
        <v>914</v>
      </c>
      <c r="D580" s="31" t="n">
        <v>24051</v>
      </c>
      <c r="E580" s="32" t="s">
        <v>766</v>
      </c>
      <c r="F580" s="32" t="s">
        <v>767</v>
      </c>
      <c r="G580" s="32" t="s">
        <v>768</v>
      </c>
      <c r="H580" s="31" t="n">
        <v>45737</v>
      </c>
      <c r="I580" s="32" t="s">
        <v>769</v>
      </c>
      <c r="J580" s="32" t="s">
        <v>751</v>
      </c>
      <c r="K580" s="0" t="n">
        <v>90</v>
      </c>
      <c r="L580" s="32" t="s">
        <v>752</v>
      </c>
      <c r="M580" s="0" t="n">
        <v>12.9</v>
      </c>
      <c r="N580" s="32" t="s">
        <v>753</v>
      </c>
      <c r="O580" s="32" t="s">
        <v>850</v>
      </c>
      <c r="P580" s="32" t="n">
        <f aca="false">IF(AND(ISNUMBER(K580),K580&gt;=0),K580,IF(ISNUMBER(M580),ROUND(M580*7,0),""))</f>
        <v>90</v>
      </c>
      <c r="Q580" s="0" t="str">
        <f aca="false">IF(ISTEXT(K580),"TEXT - recovered",IF(K580&lt;0,"NEGATIVE",IF(K580&gt;728,"&gt;104 WEEKS","OK")))</f>
        <v>OK</v>
      </c>
      <c r="R580" s="0" t="str">
        <f aca="false">IF(E580="GEN","GM",E580)</f>
        <v>OR</v>
      </c>
    </row>
    <row r="581" customFormat="false" ht="15" hidden="false" customHeight="false" outlineLevel="0" collapsed="false">
      <c r="A581" s="0" t="s">
        <v>2072</v>
      </c>
      <c r="B581" s="0" t="s">
        <v>2073</v>
      </c>
      <c r="C581" s="0" t="s">
        <v>942</v>
      </c>
      <c r="D581" s="31" t="n">
        <v>35263</v>
      </c>
      <c r="E581" s="32" t="s">
        <v>785</v>
      </c>
      <c r="F581" s="32" t="s">
        <v>786</v>
      </c>
      <c r="G581" s="32" t="s">
        <v>787</v>
      </c>
      <c r="H581" s="31" t="n">
        <v>45713</v>
      </c>
      <c r="I581" s="32" t="s">
        <v>829</v>
      </c>
      <c r="J581" s="32" t="s">
        <v>751</v>
      </c>
      <c r="K581" s="0" t="n">
        <v>93</v>
      </c>
      <c r="L581" s="32" t="s">
        <v>752</v>
      </c>
      <c r="M581" s="0" t="n">
        <v>13.3</v>
      </c>
      <c r="N581" s="32" t="s">
        <v>753</v>
      </c>
      <c r="O581" s="32" t="s">
        <v>789</v>
      </c>
      <c r="P581" s="32" t="n">
        <f aca="false">IF(AND(ISNUMBER(K581),K581&gt;=0),K581,IF(ISNUMBER(M581),ROUND(M581*7,0),""))</f>
        <v>93</v>
      </c>
      <c r="Q581" s="0" t="str">
        <f aca="false">IF(ISTEXT(K581),"TEXT - recovered",IF(K581&lt;0,"NEGATIVE",IF(K581&gt;728,"&gt;104 WEEKS","OK")))</f>
        <v>OK</v>
      </c>
      <c r="R581" s="0" t="str">
        <f aca="false">IF(E581="GEN","GM",E581)</f>
        <v>RS</v>
      </c>
    </row>
  </sheetData>
  <autoFilter ref="A1:O5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4"/>
    <col collapsed="false" customWidth="true" hidden="false" outlineLevel="0" max="18" min="18" style="0" width="16"/>
  </cols>
  <sheetData>
    <row r="1" customFormat="false" ht="23.85" hidden="false" customHeight="false" outlineLevel="0" collapsed="false">
      <c r="A1" s="6" t="s">
        <v>218</v>
      </c>
      <c r="B1" s="6" t="s">
        <v>115</v>
      </c>
      <c r="C1" s="6" t="s">
        <v>738</v>
      </c>
      <c r="D1" s="6" t="s">
        <v>622</v>
      </c>
      <c r="E1" s="6" t="s">
        <v>629</v>
      </c>
      <c r="F1" s="6" t="s">
        <v>263</v>
      </c>
      <c r="G1" s="6" t="s">
        <v>278</v>
      </c>
      <c r="H1" s="6" t="s">
        <v>135</v>
      </c>
      <c r="I1" s="6" t="s">
        <v>255</v>
      </c>
      <c r="J1" s="6" t="s">
        <v>271</v>
      </c>
      <c r="K1" s="6" t="s">
        <v>292</v>
      </c>
      <c r="L1" s="6" t="s">
        <v>237</v>
      </c>
      <c r="M1" s="6" t="s">
        <v>227</v>
      </c>
      <c r="N1" s="6" t="s">
        <v>300</v>
      </c>
      <c r="O1" s="6" t="s">
        <v>153</v>
      </c>
      <c r="P1" s="6" t="s">
        <v>2074</v>
      </c>
      <c r="Q1" s="6" t="s">
        <v>2075</v>
      </c>
      <c r="R1" s="30" t="s">
        <v>743</v>
      </c>
    </row>
    <row r="2" customFormat="false" ht="15" hidden="false" customHeight="false" outlineLevel="0" collapsed="false">
      <c r="A2" s="0" t="s">
        <v>2076</v>
      </c>
      <c r="B2" s="0" t="s">
        <v>2077</v>
      </c>
      <c r="C2" s="0" t="s">
        <v>934</v>
      </c>
      <c r="D2" s="31" t="n">
        <v>32717</v>
      </c>
      <c r="E2" s="31" t="n">
        <v>45725</v>
      </c>
      <c r="F2" s="32" t="s">
        <v>2078</v>
      </c>
      <c r="G2" s="32" t="s">
        <v>2079</v>
      </c>
      <c r="H2" s="32" t="s">
        <v>810</v>
      </c>
      <c r="I2" s="31" t="n">
        <v>45727</v>
      </c>
      <c r="J2" s="32" t="s">
        <v>2080</v>
      </c>
      <c r="K2" s="0" t="n">
        <v>2</v>
      </c>
      <c r="L2" s="32" t="s">
        <v>2081</v>
      </c>
      <c r="M2" s="32" t="s">
        <v>2082</v>
      </c>
      <c r="N2" s="0" t="n">
        <v>2</v>
      </c>
      <c r="O2" s="32" t="s">
        <v>811</v>
      </c>
      <c r="P2" s="32" t="s">
        <v>2083</v>
      </c>
      <c r="Q2" s="32" t="s">
        <v>2084</v>
      </c>
      <c r="R2" s="0" t="str">
        <f aca="false">IF(H2="GEN","GM",H2)</f>
        <v>URO</v>
      </c>
    </row>
    <row r="3" customFormat="false" ht="15" hidden="false" customHeight="false" outlineLevel="0" collapsed="false">
      <c r="A3" s="0" t="s">
        <v>2085</v>
      </c>
      <c r="B3" s="0" t="s">
        <v>2086</v>
      </c>
      <c r="C3" s="0" t="s">
        <v>946</v>
      </c>
      <c r="D3" s="31" t="n">
        <v>21626</v>
      </c>
      <c r="E3" s="31" t="n">
        <v>45601</v>
      </c>
      <c r="F3" s="32" t="s">
        <v>2087</v>
      </c>
      <c r="G3" s="32" t="s">
        <v>2088</v>
      </c>
      <c r="H3" s="32" t="s">
        <v>826</v>
      </c>
      <c r="I3" s="31" t="n">
        <v>45607</v>
      </c>
      <c r="J3" s="32" t="s">
        <v>2080</v>
      </c>
      <c r="K3" s="0" t="n">
        <v>6</v>
      </c>
      <c r="L3" s="32" t="s">
        <v>2081</v>
      </c>
      <c r="M3" s="32" t="s">
        <v>2089</v>
      </c>
      <c r="N3" s="0" t="n">
        <v>6</v>
      </c>
      <c r="O3" s="32" t="s">
        <v>827</v>
      </c>
      <c r="P3" s="32" t="s">
        <v>2090</v>
      </c>
      <c r="Q3" s="32" t="s">
        <v>2091</v>
      </c>
      <c r="R3" s="0" t="str">
        <f aca="false">IF(H3="GEN","GM",H3)</f>
        <v>RHE</v>
      </c>
    </row>
    <row r="4" customFormat="false" ht="15" hidden="false" customHeight="false" outlineLevel="0" collapsed="false">
      <c r="A4" s="0" t="s">
        <v>2092</v>
      </c>
      <c r="B4" s="0" t="s">
        <v>2093</v>
      </c>
      <c r="C4" s="0" t="s">
        <v>1414</v>
      </c>
      <c r="D4" s="31" t="n">
        <v>26750</v>
      </c>
      <c r="E4" s="31" t="n">
        <v>45709</v>
      </c>
      <c r="F4" s="32" t="s">
        <v>2087</v>
      </c>
      <c r="G4" s="32" t="s">
        <v>2079</v>
      </c>
      <c r="H4" s="32" t="s">
        <v>810</v>
      </c>
      <c r="I4" s="31" t="n">
        <v>45715</v>
      </c>
      <c r="J4" s="32" t="s">
        <v>2080</v>
      </c>
      <c r="K4" s="0" t="n">
        <v>6</v>
      </c>
      <c r="L4" s="32" t="s">
        <v>2081</v>
      </c>
      <c r="M4" s="32" t="s">
        <v>2094</v>
      </c>
      <c r="N4" s="0" t="n">
        <v>6</v>
      </c>
      <c r="O4" s="32" t="s">
        <v>811</v>
      </c>
      <c r="P4" s="32" t="s">
        <v>2095</v>
      </c>
      <c r="Q4" s="32" t="s">
        <v>2096</v>
      </c>
      <c r="R4" s="0" t="str">
        <f aca="false">IF(H4="GEN","GM",H4)</f>
        <v>URO</v>
      </c>
    </row>
    <row r="5" customFormat="false" ht="15" hidden="false" customHeight="false" outlineLevel="0" collapsed="false">
      <c r="A5" s="0" t="s">
        <v>2097</v>
      </c>
      <c r="B5" s="0" t="s">
        <v>2098</v>
      </c>
      <c r="C5" s="0" t="s">
        <v>825</v>
      </c>
      <c r="D5" s="31" t="n">
        <v>34806</v>
      </c>
      <c r="E5" s="31" t="n">
        <v>45604</v>
      </c>
      <c r="F5" s="32" t="s">
        <v>2078</v>
      </c>
      <c r="G5" s="32" t="s">
        <v>2099</v>
      </c>
      <c r="H5" s="32" t="s">
        <v>818</v>
      </c>
      <c r="I5" s="31" t="n">
        <v>45605</v>
      </c>
      <c r="J5" s="32" t="s">
        <v>2080</v>
      </c>
      <c r="K5" s="0" t="n">
        <v>1</v>
      </c>
      <c r="L5" s="32" t="s">
        <v>2081</v>
      </c>
      <c r="M5" s="32" t="s">
        <v>2100</v>
      </c>
      <c r="N5" s="0" t="n">
        <v>1</v>
      </c>
      <c r="O5" s="32" t="s">
        <v>819</v>
      </c>
      <c r="P5" s="32" t="s">
        <v>2101</v>
      </c>
      <c r="R5" s="0" t="str">
        <f aca="false">IF(H5="GEN","GM",H5)</f>
        <v>OPH</v>
      </c>
    </row>
    <row r="6" customFormat="false" ht="15" hidden="false" customHeight="false" outlineLevel="0" collapsed="false">
      <c r="A6" s="0" t="s">
        <v>2102</v>
      </c>
      <c r="B6" s="0" t="s">
        <v>2103</v>
      </c>
      <c r="C6" s="0" t="s">
        <v>878</v>
      </c>
      <c r="D6" s="31" t="n">
        <v>20327</v>
      </c>
      <c r="E6" s="31" t="n">
        <v>45664</v>
      </c>
      <c r="F6" s="32" t="s">
        <v>2087</v>
      </c>
      <c r="G6" s="32" t="s">
        <v>2104</v>
      </c>
      <c r="H6" s="32" t="s">
        <v>802</v>
      </c>
      <c r="I6" s="31" t="n">
        <v>45664</v>
      </c>
      <c r="J6" s="32" t="s">
        <v>2105</v>
      </c>
      <c r="K6" s="0" t="n">
        <v>0</v>
      </c>
      <c r="L6" s="32" t="s">
        <v>2106</v>
      </c>
      <c r="N6" s="0" t="n">
        <v>0</v>
      </c>
      <c r="O6" s="32" t="s">
        <v>803</v>
      </c>
      <c r="P6" s="32" t="s">
        <v>2090</v>
      </c>
      <c r="Q6" s="32" t="s">
        <v>2107</v>
      </c>
      <c r="R6" s="0" t="str">
        <f aca="false">IF(H6="GEN","GM",H6)</f>
        <v>GYN</v>
      </c>
    </row>
    <row r="7" customFormat="false" ht="15" hidden="false" customHeight="false" outlineLevel="0" collapsed="false">
      <c r="A7" s="0" t="s">
        <v>2108</v>
      </c>
      <c r="B7" s="0" t="s">
        <v>2109</v>
      </c>
      <c r="C7" s="0" t="s">
        <v>1414</v>
      </c>
      <c r="D7" s="31" t="n">
        <v>27091</v>
      </c>
      <c r="E7" s="31" t="n">
        <v>45600</v>
      </c>
      <c r="F7" s="32" t="s">
        <v>2087</v>
      </c>
      <c r="G7" s="32" t="s">
        <v>2099</v>
      </c>
      <c r="H7" s="32" t="s">
        <v>818</v>
      </c>
      <c r="I7" s="31" t="n">
        <v>45603</v>
      </c>
      <c r="J7" s="32" t="s">
        <v>2080</v>
      </c>
      <c r="K7" s="0" t="n">
        <v>3</v>
      </c>
      <c r="L7" s="32" t="s">
        <v>2081</v>
      </c>
      <c r="M7" s="32" t="s">
        <v>2110</v>
      </c>
      <c r="N7" s="0" t="n">
        <v>3</v>
      </c>
      <c r="O7" s="32" t="s">
        <v>819</v>
      </c>
      <c r="P7" s="32" t="s">
        <v>2111</v>
      </c>
      <c r="Q7" s="32" t="s">
        <v>2112</v>
      </c>
      <c r="R7" s="0" t="str">
        <f aca="false">IF(H7="GEN","GM",H7)</f>
        <v>OPH</v>
      </c>
    </row>
    <row r="8" customFormat="false" ht="15" hidden="false" customHeight="false" outlineLevel="0" collapsed="false">
      <c r="A8" s="0" t="s">
        <v>2113</v>
      </c>
      <c r="B8" s="0" t="s">
        <v>2114</v>
      </c>
      <c r="C8" s="0" t="s">
        <v>989</v>
      </c>
      <c r="D8" s="31" t="n">
        <v>24735</v>
      </c>
      <c r="E8" s="31" t="n">
        <v>45595</v>
      </c>
      <c r="F8" s="32" t="s">
        <v>2078</v>
      </c>
      <c r="G8" s="32" t="s">
        <v>2115</v>
      </c>
      <c r="H8" s="32" t="s">
        <v>758</v>
      </c>
      <c r="I8" s="31" t="n">
        <v>45597</v>
      </c>
      <c r="J8" s="32" t="s">
        <v>2080</v>
      </c>
      <c r="K8" s="0" t="n">
        <v>2</v>
      </c>
      <c r="L8" s="32" t="s">
        <v>2081</v>
      </c>
      <c r="M8" s="32" t="s">
        <v>2116</v>
      </c>
      <c r="N8" s="0" t="n">
        <v>2</v>
      </c>
      <c r="O8" s="32" t="s">
        <v>759</v>
      </c>
      <c r="P8" s="32" t="s">
        <v>2117</v>
      </c>
      <c r="Q8" s="32" t="s">
        <v>2118</v>
      </c>
      <c r="R8" s="0" t="str">
        <f aca="false">IF(H8="GEN","GM",H8)</f>
        <v>CS</v>
      </c>
    </row>
    <row r="9" customFormat="false" ht="15" hidden="false" customHeight="false" outlineLevel="0" collapsed="false">
      <c r="A9" s="0" t="s">
        <v>2119</v>
      </c>
      <c r="B9" s="0" t="s">
        <v>2120</v>
      </c>
      <c r="C9" s="0" t="s">
        <v>853</v>
      </c>
      <c r="D9" s="31" t="n">
        <v>25990</v>
      </c>
      <c r="E9" s="31" t="n">
        <v>45617</v>
      </c>
      <c r="F9" s="32" t="s">
        <v>2078</v>
      </c>
      <c r="G9" s="32" t="s">
        <v>2079</v>
      </c>
      <c r="H9" s="32" t="s">
        <v>776</v>
      </c>
      <c r="I9" s="31" t="n">
        <v>45619</v>
      </c>
      <c r="J9" s="32" t="s">
        <v>2080</v>
      </c>
      <c r="K9" s="0" t="n">
        <v>2</v>
      </c>
      <c r="L9" s="32" t="s">
        <v>2081</v>
      </c>
      <c r="N9" s="0" t="n">
        <v>2</v>
      </c>
      <c r="O9" s="32" t="s">
        <v>777</v>
      </c>
      <c r="P9" s="32" t="s">
        <v>2121</v>
      </c>
      <c r="Q9" s="32" t="s">
        <v>2112</v>
      </c>
      <c r="R9" s="0" t="str">
        <f aca="false">IF(H9="GEN","GM",H9)</f>
        <v>GS</v>
      </c>
    </row>
    <row r="10" customFormat="false" ht="15" hidden="false" customHeight="false" outlineLevel="0" collapsed="false">
      <c r="A10" s="0" t="s">
        <v>2122</v>
      </c>
      <c r="B10" s="0" t="s">
        <v>2123</v>
      </c>
      <c r="C10" s="0" t="s">
        <v>825</v>
      </c>
      <c r="D10" s="31" t="n">
        <v>17308</v>
      </c>
      <c r="E10" s="31" t="n">
        <v>45610</v>
      </c>
      <c r="F10" s="32" t="s">
        <v>2078</v>
      </c>
      <c r="G10" s="32" t="s">
        <v>2124</v>
      </c>
      <c r="H10" s="32" t="s">
        <v>785</v>
      </c>
      <c r="I10" s="31" t="n">
        <v>45615</v>
      </c>
      <c r="J10" s="32" t="s">
        <v>2080</v>
      </c>
      <c r="K10" s="0" t="n">
        <v>5</v>
      </c>
      <c r="L10" s="32" t="s">
        <v>2081</v>
      </c>
      <c r="N10" s="0" t="n">
        <v>5</v>
      </c>
      <c r="O10" s="32" t="s">
        <v>786</v>
      </c>
      <c r="P10" s="32" t="s">
        <v>2101</v>
      </c>
      <c r="Q10" s="32" t="s">
        <v>2125</v>
      </c>
      <c r="R10" s="0" t="str">
        <f aca="false">IF(H10="GEN","GM",H10)</f>
        <v>RS</v>
      </c>
    </row>
    <row r="11" customFormat="false" ht="15" hidden="false" customHeight="false" outlineLevel="0" collapsed="false">
      <c r="A11" s="0" t="s">
        <v>2126</v>
      </c>
      <c r="B11" s="0" t="s">
        <v>2127</v>
      </c>
      <c r="C11" s="0" t="s">
        <v>837</v>
      </c>
      <c r="D11" s="31" t="n">
        <v>30108</v>
      </c>
      <c r="E11" s="31" t="n">
        <v>45688</v>
      </c>
      <c r="F11" s="32" t="s">
        <v>2078</v>
      </c>
      <c r="G11" s="32" t="s">
        <v>2079</v>
      </c>
      <c r="H11" s="32" t="s">
        <v>810</v>
      </c>
      <c r="I11" s="31" t="n">
        <v>45692</v>
      </c>
      <c r="J11" s="32" t="s">
        <v>2080</v>
      </c>
      <c r="K11" s="0" t="n">
        <v>4</v>
      </c>
      <c r="L11" s="32" t="s">
        <v>2081</v>
      </c>
      <c r="M11" s="32" t="s">
        <v>2128</v>
      </c>
      <c r="N11" s="0" t="n">
        <v>4</v>
      </c>
      <c r="O11" s="32" t="s">
        <v>811</v>
      </c>
      <c r="P11" s="32" t="s">
        <v>2095</v>
      </c>
      <c r="Q11" s="32" t="s">
        <v>2129</v>
      </c>
      <c r="R11" s="0" t="str">
        <f aca="false">IF(H11="GEN","GM",H11)</f>
        <v>URO</v>
      </c>
    </row>
    <row r="12" customFormat="false" ht="15" hidden="false" customHeight="false" outlineLevel="0" collapsed="false">
      <c r="A12" s="0" t="s">
        <v>2130</v>
      </c>
      <c r="B12" s="0" t="s">
        <v>2131</v>
      </c>
      <c r="C12" s="0" t="s">
        <v>857</v>
      </c>
      <c r="D12" s="31" t="n">
        <v>35281</v>
      </c>
      <c r="E12" s="31" t="n">
        <v>45700</v>
      </c>
      <c r="F12" s="32" t="s">
        <v>2087</v>
      </c>
      <c r="G12" s="32" t="s">
        <v>2088</v>
      </c>
      <c r="H12" s="32" t="s">
        <v>793</v>
      </c>
      <c r="I12" s="31" t="n">
        <v>45706</v>
      </c>
      <c r="J12" s="32" t="s">
        <v>2105</v>
      </c>
      <c r="K12" s="0" t="n">
        <v>6</v>
      </c>
      <c r="L12" s="32" t="s">
        <v>2081</v>
      </c>
      <c r="M12" s="32" t="s">
        <v>2132</v>
      </c>
      <c r="N12" s="0" t="n">
        <v>6</v>
      </c>
      <c r="O12" s="32" t="s">
        <v>794</v>
      </c>
      <c r="P12" s="32" t="s">
        <v>2133</v>
      </c>
      <c r="Q12" s="32" t="s">
        <v>2118</v>
      </c>
      <c r="R12" s="0" t="str">
        <f aca="false">IF(H12="GEN","GM",H12)</f>
        <v>EM</v>
      </c>
    </row>
    <row r="13" customFormat="false" ht="15" hidden="false" customHeight="false" outlineLevel="0" collapsed="false">
      <c r="A13" s="0" t="s">
        <v>2134</v>
      </c>
      <c r="B13" s="0" t="s">
        <v>2135</v>
      </c>
      <c r="C13" s="0" t="s">
        <v>757</v>
      </c>
      <c r="D13" s="31" t="n">
        <v>20360</v>
      </c>
      <c r="E13" s="31" t="n">
        <v>45637</v>
      </c>
      <c r="F13" s="32" t="s">
        <v>2087</v>
      </c>
      <c r="G13" s="32" t="s">
        <v>2079</v>
      </c>
      <c r="H13" s="32" t="s">
        <v>810</v>
      </c>
      <c r="I13" s="31" t="n">
        <v>45638</v>
      </c>
      <c r="J13" s="32" t="s">
        <v>2080</v>
      </c>
      <c r="K13" s="0" t="n">
        <v>1</v>
      </c>
      <c r="L13" s="32" t="s">
        <v>2081</v>
      </c>
      <c r="M13" s="32" t="s">
        <v>2136</v>
      </c>
      <c r="N13" s="0" t="n">
        <v>1</v>
      </c>
      <c r="O13" s="32" t="s">
        <v>811</v>
      </c>
      <c r="P13" s="32" t="s">
        <v>2137</v>
      </c>
      <c r="Q13" s="32" t="s">
        <v>2138</v>
      </c>
      <c r="R13" s="0" t="str">
        <f aca="false">IF(H13="GEN","GM",H13)</f>
        <v>URO</v>
      </c>
    </row>
    <row r="14" customFormat="false" ht="15" hidden="false" customHeight="false" outlineLevel="0" collapsed="false">
      <c r="A14" s="0" t="s">
        <v>2139</v>
      </c>
      <c r="B14" s="0" t="s">
        <v>2140</v>
      </c>
      <c r="C14" s="0" t="s">
        <v>837</v>
      </c>
      <c r="D14" s="31" t="n">
        <v>26925</v>
      </c>
      <c r="E14" s="31" t="n">
        <v>45623</v>
      </c>
      <c r="F14" s="32" t="s">
        <v>2078</v>
      </c>
      <c r="G14" s="32" t="s">
        <v>2088</v>
      </c>
      <c r="H14" s="32" t="s">
        <v>793</v>
      </c>
      <c r="I14" s="31" t="n">
        <v>45628</v>
      </c>
      <c r="J14" s="32" t="s">
        <v>2080</v>
      </c>
      <c r="K14" s="0" t="n">
        <v>5</v>
      </c>
      <c r="L14" s="32" t="s">
        <v>2081</v>
      </c>
      <c r="M14" s="32" t="s">
        <v>2141</v>
      </c>
      <c r="N14" s="0" t="n">
        <v>5</v>
      </c>
      <c r="O14" s="32" t="s">
        <v>794</v>
      </c>
      <c r="P14" s="32" t="s">
        <v>2142</v>
      </c>
      <c r="Q14" s="32" t="s">
        <v>2091</v>
      </c>
      <c r="R14" s="0" t="str">
        <f aca="false">IF(H14="GEN","GM",H14)</f>
        <v>EM</v>
      </c>
    </row>
    <row r="15" customFormat="false" ht="15" hidden="false" customHeight="false" outlineLevel="0" collapsed="false">
      <c r="A15" s="0" t="s">
        <v>2143</v>
      </c>
      <c r="B15" s="0" t="s">
        <v>2144</v>
      </c>
      <c r="C15" s="0" t="s">
        <v>1390</v>
      </c>
      <c r="D15" s="31" t="n">
        <v>19352</v>
      </c>
      <c r="E15" s="31" t="n">
        <v>45621</v>
      </c>
      <c r="F15" s="32" t="s">
        <v>2087</v>
      </c>
      <c r="G15" s="32" t="s">
        <v>2079</v>
      </c>
      <c r="H15" s="32" t="s">
        <v>776</v>
      </c>
      <c r="I15" s="31" t="n">
        <v>45625</v>
      </c>
      <c r="J15" s="32" t="s">
        <v>2080</v>
      </c>
      <c r="K15" s="0" t="n">
        <v>4</v>
      </c>
      <c r="L15" s="32" t="s">
        <v>2081</v>
      </c>
      <c r="M15" s="32" t="s">
        <v>2136</v>
      </c>
      <c r="N15" s="0" t="n">
        <v>4</v>
      </c>
      <c r="O15" s="32" t="s">
        <v>777</v>
      </c>
      <c r="P15" s="32" t="s">
        <v>2095</v>
      </c>
      <c r="Q15" s="32" t="s">
        <v>2145</v>
      </c>
      <c r="R15" s="0" t="str">
        <f aca="false">IF(H15="GEN","GM",H15)</f>
        <v>GS</v>
      </c>
    </row>
    <row r="16" customFormat="false" ht="15" hidden="false" customHeight="false" outlineLevel="0" collapsed="false">
      <c r="A16" s="0" t="s">
        <v>2146</v>
      </c>
      <c r="B16" s="0" t="s">
        <v>2147</v>
      </c>
      <c r="C16" s="0" t="s">
        <v>2148</v>
      </c>
      <c r="D16" s="31" t="n">
        <v>33162</v>
      </c>
      <c r="E16" s="31" t="n">
        <v>45592</v>
      </c>
      <c r="F16" s="32" t="s">
        <v>2087</v>
      </c>
      <c r="G16" s="32" t="s">
        <v>2088</v>
      </c>
      <c r="H16" s="32" t="s">
        <v>826</v>
      </c>
      <c r="I16" s="31" t="n">
        <v>45595</v>
      </c>
      <c r="J16" s="32" t="s">
        <v>2080</v>
      </c>
      <c r="K16" s="0" t="n">
        <v>3</v>
      </c>
      <c r="L16" s="32" t="s">
        <v>2081</v>
      </c>
      <c r="M16" s="32" t="s">
        <v>2094</v>
      </c>
      <c r="N16" s="0" t="n">
        <v>3</v>
      </c>
      <c r="O16" s="32" t="s">
        <v>827</v>
      </c>
      <c r="P16" s="32" t="s">
        <v>2149</v>
      </c>
      <c r="Q16" s="32" t="s">
        <v>2118</v>
      </c>
      <c r="R16" s="0" t="str">
        <f aca="false">IF(H16="GEN","GM",H16)</f>
        <v>RHE</v>
      </c>
    </row>
    <row r="17" customFormat="false" ht="15" hidden="false" customHeight="false" outlineLevel="0" collapsed="false">
      <c r="A17" s="0" t="s">
        <v>2150</v>
      </c>
      <c r="B17" s="0" t="s">
        <v>2151</v>
      </c>
      <c r="C17" s="0" t="s">
        <v>946</v>
      </c>
      <c r="D17" s="31" t="n">
        <v>38526</v>
      </c>
      <c r="E17" s="31" t="n">
        <v>45654</v>
      </c>
      <c r="F17" s="32" t="s">
        <v>2087</v>
      </c>
      <c r="G17" s="32" t="s">
        <v>2079</v>
      </c>
      <c r="H17" s="32" t="s">
        <v>776</v>
      </c>
      <c r="I17" s="31" t="n">
        <v>45664</v>
      </c>
      <c r="J17" s="32" t="s">
        <v>2105</v>
      </c>
      <c r="K17" s="0" t="n">
        <v>10</v>
      </c>
      <c r="L17" s="32" t="s">
        <v>2081</v>
      </c>
      <c r="M17" s="32" t="s">
        <v>2152</v>
      </c>
      <c r="N17" s="0" t="n">
        <v>10</v>
      </c>
      <c r="O17" s="32" t="s">
        <v>777</v>
      </c>
      <c r="P17" s="32" t="s">
        <v>2095</v>
      </c>
      <c r="Q17" s="32" t="s">
        <v>2153</v>
      </c>
      <c r="R17" s="0" t="str">
        <f aca="false">IF(H17="GEN","GM",H17)</f>
        <v>GS</v>
      </c>
    </row>
    <row r="18" customFormat="false" ht="15" hidden="false" customHeight="false" outlineLevel="0" collapsed="false">
      <c r="A18" s="0" t="s">
        <v>2154</v>
      </c>
      <c r="B18" s="0" t="s">
        <v>2155</v>
      </c>
      <c r="C18" s="0" t="s">
        <v>757</v>
      </c>
      <c r="D18" s="31" t="n">
        <v>36923</v>
      </c>
      <c r="E18" s="31" t="n">
        <v>45639</v>
      </c>
      <c r="F18" s="32" t="s">
        <v>2078</v>
      </c>
      <c r="G18" s="32" t="s">
        <v>2088</v>
      </c>
      <c r="H18" s="32" t="s">
        <v>747</v>
      </c>
      <c r="I18" s="31" t="n">
        <v>45642</v>
      </c>
      <c r="J18" s="32" t="s">
        <v>2080</v>
      </c>
      <c r="K18" s="0" t="n">
        <v>3</v>
      </c>
      <c r="L18" s="32" t="s">
        <v>2081</v>
      </c>
      <c r="M18" s="32" t="s">
        <v>2152</v>
      </c>
      <c r="N18" s="0" t="n">
        <v>3</v>
      </c>
      <c r="O18" s="32" t="s">
        <v>748</v>
      </c>
      <c r="P18" s="32" t="s">
        <v>2156</v>
      </c>
      <c r="Q18" s="32" t="s">
        <v>2157</v>
      </c>
      <c r="R18" s="0" t="str">
        <f aca="false">IF(H18="GEN","GM",H18)</f>
        <v>GM</v>
      </c>
    </row>
    <row r="19" customFormat="false" ht="15" hidden="false" customHeight="false" outlineLevel="0" collapsed="false">
      <c r="A19" s="0" t="s">
        <v>2158</v>
      </c>
      <c r="B19" s="0" t="s">
        <v>2159</v>
      </c>
      <c r="C19" s="0" t="s">
        <v>801</v>
      </c>
      <c r="D19" s="31" t="n">
        <v>30511</v>
      </c>
      <c r="E19" s="31" t="n">
        <v>45630</v>
      </c>
      <c r="F19" s="32" t="s">
        <v>2160</v>
      </c>
      <c r="G19" s="32" t="s">
        <v>2088</v>
      </c>
      <c r="H19" s="32" t="s">
        <v>793</v>
      </c>
      <c r="I19" s="31" t="n">
        <v>45633</v>
      </c>
      <c r="J19" s="32" t="s">
        <v>2080</v>
      </c>
      <c r="K19" s="0" t="n">
        <v>3</v>
      </c>
      <c r="L19" s="32" t="s">
        <v>2081</v>
      </c>
      <c r="M19" s="32" t="s">
        <v>2161</v>
      </c>
      <c r="N19" s="0" t="n">
        <v>3</v>
      </c>
      <c r="O19" s="32" t="s">
        <v>794</v>
      </c>
      <c r="P19" s="32" t="s">
        <v>2162</v>
      </c>
      <c r="Q19" s="32" t="s">
        <v>2096</v>
      </c>
      <c r="R19" s="0" t="str">
        <f aca="false">IF(H19="GEN","GM",H19)</f>
        <v>EM</v>
      </c>
    </row>
    <row r="20" customFormat="false" ht="15" hidden="false" customHeight="false" outlineLevel="0" collapsed="false">
      <c r="A20" s="0" t="s">
        <v>2163</v>
      </c>
      <c r="B20" s="0" t="s">
        <v>2164</v>
      </c>
      <c r="C20" s="0" t="s">
        <v>1460</v>
      </c>
      <c r="D20" s="31" t="n">
        <v>18446</v>
      </c>
      <c r="E20" s="31" t="n">
        <v>45567</v>
      </c>
      <c r="F20" s="32" t="s">
        <v>2078</v>
      </c>
      <c r="G20" s="32" t="s">
        <v>2099</v>
      </c>
      <c r="H20" s="32" t="s">
        <v>766</v>
      </c>
      <c r="I20" s="31" t="n">
        <v>45569</v>
      </c>
      <c r="J20" s="32" t="s">
        <v>2080</v>
      </c>
      <c r="K20" s="0" t="n">
        <v>2</v>
      </c>
      <c r="L20" s="32" t="s">
        <v>2081</v>
      </c>
      <c r="M20" s="32" t="s">
        <v>2100</v>
      </c>
      <c r="N20" s="0" t="n">
        <v>2</v>
      </c>
      <c r="O20" s="32" t="s">
        <v>767</v>
      </c>
      <c r="P20" s="32" t="s">
        <v>2156</v>
      </c>
      <c r="Q20" s="32" t="s">
        <v>2165</v>
      </c>
      <c r="R20" s="0" t="str">
        <f aca="false">IF(H20="GEN","GM",H20)</f>
        <v>OR</v>
      </c>
    </row>
    <row r="21" customFormat="false" ht="15" hidden="false" customHeight="false" outlineLevel="0" collapsed="false">
      <c r="A21" s="0" t="s">
        <v>2166</v>
      </c>
      <c r="B21" s="0" t="s">
        <v>2167</v>
      </c>
      <c r="C21" s="0" t="s">
        <v>1453</v>
      </c>
      <c r="D21" s="31" t="n">
        <v>15955</v>
      </c>
      <c r="E21" s="31" t="n">
        <v>45735</v>
      </c>
      <c r="F21" s="32" t="s">
        <v>2078</v>
      </c>
      <c r="G21" s="32" t="s">
        <v>2115</v>
      </c>
      <c r="H21" s="32" t="s">
        <v>758</v>
      </c>
      <c r="I21" s="31" t="n">
        <v>45737</v>
      </c>
      <c r="J21" s="32" t="s">
        <v>2080</v>
      </c>
      <c r="K21" s="0" t="n">
        <v>2</v>
      </c>
      <c r="L21" s="32" t="s">
        <v>2081</v>
      </c>
      <c r="N21" s="0" t="n">
        <v>2</v>
      </c>
      <c r="O21" s="32" t="s">
        <v>759</v>
      </c>
      <c r="P21" s="32" t="s">
        <v>2149</v>
      </c>
      <c r="Q21" s="32" t="s">
        <v>2107</v>
      </c>
      <c r="R21" s="0" t="str">
        <f aca="false">IF(H21="GEN","GM",H21)</f>
        <v>CS</v>
      </c>
    </row>
    <row r="22" customFormat="false" ht="15" hidden="false" customHeight="false" outlineLevel="0" collapsed="false">
      <c r="A22" s="0" t="s">
        <v>2168</v>
      </c>
      <c r="B22" s="0" t="s">
        <v>2169</v>
      </c>
      <c r="C22" s="0" t="s">
        <v>958</v>
      </c>
      <c r="D22" s="31" t="n">
        <v>30360</v>
      </c>
      <c r="E22" s="31" t="n">
        <v>45696</v>
      </c>
      <c r="F22" s="32" t="s">
        <v>2078</v>
      </c>
      <c r="G22" s="32" t="s">
        <v>2088</v>
      </c>
      <c r="H22" s="32" t="s">
        <v>747</v>
      </c>
      <c r="I22" s="31" t="n">
        <v>45698</v>
      </c>
      <c r="J22" s="32" t="s">
        <v>2080</v>
      </c>
      <c r="K22" s="0" t="n">
        <v>2</v>
      </c>
      <c r="L22" s="32" t="s">
        <v>2081</v>
      </c>
      <c r="M22" s="32" t="s">
        <v>2141</v>
      </c>
      <c r="N22" s="0" t="n">
        <v>2</v>
      </c>
      <c r="O22" s="32" t="s">
        <v>748</v>
      </c>
      <c r="P22" s="32" t="s">
        <v>2162</v>
      </c>
      <c r="Q22" s="32" t="s">
        <v>2170</v>
      </c>
      <c r="R22" s="0" t="str">
        <f aca="false">IF(H22="GEN","GM",H22)</f>
        <v>GM</v>
      </c>
    </row>
    <row r="23" customFormat="false" ht="15" hidden="false" customHeight="false" outlineLevel="0" collapsed="false">
      <c r="A23" s="0" t="s">
        <v>2171</v>
      </c>
      <c r="B23" s="0" t="s">
        <v>2172</v>
      </c>
      <c r="C23" s="0" t="s">
        <v>1017</v>
      </c>
      <c r="D23" s="31" t="n">
        <v>16428</v>
      </c>
      <c r="E23" s="31" t="n">
        <v>45611</v>
      </c>
      <c r="F23" s="32" t="s">
        <v>2078</v>
      </c>
      <c r="G23" s="32" t="s">
        <v>2088</v>
      </c>
      <c r="H23" s="32" t="s">
        <v>793</v>
      </c>
      <c r="I23" s="31" t="n">
        <v>45615</v>
      </c>
      <c r="J23" s="32" t="s">
        <v>2080</v>
      </c>
      <c r="K23" s="0" t="n">
        <v>4</v>
      </c>
      <c r="L23" s="32" t="s">
        <v>2081</v>
      </c>
      <c r="N23" s="0" t="n">
        <v>4</v>
      </c>
      <c r="O23" s="32" t="s">
        <v>794</v>
      </c>
      <c r="P23" s="32" t="s">
        <v>2156</v>
      </c>
      <c r="Q23" s="32" t="s">
        <v>2138</v>
      </c>
      <c r="R23" s="0" t="str">
        <f aca="false">IF(H23="GEN","GM",H23)</f>
        <v>EM</v>
      </c>
    </row>
    <row r="24" customFormat="false" ht="15" hidden="false" customHeight="false" outlineLevel="0" collapsed="false">
      <c r="A24" s="0" t="s">
        <v>2173</v>
      </c>
      <c r="B24" s="0" t="s">
        <v>2174</v>
      </c>
      <c r="C24" s="0" t="s">
        <v>792</v>
      </c>
      <c r="D24" s="31" t="n">
        <v>16240</v>
      </c>
      <c r="E24" s="31" t="n">
        <v>45678</v>
      </c>
      <c r="F24" s="32" t="s">
        <v>2078</v>
      </c>
      <c r="G24" s="32" t="s">
        <v>2124</v>
      </c>
      <c r="H24" s="32" t="s">
        <v>785</v>
      </c>
      <c r="I24" s="31" t="n">
        <v>45680</v>
      </c>
      <c r="J24" s="32" t="s">
        <v>2080</v>
      </c>
      <c r="K24" s="0" t="n">
        <v>2</v>
      </c>
      <c r="L24" s="32" t="s">
        <v>2081</v>
      </c>
      <c r="M24" s="32" t="s">
        <v>2110</v>
      </c>
      <c r="N24" s="0" t="n">
        <v>2</v>
      </c>
      <c r="O24" s="32" t="s">
        <v>786</v>
      </c>
      <c r="P24" s="32" t="s">
        <v>2175</v>
      </c>
      <c r="Q24" s="32" t="s">
        <v>2138</v>
      </c>
      <c r="R24" s="0" t="str">
        <f aca="false">IF(H24="GEN","GM",H24)</f>
        <v>RS</v>
      </c>
    </row>
    <row r="25" customFormat="false" ht="15" hidden="false" customHeight="false" outlineLevel="0" collapsed="false">
      <c r="A25" s="0" t="s">
        <v>2176</v>
      </c>
      <c r="B25" s="0" t="s">
        <v>2177</v>
      </c>
      <c r="C25" s="0" t="s">
        <v>2178</v>
      </c>
      <c r="D25" s="31" t="n">
        <v>31308</v>
      </c>
      <c r="E25" s="31" t="n">
        <v>45697</v>
      </c>
      <c r="F25" s="32" t="s">
        <v>2087</v>
      </c>
      <c r="G25" s="32" t="s">
        <v>2088</v>
      </c>
      <c r="H25" s="32" t="s">
        <v>793</v>
      </c>
      <c r="I25" s="31" t="n">
        <v>45699</v>
      </c>
      <c r="J25" s="32" t="s">
        <v>2080</v>
      </c>
      <c r="K25" s="0" t="n">
        <v>2</v>
      </c>
      <c r="L25" s="32" t="s">
        <v>2106</v>
      </c>
      <c r="M25" s="32" t="s">
        <v>2152</v>
      </c>
      <c r="N25" s="0" t="n">
        <v>2</v>
      </c>
      <c r="O25" s="32" t="s">
        <v>794</v>
      </c>
      <c r="P25" s="32" t="s">
        <v>2156</v>
      </c>
      <c r="Q25" s="32" t="s">
        <v>2179</v>
      </c>
      <c r="R25" s="0" t="str">
        <f aca="false">IF(H25="GEN","GM",H25)</f>
        <v>EM</v>
      </c>
    </row>
    <row r="26" customFormat="false" ht="15" hidden="false" customHeight="false" outlineLevel="0" collapsed="false">
      <c r="A26" s="0" t="s">
        <v>2180</v>
      </c>
      <c r="B26" s="0" t="s">
        <v>2181</v>
      </c>
      <c r="C26" s="0" t="s">
        <v>1393</v>
      </c>
      <c r="D26" s="31" t="n">
        <v>28281</v>
      </c>
      <c r="E26" s="31" t="n">
        <v>45681</v>
      </c>
      <c r="F26" s="32" t="s">
        <v>2087</v>
      </c>
      <c r="G26" s="32" t="s">
        <v>2115</v>
      </c>
      <c r="H26" s="32" t="s">
        <v>758</v>
      </c>
      <c r="I26" s="31" t="n">
        <v>45684</v>
      </c>
      <c r="J26" s="32" t="s">
        <v>2080</v>
      </c>
      <c r="K26" s="0" t="n">
        <v>3</v>
      </c>
      <c r="L26" s="32" t="s">
        <v>2081</v>
      </c>
      <c r="M26" s="32" t="s">
        <v>2132</v>
      </c>
      <c r="N26" s="0" t="n">
        <v>3</v>
      </c>
      <c r="O26" s="32" t="s">
        <v>759</v>
      </c>
      <c r="P26" s="32" t="s">
        <v>2182</v>
      </c>
      <c r="Q26" s="32" t="s">
        <v>2084</v>
      </c>
      <c r="R26" s="0" t="str">
        <f aca="false">IF(H26="GEN","GM",H26)</f>
        <v>CS</v>
      </c>
    </row>
    <row r="27" customFormat="false" ht="15" hidden="false" customHeight="false" outlineLevel="0" collapsed="false">
      <c r="A27" s="0" t="s">
        <v>2183</v>
      </c>
      <c r="B27" s="0" t="s">
        <v>2184</v>
      </c>
      <c r="C27" s="0" t="s">
        <v>1033</v>
      </c>
      <c r="D27" s="31" t="n">
        <v>33780</v>
      </c>
      <c r="E27" s="31" t="n">
        <v>45637</v>
      </c>
      <c r="F27" s="32" t="s">
        <v>2078</v>
      </c>
      <c r="G27" s="32" t="s">
        <v>2099</v>
      </c>
      <c r="H27" s="32" t="s">
        <v>766</v>
      </c>
      <c r="I27" s="31" t="n">
        <v>45642</v>
      </c>
      <c r="J27" s="32" t="s">
        <v>2080</v>
      </c>
      <c r="K27" s="0" t="n">
        <v>5</v>
      </c>
      <c r="L27" s="32" t="s">
        <v>2106</v>
      </c>
      <c r="M27" s="32" t="s">
        <v>2141</v>
      </c>
      <c r="N27" s="0" t="n">
        <v>5</v>
      </c>
      <c r="O27" s="32" t="s">
        <v>767</v>
      </c>
      <c r="P27" s="32" t="s">
        <v>2095</v>
      </c>
      <c r="Q27" s="32" t="s">
        <v>2157</v>
      </c>
      <c r="R27" s="0" t="str">
        <f aca="false">IF(H27="GEN","GM",H27)</f>
        <v>OR</v>
      </c>
    </row>
    <row r="28" customFormat="false" ht="15" hidden="false" customHeight="false" outlineLevel="0" collapsed="false">
      <c r="A28" s="0" t="s">
        <v>2185</v>
      </c>
      <c r="B28" s="0" t="s">
        <v>2186</v>
      </c>
      <c r="C28" s="0" t="s">
        <v>1410</v>
      </c>
      <c r="D28" s="31" t="n">
        <v>38220</v>
      </c>
      <c r="E28" s="31" t="n">
        <v>45684</v>
      </c>
      <c r="F28" s="32" t="s">
        <v>2087</v>
      </c>
      <c r="G28" s="32" t="s">
        <v>2088</v>
      </c>
      <c r="H28" s="32" t="s">
        <v>826</v>
      </c>
      <c r="I28" s="31" t="n">
        <v>45688</v>
      </c>
      <c r="J28" s="32" t="s">
        <v>2080</v>
      </c>
      <c r="K28" s="0" t="n">
        <v>4</v>
      </c>
      <c r="L28" s="32" t="s">
        <v>2081</v>
      </c>
      <c r="M28" s="32" t="s">
        <v>2110</v>
      </c>
      <c r="N28" s="0" t="n">
        <v>4</v>
      </c>
      <c r="O28" s="32" t="s">
        <v>827</v>
      </c>
      <c r="P28" s="32" t="s">
        <v>2101</v>
      </c>
      <c r="Q28" s="32" t="s">
        <v>2112</v>
      </c>
      <c r="R28" s="0" t="str">
        <f aca="false">IF(H28="GEN","GM",H28)</f>
        <v>RHE</v>
      </c>
    </row>
    <row r="29" customFormat="false" ht="15" hidden="false" customHeight="false" outlineLevel="0" collapsed="false">
      <c r="A29" s="0" t="s">
        <v>2187</v>
      </c>
      <c r="B29" s="0" t="s">
        <v>2188</v>
      </c>
      <c r="C29" s="0" t="s">
        <v>1398</v>
      </c>
      <c r="D29" s="31" t="n">
        <v>29228</v>
      </c>
      <c r="E29" s="31" t="n">
        <v>45658</v>
      </c>
      <c r="F29" s="32" t="s">
        <v>2087</v>
      </c>
      <c r="G29" s="32" t="s">
        <v>2079</v>
      </c>
      <c r="H29" s="32" t="s">
        <v>776</v>
      </c>
      <c r="I29" s="31" t="n">
        <v>45661</v>
      </c>
      <c r="J29" s="32" t="s">
        <v>2080</v>
      </c>
      <c r="K29" s="0" t="n">
        <v>3</v>
      </c>
      <c r="L29" s="32" t="s">
        <v>2081</v>
      </c>
      <c r="M29" s="32" t="s">
        <v>2189</v>
      </c>
      <c r="N29" s="0" t="n">
        <v>3</v>
      </c>
      <c r="O29" s="32" t="s">
        <v>777</v>
      </c>
      <c r="P29" s="32" t="s">
        <v>2095</v>
      </c>
      <c r="Q29" s="32" t="s">
        <v>2190</v>
      </c>
      <c r="R29" s="0" t="str">
        <f aca="false">IF(H29="GEN","GM",H29)</f>
        <v>GS</v>
      </c>
    </row>
    <row r="30" customFormat="false" ht="15" hidden="false" customHeight="false" outlineLevel="0" collapsed="false">
      <c r="A30" s="0" t="s">
        <v>2191</v>
      </c>
      <c r="B30" s="0" t="s">
        <v>2192</v>
      </c>
      <c r="C30" s="0" t="s">
        <v>1453</v>
      </c>
      <c r="D30" s="31" t="n">
        <v>24661</v>
      </c>
      <c r="E30" s="31" t="n">
        <v>45567</v>
      </c>
      <c r="F30" s="32" t="s">
        <v>2087</v>
      </c>
      <c r="G30" s="32" t="s">
        <v>2079</v>
      </c>
      <c r="H30" s="32" t="s">
        <v>810</v>
      </c>
      <c r="I30" s="31" t="n">
        <v>45571</v>
      </c>
      <c r="J30" s="32" t="s">
        <v>2080</v>
      </c>
      <c r="K30" s="0" t="n">
        <v>4</v>
      </c>
      <c r="L30" s="32" t="s">
        <v>2081</v>
      </c>
      <c r="M30" s="32" t="s">
        <v>2082</v>
      </c>
      <c r="N30" s="0" t="n">
        <v>4</v>
      </c>
      <c r="O30" s="32" t="s">
        <v>811</v>
      </c>
      <c r="P30" s="32" t="s">
        <v>2182</v>
      </c>
      <c r="Q30" s="32" t="s">
        <v>2125</v>
      </c>
      <c r="R30" s="0" t="str">
        <f aca="false">IF(H30="GEN","GM",H30)</f>
        <v>URO</v>
      </c>
    </row>
    <row r="31" customFormat="false" ht="15" hidden="false" customHeight="false" outlineLevel="0" collapsed="false">
      <c r="A31" s="0" t="s">
        <v>2193</v>
      </c>
      <c r="B31" s="0" t="s">
        <v>2194</v>
      </c>
      <c r="C31" s="0" t="s">
        <v>874</v>
      </c>
      <c r="D31" s="31" t="n">
        <v>31785</v>
      </c>
      <c r="E31" s="31" t="n">
        <v>45712</v>
      </c>
      <c r="F31" s="32" t="s">
        <v>2078</v>
      </c>
      <c r="G31" s="32" t="s">
        <v>2099</v>
      </c>
      <c r="H31" s="32" t="s">
        <v>766</v>
      </c>
      <c r="I31" s="31" t="n">
        <v>45713</v>
      </c>
      <c r="J31" s="32" t="s">
        <v>2080</v>
      </c>
      <c r="K31" s="0" t="n">
        <v>1</v>
      </c>
      <c r="L31" s="32" t="s">
        <v>2081</v>
      </c>
      <c r="M31" s="32" t="s">
        <v>2195</v>
      </c>
      <c r="N31" s="0" t="n">
        <v>1</v>
      </c>
      <c r="O31" s="32" t="s">
        <v>767</v>
      </c>
      <c r="P31" s="32" t="s">
        <v>2162</v>
      </c>
      <c r="Q31" s="32" t="s">
        <v>2129</v>
      </c>
      <c r="R31" s="0" t="str">
        <f aca="false">IF(H31="GEN","GM",H31)</f>
        <v>OR</v>
      </c>
    </row>
    <row r="32" customFormat="false" ht="15" hidden="false" customHeight="false" outlineLevel="0" collapsed="false">
      <c r="A32" s="0" t="s">
        <v>2196</v>
      </c>
      <c r="B32" s="0" t="s">
        <v>2197</v>
      </c>
      <c r="C32" s="0" t="s">
        <v>1005</v>
      </c>
      <c r="D32" s="31" t="n">
        <v>19659</v>
      </c>
      <c r="E32" s="31" t="n">
        <v>45682</v>
      </c>
      <c r="F32" s="32" t="s">
        <v>2087</v>
      </c>
      <c r="G32" s="32" t="s">
        <v>2099</v>
      </c>
      <c r="H32" s="32" t="s">
        <v>766</v>
      </c>
      <c r="I32" s="31" t="n">
        <v>45686</v>
      </c>
      <c r="J32" s="32" t="s">
        <v>2080</v>
      </c>
      <c r="K32" s="0" t="n">
        <v>4</v>
      </c>
      <c r="L32" s="32" t="s">
        <v>2081</v>
      </c>
      <c r="M32" s="32" t="s">
        <v>2161</v>
      </c>
      <c r="N32" s="0" t="n">
        <v>4</v>
      </c>
      <c r="O32" s="32" t="s">
        <v>767</v>
      </c>
      <c r="P32" s="32" t="s">
        <v>2137</v>
      </c>
      <c r="Q32" s="32" t="s">
        <v>2198</v>
      </c>
      <c r="R32" s="0" t="str">
        <f aca="false">IF(H32="GEN","GM",H32)</f>
        <v>OR</v>
      </c>
    </row>
    <row r="33" customFormat="false" ht="15" hidden="false" customHeight="false" outlineLevel="0" collapsed="false">
      <c r="A33" s="0" t="s">
        <v>2199</v>
      </c>
      <c r="B33" s="0" t="s">
        <v>2200</v>
      </c>
      <c r="C33" s="0" t="s">
        <v>853</v>
      </c>
      <c r="D33" s="31" t="n">
        <v>17036</v>
      </c>
      <c r="E33" s="31" t="n">
        <v>45699</v>
      </c>
      <c r="F33" s="32" t="s">
        <v>2078</v>
      </c>
      <c r="G33" s="32" t="s">
        <v>2088</v>
      </c>
      <c r="H33" s="32" t="s">
        <v>747</v>
      </c>
      <c r="I33" s="31" t="n">
        <v>45701</v>
      </c>
      <c r="J33" s="32" t="s">
        <v>2080</v>
      </c>
      <c r="K33" s="0" t="n">
        <v>2</v>
      </c>
      <c r="L33" s="32" t="s">
        <v>2081</v>
      </c>
      <c r="M33" s="32" t="s">
        <v>2128</v>
      </c>
      <c r="N33" s="0" t="n">
        <v>2</v>
      </c>
      <c r="O33" s="32" t="s">
        <v>748</v>
      </c>
      <c r="P33" s="32" t="s">
        <v>2201</v>
      </c>
      <c r="Q33" s="32" t="s">
        <v>2084</v>
      </c>
      <c r="R33" s="0" t="str">
        <f aca="false">IF(H33="GEN","GM",H33)</f>
        <v>GM</v>
      </c>
    </row>
    <row r="34" customFormat="false" ht="15" hidden="false" customHeight="false" outlineLevel="0" collapsed="false">
      <c r="A34" s="0" t="s">
        <v>2202</v>
      </c>
      <c r="B34" s="0" t="s">
        <v>2203</v>
      </c>
      <c r="C34" s="0" t="s">
        <v>1410</v>
      </c>
      <c r="D34" s="31" t="n">
        <v>31904</v>
      </c>
      <c r="E34" s="31" t="n">
        <v>45733</v>
      </c>
      <c r="F34" s="32" t="s">
        <v>2078</v>
      </c>
      <c r="G34" s="32" t="s">
        <v>2088</v>
      </c>
      <c r="H34" s="32" t="s">
        <v>747</v>
      </c>
      <c r="I34" s="31" t="n">
        <v>45734</v>
      </c>
      <c r="J34" s="32" t="s">
        <v>2080</v>
      </c>
      <c r="K34" s="0" t="n">
        <v>1</v>
      </c>
      <c r="L34" s="32" t="s">
        <v>2081</v>
      </c>
      <c r="M34" s="32" t="s">
        <v>2161</v>
      </c>
      <c r="N34" s="0" t="n">
        <v>1</v>
      </c>
      <c r="P34" s="32" t="s">
        <v>2133</v>
      </c>
      <c r="Q34" s="32" t="s">
        <v>2170</v>
      </c>
      <c r="R34" s="0" t="str">
        <f aca="false">IF(H34="GEN","GM",H34)</f>
        <v>GM</v>
      </c>
    </row>
    <row r="35" customFormat="false" ht="15" hidden="false" customHeight="false" outlineLevel="0" collapsed="false">
      <c r="A35" s="0" t="s">
        <v>2204</v>
      </c>
      <c r="B35" s="0" t="s">
        <v>2205</v>
      </c>
      <c r="C35" s="0" t="s">
        <v>2206</v>
      </c>
      <c r="D35" s="31" t="n">
        <v>35195</v>
      </c>
      <c r="E35" s="31" t="n">
        <v>45624</v>
      </c>
      <c r="F35" s="32" t="s">
        <v>2087</v>
      </c>
      <c r="G35" s="32" t="s">
        <v>2099</v>
      </c>
      <c r="H35" s="32" t="s">
        <v>766</v>
      </c>
      <c r="I35" s="31" t="n">
        <v>45627</v>
      </c>
      <c r="J35" s="32" t="s">
        <v>2080</v>
      </c>
      <c r="K35" s="0" t="n">
        <v>3</v>
      </c>
      <c r="L35" s="32" t="s">
        <v>2081</v>
      </c>
      <c r="M35" s="32" t="s">
        <v>2207</v>
      </c>
      <c r="N35" s="0" t="n">
        <v>3</v>
      </c>
      <c r="O35" s="32" t="s">
        <v>767</v>
      </c>
      <c r="P35" s="32" t="s">
        <v>2111</v>
      </c>
      <c r="Q35" s="32" t="s">
        <v>2179</v>
      </c>
      <c r="R35" s="0" t="str">
        <f aca="false">IF(H35="GEN","GM",H35)</f>
        <v>OR</v>
      </c>
    </row>
    <row r="36" customFormat="false" ht="15" hidden="false" customHeight="false" outlineLevel="0" collapsed="false">
      <c r="A36" s="0" t="s">
        <v>2208</v>
      </c>
      <c r="B36" s="0" t="s">
        <v>2209</v>
      </c>
      <c r="C36" s="0" t="s">
        <v>817</v>
      </c>
      <c r="D36" s="31" t="n">
        <v>24940</v>
      </c>
      <c r="E36" s="31" t="n">
        <v>45733</v>
      </c>
      <c r="F36" s="32" t="s">
        <v>2078</v>
      </c>
      <c r="G36" s="32" t="s">
        <v>2104</v>
      </c>
      <c r="H36" s="32" t="s">
        <v>802</v>
      </c>
      <c r="I36" s="31" t="n">
        <v>45736</v>
      </c>
      <c r="J36" s="32" t="s">
        <v>2160</v>
      </c>
      <c r="K36" s="0" t="n">
        <v>3</v>
      </c>
      <c r="L36" s="32" t="s">
        <v>2081</v>
      </c>
      <c r="M36" s="32" t="s">
        <v>2116</v>
      </c>
      <c r="N36" s="0" t="n">
        <v>3</v>
      </c>
      <c r="O36" s="32" t="s">
        <v>803</v>
      </c>
      <c r="P36" s="32" t="s">
        <v>2179</v>
      </c>
      <c r="Q36" s="32" t="s">
        <v>2198</v>
      </c>
      <c r="R36" s="0" t="str">
        <f aca="false">IF(H36="GEN","GM",H36)</f>
        <v>GYN</v>
      </c>
    </row>
    <row r="37" customFormat="false" ht="15" hidden="false" customHeight="false" outlineLevel="0" collapsed="false">
      <c r="A37" s="0" t="s">
        <v>2210</v>
      </c>
      <c r="B37" s="0" t="s">
        <v>2211</v>
      </c>
      <c r="C37" s="0" t="s">
        <v>784</v>
      </c>
      <c r="D37" s="31" t="n">
        <v>29697</v>
      </c>
      <c r="E37" s="31" t="n">
        <v>45667</v>
      </c>
      <c r="F37" s="32" t="s">
        <v>2078</v>
      </c>
      <c r="G37" s="32" t="s">
        <v>2124</v>
      </c>
      <c r="H37" s="32" t="s">
        <v>785</v>
      </c>
      <c r="I37" s="31" t="n">
        <v>45669</v>
      </c>
      <c r="J37" s="32" t="s">
        <v>2080</v>
      </c>
      <c r="K37" s="0" t="n">
        <v>2</v>
      </c>
      <c r="L37" s="32" t="s">
        <v>2081</v>
      </c>
      <c r="M37" s="32" t="s">
        <v>2212</v>
      </c>
      <c r="N37" s="0" t="n">
        <v>2</v>
      </c>
      <c r="O37" s="32" t="s">
        <v>786</v>
      </c>
      <c r="P37" s="32" t="s">
        <v>2213</v>
      </c>
      <c r="Q37" s="32" t="s">
        <v>2107</v>
      </c>
      <c r="R37" s="0" t="str">
        <f aca="false">IF(H37="GEN","GM",H37)</f>
        <v>RS</v>
      </c>
    </row>
    <row r="38" customFormat="false" ht="15" hidden="false" customHeight="false" outlineLevel="0" collapsed="false">
      <c r="A38" s="0" t="s">
        <v>2214</v>
      </c>
      <c r="B38" s="0" t="s">
        <v>2215</v>
      </c>
      <c r="C38" s="0" t="s">
        <v>746</v>
      </c>
      <c r="D38" s="31" t="n">
        <v>24911</v>
      </c>
      <c r="E38" s="31" t="n">
        <v>45631</v>
      </c>
      <c r="F38" s="32" t="s">
        <v>2087</v>
      </c>
      <c r="G38" s="32" t="s">
        <v>2088</v>
      </c>
      <c r="H38" s="32" t="s">
        <v>793</v>
      </c>
      <c r="I38" s="31" t="n">
        <v>45639</v>
      </c>
      <c r="J38" s="32" t="s">
        <v>2080</v>
      </c>
      <c r="K38" s="0" t="n">
        <v>8</v>
      </c>
      <c r="L38" s="32" t="s">
        <v>2081</v>
      </c>
      <c r="M38" s="32" t="s">
        <v>2136</v>
      </c>
      <c r="N38" s="0" t="n">
        <v>8</v>
      </c>
      <c r="O38" s="32" t="s">
        <v>794</v>
      </c>
      <c r="P38" s="32" t="s">
        <v>2095</v>
      </c>
      <c r="Q38" s="32" t="s">
        <v>2138</v>
      </c>
      <c r="R38" s="0" t="str">
        <f aca="false">IF(H38="GEN","GM",H38)</f>
        <v>EM</v>
      </c>
    </row>
    <row r="39" customFormat="false" ht="15" hidden="false" customHeight="false" outlineLevel="0" collapsed="false">
      <c r="A39" s="0" t="s">
        <v>2216</v>
      </c>
      <c r="B39" s="0" t="s">
        <v>2197</v>
      </c>
      <c r="C39" s="0" t="s">
        <v>910</v>
      </c>
      <c r="D39" s="31" t="n">
        <v>27587</v>
      </c>
      <c r="E39" s="31" t="n">
        <v>45653</v>
      </c>
      <c r="F39" s="32" t="s">
        <v>2087</v>
      </c>
      <c r="G39" s="32" t="s">
        <v>2079</v>
      </c>
      <c r="H39" s="32" t="s">
        <v>776</v>
      </c>
      <c r="I39" s="31" t="n">
        <v>45654</v>
      </c>
      <c r="J39" s="32" t="s">
        <v>2080</v>
      </c>
      <c r="K39" s="0" t="n">
        <v>1</v>
      </c>
      <c r="L39" s="32" t="s">
        <v>2081</v>
      </c>
      <c r="M39" s="32" t="s">
        <v>2100</v>
      </c>
      <c r="N39" s="0" t="n">
        <v>1</v>
      </c>
      <c r="O39" s="32" t="s">
        <v>777</v>
      </c>
      <c r="P39" s="32" t="s">
        <v>2090</v>
      </c>
      <c r="Q39" s="32" t="s">
        <v>2107</v>
      </c>
      <c r="R39" s="0" t="str">
        <f aca="false">IF(H39="GEN","GM",H39)</f>
        <v>GS</v>
      </c>
    </row>
    <row r="40" customFormat="false" ht="15" hidden="false" customHeight="false" outlineLevel="0" collapsed="false">
      <c r="A40" s="0" t="s">
        <v>2217</v>
      </c>
      <c r="B40" s="0" t="s">
        <v>2218</v>
      </c>
      <c r="C40" s="0" t="s">
        <v>977</v>
      </c>
      <c r="D40" s="31" t="n">
        <v>19759</v>
      </c>
      <c r="E40" s="31" t="n">
        <v>45576</v>
      </c>
      <c r="F40" s="32" t="s">
        <v>2087</v>
      </c>
      <c r="G40" s="32" t="s">
        <v>2088</v>
      </c>
      <c r="H40" s="32" t="s">
        <v>826</v>
      </c>
      <c r="I40" s="31" t="n">
        <v>45584</v>
      </c>
      <c r="J40" s="32" t="s">
        <v>2160</v>
      </c>
      <c r="K40" s="0" t="n">
        <v>8</v>
      </c>
      <c r="L40" s="32" t="s">
        <v>2081</v>
      </c>
      <c r="M40" s="32" t="s">
        <v>2116</v>
      </c>
      <c r="N40" s="0" t="n">
        <v>8</v>
      </c>
      <c r="O40" s="32" t="s">
        <v>827</v>
      </c>
      <c r="P40" s="32" t="s">
        <v>2090</v>
      </c>
      <c r="Q40" s="32" t="s">
        <v>2112</v>
      </c>
      <c r="R40" s="0" t="str">
        <f aca="false">IF(H40="GEN","GM",H40)</f>
        <v>RHE</v>
      </c>
    </row>
    <row r="41" customFormat="false" ht="15" hidden="false" customHeight="false" outlineLevel="0" collapsed="false">
      <c r="A41" s="0" t="s">
        <v>2219</v>
      </c>
      <c r="B41" s="0" t="s">
        <v>2220</v>
      </c>
      <c r="C41" s="0" t="s">
        <v>784</v>
      </c>
      <c r="D41" s="31" t="n">
        <v>36324</v>
      </c>
      <c r="E41" s="31" t="n">
        <v>45568</v>
      </c>
      <c r="F41" s="32" t="s">
        <v>2087</v>
      </c>
      <c r="G41" s="32" t="s">
        <v>2115</v>
      </c>
      <c r="H41" s="32" t="s">
        <v>758</v>
      </c>
      <c r="I41" s="31" t="n">
        <v>45568</v>
      </c>
      <c r="J41" s="32" t="s">
        <v>2080</v>
      </c>
      <c r="K41" s="0" t="n">
        <v>0</v>
      </c>
      <c r="L41" s="32" t="s">
        <v>2081</v>
      </c>
      <c r="M41" s="32" t="s">
        <v>2161</v>
      </c>
      <c r="N41" s="0" t="n">
        <v>0</v>
      </c>
      <c r="O41" s="32" t="s">
        <v>759</v>
      </c>
      <c r="P41" s="32" t="s">
        <v>2083</v>
      </c>
      <c r="Q41" s="32" t="s">
        <v>2165</v>
      </c>
      <c r="R41" s="0" t="str">
        <f aca="false">IF(H41="GEN","GM",H41)</f>
        <v>CS</v>
      </c>
    </row>
    <row r="42" customFormat="false" ht="15" hidden="false" customHeight="false" outlineLevel="0" collapsed="false">
      <c r="A42" s="0" t="s">
        <v>2221</v>
      </c>
      <c r="B42" s="0" t="s">
        <v>2200</v>
      </c>
      <c r="C42" s="0" t="s">
        <v>985</v>
      </c>
      <c r="D42" s="31" t="n">
        <v>29776</v>
      </c>
      <c r="E42" s="31" t="n">
        <v>45626</v>
      </c>
      <c r="F42" s="32" t="s">
        <v>2087</v>
      </c>
      <c r="G42" s="32" t="s">
        <v>2079</v>
      </c>
      <c r="H42" s="32" t="s">
        <v>776</v>
      </c>
      <c r="I42" s="31" t="n">
        <v>45630</v>
      </c>
      <c r="J42" s="32" t="s">
        <v>2160</v>
      </c>
      <c r="K42" s="0" t="n">
        <v>4</v>
      </c>
      <c r="M42" s="32" t="s">
        <v>2110</v>
      </c>
      <c r="N42" s="0" t="n">
        <v>4</v>
      </c>
      <c r="O42" s="32" t="s">
        <v>777</v>
      </c>
      <c r="P42" s="32" t="s">
        <v>2222</v>
      </c>
      <c r="Q42" s="32" t="s">
        <v>2091</v>
      </c>
      <c r="R42" s="0" t="str">
        <f aca="false">IF(H42="GEN","GM",H42)</f>
        <v>GS</v>
      </c>
    </row>
    <row r="43" customFormat="false" ht="15" hidden="false" customHeight="false" outlineLevel="0" collapsed="false">
      <c r="A43" s="0" t="s">
        <v>2223</v>
      </c>
      <c r="B43" s="0" t="s">
        <v>2224</v>
      </c>
      <c r="C43" s="0" t="s">
        <v>2225</v>
      </c>
      <c r="D43" s="31" t="n">
        <v>15161</v>
      </c>
      <c r="E43" s="31" t="n">
        <v>45651</v>
      </c>
      <c r="F43" s="32" t="s">
        <v>2087</v>
      </c>
      <c r="G43" s="32" t="s">
        <v>2079</v>
      </c>
      <c r="H43" s="32" t="s">
        <v>810</v>
      </c>
      <c r="I43" s="31" t="n">
        <v>45653</v>
      </c>
      <c r="J43" s="32" t="s">
        <v>2160</v>
      </c>
      <c r="K43" s="0" t="n">
        <v>2</v>
      </c>
      <c r="L43" s="32" t="s">
        <v>2081</v>
      </c>
      <c r="M43" s="32" t="s">
        <v>2128</v>
      </c>
      <c r="N43" s="0" t="n">
        <v>2</v>
      </c>
      <c r="O43" s="32" t="s">
        <v>811</v>
      </c>
      <c r="P43" s="32" t="s">
        <v>2156</v>
      </c>
      <c r="Q43" s="32" t="s">
        <v>2190</v>
      </c>
      <c r="R43" s="0" t="str">
        <f aca="false">IF(H43="GEN","GM",H43)</f>
        <v>URO</v>
      </c>
    </row>
    <row r="44" customFormat="false" ht="15" hidden="false" customHeight="false" outlineLevel="0" collapsed="false">
      <c r="A44" s="0" t="s">
        <v>2226</v>
      </c>
      <c r="B44" s="0" t="s">
        <v>2123</v>
      </c>
      <c r="C44" s="0" t="s">
        <v>1393</v>
      </c>
      <c r="D44" s="31" t="n">
        <v>33647</v>
      </c>
      <c r="E44" s="31" t="n">
        <v>45673</v>
      </c>
      <c r="F44" s="32" t="s">
        <v>2087</v>
      </c>
      <c r="G44" s="32" t="s">
        <v>2099</v>
      </c>
      <c r="H44" s="32" t="s">
        <v>766</v>
      </c>
      <c r="I44" s="31" t="n">
        <v>45678</v>
      </c>
      <c r="J44" s="32" t="s">
        <v>2080</v>
      </c>
      <c r="K44" s="0" t="n">
        <v>5</v>
      </c>
      <c r="L44" s="32" t="s">
        <v>2081</v>
      </c>
      <c r="M44" s="32" t="s">
        <v>2227</v>
      </c>
      <c r="N44" s="0" t="n">
        <v>5</v>
      </c>
      <c r="O44" s="32" t="s">
        <v>767</v>
      </c>
      <c r="P44" s="32" t="s">
        <v>2149</v>
      </c>
      <c r="Q44" s="32" t="s">
        <v>2165</v>
      </c>
      <c r="R44" s="0" t="str">
        <f aca="false">IF(H44="GEN","GM",H44)</f>
        <v>OR</v>
      </c>
    </row>
    <row r="45" customFormat="false" ht="15" hidden="false" customHeight="false" outlineLevel="0" collapsed="false">
      <c r="A45" s="0" t="s">
        <v>2228</v>
      </c>
      <c r="B45" s="0" t="s">
        <v>2229</v>
      </c>
      <c r="C45" s="0" t="s">
        <v>886</v>
      </c>
      <c r="D45" s="31" t="n">
        <v>13598</v>
      </c>
      <c r="E45" s="31" t="n">
        <v>45590</v>
      </c>
      <c r="F45" s="32" t="s">
        <v>2078</v>
      </c>
      <c r="G45" s="32" t="s">
        <v>2115</v>
      </c>
      <c r="H45" s="32" t="s">
        <v>758</v>
      </c>
      <c r="I45" s="31" t="n">
        <v>45591</v>
      </c>
      <c r="J45" s="32" t="s">
        <v>2080</v>
      </c>
      <c r="K45" s="0" t="n">
        <v>1</v>
      </c>
      <c r="L45" s="32" t="s">
        <v>2081</v>
      </c>
      <c r="M45" s="32" t="s">
        <v>2227</v>
      </c>
      <c r="N45" s="0" t="n">
        <v>1</v>
      </c>
      <c r="O45" s="32" t="s">
        <v>759</v>
      </c>
      <c r="P45" s="32" t="s">
        <v>2090</v>
      </c>
      <c r="Q45" s="32" t="s">
        <v>2096</v>
      </c>
      <c r="R45" s="0" t="str">
        <f aca="false">IF(H45="GEN","GM",H45)</f>
        <v>CS</v>
      </c>
    </row>
    <row r="46" customFormat="false" ht="15" hidden="false" customHeight="false" outlineLevel="0" collapsed="false">
      <c r="A46" s="0" t="s">
        <v>2230</v>
      </c>
      <c r="B46" s="0" t="s">
        <v>2231</v>
      </c>
      <c r="C46" s="0" t="s">
        <v>775</v>
      </c>
      <c r="D46" s="31" t="n">
        <v>14561</v>
      </c>
      <c r="E46" s="31" t="n">
        <v>45600</v>
      </c>
      <c r="F46" s="32" t="s">
        <v>2087</v>
      </c>
      <c r="G46" s="32" t="s">
        <v>2099</v>
      </c>
      <c r="H46" s="32" t="s">
        <v>818</v>
      </c>
      <c r="I46" s="31" t="n">
        <v>45613</v>
      </c>
      <c r="J46" s="32" t="s">
        <v>2080</v>
      </c>
      <c r="K46" s="0" t="n">
        <v>13</v>
      </c>
      <c r="L46" s="32" t="s">
        <v>2081</v>
      </c>
      <c r="M46" s="32" t="s">
        <v>2195</v>
      </c>
      <c r="N46" s="0" t="n">
        <v>13</v>
      </c>
      <c r="O46" s="32" t="s">
        <v>819</v>
      </c>
      <c r="P46" s="32" t="s">
        <v>2137</v>
      </c>
      <c r="Q46" s="32" t="s">
        <v>2091</v>
      </c>
      <c r="R46" s="0" t="str">
        <f aca="false">IF(H46="GEN","GM",H46)</f>
        <v>OPH</v>
      </c>
    </row>
    <row r="47" customFormat="false" ht="15" hidden="false" customHeight="false" outlineLevel="0" collapsed="false">
      <c r="A47" s="0" t="s">
        <v>2232</v>
      </c>
      <c r="B47" s="0" t="s">
        <v>2233</v>
      </c>
      <c r="C47" s="0" t="s">
        <v>926</v>
      </c>
      <c r="D47" s="31" t="n">
        <v>19845</v>
      </c>
      <c r="E47" s="31" t="n">
        <v>45568</v>
      </c>
      <c r="F47" s="32" t="s">
        <v>2078</v>
      </c>
      <c r="G47" s="32" t="s">
        <v>2099</v>
      </c>
      <c r="H47" s="32" t="s">
        <v>766</v>
      </c>
      <c r="I47" s="31" t="n">
        <v>45571</v>
      </c>
      <c r="J47" s="32" t="s">
        <v>2080</v>
      </c>
      <c r="K47" s="0" t="n">
        <v>3</v>
      </c>
      <c r="L47" s="32" t="s">
        <v>2081</v>
      </c>
      <c r="M47" s="32" t="s">
        <v>2089</v>
      </c>
      <c r="N47" s="0" t="n">
        <v>3</v>
      </c>
      <c r="O47" s="32" t="s">
        <v>767</v>
      </c>
      <c r="P47" s="32" t="s">
        <v>2156</v>
      </c>
      <c r="Q47" s="32" t="s">
        <v>2153</v>
      </c>
      <c r="R47" s="0" t="str">
        <f aca="false">IF(H47="GEN","GM",H47)</f>
        <v>OR</v>
      </c>
    </row>
    <row r="48" customFormat="false" ht="15" hidden="false" customHeight="false" outlineLevel="0" collapsed="false">
      <c r="A48" s="0" t="s">
        <v>2234</v>
      </c>
      <c r="B48" s="0" t="s">
        <v>2235</v>
      </c>
      <c r="C48" s="0" t="s">
        <v>989</v>
      </c>
      <c r="D48" s="31" t="n">
        <v>23134</v>
      </c>
      <c r="E48" s="31" t="n">
        <v>45638</v>
      </c>
      <c r="F48" s="32" t="s">
        <v>2078</v>
      </c>
      <c r="G48" s="32" t="s">
        <v>2088</v>
      </c>
      <c r="H48" s="32" t="s">
        <v>826</v>
      </c>
      <c r="I48" s="31" t="n">
        <v>45641</v>
      </c>
      <c r="J48" s="32" t="s">
        <v>2080</v>
      </c>
      <c r="K48" s="0" t="n">
        <v>3</v>
      </c>
      <c r="L48" s="32" t="s">
        <v>2081</v>
      </c>
      <c r="M48" s="32" t="s">
        <v>2161</v>
      </c>
      <c r="N48" s="0" t="n">
        <v>3</v>
      </c>
      <c r="O48" s="32" t="s">
        <v>827</v>
      </c>
      <c r="P48" s="32" t="s">
        <v>2083</v>
      </c>
      <c r="Q48" s="32" t="s">
        <v>2138</v>
      </c>
      <c r="R48" s="0" t="str">
        <f aca="false">IF(H48="GEN","GM",H48)</f>
        <v>RHE</v>
      </c>
    </row>
    <row r="49" customFormat="false" ht="15" hidden="false" customHeight="false" outlineLevel="0" collapsed="false">
      <c r="A49" s="0" t="s">
        <v>2236</v>
      </c>
      <c r="B49" s="0" t="s">
        <v>2237</v>
      </c>
      <c r="C49" s="0" t="s">
        <v>938</v>
      </c>
      <c r="D49" s="31" t="n">
        <v>25285</v>
      </c>
      <c r="E49" s="31" t="n">
        <v>45653</v>
      </c>
      <c r="F49" s="32" t="s">
        <v>2078</v>
      </c>
      <c r="G49" s="32" t="s">
        <v>2115</v>
      </c>
      <c r="H49" s="32" t="s">
        <v>758</v>
      </c>
      <c r="I49" s="31" t="n">
        <v>45655</v>
      </c>
      <c r="J49" s="32" t="s">
        <v>2080</v>
      </c>
      <c r="K49" s="0" t="n">
        <v>2</v>
      </c>
      <c r="L49" s="32" t="s">
        <v>2081</v>
      </c>
      <c r="M49" s="32" t="s">
        <v>2189</v>
      </c>
      <c r="N49" s="0" t="n">
        <v>2</v>
      </c>
      <c r="O49" s="32" t="s">
        <v>759</v>
      </c>
      <c r="P49" s="32" t="s">
        <v>2238</v>
      </c>
      <c r="Q49" s="32" t="s">
        <v>2091</v>
      </c>
      <c r="R49" s="0" t="str">
        <f aca="false">IF(H49="GEN","GM",H49)</f>
        <v>CS</v>
      </c>
    </row>
    <row r="50" customFormat="false" ht="15" hidden="false" customHeight="false" outlineLevel="0" collapsed="false">
      <c r="A50" s="0" t="s">
        <v>2239</v>
      </c>
      <c r="B50" s="0" t="s">
        <v>2240</v>
      </c>
      <c r="C50" s="0" t="s">
        <v>757</v>
      </c>
      <c r="D50" s="31" t="n">
        <v>18605</v>
      </c>
      <c r="E50" s="31" t="n">
        <v>45683</v>
      </c>
      <c r="F50" s="32" t="s">
        <v>2078</v>
      </c>
      <c r="G50" s="32" t="s">
        <v>2079</v>
      </c>
      <c r="H50" s="32" t="s">
        <v>776</v>
      </c>
      <c r="I50" s="31" t="n">
        <v>45687</v>
      </c>
      <c r="J50" s="32" t="s">
        <v>2080</v>
      </c>
      <c r="K50" s="0" t="n">
        <v>4</v>
      </c>
      <c r="L50" s="32" t="s">
        <v>2081</v>
      </c>
      <c r="M50" s="32" t="s">
        <v>2152</v>
      </c>
      <c r="N50" s="0" t="n">
        <v>4</v>
      </c>
      <c r="O50" s="32" t="s">
        <v>777</v>
      </c>
      <c r="P50" s="32" t="s">
        <v>2213</v>
      </c>
      <c r="Q50" s="32" t="s">
        <v>2241</v>
      </c>
      <c r="R50" s="0" t="str">
        <f aca="false">IF(H50="GEN","GM",H50)</f>
        <v>GS</v>
      </c>
    </row>
    <row r="51" customFormat="false" ht="15" hidden="false" customHeight="false" outlineLevel="0" collapsed="false">
      <c r="A51" s="0" t="s">
        <v>2242</v>
      </c>
      <c r="B51" s="0" t="s">
        <v>2243</v>
      </c>
      <c r="C51" s="0" t="s">
        <v>902</v>
      </c>
      <c r="D51" s="31" t="n">
        <v>18009</v>
      </c>
      <c r="E51" s="31" t="n">
        <v>45628</v>
      </c>
      <c r="F51" s="32" t="s">
        <v>2078</v>
      </c>
      <c r="G51" s="32" t="s">
        <v>2124</v>
      </c>
      <c r="H51" s="32" t="s">
        <v>785</v>
      </c>
      <c r="I51" s="31" t="n">
        <v>45628</v>
      </c>
      <c r="J51" s="32" t="s">
        <v>2080</v>
      </c>
      <c r="K51" s="0" t="n">
        <v>0</v>
      </c>
      <c r="L51" s="32" t="s">
        <v>2081</v>
      </c>
      <c r="M51" s="32" t="s">
        <v>2161</v>
      </c>
      <c r="N51" s="0" t="n">
        <v>0</v>
      </c>
      <c r="O51" s="32" t="s">
        <v>786</v>
      </c>
      <c r="P51" s="32" t="s">
        <v>2083</v>
      </c>
      <c r="Q51" s="32" t="s">
        <v>2244</v>
      </c>
      <c r="R51" s="0" t="str">
        <f aca="false">IF(H51="GEN","GM",H51)</f>
        <v>RS</v>
      </c>
    </row>
    <row r="52" customFormat="false" ht="15" hidden="false" customHeight="false" outlineLevel="0" collapsed="false">
      <c r="A52" s="0" t="s">
        <v>2245</v>
      </c>
      <c r="B52" s="0" t="s">
        <v>2246</v>
      </c>
      <c r="C52" s="0" t="s">
        <v>857</v>
      </c>
      <c r="D52" s="31" t="n">
        <v>35531</v>
      </c>
      <c r="E52" s="31" t="n">
        <v>45615</v>
      </c>
      <c r="F52" s="32" t="s">
        <v>2160</v>
      </c>
      <c r="G52" s="32" t="s">
        <v>2088</v>
      </c>
      <c r="H52" s="32" t="s">
        <v>793</v>
      </c>
      <c r="I52" s="31" t="n">
        <v>45616</v>
      </c>
      <c r="J52" s="32" t="s">
        <v>2080</v>
      </c>
      <c r="K52" s="0" t="n">
        <v>1</v>
      </c>
      <c r="L52" s="32" t="s">
        <v>2081</v>
      </c>
      <c r="M52" s="32" t="s">
        <v>2128</v>
      </c>
      <c r="N52" s="0" t="n">
        <v>1</v>
      </c>
      <c r="O52" s="32" t="s">
        <v>794</v>
      </c>
      <c r="P52" s="32" t="s">
        <v>2175</v>
      </c>
      <c r="Q52" s="32" t="s">
        <v>2125</v>
      </c>
      <c r="R52" s="0" t="str">
        <f aca="false">IF(H52="GEN","GM",H52)</f>
        <v>EM</v>
      </c>
    </row>
    <row r="53" customFormat="false" ht="15" hidden="false" customHeight="false" outlineLevel="0" collapsed="false">
      <c r="A53" s="0" t="s">
        <v>2247</v>
      </c>
      <c r="B53" s="0" t="s">
        <v>2248</v>
      </c>
      <c r="C53" s="0" t="s">
        <v>874</v>
      </c>
      <c r="D53" s="31" t="n">
        <v>15954</v>
      </c>
      <c r="E53" s="31" t="n">
        <v>45729</v>
      </c>
      <c r="F53" s="32" t="s">
        <v>2078</v>
      </c>
      <c r="G53" s="32" t="s">
        <v>2099</v>
      </c>
      <c r="H53" s="32" t="s">
        <v>818</v>
      </c>
      <c r="I53" s="31" t="n">
        <v>45732</v>
      </c>
      <c r="J53" s="32" t="s">
        <v>2080</v>
      </c>
      <c r="K53" s="0" t="n">
        <v>3</v>
      </c>
      <c r="L53" s="32" t="s">
        <v>2106</v>
      </c>
      <c r="M53" s="32" t="s">
        <v>2227</v>
      </c>
      <c r="N53" s="0" t="n">
        <v>3</v>
      </c>
      <c r="P53" s="32" t="s">
        <v>2137</v>
      </c>
      <c r="Q53" s="32" t="s">
        <v>2091</v>
      </c>
      <c r="R53" s="0" t="str">
        <f aca="false">IF(H53="GEN","GM",H53)</f>
        <v>OPH</v>
      </c>
    </row>
    <row r="54" customFormat="false" ht="15" hidden="false" customHeight="false" outlineLevel="0" collapsed="false">
      <c r="A54" s="0" t="s">
        <v>2249</v>
      </c>
      <c r="B54" s="0" t="s">
        <v>2250</v>
      </c>
      <c r="C54" s="0" t="s">
        <v>849</v>
      </c>
      <c r="D54" s="31" t="n">
        <v>17432</v>
      </c>
      <c r="E54" s="31" t="n">
        <v>45593</v>
      </c>
      <c r="F54" s="32" t="s">
        <v>2078</v>
      </c>
      <c r="G54" s="32" t="s">
        <v>2099</v>
      </c>
      <c r="H54" s="32" t="s">
        <v>766</v>
      </c>
      <c r="I54" s="31" t="n">
        <v>45595</v>
      </c>
      <c r="J54" s="32" t="s">
        <v>2080</v>
      </c>
      <c r="K54" s="0" t="n">
        <v>2</v>
      </c>
      <c r="L54" s="32" t="s">
        <v>2081</v>
      </c>
      <c r="M54" s="32" t="s">
        <v>2161</v>
      </c>
      <c r="N54" s="0" t="n">
        <v>2</v>
      </c>
      <c r="O54" s="32" t="s">
        <v>767</v>
      </c>
      <c r="P54" s="32" t="s">
        <v>2111</v>
      </c>
      <c r="Q54" s="32" t="s">
        <v>2170</v>
      </c>
      <c r="R54" s="0" t="str">
        <f aca="false">IF(H54="GEN","GM",H54)</f>
        <v>OR</v>
      </c>
    </row>
    <row r="55" customFormat="false" ht="15" hidden="false" customHeight="false" outlineLevel="0" collapsed="false">
      <c r="A55" s="0" t="s">
        <v>2251</v>
      </c>
      <c r="B55" s="0" t="s">
        <v>2252</v>
      </c>
      <c r="C55" s="0" t="s">
        <v>809</v>
      </c>
      <c r="D55" s="31" t="n">
        <v>29853</v>
      </c>
      <c r="E55" s="31" t="n">
        <v>45584</v>
      </c>
      <c r="F55" s="32" t="s">
        <v>2087</v>
      </c>
      <c r="G55" s="32" t="s">
        <v>2088</v>
      </c>
      <c r="H55" s="32" t="s">
        <v>747</v>
      </c>
      <c r="I55" s="31" t="n">
        <v>45591</v>
      </c>
      <c r="J55" s="32" t="s">
        <v>2080</v>
      </c>
      <c r="K55" s="0" t="n">
        <v>7</v>
      </c>
      <c r="L55" s="32" t="s">
        <v>2081</v>
      </c>
      <c r="M55" s="32" t="s">
        <v>2128</v>
      </c>
      <c r="N55" s="0" t="n">
        <v>7</v>
      </c>
      <c r="O55" s="32" t="s">
        <v>748</v>
      </c>
      <c r="P55" s="32" t="s">
        <v>2101</v>
      </c>
      <c r="Q55" s="32" t="s">
        <v>2091</v>
      </c>
      <c r="R55" s="0" t="str">
        <f aca="false">IF(H55="GEN","GM",H55)</f>
        <v>GM</v>
      </c>
    </row>
    <row r="56" customFormat="false" ht="15" hidden="false" customHeight="false" outlineLevel="0" collapsed="false">
      <c r="A56" s="0" t="s">
        <v>2253</v>
      </c>
      <c r="B56" s="0" t="s">
        <v>2254</v>
      </c>
      <c r="C56" s="0" t="s">
        <v>2178</v>
      </c>
      <c r="D56" s="31" t="n">
        <v>29540</v>
      </c>
      <c r="E56" s="31" t="n">
        <v>45734</v>
      </c>
      <c r="F56" s="32" t="s">
        <v>2087</v>
      </c>
      <c r="G56" s="32" t="s">
        <v>2099</v>
      </c>
      <c r="H56" s="32" t="s">
        <v>766</v>
      </c>
      <c r="I56" s="31" t="n">
        <v>45736</v>
      </c>
      <c r="J56" s="32" t="s">
        <v>2080</v>
      </c>
      <c r="K56" s="0" t="n">
        <v>2</v>
      </c>
      <c r="L56" s="32" t="s">
        <v>2081</v>
      </c>
      <c r="M56" s="32" t="s">
        <v>2255</v>
      </c>
      <c r="N56" s="0" t="n">
        <v>2</v>
      </c>
      <c r="O56" s="32" t="s">
        <v>767</v>
      </c>
      <c r="P56" s="32" t="s">
        <v>2083</v>
      </c>
      <c r="Q56" s="32" t="s">
        <v>2198</v>
      </c>
      <c r="R56" s="0" t="str">
        <f aca="false">IF(H56="GEN","GM",H56)</f>
        <v>OR</v>
      </c>
    </row>
    <row r="57" customFormat="false" ht="15" hidden="false" customHeight="false" outlineLevel="0" collapsed="false">
      <c r="A57" s="0" t="s">
        <v>2256</v>
      </c>
      <c r="B57" s="0" t="s">
        <v>2257</v>
      </c>
      <c r="C57" s="0" t="s">
        <v>922</v>
      </c>
      <c r="D57" s="31" t="n">
        <v>29813</v>
      </c>
      <c r="E57" s="31" t="n">
        <v>45643</v>
      </c>
      <c r="F57" s="32" t="s">
        <v>2258</v>
      </c>
      <c r="G57" s="32" t="s">
        <v>2088</v>
      </c>
      <c r="H57" s="32" t="s">
        <v>747</v>
      </c>
      <c r="I57" s="31" t="n">
        <v>45644</v>
      </c>
      <c r="J57" s="32" t="s">
        <v>2080</v>
      </c>
      <c r="K57" s="0" t="n">
        <v>1</v>
      </c>
      <c r="L57" s="32" t="s">
        <v>2081</v>
      </c>
      <c r="M57" s="32" t="s">
        <v>2128</v>
      </c>
      <c r="N57" s="0" t="n">
        <v>1</v>
      </c>
      <c r="O57" s="32" t="s">
        <v>748</v>
      </c>
      <c r="P57" s="32" t="s">
        <v>2201</v>
      </c>
      <c r="Q57" s="32" t="s">
        <v>2259</v>
      </c>
      <c r="R57" s="0" t="str">
        <f aca="false">IF(H57="GEN","GM",H57)</f>
        <v>GM</v>
      </c>
    </row>
    <row r="58" customFormat="false" ht="15" hidden="false" customHeight="false" outlineLevel="0" collapsed="false">
      <c r="A58" s="0" t="s">
        <v>2260</v>
      </c>
      <c r="B58" s="0" t="s">
        <v>2261</v>
      </c>
      <c r="C58" s="0" t="s">
        <v>918</v>
      </c>
      <c r="D58" s="31" t="n">
        <v>23523</v>
      </c>
      <c r="E58" s="31" t="n">
        <v>45649</v>
      </c>
      <c r="F58" s="32" t="s">
        <v>2078</v>
      </c>
      <c r="G58" s="32" t="s">
        <v>2088</v>
      </c>
      <c r="H58" s="32" t="s">
        <v>826</v>
      </c>
      <c r="I58" s="31" t="n">
        <v>45653</v>
      </c>
      <c r="J58" s="32" t="s">
        <v>2080</v>
      </c>
      <c r="K58" s="0" t="n">
        <v>4</v>
      </c>
      <c r="L58" s="32" t="s">
        <v>2081</v>
      </c>
      <c r="M58" s="32" t="s">
        <v>2128</v>
      </c>
      <c r="N58" s="0" t="n">
        <v>4</v>
      </c>
      <c r="O58" s="32" t="s">
        <v>827</v>
      </c>
      <c r="P58" s="32" t="s">
        <v>2179</v>
      </c>
      <c r="Q58" s="32" t="s">
        <v>2125</v>
      </c>
      <c r="R58" s="0" t="str">
        <f aca="false">IF(H58="GEN","GM",H58)</f>
        <v>RHE</v>
      </c>
    </row>
    <row r="59" customFormat="false" ht="15" hidden="false" customHeight="false" outlineLevel="0" collapsed="false">
      <c r="A59" s="0" t="s">
        <v>2262</v>
      </c>
      <c r="B59" s="0" t="s">
        <v>2263</v>
      </c>
      <c r="C59" s="0" t="s">
        <v>910</v>
      </c>
      <c r="D59" s="31" t="n">
        <v>13479</v>
      </c>
      <c r="E59" s="31" t="n">
        <v>45694</v>
      </c>
      <c r="F59" s="32" t="s">
        <v>2087</v>
      </c>
      <c r="G59" s="32" t="s">
        <v>2088</v>
      </c>
      <c r="H59" s="32" t="s">
        <v>793</v>
      </c>
      <c r="I59" s="31" t="n">
        <v>45699</v>
      </c>
      <c r="J59" s="32" t="s">
        <v>2105</v>
      </c>
      <c r="K59" s="0" t="n">
        <v>5</v>
      </c>
      <c r="L59" s="32" t="s">
        <v>2081</v>
      </c>
      <c r="M59" s="32" t="s">
        <v>2227</v>
      </c>
      <c r="N59" s="0" t="n">
        <v>5</v>
      </c>
      <c r="O59" s="32" t="s">
        <v>794</v>
      </c>
      <c r="P59" s="32" t="s">
        <v>2083</v>
      </c>
      <c r="Q59" s="32" t="s">
        <v>2179</v>
      </c>
      <c r="R59" s="0" t="str">
        <f aca="false">IF(H59="GEN","GM",H59)</f>
        <v>EM</v>
      </c>
    </row>
    <row r="60" customFormat="false" ht="15" hidden="false" customHeight="false" outlineLevel="0" collapsed="false">
      <c r="A60" s="0" t="s">
        <v>2264</v>
      </c>
      <c r="B60" s="0" t="s">
        <v>2265</v>
      </c>
      <c r="C60" s="0" t="s">
        <v>833</v>
      </c>
      <c r="D60" s="31" t="n">
        <v>31669</v>
      </c>
      <c r="E60" s="31" t="n">
        <v>45712</v>
      </c>
      <c r="F60" s="32" t="s">
        <v>2087</v>
      </c>
      <c r="G60" s="32" t="s">
        <v>2099</v>
      </c>
      <c r="H60" s="32" t="s">
        <v>818</v>
      </c>
      <c r="I60" s="31" t="n">
        <v>45714</v>
      </c>
      <c r="J60" s="32" t="s">
        <v>2080</v>
      </c>
      <c r="K60" s="0" t="n">
        <v>2</v>
      </c>
      <c r="L60" s="32" t="s">
        <v>2081</v>
      </c>
      <c r="M60" s="32" t="s">
        <v>2255</v>
      </c>
      <c r="N60" s="0" t="n">
        <v>2</v>
      </c>
      <c r="O60" s="32" t="s">
        <v>819</v>
      </c>
      <c r="P60" s="32" t="s">
        <v>2175</v>
      </c>
      <c r="Q60" s="32" t="s">
        <v>2170</v>
      </c>
      <c r="R60" s="0" t="str">
        <f aca="false">IF(H60="GEN","GM",H60)</f>
        <v>OPH</v>
      </c>
    </row>
    <row r="61" customFormat="false" ht="15" hidden="false" customHeight="false" outlineLevel="0" collapsed="false">
      <c r="A61" s="0" t="s">
        <v>2266</v>
      </c>
      <c r="B61" s="0" t="s">
        <v>2077</v>
      </c>
      <c r="C61" s="0" t="s">
        <v>878</v>
      </c>
      <c r="D61" s="31" t="n">
        <v>29155</v>
      </c>
      <c r="E61" s="31" t="n">
        <v>45625</v>
      </c>
      <c r="F61" s="32" t="s">
        <v>2160</v>
      </c>
      <c r="G61" s="32" t="s">
        <v>2099</v>
      </c>
      <c r="H61" s="32" t="s">
        <v>766</v>
      </c>
      <c r="I61" s="31" t="n">
        <v>45628</v>
      </c>
      <c r="J61" s="32" t="s">
        <v>2160</v>
      </c>
      <c r="K61" s="0" t="n">
        <v>3</v>
      </c>
      <c r="L61" s="32" t="s">
        <v>2081</v>
      </c>
      <c r="M61" s="32" t="s">
        <v>2195</v>
      </c>
      <c r="N61" s="0" t="n">
        <v>5</v>
      </c>
      <c r="O61" s="32" t="s">
        <v>767</v>
      </c>
      <c r="P61" s="32" t="s">
        <v>2121</v>
      </c>
      <c r="R61" s="0" t="str">
        <f aca="false">IF(H61="GEN","GM",H61)</f>
        <v>OR</v>
      </c>
    </row>
    <row r="62" customFormat="false" ht="15" hidden="false" customHeight="false" outlineLevel="0" collapsed="false">
      <c r="A62" s="0" t="s">
        <v>2267</v>
      </c>
      <c r="B62" s="0" t="s">
        <v>2172</v>
      </c>
      <c r="C62" s="0" t="s">
        <v>902</v>
      </c>
      <c r="D62" s="31" t="n">
        <v>22541</v>
      </c>
      <c r="E62" s="31" t="n">
        <v>45662</v>
      </c>
      <c r="F62" s="32" t="s">
        <v>2087</v>
      </c>
      <c r="G62" s="32" t="s">
        <v>2099</v>
      </c>
      <c r="H62" s="32" t="s">
        <v>766</v>
      </c>
      <c r="I62" s="31" t="n">
        <v>45666</v>
      </c>
      <c r="J62" s="32" t="s">
        <v>2080</v>
      </c>
      <c r="K62" s="0" t="n">
        <v>4</v>
      </c>
      <c r="L62" s="32" t="s">
        <v>2106</v>
      </c>
      <c r="M62" s="32" t="s">
        <v>2141</v>
      </c>
      <c r="N62" s="0" t="n">
        <v>4</v>
      </c>
      <c r="O62" s="32" t="s">
        <v>767</v>
      </c>
      <c r="P62" s="32" t="s">
        <v>2213</v>
      </c>
      <c r="R62" s="0" t="str">
        <f aca="false">IF(H62="GEN","GM",H62)</f>
        <v>OR</v>
      </c>
    </row>
    <row r="63" customFormat="false" ht="15" hidden="false" customHeight="false" outlineLevel="0" collapsed="false">
      <c r="A63" s="0" t="s">
        <v>2260</v>
      </c>
      <c r="B63" s="0" t="s">
        <v>2261</v>
      </c>
      <c r="C63" s="0" t="s">
        <v>918</v>
      </c>
      <c r="D63" s="31" t="n">
        <v>23523</v>
      </c>
      <c r="E63" s="31" t="n">
        <v>45649</v>
      </c>
      <c r="F63" s="32" t="s">
        <v>2078</v>
      </c>
      <c r="G63" s="32" t="s">
        <v>2079</v>
      </c>
      <c r="H63" s="32" t="s">
        <v>826</v>
      </c>
      <c r="I63" s="31" t="n">
        <v>45653</v>
      </c>
      <c r="J63" s="32" t="s">
        <v>2080</v>
      </c>
      <c r="K63" s="0" t="n">
        <v>4</v>
      </c>
      <c r="L63" s="32" t="s">
        <v>2081</v>
      </c>
      <c r="M63" s="32" t="s">
        <v>2128</v>
      </c>
      <c r="N63" s="0" t="n">
        <v>4</v>
      </c>
      <c r="O63" s="32" t="s">
        <v>827</v>
      </c>
      <c r="P63" s="32" t="s">
        <v>2179</v>
      </c>
      <c r="Q63" s="32" t="s">
        <v>2125</v>
      </c>
      <c r="R63" s="0" t="str">
        <f aca="false">IF(H63="GEN","GM",H63)</f>
        <v>RHE</v>
      </c>
    </row>
    <row r="64" customFormat="false" ht="15" hidden="false" customHeight="false" outlineLevel="0" collapsed="false">
      <c r="A64" s="0" t="s">
        <v>2268</v>
      </c>
      <c r="B64" s="0" t="s">
        <v>2269</v>
      </c>
      <c r="C64" s="0" t="s">
        <v>993</v>
      </c>
      <c r="D64" s="31" t="n">
        <v>23575</v>
      </c>
      <c r="E64" s="31" t="n">
        <v>45588</v>
      </c>
      <c r="F64" s="32" t="s">
        <v>2160</v>
      </c>
      <c r="G64" s="32" t="s">
        <v>2088</v>
      </c>
      <c r="H64" s="32" t="s">
        <v>793</v>
      </c>
      <c r="I64" s="31" t="n">
        <v>45591</v>
      </c>
      <c r="J64" s="32" t="s">
        <v>2160</v>
      </c>
      <c r="K64" s="0" t="n">
        <v>3</v>
      </c>
      <c r="L64" s="32" t="s">
        <v>2081</v>
      </c>
      <c r="M64" s="32" t="s">
        <v>2207</v>
      </c>
      <c r="N64" s="0" t="n">
        <v>5</v>
      </c>
      <c r="O64" s="32" t="s">
        <v>794</v>
      </c>
      <c r="P64" s="32" t="s">
        <v>2175</v>
      </c>
      <c r="Q64" s="32" t="s">
        <v>2165</v>
      </c>
      <c r="R64" s="0" t="str">
        <f aca="false">IF(H64="GEN","GM",H64)</f>
        <v>EM</v>
      </c>
    </row>
    <row r="65" customFormat="false" ht="15" hidden="false" customHeight="false" outlineLevel="0" collapsed="false">
      <c r="A65" s="0" t="s">
        <v>2270</v>
      </c>
      <c r="B65" s="0" t="s">
        <v>2271</v>
      </c>
      <c r="C65" s="0" t="s">
        <v>934</v>
      </c>
      <c r="D65" s="31" t="n">
        <v>15654</v>
      </c>
      <c r="E65" s="31" t="n">
        <v>45653</v>
      </c>
      <c r="F65" s="32" t="s">
        <v>2087</v>
      </c>
      <c r="G65" s="32" t="s">
        <v>2088</v>
      </c>
      <c r="H65" s="32" t="s">
        <v>747</v>
      </c>
      <c r="I65" s="31" t="n">
        <v>45662</v>
      </c>
      <c r="J65" s="32" t="s">
        <v>2080</v>
      </c>
      <c r="K65" s="0" t="n">
        <v>9</v>
      </c>
      <c r="L65" s="32" t="s">
        <v>2081</v>
      </c>
      <c r="M65" s="32" t="s">
        <v>2110</v>
      </c>
      <c r="N65" s="0" t="n">
        <v>9</v>
      </c>
      <c r="O65" s="32" t="s">
        <v>748</v>
      </c>
      <c r="P65" s="32" t="s">
        <v>2142</v>
      </c>
      <c r="Q65" s="32" t="s">
        <v>2198</v>
      </c>
      <c r="R65" s="0" t="str">
        <f aca="false">IF(H65="GEN","GM",H65)</f>
        <v>GM</v>
      </c>
    </row>
    <row r="66" customFormat="false" ht="15" hidden="false" customHeight="false" outlineLevel="0" collapsed="false">
      <c r="A66" s="0" t="s">
        <v>2272</v>
      </c>
      <c r="B66" s="0" t="s">
        <v>2273</v>
      </c>
      <c r="C66" s="0" t="s">
        <v>1410</v>
      </c>
      <c r="D66" s="31" t="n">
        <v>21985</v>
      </c>
      <c r="E66" s="31" t="n">
        <v>45603</v>
      </c>
      <c r="F66" s="32" t="s">
        <v>2087</v>
      </c>
      <c r="G66" s="32" t="s">
        <v>2104</v>
      </c>
      <c r="H66" s="32" t="s">
        <v>802</v>
      </c>
      <c r="I66" s="31" t="n">
        <v>45608</v>
      </c>
      <c r="J66" s="32" t="s">
        <v>2080</v>
      </c>
      <c r="K66" s="0" t="n">
        <v>5</v>
      </c>
      <c r="L66" s="32" t="s">
        <v>2081</v>
      </c>
      <c r="M66" s="32" t="s">
        <v>2141</v>
      </c>
      <c r="N66" s="0" t="n">
        <v>5</v>
      </c>
      <c r="O66" s="32" t="s">
        <v>803</v>
      </c>
      <c r="P66" s="32" t="s">
        <v>2182</v>
      </c>
      <c r="Q66" s="32" t="s">
        <v>2153</v>
      </c>
      <c r="R66" s="0" t="str">
        <f aca="false">IF(H66="GEN","GM",H66)</f>
        <v>GYN</v>
      </c>
    </row>
    <row r="67" customFormat="false" ht="15" hidden="false" customHeight="false" outlineLevel="0" collapsed="false">
      <c r="A67" s="0" t="s">
        <v>2274</v>
      </c>
      <c r="B67" s="0" t="s">
        <v>2254</v>
      </c>
      <c r="C67" s="0" t="s">
        <v>934</v>
      </c>
      <c r="D67" s="31" t="n">
        <v>19818</v>
      </c>
      <c r="E67" s="31" t="n">
        <v>45722</v>
      </c>
      <c r="F67" s="32" t="s">
        <v>2078</v>
      </c>
      <c r="G67" s="32" t="s">
        <v>2088</v>
      </c>
      <c r="H67" s="32" t="s">
        <v>826</v>
      </c>
      <c r="I67" s="31" t="n">
        <v>45723</v>
      </c>
      <c r="J67" s="32" t="s">
        <v>2080</v>
      </c>
      <c r="K67" s="0" t="n">
        <v>1</v>
      </c>
      <c r="L67" s="32" t="s">
        <v>2081</v>
      </c>
      <c r="M67" s="32" t="s">
        <v>2212</v>
      </c>
      <c r="N67" s="0" t="n">
        <v>1</v>
      </c>
      <c r="O67" s="32" t="s">
        <v>827</v>
      </c>
      <c r="P67" s="32" t="s">
        <v>2133</v>
      </c>
      <c r="Q67" s="32" t="s">
        <v>2241</v>
      </c>
      <c r="R67" s="0" t="str">
        <f aca="false">IF(H67="GEN","GM",H67)</f>
        <v>RHE</v>
      </c>
    </row>
    <row r="68" customFormat="false" ht="15" hidden="false" customHeight="false" outlineLevel="0" collapsed="false">
      <c r="A68" s="0" t="s">
        <v>2275</v>
      </c>
      <c r="B68" s="0" t="s">
        <v>2276</v>
      </c>
      <c r="C68" s="0" t="s">
        <v>757</v>
      </c>
      <c r="D68" s="31" t="n">
        <v>25392</v>
      </c>
      <c r="E68" s="31" t="n">
        <v>45678</v>
      </c>
      <c r="F68" s="32" t="s">
        <v>2087</v>
      </c>
      <c r="G68" s="32" t="s">
        <v>2115</v>
      </c>
      <c r="H68" s="32" t="s">
        <v>758</v>
      </c>
      <c r="I68" s="31" t="n">
        <v>45686</v>
      </c>
      <c r="J68" s="32" t="s">
        <v>2080</v>
      </c>
      <c r="K68" s="0" t="n">
        <v>8</v>
      </c>
      <c r="L68" s="32" t="s">
        <v>2081</v>
      </c>
      <c r="M68" s="32" t="s">
        <v>2094</v>
      </c>
      <c r="N68" s="0" t="n">
        <v>8</v>
      </c>
      <c r="O68" s="32" t="s">
        <v>759</v>
      </c>
      <c r="P68" s="32" t="s">
        <v>2095</v>
      </c>
      <c r="Q68" s="32" t="s">
        <v>2198</v>
      </c>
      <c r="R68" s="0" t="str">
        <f aca="false">IF(H68="GEN","GM",H68)</f>
        <v>CS</v>
      </c>
    </row>
    <row r="69" customFormat="false" ht="15" hidden="false" customHeight="false" outlineLevel="0" collapsed="false">
      <c r="A69" s="0" t="s">
        <v>2277</v>
      </c>
      <c r="B69" s="0" t="s">
        <v>2114</v>
      </c>
      <c r="C69" s="0" t="s">
        <v>1453</v>
      </c>
      <c r="D69" s="31" t="n">
        <v>17760</v>
      </c>
      <c r="E69" s="31" t="n">
        <v>45576</v>
      </c>
      <c r="F69" s="32" t="s">
        <v>2087</v>
      </c>
      <c r="G69" s="32" t="s">
        <v>2099</v>
      </c>
      <c r="H69" s="32" t="s">
        <v>818</v>
      </c>
      <c r="I69" s="31" t="n">
        <v>45580</v>
      </c>
      <c r="J69" s="32" t="s">
        <v>2080</v>
      </c>
      <c r="K69" s="0" t="n">
        <v>4</v>
      </c>
      <c r="L69" s="32" t="s">
        <v>2081</v>
      </c>
      <c r="M69" s="32" t="s">
        <v>2255</v>
      </c>
      <c r="N69" s="0" t="n">
        <v>4</v>
      </c>
      <c r="O69" s="32" t="s">
        <v>819</v>
      </c>
      <c r="P69" s="32" t="s">
        <v>2179</v>
      </c>
      <c r="Q69" s="32" t="s">
        <v>2145</v>
      </c>
      <c r="R69" s="0" t="str">
        <f aca="false">IF(H69="GEN","GM",H69)</f>
        <v>OPH</v>
      </c>
    </row>
    <row r="70" customFormat="false" ht="15" hidden="false" customHeight="false" outlineLevel="0" collapsed="false">
      <c r="A70" s="0" t="s">
        <v>2278</v>
      </c>
      <c r="B70" s="0" t="s">
        <v>2279</v>
      </c>
      <c r="C70" s="0" t="s">
        <v>1414</v>
      </c>
      <c r="D70" s="31" t="n">
        <v>17982</v>
      </c>
      <c r="E70" s="31" t="n">
        <v>45611</v>
      </c>
      <c r="F70" s="32" t="s">
        <v>2087</v>
      </c>
      <c r="G70" s="32" t="s">
        <v>2104</v>
      </c>
      <c r="H70" s="32" t="s">
        <v>802</v>
      </c>
      <c r="I70" s="31" t="n">
        <v>45615</v>
      </c>
      <c r="J70" s="32" t="s">
        <v>2160</v>
      </c>
      <c r="K70" s="0" t="n">
        <v>4</v>
      </c>
      <c r="L70" s="32" t="s">
        <v>2081</v>
      </c>
      <c r="M70" s="32" t="s">
        <v>2082</v>
      </c>
      <c r="N70" s="0" t="n">
        <v>4</v>
      </c>
      <c r="O70" s="32" t="s">
        <v>803</v>
      </c>
      <c r="P70" s="32" t="s">
        <v>2149</v>
      </c>
      <c r="Q70" s="32" t="s">
        <v>2165</v>
      </c>
      <c r="R70" s="0" t="str">
        <f aca="false">IF(H70="GEN","GM",H70)</f>
        <v>GYN</v>
      </c>
    </row>
    <row r="71" customFormat="false" ht="15" hidden="false" customHeight="false" outlineLevel="0" collapsed="false">
      <c r="A71" s="0" t="s">
        <v>2280</v>
      </c>
      <c r="B71" s="0" t="s">
        <v>2123</v>
      </c>
      <c r="C71" s="0" t="s">
        <v>874</v>
      </c>
      <c r="D71" s="31" t="n">
        <v>30572</v>
      </c>
      <c r="E71" s="31" t="n">
        <v>45604</v>
      </c>
      <c r="F71" s="32" t="s">
        <v>2078</v>
      </c>
      <c r="G71" s="32" t="s">
        <v>2088</v>
      </c>
      <c r="H71" s="32" t="s">
        <v>793</v>
      </c>
      <c r="I71" s="31" t="n">
        <v>45605</v>
      </c>
      <c r="J71" s="32" t="s">
        <v>2080</v>
      </c>
      <c r="K71" s="0" t="n">
        <v>1</v>
      </c>
      <c r="L71" s="32" t="s">
        <v>2081</v>
      </c>
      <c r="M71" s="32" t="s">
        <v>2110</v>
      </c>
      <c r="N71" s="0" t="n">
        <v>1</v>
      </c>
      <c r="O71" s="32" t="s">
        <v>794</v>
      </c>
      <c r="P71" s="32" t="s">
        <v>2111</v>
      </c>
      <c r="R71" s="0" t="str">
        <f aca="false">IF(H71="GEN","GM",H71)</f>
        <v>EM</v>
      </c>
    </row>
    <row r="72" customFormat="false" ht="15" hidden="false" customHeight="false" outlineLevel="0" collapsed="false">
      <c r="A72" s="0" t="s">
        <v>2281</v>
      </c>
      <c r="B72" s="0" t="s">
        <v>2282</v>
      </c>
      <c r="C72" s="0" t="s">
        <v>1410</v>
      </c>
      <c r="D72" s="31" t="n">
        <v>13073</v>
      </c>
      <c r="E72" s="31" t="n">
        <v>45719</v>
      </c>
      <c r="F72" s="32" t="s">
        <v>2078</v>
      </c>
      <c r="G72" s="32" t="s">
        <v>2079</v>
      </c>
      <c r="H72" s="32" t="s">
        <v>810</v>
      </c>
      <c r="I72" s="31" t="n">
        <v>45722</v>
      </c>
      <c r="J72" s="32" t="s">
        <v>2080</v>
      </c>
      <c r="K72" s="0" t="n">
        <v>3</v>
      </c>
      <c r="L72" s="32" t="s">
        <v>2081</v>
      </c>
      <c r="M72" s="32" t="s">
        <v>2283</v>
      </c>
      <c r="N72" s="0" t="n">
        <v>3</v>
      </c>
      <c r="O72" s="32" t="s">
        <v>811</v>
      </c>
      <c r="P72" s="32" t="s">
        <v>2179</v>
      </c>
      <c r="Q72" s="32" t="s">
        <v>2112</v>
      </c>
      <c r="R72" s="0" t="str">
        <f aca="false">IF(H72="GEN","GM",H72)</f>
        <v>URO</v>
      </c>
    </row>
    <row r="73" customFormat="false" ht="15" hidden="false" customHeight="false" outlineLevel="0" collapsed="false">
      <c r="A73" s="0" t="s">
        <v>2284</v>
      </c>
      <c r="B73" s="0" t="s">
        <v>2285</v>
      </c>
      <c r="C73" s="0" t="s">
        <v>845</v>
      </c>
      <c r="D73" s="31" t="n">
        <v>32208</v>
      </c>
      <c r="E73" s="31" t="n">
        <v>45682</v>
      </c>
      <c r="F73" s="32" t="s">
        <v>2087</v>
      </c>
      <c r="G73" s="32" t="s">
        <v>2088</v>
      </c>
      <c r="H73" s="32" t="s">
        <v>826</v>
      </c>
      <c r="I73" s="31" t="n">
        <v>45688</v>
      </c>
      <c r="J73" s="32" t="s">
        <v>2160</v>
      </c>
      <c r="K73" s="0" t="n">
        <v>6</v>
      </c>
      <c r="L73" s="32" t="s">
        <v>2081</v>
      </c>
      <c r="M73" s="32" t="s">
        <v>2286</v>
      </c>
      <c r="N73" s="0" t="n">
        <v>6</v>
      </c>
      <c r="O73" s="32" t="s">
        <v>827</v>
      </c>
      <c r="P73" s="32" t="s">
        <v>2201</v>
      </c>
      <c r="Q73" s="32" t="s">
        <v>2259</v>
      </c>
      <c r="R73" s="0" t="str">
        <f aca="false">IF(H73="GEN","GM",H73)</f>
        <v>RHE</v>
      </c>
    </row>
    <row r="74" customFormat="false" ht="15" hidden="false" customHeight="false" outlineLevel="0" collapsed="false">
      <c r="A74" s="0" t="s">
        <v>2287</v>
      </c>
      <c r="B74" s="0" t="s">
        <v>2288</v>
      </c>
      <c r="C74" s="0" t="s">
        <v>898</v>
      </c>
      <c r="D74" s="31" t="n">
        <v>22556</v>
      </c>
      <c r="E74" s="31" t="n">
        <v>45720</v>
      </c>
      <c r="F74" s="32" t="s">
        <v>2078</v>
      </c>
      <c r="G74" s="32" t="s">
        <v>2099</v>
      </c>
      <c r="H74" s="32" t="s">
        <v>818</v>
      </c>
      <c r="I74" s="31" t="n">
        <v>45726</v>
      </c>
      <c r="J74" s="32" t="s">
        <v>2080</v>
      </c>
      <c r="K74" s="0" t="n">
        <v>6</v>
      </c>
      <c r="L74" s="32" t="s">
        <v>2081</v>
      </c>
      <c r="M74" s="32" t="s">
        <v>2128</v>
      </c>
      <c r="N74" s="0" t="n">
        <v>6</v>
      </c>
      <c r="O74" s="32" t="s">
        <v>819</v>
      </c>
      <c r="P74" s="32" t="s">
        <v>2137</v>
      </c>
      <c r="Q74" s="32" t="s">
        <v>2241</v>
      </c>
      <c r="R74" s="0" t="str">
        <f aca="false">IF(H74="GEN","GM",H74)</f>
        <v>OPH</v>
      </c>
    </row>
    <row r="75" customFormat="false" ht="15" hidden="false" customHeight="false" outlineLevel="0" collapsed="false">
      <c r="A75" s="0" t="s">
        <v>2289</v>
      </c>
      <c r="B75" s="0" t="s">
        <v>2290</v>
      </c>
      <c r="C75" s="0" t="s">
        <v>890</v>
      </c>
      <c r="D75" s="31" t="n">
        <v>12816</v>
      </c>
      <c r="E75" s="31" t="n">
        <v>45671</v>
      </c>
      <c r="F75" s="32" t="s">
        <v>2087</v>
      </c>
      <c r="G75" s="32" t="s">
        <v>2079</v>
      </c>
      <c r="H75" s="32" t="s">
        <v>776</v>
      </c>
      <c r="I75" s="31" t="n">
        <v>45672</v>
      </c>
      <c r="J75" s="32" t="s">
        <v>2080</v>
      </c>
      <c r="K75" s="0" t="n">
        <v>1</v>
      </c>
      <c r="L75" s="32" t="s">
        <v>2106</v>
      </c>
      <c r="M75" s="32" t="s">
        <v>2152</v>
      </c>
      <c r="N75" s="0" t="n">
        <v>1</v>
      </c>
      <c r="O75" s="32" t="s">
        <v>777</v>
      </c>
      <c r="P75" s="32" t="s">
        <v>2111</v>
      </c>
      <c r="Q75" s="32" t="s">
        <v>2259</v>
      </c>
      <c r="R75" s="0" t="str">
        <f aca="false">IF(H75="GEN","GM",H75)</f>
        <v>GS</v>
      </c>
    </row>
    <row r="76" customFormat="false" ht="15" hidden="false" customHeight="false" outlineLevel="0" collapsed="false">
      <c r="A76" s="0" t="s">
        <v>2291</v>
      </c>
      <c r="B76" s="0" t="s">
        <v>2292</v>
      </c>
      <c r="C76" s="0" t="s">
        <v>775</v>
      </c>
      <c r="D76" s="31" t="n">
        <v>20921</v>
      </c>
      <c r="E76" s="31" t="n">
        <v>45689</v>
      </c>
      <c r="F76" s="32" t="s">
        <v>2087</v>
      </c>
      <c r="G76" s="32" t="s">
        <v>2079</v>
      </c>
      <c r="H76" s="32" t="s">
        <v>810</v>
      </c>
      <c r="I76" s="31" t="n">
        <v>45691</v>
      </c>
      <c r="J76" s="32" t="s">
        <v>2160</v>
      </c>
      <c r="K76" s="0" t="n">
        <v>2</v>
      </c>
      <c r="L76" s="32" t="s">
        <v>2106</v>
      </c>
      <c r="M76" s="32" t="s">
        <v>2128</v>
      </c>
      <c r="N76" s="0" t="n">
        <v>2</v>
      </c>
      <c r="O76" s="32" t="s">
        <v>811</v>
      </c>
      <c r="P76" s="32" t="s">
        <v>2083</v>
      </c>
      <c r="Q76" s="32" t="s">
        <v>2091</v>
      </c>
      <c r="R76" s="0" t="str">
        <f aca="false">IF(H76="GEN","GM",H76)</f>
        <v>URO</v>
      </c>
    </row>
    <row r="77" customFormat="false" ht="15" hidden="false" customHeight="false" outlineLevel="0" collapsed="false">
      <c r="A77" s="0" t="s">
        <v>2293</v>
      </c>
      <c r="B77" s="0" t="s">
        <v>2294</v>
      </c>
      <c r="C77" s="0" t="s">
        <v>817</v>
      </c>
      <c r="D77" s="31" t="n">
        <v>19871</v>
      </c>
      <c r="E77" s="31" t="n">
        <v>45665</v>
      </c>
      <c r="F77" s="32" t="s">
        <v>2078</v>
      </c>
      <c r="G77" s="32" t="s">
        <v>2099</v>
      </c>
      <c r="H77" s="32" t="s">
        <v>818</v>
      </c>
      <c r="I77" s="31" t="n">
        <v>45666</v>
      </c>
      <c r="J77" s="32" t="s">
        <v>2080</v>
      </c>
      <c r="K77" s="0" t="n">
        <v>1</v>
      </c>
      <c r="L77" s="32" t="s">
        <v>2081</v>
      </c>
      <c r="M77" s="32" t="s">
        <v>2212</v>
      </c>
      <c r="N77" s="0" t="n">
        <v>1</v>
      </c>
      <c r="O77" s="32" t="s">
        <v>819</v>
      </c>
      <c r="P77" s="32" t="s">
        <v>2142</v>
      </c>
      <c r="Q77" s="32" t="s">
        <v>2170</v>
      </c>
      <c r="R77" s="0" t="str">
        <f aca="false">IF(H77="GEN","GM",H77)</f>
        <v>OPH</v>
      </c>
    </row>
    <row r="78" customFormat="false" ht="15" hidden="false" customHeight="false" outlineLevel="0" collapsed="false">
      <c r="A78" s="0" t="s">
        <v>2295</v>
      </c>
      <c r="B78" s="0" t="s">
        <v>2114</v>
      </c>
      <c r="C78" s="0" t="s">
        <v>894</v>
      </c>
      <c r="D78" s="31" t="n">
        <v>17031</v>
      </c>
      <c r="E78" s="31" t="n">
        <v>45689</v>
      </c>
      <c r="F78" s="32" t="s">
        <v>2078</v>
      </c>
      <c r="G78" s="32" t="s">
        <v>2099</v>
      </c>
      <c r="H78" s="32" t="s">
        <v>818</v>
      </c>
      <c r="I78" s="31" t="n">
        <v>45693</v>
      </c>
      <c r="J78" s="32" t="s">
        <v>2080</v>
      </c>
      <c r="K78" s="0" t="n">
        <v>4</v>
      </c>
      <c r="L78" s="32" t="s">
        <v>2081</v>
      </c>
      <c r="M78" s="32" t="s">
        <v>2283</v>
      </c>
      <c r="N78" s="0" t="n">
        <v>4</v>
      </c>
      <c r="O78" s="32" t="s">
        <v>819</v>
      </c>
      <c r="Q78" s="32" t="s">
        <v>2259</v>
      </c>
      <c r="R78" s="0" t="str">
        <f aca="false">IF(H78="GEN","GM",H78)</f>
        <v>OPH</v>
      </c>
    </row>
    <row r="79" customFormat="false" ht="15" hidden="false" customHeight="false" outlineLevel="0" collapsed="false">
      <c r="A79" s="0" t="s">
        <v>2296</v>
      </c>
      <c r="B79" s="0" t="s">
        <v>2297</v>
      </c>
      <c r="C79" s="0" t="s">
        <v>837</v>
      </c>
      <c r="D79" s="31" t="n">
        <v>28339</v>
      </c>
      <c r="E79" s="31" t="n">
        <v>45729</v>
      </c>
      <c r="F79" s="32" t="s">
        <v>2078</v>
      </c>
      <c r="G79" s="32" t="s">
        <v>2124</v>
      </c>
      <c r="H79" s="32" t="s">
        <v>785</v>
      </c>
      <c r="I79" s="31" t="n">
        <v>45734</v>
      </c>
      <c r="J79" s="32" t="s">
        <v>2080</v>
      </c>
      <c r="K79" s="0" t="n">
        <v>5</v>
      </c>
      <c r="L79" s="32" t="s">
        <v>2081</v>
      </c>
      <c r="M79" s="32" t="s">
        <v>2141</v>
      </c>
      <c r="N79" s="0" t="n">
        <v>5</v>
      </c>
      <c r="O79" s="32" t="s">
        <v>786</v>
      </c>
      <c r="P79" s="32" t="s">
        <v>2156</v>
      </c>
      <c r="Q79" s="32" t="s">
        <v>2145</v>
      </c>
      <c r="R79" s="0" t="str">
        <f aca="false">IF(H79="GEN","GM",H79)</f>
        <v>RS</v>
      </c>
    </row>
    <row r="80" customFormat="false" ht="15" hidden="false" customHeight="false" outlineLevel="0" collapsed="false">
      <c r="A80" s="0" t="s">
        <v>2298</v>
      </c>
      <c r="B80" s="0" t="s">
        <v>2299</v>
      </c>
      <c r="C80" s="0" t="s">
        <v>866</v>
      </c>
      <c r="D80" s="31" t="n">
        <v>26214</v>
      </c>
      <c r="E80" s="31" t="n">
        <v>45573</v>
      </c>
      <c r="F80" s="32" t="s">
        <v>2078</v>
      </c>
      <c r="G80" s="32" t="s">
        <v>2088</v>
      </c>
      <c r="H80" s="32" t="s">
        <v>793</v>
      </c>
      <c r="I80" s="31" t="n">
        <v>45575</v>
      </c>
      <c r="J80" s="32" t="s">
        <v>2080</v>
      </c>
      <c r="K80" s="0" t="n">
        <v>2</v>
      </c>
      <c r="L80" s="32" t="s">
        <v>2081</v>
      </c>
      <c r="M80" s="32" t="s">
        <v>2136</v>
      </c>
      <c r="N80" s="0" t="n">
        <v>2</v>
      </c>
      <c r="O80" s="32" t="s">
        <v>794</v>
      </c>
      <c r="P80" s="32" t="s">
        <v>2142</v>
      </c>
      <c r="Q80" s="32" t="s">
        <v>2125</v>
      </c>
      <c r="R80" s="0" t="str">
        <f aca="false">IF(H80="GEN","GM",H80)</f>
        <v>EM</v>
      </c>
    </row>
    <row r="81" customFormat="false" ht="15" hidden="false" customHeight="false" outlineLevel="0" collapsed="false">
      <c r="A81" s="0" t="s">
        <v>2300</v>
      </c>
      <c r="B81" s="0" t="s">
        <v>2301</v>
      </c>
      <c r="C81" s="0" t="s">
        <v>833</v>
      </c>
      <c r="D81" s="31" t="n">
        <v>34612</v>
      </c>
      <c r="E81" s="31" t="n">
        <v>45730</v>
      </c>
      <c r="F81" s="32" t="s">
        <v>2078</v>
      </c>
      <c r="G81" s="32" t="s">
        <v>2079</v>
      </c>
      <c r="H81" s="32" t="s">
        <v>810</v>
      </c>
      <c r="I81" s="31" t="n">
        <v>45734</v>
      </c>
      <c r="J81" s="32" t="s">
        <v>2080</v>
      </c>
      <c r="K81" s="0" t="n">
        <v>4</v>
      </c>
      <c r="L81" s="32" t="s">
        <v>2081</v>
      </c>
      <c r="M81" s="32" t="s">
        <v>2094</v>
      </c>
      <c r="N81" s="0" t="n">
        <v>4</v>
      </c>
      <c r="O81" s="32" t="s">
        <v>811</v>
      </c>
      <c r="P81" s="32" t="s">
        <v>2083</v>
      </c>
      <c r="Q81" s="32" t="s">
        <v>2129</v>
      </c>
      <c r="R81" s="0" t="str">
        <f aca="false">IF(H81="GEN","GM",H81)</f>
        <v>URO</v>
      </c>
    </row>
    <row r="82" customFormat="false" ht="15" hidden="false" customHeight="false" outlineLevel="0" collapsed="false">
      <c r="A82" s="0" t="s">
        <v>2302</v>
      </c>
      <c r="B82" s="0" t="s">
        <v>2184</v>
      </c>
      <c r="C82" s="0" t="s">
        <v>1033</v>
      </c>
      <c r="D82" s="31" t="n">
        <v>20600</v>
      </c>
      <c r="E82" s="31" t="n">
        <v>45593</v>
      </c>
      <c r="F82" s="32" t="s">
        <v>2078</v>
      </c>
      <c r="G82" s="32" t="s">
        <v>2099</v>
      </c>
      <c r="H82" s="32" t="s">
        <v>818</v>
      </c>
      <c r="I82" s="31" t="n">
        <v>45595</v>
      </c>
      <c r="J82" s="32" t="s">
        <v>2080</v>
      </c>
      <c r="K82" s="0" t="n">
        <v>2</v>
      </c>
      <c r="L82" s="32" t="s">
        <v>2081</v>
      </c>
      <c r="M82" s="32" t="s">
        <v>2227</v>
      </c>
      <c r="N82" s="0" t="n">
        <v>2</v>
      </c>
      <c r="O82" s="32" t="s">
        <v>819</v>
      </c>
      <c r="P82" s="32" t="s">
        <v>2162</v>
      </c>
      <c r="Q82" s="32" t="s">
        <v>2112</v>
      </c>
      <c r="R82" s="0" t="str">
        <f aca="false">IF(H82="GEN","GM",H82)</f>
        <v>OPH</v>
      </c>
    </row>
    <row r="83" customFormat="false" ht="15" hidden="false" customHeight="false" outlineLevel="0" collapsed="false">
      <c r="A83" s="0" t="s">
        <v>2303</v>
      </c>
      <c r="B83" s="0" t="s">
        <v>2304</v>
      </c>
      <c r="C83" s="0" t="s">
        <v>1410</v>
      </c>
      <c r="D83" s="31" t="n">
        <v>23823</v>
      </c>
      <c r="E83" s="31" t="n">
        <v>45649</v>
      </c>
      <c r="F83" s="32" t="s">
        <v>2087</v>
      </c>
      <c r="G83" s="32" t="s">
        <v>2079</v>
      </c>
      <c r="H83" s="32" t="s">
        <v>810</v>
      </c>
      <c r="I83" s="31" t="n">
        <v>45653</v>
      </c>
      <c r="J83" s="32" t="s">
        <v>2105</v>
      </c>
      <c r="K83" s="0" t="n">
        <v>4</v>
      </c>
      <c r="L83" s="32" t="s">
        <v>2081</v>
      </c>
      <c r="M83" s="32" t="s">
        <v>2100</v>
      </c>
      <c r="N83" s="0" t="n">
        <v>4</v>
      </c>
      <c r="O83" s="32" t="s">
        <v>811</v>
      </c>
      <c r="P83" s="32" t="s">
        <v>2179</v>
      </c>
      <c r="Q83" s="32" t="s">
        <v>2179</v>
      </c>
      <c r="R83" s="0" t="str">
        <f aca="false">IF(H83="GEN","GM",H83)</f>
        <v>URO</v>
      </c>
    </row>
    <row r="84" customFormat="false" ht="15" hidden="false" customHeight="false" outlineLevel="0" collapsed="false">
      <c r="A84" s="0" t="s">
        <v>2305</v>
      </c>
      <c r="B84" s="0" t="s">
        <v>2306</v>
      </c>
      <c r="C84" s="0" t="s">
        <v>746</v>
      </c>
      <c r="D84" s="31" t="n">
        <v>19668</v>
      </c>
      <c r="E84" s="31" t="n">
        <v>45647</v>
      </c>
      <c r="F84" s="32" t="s">
        <v>2087</v>
      </c>
      <c r="G84" s="32" t="s">
        <v>2079</v>
      </c>
      <c r="H84" s="32" t="s">
        <v>810</v>
      </c>
      <c r="I84" s="31" t="n">
        <v>45650</v>
      </c>
      <c r="J84" s="32" t="s">
        <v>2307</v>
      </c>
      <c r="K84" s="0" t="n">
        <v>3</v>
      </c>
      <c r="L84" s="32" t="s">
        <v>2081</v>
      </c>
      <c r="M84" s="32" t="s">
        <v>2161</v>
      </c>
      <c r="N84" s="0" t="n">
        <v>3</v>
      </c>
      <c r="O84" s="32" t="s">
        <v>811</v>
      </c>
      <c r="P84" s="32" t="s">
        <v>2133</v>
      </c>
      <c r="Q84" s="32" t="s">
        <v>2118</v>
      </c>
      <c r="R84" s="0" t="str">
        <f aca="false">IF(H84="GEN","GM",H84)</f>
        <v>URO</v>
      </c>
    </row>
    <row r="85" customFormat="false" ht="15" hidden="false" customHeight="false" outlineLevel="0" collapsed="false">
      <c r="A85" s="0" t="s">
        <v>2308</v>
      </c>
      <c r="B85" s="0" t="s">
        <v>2135</v>
      </c>
      <c r="C85" s="0" t="s">
        <v>746</v>
      </c>
      <c r="D85" s="31" t="n">
        <v>29279</v>
      </c>
      <c r="E85" s="31" t="n">
        <v>45647</v>
      </c>
      <c r="F85" s="32" t="s">
        <v>2078</v>
      </c>
      <c r="G85" s="32" t="s">
        <v>2104</v>
      </c>
      <c r="H85" s="32" t="s">
        <v>802</v>
      </c>
      <c r="I85" s="31" t="n">
        <v>45651</v>
      </c>
      <c r="J85" s="32" t="s">
        <v>2080</v>
      </c>
      <c r="K85" s="0" t="n">
        <v>4</v>
      </c>
      <c r="L85" s="32" t="s">
        <v>2081</v>
      </c>
      <c r="M85" s="32" t="s">
        <v>2255</v>
      </c>
      <c r="N85" s="0" t="n">
        <v>4</v>
      </c>
      <c r="O85" s="32" t="s">
        <v>803</v>
      </c>
      <c r="Q85" s="32" t="s">
        <v>2118</v>
      </c>
      <c r="R85" s="0" t="str">
        <f aca="false">IF(H85="GEN","GM",H85)</f>
        <v>GYN</v>
      </c>
    </row>
    <row r="86" customFormat="false" ht="15" hidden="false" customHeight="false" outlineLevel="0" collapsed="false">
      <c r="A86" s="0" t="s">
        <v>2309</v>
      </c>
      <c r="B86" s="0" t="s">
        <v>2310</v>
      </c>
      <c r="C86" s="0" t="s">
        <v>1017</v>
      </c>
      <c r="D86" s="31" t="n">
        <v>19029</v>
      </c>
      <c r="E86" s="31" t="n">
        <v>45682</v>
      </c>
      <c r="F86" s="32" t="s">
        <v>2087</v>
      </c>
      <c r="G86" s="32" t="s">
        <v>2088</v>
      </c>
      <c r="H86" s="32" t="s">
        <v>826</v>
      </c>
      <c r="I86" s="31" t="n">
        <v>45686</v>
      </c>
      <c r="J86" s="32" t="s">
        <v>2080</v>
      </c>
      <c r="K86" s="0" t="n">
        <v>4</v>
      </c>
      <c r="L86" s="32" t="s">
        <v>2081</v>
      </c>
      <c r="M86" s="32" t="s">
        <v>2116</v>
      </c>
      <c r="N86" s="0" t="n">
        <v>4</v>
      </c>
      <c r="O86" s="32" t="s">
        <v>827</v>
      </c>
      <c r="P86" s="32" t="s">
        <v>2156</v>
      </c>
      <c r="Q86" s="32" t="s">
        <v>2112</v>
      </c>
      <c r="R86" s="0" t="str">
        <f aca="false">IF(H86="GEN","GM",H86)</f>
        <v>RHE</v>
      </c>
    </row>
    <row r="87" customFormat="false" ht="15" hidden="false" customHeight="false" outlineLevel="0" collapsed="false">
      <c r="A87" s="0" t="s">
        <v>2311</v>
      </c>
      <c r="B87" s="0" t="s">
        <v>2312</v>
      </c>
      <c r="C87" s="0" t="s">
        <v>985</v>
      </c>
      <c r="D87" s="31" t="n">
        <v>18187</v>
      </c>
      <c r="E87" s="31" t="n">
        <v>45637</v>
      </c>
      <c r="F87" s="32" t="s">
        <v>2160</v>
      </c>
      <c r="G87" s="32" t="s">
        <v>2099</v>
      </c>
      <c r="H87" s="32" t="s">
        <v>818</v>
      </c>
      <c r="I87" s="31" t="n">
        <v>45641</v>
      </c>
      <c r="J87" s="32" t="s">
        <v>2080</v>
      </c>
      <c r="K87" s="0" t="n">
        <v>4</v>
      </c>
      <c r="L87" s="32" t="s">
        <v>2106</v>
      </c>
      <c r="M87" s="32" t="s">
        <v>2128</v>
      </c>
      <c r="N87" s="0" t="n">
        <v>4</v>
      </c>
      <c r="O87" s="32" t="s">
        <v>819</v>
      </c>
      <c r="P87" s="32" t="s">
        <v>2179</v>
      </c>
      <c r="R87" s="0" t="str">
        <f aca="false">IF(H87="GEN","GM",H87)</f>
        <v>OPH</v>
      </c>
    </row>
    <row r="88" customFormat="false" ht="15" hidden="false" customHeight="false" outlineLevel="0" collapsed="false">
      <c r="A88" s="0" t="s">
        <v>2313</v>
      </c>
      <c r="B88" s="0" t="s">
        <v>2314</v>
      </c>
      <c r="C88" s="0" t="s">
        <v>2178</v>
      </c>
      <c r="D88" s="31" t="n">
        <v>28318</v>
      </c>
      <c r="E88" s="31" t="n">
        <v>45718</v>
      </c>
      <c r="F88" s="32" t="s">
        <v>2160</v>
      </c>
      <c r="G88" s="32" t="s">
        <v>2124</v>
      </c>
      <c r="H88" s="32" t="s">
        <v>785</v>
      </c>
      <c r="I88" s="31" t="n">
        <v>45724</v>
      </c>
      <c r="J88" s="32" t="s">
        <v>2080</v>
      </c>
      <c r="K88" s="0" t="n">
        <v>6</v>
      </c>
      <c r="L88" s="32" t="s">
        <v>2081</v>
      </c>
      <c r="M88" s="32" t="s">
        <v>2161</v>
      </c>
      <c r="N88" s="0" t="n">
        <v>7</v>
      </c>
      <c r="O88" s="32" t="s">
        <v>786</v>
      </c>
      <c r="P88" s="32" t="s">
        <v>2238</v>
      </c>
      <c r="Q88" s="32" t="s">
        <v>2118</v>
      </c>
      <c r="R88" s="0" t="str">
        <f aca="false">IF(H88="GEN","GM",H88)</f>
        <v>RS</v>
      </c>
    </row>
    <row r="89" customFormat="false" ht="15" hidden="false" customHeight="false" outlineLevel="0" collapsed="false">
      <c r="A89" s="0" t="s">
        <v>2315</v>
      </c>
      <c r="B89" s="0" t="s">
        <v>2316</v>
      </c>
      <c r="C89" s="0" t="s">
        <v>934</v>
      </c>
      <c r="D89" s="31" t="n">
        <v>25689</v>
      </c>
      <c r="E89" s="31" t="n">
        <v>45610</v>
      </c>
      <c r="F89" s="32" t="s">
        <v>2087</v>
      </c>
      <c r="G89" s="32" t="s">
        <v>2099</v>
      </c>
      <c r="H89" s="32" t="s">
        <v>766</v>
      </c>
      <c r="I89" s="31" t="n">
        <v>45612</v>
      </c>
      <c r="J89" s="32" t="s">
        <v>2160</v>
      </c>
      <c r="K89" s="0" t="n">
        <v>2</v>
      </c>
      <c r="L89" s="32" t="s">
        <v>2081</v>
      </c>
      <c r="M89" s="32" t="s">
        <v>2110</v>
      </c>
      <c r="N89" s="0" t="n">
        <v>2</v>
      </c>
      <c r="O89" s="32" t="s">
        <v>767</v>
      </c>
      <c r="P89" s="32" t="s">
        <v>2182</v>
      </c>
      <c r="Q89" s="32" t="s">
        <v>2157</v>
      </c>
      <c r="R89" s="0" t="str">
        <f aca="false">IF(H89="GEN","GM",H89)</f>
        <v>OR</v>
      </c>
    </row>
    <row r="90" customFormat="false" ht="15" hidden="false" customHeight="false" outlineLevel="0" collapsed="false">
      <c r="A90" s="0" t="s">
        <v>2317</v>
      </c>
      <c r="B90" s="0" t="s">
        <v>2194</v>
      </c>
      <c r="C90" s="0" t="s">
        <v>2178</v>
      </c>
      <c r="D90" s="31" t="n">
        <v>28876</v>
      </c>
      <c r="E90" s="31" t="n">
        <v>45702</v>
      </c>
      <c r="F90" s="32" t="s">
        <v>2078</v>
      </c>
      <c r="G90" s="32" t="s">
        <v>2088</v>
      </c>
      <c r="H90" s="32" t="s">
        <v>747</v>
      </c>
      <c r="I90" s="31" t="n">
        <v>45703</v>
      </c>
      <c r="J90" s="32" t="s">
        <v>2080</v>
      </c>
      <c r="K90" s="0" t="n">
        <v>1</v>
      </c>
      <c r="L90" s="32" t="s">
        <v>2081</v>
      </c>
      <c r="M90" s="32" t="s">
        <v>2094</v>
      </c>
      <c r="N90" s="0" t="n">
        <v>1</v>
      </c>
      <c r="O90" s="32" t="s">
        <v>748</v>
      </c>
      <c r="P90" s="32" t="s">
        <v>2179</v>
      </c>
      <c r="Q90" s="32" t="s">
        <v>2259</v>
      </c>
      <c r="R90" s="0" t="str">
        <f aca="false">IF(H90="GEN","GM",H90)</f>
        <v>GM</v>
      </c>
    </row>
    <row r="91" customFormat="false" ht="15" hidden="false" customHeight="false" outlineLevel="0" collapsed="false">
      <c r="A91" s="0" t="s">
        <v>2318</v>
      </c>
      <c r="B91" s="0" t="s">
        <v>2319</v>
      </c>
      <c r="C91" s="0" t="s">
        <v>930</v>
      </c>
      <c r="D91" s="31" t="n">
        <v>28254</v>
      </c>
      <c r="E91" s="31" t="n">
        <v>45716</v>
      </c>
      <c r="F91" s="32" t="s">
        <v>2087</v>
      </c>
      <c r="G91" s="32" t="s">
        <v>2079</v>
      </c>
      <c r="H91" s="32" t="s">
        <v>810</v>
      </c>
      <c r="I91" s="31" t="n">
        <v>45722</v>
      </c>
      <c r="J91" s="32" t="s">
        <v>2105</v>
      </c>
      <c r="K91" s="0" t="n">
        <v>6</v>
      </c>
      <c r="M91" s="32" t="s">
        <v>2255</v>
      </c>
      <c r="N91" s="0" t="n">
        <v>6</v>
      </c>
      <c r="O91" s="32" t="s">
        <v>811</v>
      </c>
      <c r="P91" s="32" t="s">
        <v>2121</v>
      </c>
      <c r="Q91" s="32" t="s">
        <v>2129</v>
      </c>
      <c r="R91" s="0" t="str">
        <f aca="false">IF(H91="GEN","GM",H91)</f>
        <v>URO</v>
      </c>
    </row>
    <row r="92" customFormat="false" ht="15" hidden="false" customHeight="false" outlineLevel="0" collapsed="false">
      <c r="A92" s="0" t="s">
        <v>2320</v>
      </c>
      <c r="B92" s="0" t="s">
        <v>2321</v>
      </c>
      <c r="C92" s="0" t="s">
        <v>775</v>
      </c>
      <c r="D92" s="31" t="n">
        <v>16822</v>
      </c>
      <c r="E92" s="31" t="n">
        <v>45720</v>
      </c>
      <c r="F92" s="32" t="s">
        <v>2087</v>
      </c>
      <c r="G92" s="32" t="s">
        <v>2115</v>
      </c>
      <c r="H92" s="32" t="s">
        <v>758</v>
      </c>
      <c r="I92" s="31" t="n">
        <v>45722</v>
      </c>
      <c r="J92" s="32" t="s">
        <v>2080</v>
      </c>
      <c r="K92" s="0" t="n">
        <v>2</v>
      </c>
      <c r="L92" s="32" t="s">
        <v>2081</v>
      </c>
      <c r="M92" s="32" t="s">
        <v>2286</v>
      </c>
      <c r="N92" s="0" t="n">
        <v>2</v>
      </c>
      <c r="O92" s="32" t="s">
        <v>759</v>
      </c>
      <c r="P92" s="32" t="s">
        <v>2213</v>
      </c>
      <c r="Q92" s="32" t="s">
        <v>2153</v>
      </c>
      <c r="R92" s="0" t="str">
        <f aca="false">IF(H92="GEN","GM",H92)</f>
        <v>CS</v>
      </c>
    </row>
    <row r="93" customFormat="false" ht="15" hidden="false" customHeight="false" outlineLevel="0" collapsed="false">
      <c r="A93" s="0" t="s">
        <v>2322</v>
      </c>
      <c r="B93" s="0" t="s">
        <v>2323</v>
      </c>
      <c r="C93" s="0" t="s">
        <v>874</v>
      </c>
      <c r="D93" s="31" t="n">
        <v>16217</v>
      </c>
      <c r="E93" s="31" t="n">
        <v>45583</v>
      </c>
      <c r="F93" s="32" t="s">
        <v>2078</v>
      </c>
      <c r="G93" s="32" t="s">
        <v>2088</v>
      </c>
      <c r="H93" s="32" t="s">
        <v>747</v>
      </c>
      <c r="I93" s="31" t="n">
        <v>45585</v>
      </c>
      <c r="J93" s="32" t="s">
        <v>2080</v>
      </c>
      <c r="K93" s="0" t="n">
        <v>2</v>
      </c>
      <c r="L93" s="32" t="s">
        <v>2081</v>
      </c>
      <c r="M93" s="32" t="s">
        <v>2136</v>
      </c>
      <c r="N93" s="0" t="n">
        <v>2</v>
      </c>
      <c r="O93" s="32" t="s">
        <v>748</v>
      </c>
      <c r="P93" s="32" t="s">
        <v>2121</v>
      </c>
      <c r="Q93" s="32" t="s">
        <v>2244</v>
      </c>
      <c r="R93" s="0" t="str">
        <f aca="false">IF(H93="GEN","GM",H93)</f>
        <v>GM</v>
      </c>
    </row>
    <row r="94" customFormat="false" ht="15" hidden="false" customHeight="false" outlineLevel="0" collapsed="false">
      <c r="A94" s="0" t="s">
        <v>2324</v>
      </c>
      <c r="B94" s="0" t="s">
        <v>2325</v>
      </c>
      <c r="C94" s="0" t="s">
        <v>765</v>
      </c>
      <c r="D94" s="31" t="n">
        <v>35875</v>
      </c>
      <c r="E94" s="31" t="n">
        <v>45666</v>
      </c>
      <c r="F94" s="32" t="s">
        <v>2087</v>
      </c>
      <c r="G94" s="32" t="s">
        <v>2124</v>
      </c>
      <c r="H94" s="32" t="s">
        <v>785</v>
      </c>
      <c r="I94" s="31" t="n">
        <v>45670</v>
      </c>
      <c r="J94" s="32" t="s">
        <v>2080</v>
      </c>
      <c r="K94" s="0" t="n">
        <v>4</v>
      </c>
      <c r="L94" s="32" t="s">
        <v>2081</v>
      </c>
      <c r="M94" s="32" t="s">
        <v>2141</v>
      </c>
      <c r="N94" s="0" t="n">
        <v>4</v>
      </c>
      <c r="O94" s="32" t="s">
        <v>786</v>
      </c>
      <c r="P94" s="32" t="s">
        <v>2137</v>
      </c>
      <c r="Q94" s="32" t="s">
        <v>2259</v>
      </c>
      <c r="R94" s="0" t="str">
        <f aca="false">IF(H94="GEN","GM",H94)</f>
        <v>RS</v>
      </c>
    </row>
    <row r="95" customFormat="false" ht="15" hidden="false" customHeight="false" outlineLevel="0" collapsed="false">
      <c r="A95" s="0" t="s">
        <v>2326</v>
      </c>
      <c r="B95" s="0" t="s">
        <v>2327</v>
      </c>
      <c r="C95" s="0" t="s">
        <v>946</v>
      </c>
      <c r="D95" s="31" t="n">
        <v>31433</v>
      </c>
      <c r="E95" s="31" t="n">
        <v>45586</v>
      </c>
      <c r="F95" s="32" t="s">
        <v>2160</v>
      </c>
      <c r="G95" s="32" t="s">
        <v>2088</v>
      </c>
      <c r="H95" s="32" t="s">
        <v>793</v>
      </c>
      <c r="I95" s="31" t="n">
        <v>45594</v>
      </c>
      <c r="J95" s="32" t="s">
        <v>2080</v>
      </c>
      <c r="K95" s="0" t="n">
        <v>8</v>
      </c>
      <c r="L95" s="32" t="s">
        <v>2081</v>
      </c>
      <c r="M95" s="32" t="s">
        <v>2082</v>
      </c>
      <c r="N95" s="0" t="n">
        <v>8</v>
      </c>
      <c r="O95" s="32" t="s">
        <v>794</v>
      </c>
      <c r="P95" s="32" t="s">
        <v>2175</v>
      </c>
      <c r="Q95" s="32" t="s">
        <v>2241</v>
      </c>
      <c r="R95" s="0" t="str">
        <f aca="false">IF(H95="GEN","GM",H95)</f>
        <v>EM</v>
      </c>
    </row>
    <row r="96" customFormat="false" ht="15" hidden="false" customHeight="false" outlineLevel="0" collapsed="false">
      <c r="A96" s="0" t="s">
        <v>2328</v>
      </c>
      <c r="B96" s="0" t="s">
        <v>2329</v>
      </c>
      <c r="C96" s="0" t="s">
        <v>784</v>
      </c>
      <c r="D96" s="31" t="n">
        <v>21574</v>
      </c>
      <c r="E96" s="31" t="n">
        <v>45644</v>
      </c>
      <c r="F96" s="32" t="s">
        <v>2160</v>
      </c>
      <c r="G96" s="32" t="s">
        <v>2104</v>
      </c>
      <c r="H96" s="32" t="s">
        <v>802</v>
      </c>
      <c r="I96" s="31" t="n">
        <v>45649</v>
      </c>
      <c r="J96" s="32" t="s">
        <v>2307</v>
      </c>
      <c r="K96" s="0" t="n">
        <v>5</v>
      </c>
      <c r="L96" s="32" t="s">
        <v>2081</v>
      </c>
      <c r="M96" s="32" t="s">
        <v>2089</v>
      </c>
      <c r="N96" s="0" t="n">
        <v>5</v>
      </c>
      <c r="O96" s="32" t="s">
        <v>803</v>
      </c>
      <c r="P96" s="32" t="s">
        <v>2222</v>
      </c>
      <c r="Q96" s="32" t="s">
        <v>2129</v>
      </c>
      <c r="R96" s="0" t="str">
        <f aca="false">IF(H96="GEN","GM",H96)</f>
        <v>GYN</v>
      </c>
    </row>
    <row r="97" customFormat="false" ht="15" hidden="false" customHeight="false" outlineLevel="0" collapsed="false">
      <c r="A97" s="0" t="s">
        <v>2330</v>
      </c>
      <c r="B97" s="0" t="s">
        <v>2331</v>
      </c>
      <c r="C97" s="0" t="s">
        <v>910</v>
      </c>
      <c r="D97" s="31" t="n">
        <v>16095</v>
      </c>
      <c r="E97" s="31" t="n">
        <v>45628</v>
      </c>
      <c r="F97" s="32" t="s">
        <v>2078</v>
      </c>
      <c r="G97" s="32" t="s">
        <v>2079</v>
      </c>
      <c r="H97" s="32" t="s">
        <v>810</v>
      </c>
      <c r="I97" s="31" t="n">
        <v>45631</v>
      </c>
      <c r="J97" s="32" t="s">
        <v>2080</v>
      </c>
      <c r="K97" s="0" t="n">
        <v>3</v>
      </c>
      <c r="L97" s="32" t="s">
        <v>2081</v>
      </c>
      <c r="M97" s="32" t="s">
        <v>2082</v>
      </c>
      <c r="N97" s="0" t="n">
        <v>3</v>
      </c>
      <c r="O97" s="32" t="s">
        <v>811</v>
      </c>
      <c r="P97" s="32" t="s">
        <v>2117</v>
      </c>
      <c r="Q97" s="32" t="s">
        <v>2198</v>
      </c>
      <c r="R97" s="0" t="str">
        <f aca="false">IF(H97="GEN","GM",H97)</f>
        <v>URO</v>
      </c>
    </row>
    <row r="98" customFormat="false" ht="15" hidden="false" customHeight="false" outlineLevel="0" collapsed="false">
      <c r="A98" s="0" t="s">
        <v>2332</v>
      </c>
      <c r="B98" s="0" t="s">
        <v>2333</v>
      </c>
      <c r="C98" s="0" t="s">
        <v>1001</v>
      </c>
      <c r="D98" s="31" t="n">
        <v>27812</v>
      </c>
      <c r="E98" s="31" t="n">
        <v>45651</v>
      </c>
      <c r="F98" s="32" t="s">
        <v>2087</v>
      </c>
      <c r="G98" s="32" t="s">
        <v>2079</v>
      </c>
      <c r="H98" s="32" t="s">
        <v>776</v>
      </c>
      <c r="I98" s="31" t="n">
        <v>45652</v>
      </c>
      <c r="J98" s="32" t="s">
        <v>2080</v>
      </c>
      <c r="K98" s="0" t="n">
        <v>1</v>
      </c>
      <c r="L98" s="32" t="s">
        <v>2081</v>
      </c>
      <c r="M98" s="32" t="s">
        <v>2161</v>
      </c>
      <c r="N98" s="0" t="n">
        <v>1</v>
      </c>
      <c r="O98" s="32" t="s">
        <v>777</v>
      </c>
      <c r="P98" s="32" t="s">
        <v>2101</v>
      </c>
      <c r="Q98" s="32" t="s">
        <v>2138</v>
      </c>
      <c r="R98" s="0" t="str">
        <f aca="false">IF(H98="GEN","GM",H98)</f>
        <v>GS</v>
      </c>
    </row>
    <row r="99" customFormat="false" ht="15" hidden="false" customHeight="false" outlineLevel="0" collapsed="false">
      <c r="A99" s="0" t="s">
        <v>2334</v>
      </c>
      <c r="C99" s="0" t="s">
        <v>837</v>
      </c>
      <c r="D99" s="31" t="n">
        <v>26137</v>
      </c>
      <c r="E99" s="31" t="n">
        <v>45681</v>
      </c>
      <c r="F99" s="32" t="s">
        <v>2087</v>
      </c>
      <c r="G99" s="32" t="s">
        <v>2079</v>
      </c>
      <c r="H99" s="32" t="s">
        <v>776</v>
      </c>
      <c r="I99" s="31" t="n">
        <v>45684</v>
      </c>
      <c r="J99" s="32" t="s">
        <v>2080</v>
      </c>
      <c r="K99" s="0" t="n">
        <v>3</v>
      </c>
      <c r="L99" s="32" t="s">
        <v>2081</v>
      </c>
      <c r="M99" s="32" t="s">
        <v>2212</v>
      </c>
      <c r="N99" s="0" t="n">
        <v>3</v>
      </c>
      <c r="O99" s="32" t="s">
        <v>777</v>
      </c>
      <c r="P99" s="32" t="s">
        <v>2156</v>
      </c>
      <c r="Q99" s="32" t="s">
        <v>2107</v>
      </c>
      <c r="R99" s="0" t="str">
        <f aca="false">IF(H99="GEN","GM",H99)</f>
        <v>GS</v>
      </c>
    </row>
    <row r="100" customFormat="false" ht="15" hidden="false" customHeight="false" outlineLevel="0" collapsed="false">
      <c r="A100" s="0" t="s">
        <v>2335</v>
      </c>
      <c r="B100" s="0" t="s">
        <v>2120</v>
      </c>
      <c r="C100" s="0" t="s">
        <v>981</v>
      </c>
      <c r="D100" s="31" t="n">
        <v>38238</v>
      </c>
      <c r="E100" s="31" t="n">
        <v>45687</v>
      </c>
      <c r="F100" s="32" t="s">
        <v>2087</v>
      </c>
      <c r="G100" s="32" t="s">
        <v>2088</v>
      </c>
      <c r="H100" s="32" t="s">
        <v>747</v>
      </c>
      <c r="I100" s="31" t="n">
        <v>45691</v>
      </c>
      <c r="J100" s="32" t="s">
        <v>2080</v>
      </c>
      <c r="K100" s="0" t="n">
        <v>4</v>
      </c>
      <c r="L100" s="32" t="s">
        <v>2081</v>
      </c>
      <c r="M100" s="32" t="s">
        <v>2136</v>
      </c>
      <c r="N100" s="0" t="n">
        <v>4</v>
      </c>
      <c r="O100" s="32" t="s">
        <v>748</v>
      </c>
      <c r="P100" s="32" t="s">
        <v>2179</v>
      </c>
      <c r="Q100" s="32" t="s">
        <v>2091</v>
      </c>
      <c r="R100" s="0" t="str">
        <f aca="false">IF(H100="GEN","GM",H100)</f>
        <v>GM</v>
      </c>
    </row>
    <row r="101" customFormat="false" ht="15" hidden="false" customHeight="false" outlineLevel="0" collapsed="false">
      <c r="A101" s="0" t="s">
        <v>2336</v>
      </c>
      <c r="B101" s="0" t="s">
        <v>2337</v>
      </c>
      <c r="C101" s="0" t="s">
        <v>825</v>
      </c>
      <c r="D101" s="31" t="n">
        <v>24091</v>
      </c>
      <c r="E101" s="31" t="n">
        <v>45624</v>
      </c>
      <c r="F101" s="32" t="s">
        <v>2087</v>
      </c>
      <c r="G101" s="32" t="s">
        <v>2088</v>
      </c>
      <c r="H101" s="32" t="s">
        <v>793</v>
      </c>
      <c r="I101" s="31" t="n">
        <v>45625</v>
      </c>
      <c r="J101" s="32" t="s">
        <v>2080</v>
      </c>
      <c r="K101" s="0" t="n">
        <v>1</v>
      </c>
      <c r="L101" s="32" t="s">
        <v>2081</v>
      </c>
      <c r="M101" s="32" t="s">
        <v>2161</v>
      </c>
      <c r="N101" s="0" t="n">
        <v>1</v>
      </c>
      <c r="O101" s="32" t="s">
        <v>794</v>
      </c>
      <c r="P101" s="32" t="s">
        <v>2133</v>
      </c>
      <c r="Q101" s="32" t="s">
        <v>2165</v>
      </c>
      <c r="R101" s="0" t="str">
        <f aca="false">IF(H101="GEN","GM",H101)</f>
        <v>EM</v>
      </c>
    </row>
    <row r="102" customFormat="false" ht="15" hidden="false" customHeight="false" outlineLevel="0" collapsed="false">
      <c r="A102" s="0" t="s">
        <v>2338</v>
      </c>
      <c r="B102" s="0" t="s">
        <v>2299</v>
      </c>
      <c r="C102" s="0" t="s">
        <v>894</v>
      </c>
      <c r="D102" s="31" t="n">
        <v>28186</v>
      </c>
      <c r="E102" s="31" t="n">
        <v>45653</v>
      </c>
      <c r="F102" s="32" t="s">
        <v>2087</v>
      </c>
      <c r="G102" s="32" t="s">
        <v>2079</v>
      </c>
      <c r="H102" s="32" t="s">
        <v>810</v>
      </c>
      <c r="I102" s="31" t="n">
        <v>45655</v>
      </c>
      <c r="J102" s="32" t="s">
        <v>2160</v>
      </c>
      <c r="K102" s="0" t="n">
        <v>2</v>
      </c>
      <c r="L102" s="32" t="s">
        <v>2081</v>
      </c>
      <c r="M102" s="32" t="s">
        <v>2255</v>
      </c>
      <c r="N102" s="0" t="n">
        <v>2</v>
      </c>
      <c r="O102" s="32" t="s">
        <v>811</v>
      </c>
      <c r="P102" s="32" t="s">
        <v>2137</v>
      </c>
      <c r="Q102" s="32" t="s">
        <v>2170</v>
      </c>
      <c r="R102" s="0" t="str">
        <f aca="false">IF(H102="GEN","GM",H102)</f>
        <v>URO</v>
      </c>
    </row>
    <row r="103" customFormat="false" ht="15" hidden="false" customHeight="false" outlineLevel="0" collapsed="false">
      <c r="A103" s="0" t="s">
        <v>2339</v>
      </c>
      <c r="B103" s="0" t="s">
        <v>2340</v>
      </c>
      <c r="C103" s="0" t="s">
        <v>1013</v>
      </c>
      <c r="D103" s="31" t="n">
        <v>24208</v>
      </c>
      <c r="E103" s="31" t="n">
        <v>45567</v>
      </c>
      <c r="F103" s="32" t="s">
        <v>2078</v>
      </c>
      <c r="G103" s="32" t="s">
        <v>2088</v>
      </c>
      <c r="H103" s="32" t="s">
        <v>826</v>
      </c>
      <c r="I103" s="31" t="n">
        <v>45569</v>
      </c>
      <c r="J103" s="32" t="s">
        <v>2080</v>
      </c>
      <c r="K103" s="0" t="n">
        <v>2</v>
      </c>
      <c r="L103" s="32" t="s">
        <v>2081</v>
      </c>
      <c r="M103" s="32" t="s">
        <v>2082</v>
      </c>
      <c r="N103" s="0" t="n">
        <v>2</v>
      </c>
      <c r="O103" s="32" t="s">
        <v>827</v>
      </c>
      <c r="P103" s="32" t="s">
        <v>2090</v>
      </c>
      <c r="R103" s="0" t="str">
        <f aca="false">IF(H103="GEN","GM",H103)</f>
        <v>RHE</v>
      </c>
    </row>
    <row r="104" customFormat="false" ht="15" hidden="false" customHeight="false" outlineLevel="0" collapsed="false">
      <c r="A104" s="0" t="s">
        <v>2341</v>
      </c>
      <c r="B104" s="0" t="s">
        <v>2342</v>
      </c>
      <c r="C104" s="0" t="s">
        <v>857</v>
      </c>
      <c r="D104" s="31" t="n">
        <v>29349</v>
      </c>
      <c r="E104" s="31" t="n">
        <v>45712</v>
      </c>
      <c r="F104" s="32" t="s">
        <v>2087</v>
      </c>
      <c r="G104" s="32" t="s">
        <v>2124</v>
      </c>
      <c r="H104" s="32" t="s">
        <v>785</v>
      </c>
      <c r="L104" s="32" t="s">
        <v>2081</v>
      </c>
      <c r="M104" s="32" t="s">
        <v>2227</v>
      </c>
      <c r="O104" s="32" t="s">
        <v>786</v>
      </c>
      <c r="P104" s="32" t="s">
        <v>2101</v>
      </c>
      <c r="Q104" s="32" t="s">
        <v>2165</v>
      </c>
      <c r="R104" s="0" t="str">
        <f aca="false">IF(H104="GEN","GM",H104)</f>
        <v>RS</v>
      </c>
    </row>
    <row r="105" customFormat="false" ht="15" hidden="false" customHeight="false" outlineLevel="0" collapsed="false">
      <c r="A105" s="0" t="s">
        <v>2343</v>
      </c>
      <c r="C105" s="0" t="s">
        <v>825</v>
      </c>
      <c r="D105" s="31" t="n">
        <v>31027</v>
      </c>
      <c r="E105" s="31" t="n">
        <v>45586</v>
      </c>
      <c r="F105" s="32" t="s">
        <v>2087</v>
      </c>
      <c r="G105" s="32" t="s">
        <v>2088</v>
      </c>
      <c r="H105" s="32" t="s">
        <v>826</v>
      </c>
      <c r="I105" s="31" t="n">
        <v>45591</v>
      </c>
      <c r="J105" s="32" t="s">
        <v>2080</v>
      </c>
      <c r="K105" s="0" t="n">
        <v>5</v>
      </c>
      <c r="L105" s="32" t="s">
        <v>2081</v>
      </c>
      <c r="M105" s="32" t="s">
        <v>2283</v>
      </c>
      <c r="N105" s="0" t="n">
        <v>5</v>
      </c>
      <c r="O105" s="32" t="s">
        <v>827</v>
      </c>
      <c r="P105" s="32" t="s">
        <v>2101</v>
      </c>
      <c r="Q105" s="32" t="s">
        <v>2091</v>
      </c>
      <c r="R105" s="0" t="str">
        <f aca="false">IF(H105="GEN","GM",H105)</f>
        <v>RHE</v>
      </c>
    </row>
    <row r="106" customFormat="false" ht="15" hidden="false" customHeight="false" outlineLevel="0" collapsed="false">
      <c r="A106" s="0" t="s">
        <v>2344</v>
      </c>
      <c r="B106" s="0" t="s">
        <v>2273</v>
      </c>
      <c r="C106" s="0" t="s">
        <v>962</v>
      </c>
      <c r="D106" s="31" t="n">
        <v>23989</v>
      </c>
      <c r="E106" s="31" t="n">
        <v>45648</v>
      </c>
      <c r="F106" s="32" t="s">
        <v>2087</v>
      </c>
      <c r="G106" s="32" t="s">
        <v>2079</v>
      </c>
      <c r="H106" s="32" t="s">
        <v>776</v>
      </c>
      <c r="I106" s="31" t="n">
        <v>45651</v>
      </c>
      <c r="J106" s="32" t="s">
        <v>2080</v>
      </c>
      <c r="K106" s="0" t="n">
        <v>3</v>
      </c>
      <c r="L106" s="32" t="s">
        <v>2081</v>
      </c>
      <c r="M106" s="32" t="s">
        <v>2152</v>
      </c>
      <c r="N106" s="0" t="n">
        <v>3</v>
      </c>
      <c r="O106" s="32" t="s">
        <v>777</v>
      </c>
      <c r="P106" s="32" t="s">
        <v>2156</v>
      </c>
      <c r="Q106" s="32" t="s">
        <v>2096</v>
      </c>
      <c r="R106" s="0" t="str">
        <f aca="false">IF(H106="GEN","GM",H106)</f>
        <v>GS</v>
      </c>
    </row>
    <row r="107" customFormat="false" ht="15" hidden="false" customHeight="false" outlineLevel="0" collapsed="false">
      <c r="A107" s="0" t="s">
        <v>2345</v>
      </c>
      <c r="B107" s="0" t="s">
        <v>2346</v>
      </c>
      <c r="C107" s="0" t="s">
        <v>817</v>
      </c>
      <c r="D107" s="31" t="n">
        <v>21765</v>
      </c>
      <c r="E107" s="31" t="n">
        <v>45608</v>
      </c>
      <c r="F107" s="32" t="s">
        <v>2078</v>
      </c>
      <c r="G107" s="32" t="s">
        <v>2124</v>
      </c>
      <c r="H107" s="32" t="s">
        <v>785</v>
      </c>
      <c r="I107" s="31" t="n">
        <v>45610</v>
      </c>
      <c r="J107" s="32" t="s">
        <v>2160</v>
      </c>
      <c r="K107" s="0" t="n">
        <v>2</v>
      </c>
      <c r="L107" s="32" t="s">
        <v>2081</v>
      </c>
      <c r="M107" s="32" t="s">
        <v>2110</v>
      </c>
      <c r="N107" s="0" t="n">
        <v>2</v>
      </c>
      <c r="O107" s="32" t="s">
        <v>786</v>
      </c>
      <c r="P107" s="32" t="s">
        <v>2182</v>
      </c>
      <c r="R107" s="0" t="str">
        <f aca="false">IF(H107="GEN","GM",H107)</f>
        <v>RS</v>
      </c>
    </row>
    <row r="108" customFormat="false" ht="15" hidden="false" customHeight="false" outlineLevel="0" collapsed="false">
      <c r="A108" s="0" t="s">
        <v>2347</v>
      </c>
      <c r="B108" s="0" t="s">
        <v>2348</v>
      </c>
      <c r="C108" s="0" t="s">
        <v>910</v>
      </c>
      <c r="D108" s="31" t="n">
        <v>37206</v>
      </c>
      <c r="E108" s="31" t="n">
        <v>45701</v>
      </c>
      <c r="F108" s="32" t="s">
        <v>2078</v>
      </c>
      <c r="G108" s="32" t="s">
        <v>2088</v>
      </c>
      <c r="H108" s="32" t="s">
        <v>793</v>
      </c>
      <c r="I108" s="31" t="n">
        <v>45706</v>
      </c>
      <c r="J108" s="32" t="s">
        <v>2080</v>
      </c>
      <c r="K108" s="0" t="n">
        <v>5</v>
      </c>
      <c r="L108" s="32" t="s">
        <v>2081</v>
      </c>
      <c r="M108" s="32" t="s">
        <v>2283</v>
      </c>
      <c r="N108" s="0" t="n">
        <v>5</v>
      </c>
      <c r="O108" s="32" t="s">
        <v>794</v>
      </c>
      <c r="P108" s="32" t="s">
        <v>2142</v>
      </c>
      <c r="Q108" s="32" t="s">
        <v>2129</v>
      </c>
      <c r="R108" s="0" t="str">
        <f aca="false">IF(H108="GEN","GM",H108)</f>
        <v>EM</v>
      </c>
    </row>
    <row r="109" customFormat="false" ht="15" hidden="false" customHeight="false" outlineLevel="0" collapsed="false">
      <c r="A109" s="0" t="s">
        <v>2349</v>
      </c>
      <c r="B109" s="0" t="s">
        <v>2350</v>
      </c>
      <c r="C109" s="0" t="s">
        <v>938</v>
      </c>
      <c r="D109" s="31" t="n">
        <v>21271</v>
      </c>
      <c r="E109" s="31" t="n">
        <v>45647</v>
      </c>
      <c r="F109" s="32" t="s">
        <v>2087</v>
      </c>
      <c r="G109" s="32" t="s">
        <v>2099</v>
      </c>
      <c r="H109" s="32" t="s">
        <v>766</v>
      </c>
      <c r="I109" s="31" t="n">
        <v>45651</v>
      </c>
      <c r="J109" s="32" t="s">
        <v>2080</v>
      </c>
      <c r="K109" s="0" t="n">
        <v>4</v>
      </c>
      <c r="L109" s="32" t="s">
        <v>2081</v>
      </c>
      <c r="M109" s="32" t="s">
        <v>2207</v>
      </c>
      <c r="N109" s="0" t="n">
        <v>4</v>
      </c>
      <c r="O109" s="32" t="s">
        <v>767</v>
      </c>
      <c r="P109" s="32" t="s">
        <v>2121</v>
      </c>
      <c r="Q109" s="32" t="s">
        <v>2138</v>
      </c>
      <c r="R109" s="0" t="str">
        <f aca="false">IF(H109="GEN","GM",H109)</f>
        <v>OR</v>
      </c>
    </row>
    <row r="110" customFormat="false" ht="15" hidden="false" customHeight="false" outlineLevel="0" collapsed="false">
      <c r="A110" s="0" t="s">
        <v>2351</v>
      </c>
      <c r="B110" s="0" t="s">
        <v>2352</v>
      </c>
      <c r="C110" s="0" t="s">
        <v>954</v>
      </c>
      <c r="D110" s="31" t="n">
        <v>19748</v>
      </c>
      <c r="E110" s="31" t="n">
        <v>45712</v>
      </c>
      <c r="F110" s="32" t="s">
        <v>2087</v>
      </c>
      <c r="G110" s="32" t="s">
        <v>2124</v>
      </c>
      <c r="H110" s="32" t="s">
        <v>785</v>
      </c>
      <c r="I110" s="31" t="n">
        <v>45717</v>
      </c>
      <c r="J110" s="32" t="s">
        <v>2307</v>
      </c>
      <c r="K110" s="0" t="n">
        <v>5</v>
      </c>
      <c r="L110" s="32" t="s">
        <v>2106</v>
      </c>
      <c r="M110" s="32" t="s">
        <v>2082</v>
      </c>
      <c r="N110" s="0" t="n">
        <v>5</v>
      </c>
      <c r="O110" s="32" t="s">
        <v>786</v>
      </c>
      <c r="P110" s="32" t="s">
        <v>2133</v>
      </c>
      <c r="Q110" s="32" t="s">
        <v>2198</v>
      </c>
      <c r="R110" s="0" t="str">
        <f aca="false">IF(H110="GEN","GM",H110)</f>
        <v>RS</v>
      </c>
    </row>
    <row r="111" customFormat="false" ht="15" hidden="false" customHeight="false" outlineLevel="0" collapsed="false">
      <c r="A111" s="0" t="s">
        <v>2353</v>
      </c>
      <c r="B111" s="0" t="s">
        <v>2354</v>
      </c>
      <c r="C111" s="0" t="s">
        <v>890</v>
      </c>
      <c r="D111" s="31" t="n">
        <v>37372</v>
      </c>
      <c r="E111" s="31" t="n">
        <v>45588</v>
      </c>
      <c r="F111" s="32" t="s">
        <v>2087</v>
      </c>
      <c r="G111" s="32" t="s">
        <v>2099</v>
      </c>
      <c r="H111" s="32" t="s">
        <v>818</v>
      </c>
      <c r="I111" s="31" t="n">
        <v>45601</v>
      </c>
      <c r="J111" s="32" t="s">
        <v>2080</v>
      </c>
      <c r="K111" s="0" t="n">
        <v>13</v>
      </c>
      <c r="L111" s="32" t="s">
        <v>2081</v>
      </c>
      <c r="M111" s="32" t="s">
        <v>2255</v>
      </c>
      <c r="N111" s="0" t="n">
        <v>13</v>
      </c>
      <c r="O111" s="32" t="s">
        <v>819</v>
      </c>
      <c r="P111" s="32" t="s">
        <v>2175</v>
      </c>
      <c r="Q111" s="32" t="s">
        <v>2138</v>
      </c>
      <c r="R111" s="0" t="str">
        <f aca="false">IF(H111="GEN","GM",H111)</f>
        <v>OPH</v>
      </c>
    </row>
    <row r="112" customFormat="false" ht="15" hidden="false" customHeight="false" outlineLevel="0" collapsed="false">
      <c r="A112" s="0" t="s">
        <v>2355</v>
      </c>
      <c r="B112" s="0" t="s">
        <v>2224</v>
      </c>
      <c r="C112" s="0" t="s">
        <v>837</v>
      </c>
      <c r="D112" s="31" t="n">
        <v>22995</v>
      </c>
      <c r="E112" s="31" t="n">
        <v>45674</v>
      </c>
      <c r="F112" s="32" t="s">
        <v>2087</v>
      </c>
      <c r="G112" s="32" t="s">
        <v>2099</v>
      </c>
      <c r="H112" s="32" t="s">
        <v>766</v>
      </c>
      <c r="I112" s="31" t="n">
        <v>45680</v>
      </c>
      <c r="J112" s="32" t="s">
        <v>2080</v>
      </c>
      <c r="K112" s="0" t="n">
        <v>6</v>
      </c>
      <c r="L112" s="32" t="s">
        <v>2081</v>
      </c>
      <c r="M112" s="32" t="s">
        <v>2128</v>
      </c>
      <c r="N112" s="0" t="n">
        <v>6</v>
      </c>
      <c r="O112" s="32" t="s">
        <v>767</v>
      </c>
      <c r="P112" s="32" t="s">
        <v>2238</v>
      </c>
      <c r="Q112" s="32" t="s">
        <v>2138</v>
      </c>
      <c r="R112" s="0" t="str">
        <f aca="false">IF(H112="GEN","GM",H112)</f>
        <v>OR</v>
      </c>
    </row>
    <row r="113" customFormat="false" ht="15" hidden="false" customHeight="false" outlineLevel="0" collapsed="false">
      <c r="A113" s="0" t="s">
        <v>2356</v>
      </c>
      <c r="B113" s="0" t="s">
        <v>2357</v>
      </c>
      <c r="C113" s="0" t="s">
        <v>1033</v>
      </c>
      <c r="D113" s="31" t="n">
        <v>19090</v>
      </c>
      <c r="E113" s="31" t="n">
        <v>45709</v>
      </c>
      <c r="F113" s="32" t="s">
        <v>2087</v>
      </c>
      <c r="G113" s="32" t="s">
        <v>2124</v>
      </c>
      <c r="H113" s="32" t="s">
        <v>785</v>
      </c>
      <c r="I113" s="31" t="n">
        <v>45715</v>
      </c>
      <c r="J113" s="32" t="s">
        <v>2080</v>
      </c>
      <c r="K113" s="0" t="n">
        <v>6</v>
      </c>
      <c r="L113" s="32" t="s">
        <v>2081</v>
      </c>
      <c r="M113" s="32" t="s">
        <v>2195</v>
      </c>
      <c r="N113" s="0" t="n">
        <v>6</v>
      </c>
      <c r="O113" s="32" t="s">
        <v>786</v>
      </c>
      <c r="P113" s="32" t="s">
        <v>2137</v>
      </c>
      <c r="Q113" s="32" t="s">
        <v>2107</v>
      </c>
      <c r="R113" s="0" t="str">
        <f aca="false">IF(H113="GEN","GM",H113)</f>
        <v>RS</v>
      </c>
    </row>
    <row r="114" customFormat="false" ht="15" hidden="false" customHeight="false" outlineLevel="0" collapsed="false">
      <c r="A114" s="0" t="s">
        <v>2358</v>
      </c>
      <c r="B114" s="0" t="s">
        <v>2359</v>
      </c>
      <c r="C114" s="0" t="s">
        <v>981</v>
      </c>
      <c r="D114" s="31" t="n">
        <v>35352</v>
      </c>
      <c r="E114" s="31" t="n">
        <v>45570</v>
      </c>
      <c r="F114" s="32" t="s">
        <v>2087</v>
      </c>
      <c r="G114" s="32" t="s">
        <v>2115</v>
      </c>
      <c r="H114" s="32" t="s">
        <v>758</v>
      </c>
      <c r="I114" s="31" t="n">
        <v>45577</v>
      </c>
      <c r="J114" s="32" t="s">
        <v>2080</v>
      </c>
      <c r="K114" s="0" t="n">
        <v>7</v>
      </c>
      <c r="L114" s="32" t="s">
        <v>2081</v>
      </c>
      <c r="M114" s="32" t="s">
        <v>2212</v>
      </c>
      <c r="N114" s="0" t="n">
        <v>7</v>
      </c>
      <c r="O114" s="32" t="s">
        <v>759</v>
      </c>
      <c r="P114" s="32" t="s">
        <v>2142</v>
      </c>
      <c r="Q114" s="32" t="s">
        <v>2145</v>
      </c>
      <c r="R114" s="0" t="str">
        <f aca="false">IF(H114="GEN","GM",H114)</f>
        <v>CS</v>
      </c>
    </row>
    <row r="115" customFormat="false" ht="15" hidden="false" customHeight="false" outlineLevel="0" collapsed="false">
      <c r="A115" s="0" t="s">
        <v>2360</v>
      </c>
      <c r="B115" s="0" t="s">
        <v>2361</v>
      </c>
      <c r="C115" s="0" t="s">
        <v>886</v>
      </c>
      <c r="D115" s="31" t="n">
        <v>17465</v>
      </c>
      <c r="E115" s="31" t="n">
        <v>45643</v>
      </c>
      <c r="F115" s="32" t="s">
        <v>2078</v>
      </c>
      <c r="G115" s="32" t="s">
        <v>2088</v>
      </c>
      <c r="H115" s="32" t="s">
        <v>793</v>
      </c>
      <c r="I115" s="31" t="n">
        <v>45645</v>
      </c>
      <c r="J115" s="32" t="s">
        <v>2080</v>
      </c>
      <c r="K115" s="0" t="n">
        <v>2</v>
      </c>
      <c r="L115" s="32" t="s">
        <v>2081</v>
      </c>
      <c r="M115" s="32" t="s">
        <v>2255</v>
      </c>
      <c r="N115" s="0" t="n">
        <v>2</v>
      </c>
      <c r="O115" s="32" t="s">
        <v>794</v>
      </c>
      <c r="P115" s="32" t="s">
        <v>2101</v>
      </c>
      <c r="Q115" s="32" t="s">
        <v>2259</v>
      </c>
      <c r="R115" s="0" t="str">
        <f aca="false">IF(H115="GEN","GM",H115)</f>
        <v>EM</v>
      </c>
    </row>
    <row r="116" customFormat="false" ht="15" hidden="false" customHeight="false" outlineLevel="0" collapsed="false">
      <c r="A116" s="0" t="s">
        <v>2362</v>
      </c>
      <c r="B116" s="0" t="s">
        <v>2363</v>
      </c>
      <c r="C116" s="0" t="s">
        <v>1419</v>
      </c>
      <c r="D116" s="31" t="n">
        <v>37973</v>
      </c>
      <c r="E116" s="31" t="n">
        <v>45570</v>
      </c>
      <c r="F116" s="32" t="s">
        <v>2087</v>
      </c>
      <c r="G116" s="32" t="s">
        <v>2115</v>
      </c>
      <c r="H116" s="32" t="s">
        <v>758</v>
      </c>
      <c r="I116" s="31" t="n">
        <v>45574</v>
      </c>
      <c r="J116" s="32" t="s">
        <v>2160</v>
      </c>
      <c r="K116" s="0" t="n">
        <v>4</v>
      </c>
      <c r="L116" s="32" t="s">
        <v>2081</v>
      </c>
      <c r="M116" s="32" t="s">
        <v>2141</v>
      </c>
      <c r="N116" s="0" t="n">
        <v>4</v>
      </c>
      <c r="O116" s="32" t="s">
        <v>759</v>
      </c>
      <c r="P116" s="32" t="s">
        <v>2121</v>
      </c>
      <c r="Q116" s="32" t="s">
        <v>2107</v>
      </c>
      <c r="R116" s="0" t="str">
        <f aca="false">IF(H116="GEN","GM",H116)</f>
        <v>CS</v>
      </c>
    </row>
    <row r="117" customFormat="false" ht="15" hidden="false" customHeight="false" outlineLevel="0" collapsed="false">
      <c r="A117" s="0" t="s">
        <v>2364</v>
      </c>
      <c r="B117" s="0" t="s">
        <v>2365</v>
      </c>
      <c r="C117" s="0" t="s">
        <v>857</v>
      </c>
      <c r="D117" s="31" t="n">
        <v>22343</v>
      </c>
      <c r="E117" s="31" t="n">
        <v>45676</v>
      </c>
      <c r="F117" s="32" t="s">
        <v>2078</v>
      </c>
      <c r="G117" s="32" t="s">
        <v>2115</v>
      </c>
      <c r="H117" s="32" t="s">
        <v>758</v>
      </c>
      <c r="I117" s="31" t="n">
        <v>45676</v>
      </c>
      <c r="J117" s="32" t="s">
        <v>2080</v>
      </c>
      <c r="K117" s="0" t="n">
        <v>0</v>
      </c>
      <c r="L117" s="32" t="s">
        <v>2106</v>
      </c>
      <c r="M117" s="32" t="s">
        <v>2082</v>
      </c>
      <c r="N117" s="0" t="n">
        <v>0</v>
      </c>
      <c r="O117" s="32" t="s">
        <v>759</v>
      </c>
      <c r="P117" s="32" t="s">
        <v>2121</v>
      </c>
      <c r="Q117" s="32" t="s">
        <v>2198</v>
      </c>
      <c r="R117" s="0" t="str">
        <f aca="false">IF(H117="GEN","GM",H117)</f>
        <v>CS</v>
      </c>
    </row>
    <row r="118" customFormat="false" ht="15" hidden="false" customHeight="false" outlineLevel="0" collapsed="false">
      <c r="A118" s="0" t="s">
        <v>2366</v>
      </c>
      <c r="B118" s="0" t="s">
        <v>2367</v>
      </c>
      <c r="C118" s="0" t="s">
        <v>775</v>
      </c>
      <c r="D118" s="31" t="n">
        <v>16889</v>
      </c>
      <c r="E118" s="31" t="n">
        <v>45722</v>
      </c>
      <c r="F118" s="32" t="s">
        <v>2087</v>
      </c>
      <c r="G118" s="32" t="s">
        <v>2088</v>
      </c>
      <c r="H118" s="32" t="s">
        <v>793</v>
      </c>
      <c r="I118" s="31" t="n">
        <v>45724</v>
      </c>
      <c r="J118" s="32" t="s">
        <v>2368</v>
      </c>
      <c r="K118" s="0" t="n">
        <v>2</v>
      </c>
      <c r="L118" s="32" t="s">
        <v>2081</v>
      </c>
      <c r="M118" s="32" t="s">
        <v>2152</v>
      </c>
      <c r="N118" s="0" t="n">
        <v>4</v>
      </c>
      <c r="O118" s="32" t="s">
        <v>794</v>
      </c>
      <c r="P118" s="32" t="s">
        <v>2121</v>
      </c>
      <c r="Q118" s="32" t="s">
        <v>2170</v>
      </c>
      <c r="R118" s="0" t="str">
        <f aca="false">IF(H118="GEN","GM",H118)</f>
        <v>EM</v>
      </c>
    </row>
    <row r="119" customFormat="false" ht="15" hidden="false" customHeight="false" outlineLevel="0" collapsed="false">
      <c r="A119" s="0" t="s">
        <v>2369</v>
      </c>
      <c r="B119" s="0" t="s">
        <v>2370</v>
      </c>
      <c r="C119" s="0" t="s">
        <v>886</v>
      </c>
      <c r="D119" s="31" t="n">
        <v>33546</v>
      </c>
      <c r="E119" s="31" t="n">
        <v>45670</v>
      </c>
      <c r="F119" s="32" t="s">
        <v>2078</v>
      </c>
      <c r="G119" s="32" t="s">
        <v>2104</v>
      </c>
      <c r="H119" s="32" t="s">
        <v>802</v>
      </c>
      <c r="I119" s="31" t="n">
        <v>45671</v>
      </c>
      <c r="J119" s="32" t="s">
        <v>2080</v>
      </c>
      <c r="K119" s="0" t="n">
        <v>1</v>
      </c>
      <c r="L119" s="32" t="s">
        <v>2081</v>
      </c>
      <c r="M119" s="32" t="s">
        <v>2094</v>
      </c>
      <c r="N119" s="0" t="n">
        <v>1</v>
      </c>
      <c r="O119" s="32" t="s">
        <v>803</v>
      </c>
      <c r="P119" s="32" t="s">
        <v>2133</v>
      </c>
      <c r="Q119" s="32" t="s">
        <v>2096</v>
      </c>
      <c r="R119" s="0" t="str">
        <f aca="false">IF(H119="GEN","GM",H119)</f>
        <v>GYN</v>
      </c>
    </row>
    <row r="120" customFormat="false" ht="15" hidden="false" customHeight="false" outlineLevel="0" collapsed="false">
      <c r="A120" s="0" t="s">
        <v>2371</v>
      </c>
      <c r="B120" s="0" t="s">
        <v>2372</v>
      </c>
      <c r="C120" s="0" t="s">
        <v>906</v>
      </c>
      <c r="D120" s="31" t="n">
        <v>38543</v>
      </c>
      <c r="E120" s="31" t="n">
        <v>45660</v>
      </c>
      <c r="F120" s="32" t="s">
        <v>2160</v>
      </c>
      <c r="G120" s="32" t="s">
        <v>2115</v>
      </c>
      <c r="H120" s="32" t="s">
        <v>758</v>
      </c>
      <c r="I120" s="31" t="n">
        <v>45663</v>
      </c>
      <c r="J120" s="32" t="s">
        <v>2080</v>
      </c>
      <c r="K120" s="0" t="n">
        <v>3</v>
      </c>
      <c r="L120" s="32" t="s">
        <v>2081</v>
      </c>
      <c r="M120" s="32" t="s">
        <v>2128</v>
      </c>
      <c r="N120" s="0" t="n">
        <v>3</v>
      </c>
      <c r="O120" s="32" t="s">
        <v>759</v>
      </c>
      <c r="P120" s="32" t="s">
        <v>2101</v>
      </c>
      <c r="Q120" s="32" t="s">
        <v>2179</v>
      </c>
      <c r="R120" s="0" t="str">
        <f aca="false">IF(H120="GEN","GM",H120)</f>
        <v>CS</v>
      </c>
    </row>
    <row r="121" customFormat="false" ht="15" hidden="false" customHeight="false" outlineLevel="0" collapsed="false">
      <c r="A121" s="0" t="s">
        <v>2373</v>
      </c>
      <c r="B121" s="0" t="s">
        <v>2374</v>
      </c>
      <c r="C121" s="0" t="s">
        <v>853</v>
      </c>
      <c r="D121" s="31" t="n">
        <v>23582</v>
      </c>
      <c r="E121" s="31" t="n">
        <v>45730</v>
      </c>
      <c r="F121" s="32" t="s">
        <v>2087</v>
      </c>
      <c r="G121" s="32" t="s">
        <v>2088</v>
      </c>
      <c r="H121" s="32" t="s">
        <v>826</v>
      </c>
      <c r="I121" s="31" t="n">
        <v>45741</v>
      </c>
      <c r="J121" s="32" t="s">
        <v>2105</v>
      </c>
      <c r="K121" s="0" t="n">
        <v>11</v>
      </c>
      <c r="L121" s="32" t="s">
        <v>2081</v>
      </c>
      <c r="M121" s="32" t="s">
        <v>2100</v>
      </c>
      <c r="N121" s="0" t="n">
        <v>11</v>
      </c>
      <c r="O121" s="32" t="s">
        <v>827</v>
      </c>
      <c r="P121" s="32" t="s">
        <v>2201</v>
      </c>
      <c r="Q121" s="32" t="s">
        <v>2138</v>
      </c>
      <c r="R121" s="0" t="str">
        <f aca="false">IF(H121="GEN","GM",H121)</f>
        <v>RHE</v>
      </c>
    </row>
    <row r="122" customFormat="false" ht="15" hidden="false" customHeight="false" outlineLevel="0" collapsed="false">
      <c r="A122" s="0" t="s">
        <v>2375</v>
      </c>
      <c r="B122" s="0" t="s">
        <v>2376</v>
      </c>
      <c r="C122" s="0" t="s">
        <v>775</v>
      </c>
      <c r="D122" s="31" t="n">
        <v>21021</v>
      </c>
      <c r="E122" s="31" t="n">
        <v>45699</v>
      </c>
      <c r="F122" s="32" t="s">
        <v>2087</v>
      </c>
      <c r="G122" s="32" t="s">
        <v>2115</v>
      </c>
      <c r="H122" s="32" t="s">
        <v>758</v>
      </c>
      <c r="I122" s="31" t="n">
        <v>45705</v>
      </c>
      <c r="J122" s="32" t="s">
        <v>2080</v>
      </c>
      <c r="K122" s="0" t="n">
        <v>6</v>
      </c>
      <c r="L122" s="32" t="s">
        <v>2081</v>
      </c>
      <c r="M122" s="32" t="s">
        <v>2283</v>
      </c>
      <c r="N122" s="0" t="n">
        <v>6</v>
      </c>
      <c r="O122" s="32" t="s">
        <v>759</v>
      </c>
      <c r="P122" s="32" t="s">
        <v>2121</v>
      </c>
      <c r="Q122" s="32" t="s">
        <v>2157</v>
      </c>
      <c r="R122" s="0" t="str">
        <f aca="false">IF(H122="GEN","GM",H122)</f>
        <v>CS</v>
      </c>
    </row>
    <row r="123" customFormat="false" ht="15" hidden="false" customHeight="false" outlineLevel="0" collapsed="false">
      <c r="A123" s="0" t="s">
        <v>2322</v>
      </c>
      <c r="B123" s="0" t="s">
        <v>2323</v>
      </c>
      <c r="C123" s="0" t="s">
        <v>874</v>
      </c>
      <c r="D123" s="31" t="n">
        <v>16217</v>
      </c>
      <c r="E123" s="31" t="n">
        <v>45583</v>
      </c>
      <c r="F123" s="32" t="s">
        <v>2078</v>
      </c>
      <c r="G123" s="32" t="s">
        <v>2088</v>
      </c>
      <c r="H123" s="32" t="s">
        <v>747</v>
      </c>
      <c r="I123" s="31" t="n">
        <v>45585</v>
      </c>
      <c r="J123" s="32" t="s">
        <v>2080</v>
      </c>
      <c r="K123" s="0" t="n">
        <v>2</v>
      </c>
      <c r="L123" s="32" t="s">
        <v>2081</v>
      </c>
      <c r="M123" s="32" t="s">
        <v>2136</v>
      </c>
      <c r="N123" s="0" t="n">
        <v>2</v>
      </c>
      <c r="O123" s="32" t="s">
        <v>748</v>
      </c>
      <c r="P123" s="32" t="s">
        <v>2121</v>
      </c>
      <c r="Q123" s="32" t="s">
        <v>2244</v>
      </c>
      <c r="R123" s="0" t="str">
        <f aca="false">IF(H123="GEN","GM",H123)</f>
        <v>GM</v>
      </c>
    </row>
    <row r="124" customFormat="false" ht="15" hidden="false" customHeight="false" outlineLevel="0" collapsed="false">
      <c r="A124" s="0" t="s">
        <v>2377</v>
      </c>
      <c r="B124" s="0" t="s">
        <v>2378</v>
      </c>
      <c r="C124" s="0" t="s">
        <v>784</v>
      </c>
      <c r="D124" s="31" t="n">
        <v>21085</v>
      </c>
      <c r="E124" s="31" t="n">
        <v>45665</v>
      </c>
      <c r="F124" s="32" t="s">
        <v>2087</v>
      </c>
      <c r="G124" s="32" t="s">
        <v>2079</v>
      </c>
      <c r="H124" s="32" t="s">
        <v>810</v>
      </c>
      <c r="I124" s="31" t="n">
        <v>45669</v>
      </c>
      <c r="J124" s="32" t="s">
        <v>2080</v>
      </c>
      <c r="K124" s="0" t="n">
        <v>4</v>
      </c>
      <c r="L124" s="32" t="s">
        <v>2081</v>
      </c>
      <c r="M124" s="32" t="s">
        <v>2227</v>
      </c>
      <c r="N124" s="0" t="n">
        <v>4</v>
      </c>
      <c r="O124" s="32" t="s">
        <v>811</v>
      </c>
      <c r="P124" s="32" t="s">
        <v>2095</v>
      </c>
      <c r="Q124" s="32" t="s">
        <v>2157</v>
      </c>
      <c r="R124" s="0" t="str">
        <f aca="false">IF(H124="GEN","GM",H124)</f>
        <v>URO</v>
      </c>
    </row>
    <row r="125" customFormat="false" ht="15" hidden="false" customHeight="false" outlineLevel="0" collapsed="false">
      <c r="A125" s="0" t="s">
        <v>2379</v>
      </c>
      <c r="B125" s="0" t="s">
        <v>2250</v>
      </c>
      <c r="C125" s="0" t="s">
        <v>809</v>
      </c>
      <c r="D125" s="31" t="n">
        <v>14155</v>
      </c>
      <c r="E125" s="31" t="n">
        <v>45653</v>
      </c>
      <c r="F125" s="32" t="s">
        <v>2078</v>
      </c>
      <c r="G125" s="32" t="s">
        <v>2088</v>
      </c>
      <c r="H125" s="32" t="s">
        <v>826</v>
      </c>
      <c r="I125" s="31" t="n">
        <v>45655</v>
      </c>
      <c r="J125" s="32" t="s">
        <v>2080</v>
      </c>
      <c r="K125" s="0" t="n">
        <v>2</v>
      </c>
      <c r="L125" s="32" t="s">
        <v>2081</v>
      </c>
      <c r="M125" s="32" t="s">
        <v>2286</v>
      </c>
      <c r="N125" s="0" t="n">
        <v>2</v>
      </c>
      <c r="O125" s="32" t="s">
        <v>827</v>
      </c>
      <c r="P125" s="32" t="s">
        <v>2121</v>
      </c>
      <c r="Q125" s="32" t="s">
        <v>2125</v>
      </c>
      <c r="R125" s="0" t="str">
        <f aca="false">IF(H125="GEN","GM",H125)</f>
        <v>RHE</v>
      </c>
    </row>
    <row r="126" customFormat="false" ht="15" hidden="false" customHeight="false" outlineLevel="0" collapsed="false">
      <c r="A126" s="0" t="s">
        <v>2380</v>
      </c>
      <c r="B126" s="0" t="s">
        <v>2381</v>
      </c>
      <c r="C126" s="0" t="s">
        <v>1013</v>
      </c>
      <c r="D126" s="31" t="n">
        <v>36716</v>
      </c>
      <c r="E126" s="31" t="n">
        <v>45712</v>
      </c>
      <c r="F126" s="32" t="s">
        <v>2078</v>
      </c>
      <c r="G126" s="32" t="s">
        <v>2088</v>
      </c>
      <c r="H126" s="32" t="s">
        <v>747</v>
      </c>
      <c r="I126" s="31" t="n">
        <v>45713</v>
      </c>
      <c r="J126" s="32" t="s">
        <v>2080</v>
      </c>
      <c r="K126" s="0" t="n">
        <v>1</v>
      </c>
      <c r="L126" s="32" t="s">
        <v>2081</v>
      </c>
      <c r="M126" s="32" t="s">
        <v>2255</v>
      </c>
      <c r="N126" s="0" t="n">
        <v>1</v>
      </c>
      <c r="O126" s="32" t="s">
        <v>748</v>
      </c>
      <c r="P126" s="32" t="s">
        <v>2238</v>
      </c>
      <c r="Q126" s="32" t="s">
        <v>2091</v>
      </c>
      <c r="R126" s="0" t="str">
        <f aca="false">IF(H126="GEN","GM",H126)</f>
        <v>GM</v>
      </c>
    </row>
    <row r="127" customFormat="false" ht="15" hidden="false" customHeight="false" outlineLevel="0" collapsed="false">
      <c r="A127" s="0" t="s">
        <v>2382</v>
      </c>
      <c r="B127" s="0" t="s">
        <v>2383</v>
      </c>
      <c r="C127" s="0" t="s">
        <v>1001</v>
      </c>
      <c r="D127" s="31" t="n">
        <v>23308</v>
      </c>
      <c r="E127" s="31" t="n">
        <v>45583</v>
      </c>
      <c r="F127" s="32" t="s">
        <v>2160</v>
      </c>
      <c r="G127" s="32" t="s">
        <v>2088</v>
      </c>
      <c r="H127" s="32" t="s">
        <v>826</v>
      </c>
      <c r="I127" s="31" t="n">
        <v>45588</v>
      </c>
      <c r="J127" s="32" t="s">
        <v>2080</v>
      </c>
      <c r="K127" s="0" t="n">
        <v>5</v>
      </c>
      <c r="L127" s="32" t="s">
        <v>2081</v>
      </c>
      <c r="M127" s="32" t="s">
        <v>2094</v>
      </c>
      <c r="N127" s="0" t="n">
        <v>5</v>
      </c>
      <c r="O127" s="32" t="s">
        <v>827</v>
      </c>
      <c r="P127" s="32" t="s">
        <v>2133</v>
      </c>
      <c r="Q127" s="32" t="s">
        <v>2084</v>
      </c>
      <c r="R127" s="0" t="str">
        <f aca="false">IF(H127="GEN","GM",H127)</f>
        <v>RHE</v>
      </c>
    </row>
    <row r="128" customFormat="false" ht="15" hidden="false" customHeight="false" outlineLevel="0" collapsed="false">
      <c r="A128" s="0" t="s">
        <v>2384</v>
      </c>
      <c r="B128" s="0" t="s">
        <v>2385</v>
      </c>
      <c r="C128" s="0" t="s">
        <v>765</v>
      </c>
      <c r="D128" s="31" t="n">
        <v>36969</v>
      </c>
      <c r="E128" s="31" t="n">
        <v>45723</v>
      </c>
      <c r="F128" s="32" t="s">
        <v>2087</v>
      </c>
      <c r="G128" s="32" t="s">
        <v>2079</v>
      </c>
      <c r="H128" s="32" t="s">
        <v>810</v>
      </c>
      <c r="I128" s="31" t="n">
        <v>45731</v>
      </c>
      <c r="J128" s="32" t="s">
        <v>2080</v>
      </c>
      <c r="K128" s="0" t="n">
        <v>8</v>
      </c>
      <c r="L128" s="32" t="s">
        <v>2081</v>
      </c>
      <c r="M128" s="32" t="s">
        <v>2195</v>
      </c>
      <c r="N128" s="0" t="n">
        <v>8</v>
      </c>
      <c r="O128" s="32" t="s">
        <v>811</v>
      </c>
      <c r="P128" s="32" t="s">
        <v>2182</v>
      </c>
      <c r="Q128" s="32" t="s">
        <v>2125</v>
      </c>
      <c r="R128" s="0" t="str">
        <f aca="false">IF(H128="GEN","GM",H128)</f>
        <v>URO</v>
      </c>
    </row>
    <row r="129" customFormat="false" ht="15" hidden="false" customHeight="false" outlineLevel="0" collapsed="false">
      <c r="A129" s="0" t="s">
        <v>2386</v>
      </c>
      <c r="B129" s="0" t="s">
        <v>2233</v>
      </c>
      <c r="C129" s="0" t="s">
        <v>930</v>
      </c>
      <c r="D129" s="31" t="n">
        <v>26243</v>
      </c>
      <c r="E129" s="31" t="n">
        <v>45573</v>
      </c>
      <c r="F129" s="32" t="s">
        <v>2078</v>
      </c>
      <c r="G129" s="32" t="s">
        <v>2104</v>
      </c>
      <c r="H129" s="32" t="s">
        <v>802</v>
      </c>
      <c r="I129" s="31" t="n">
        <v>45574</v>
      </c>
      <c r="J129" s="32" t="s">
        <v>2080</v>
      </c>
      <c r="K129" s="0" t="n">
        <v>1</v>
      </c>
      <c r="L129" s="32" t="s">
        <v>2081</v>
      </c>
      <c r="M129" s="32" t="s">
        <v>2189</v>
      </c>
      <c r="N129" s="0" t="n">
        <v>1</v>
      </c>
      <c r="O129" s="32" t="s">
        <v>803</v>
      </c>
      <c r="P129" s="32" t="s">
        <v>2213</v>
      </c>
      <c r="Q129" s="32" t="s">
        <v>2091</v>
      </c>
      <c r="R129" s="0" t="str">
        <f aca="false">IF(H129="GEN","GM",H129)</f>
        <v>GYN</v>
      </c>
    </row>
    <row r="130" customFormat="false" ht="15" hidden="false" customHeight="false" outlineLevel="0" collapsed="false">
      <c r="A130" s="0" t="s">
        <v>2387</v>
      </c>
      <c r="B130" s="0" t="s">
        <v>2388</v>
      </c>
      <c r="C130" s="0" t="s">
        <v>765</v>
      </c>
      <c r="D130" s="31" t="n">
        <v>15383</v>
      </c>
      <c r="E130" s="31" t="n">
        <v>45589</v>
      </c>
      <c r="F130" s="32" t="s">
        <v>2087</v>
      </c>
      <c r="G130" s="32" t="s">
        <v>2104</v>
      </c>
      <c r="H130" s="32" t="s">
        <v>802</v>
      </c>
      <c r="I130" s="31" t="n">
        <v>45592</v>
      </c>
      <c r="J130" s="32" t="s">
        <v>2080</v>
      </c>
      <c r="K130" s="0" t="n">
        <v>3</v>
      </c>
      <c r="L130" s="32" t="s">
        <v>2081</v>
      </c>
      <c r="M130" s="32" t="s">
        <v>2116</v>
      </c>
      <c r="N130" s="0" t="n">
        <v>3</v>
      </c>
      <c r="O130" s="32" t="s">
        <v>803</v>
      </c>
      <c r="P130" s="32" t="s">
        <v>2238</v>
      </c>
      <c r="Q130" s="32" t="s">
        <v>2107</v>
      </c>
      <c r="R130" s="0" t="str">
        <f aca="false">IF(H130="GEN","GM",H130)</f>
        <v>GYN</v>
      </c>
    </row>
    <row r="131" customFormat="false" ht="15" hidden="false" customHeight="false" outlineLevel="0" collapsed="false">
      <c r="A131" s="0" t="s">
        <v>2389</v>
      </c>
      <c r="B131" s="0" t="s">
        <v>2174</v>
      </c>
      <c r="C131" s="0" t="s">
        <v>993</v>
      </c>
      <c r="D131" s="31" t="n">
        <v>23930</v>
      </c>
      <c r="E131" s="31" t="n">
        <v>45716</v>
      </c>
      <c r="F131" s="32" t="s">
        <v>2078</v>
      </c>
      <c r="G131" s="32" t="s">
        <v>2124</v>
      </c>
      <c r="H131" s="32" t="s">
        <v>785</v>
      </c>
      <c r="I131" s="31" t="n">
        <v>45717</v>
      </c>
      <c r="J131" s="32" t="s">
        <v>2080</v>
      </c>
      <c r="K131" s="0" t="n">
        <v>1</v>
      </c>
      <c r="L131" s="32" t="s">
        <v>2081</v>
      </c>
      <c r="M131" s="32" t="s">
        <v>2110</v>
      </c>
      <c r="N131" s="0" t="n">
        <v>1</v>
      </c>
      <c r="O131" s="32" t="s">
        <v>786</v>
      </c>
      <c r="Q131" s="32" t="s">
        <v>2096</v>
      </c>
      <c r="R131" s="0" t="str">
        <f aca="false">IF(H131="GEN","GM",H131)</f>
        <v>RS</v>
      </c>
    </row>
    <row r="132" customFormat="false" ht="15" hidden="false" customHeight="false" outlineLevel="0" collapsed="false">
      <c r="A132" s="0" t="s">
        <v>2390</v>
      </c>
      <c r="B132" s="0" t="s">
        <v>2391</v>
      </c>
      <c r="C132" s="0" t="s">
        <v>801</v>
      </c>
      <c r="D132" s="31" t="n">
        <v>23880</v>
      </c>
      <c r="E132" s="31" t="n">
        <v>45702</v>
      </c>
      <c r="F132" s="32" t="s">
        <v>2078</v>
      </c>
      <c r="G132" s="32" t="s">
        <v>2088</v>
      </c>
      <c r="H132" s="32" t="s">
        <v>793</v>
      </c>
      <c r="I132" s="31" t="n">
        <v>45707</v>
      </c>
      <c r="J132" s="32" t="s">
        <v>2160</v>
      </c>
      <c r="K132" s="0" t="n">
        <v>5</v>
      </c>
      <c r="L132" s="32" t="s">
        <v>2081</v>
      </c>
      <c r="M132" s="32" t="s">
        <v>2132</v>
      </c>
      <c r="N132" s="0" t="n">
        <v>5</v>
      </c>
      <c r="O132" s="32" t="s">
        <v>794</v>
      </c>
      <c r="P132" s="32" t="s">
        <v>2101</v>
      </c>
      <c r="Q132" s="32" t="s">
        <v>2129</v>
      </c>
      <c r="R132" s="0" t="str">
        <f aca="false">IF(H132="GEN","GM",H132)</f>
        <v>EM</v>
      </c>
    </row>
    <row r="133" customFormat="false" ht="15" hidden="false" customHeight="false" outlineLevel="0" collapsed="false">
      <c r="A133" s="0" t="s">
        <v>2392</v>
      </c>
      <c r="B133" s="0" t="s">
        <v>2393</v>
      </c>
      <c r="C133" s="0" t="s">
        <v>784</v>
      </c>
      <c r="D133" s="31" t="n">
        <v>25626</v>
      </c>
      <c r="E133" s="31" t="n">
        <v>45591</v>
      </c>
      <c r="F133" s="32" t="s">
        <v>2087</v>
      </c>
      <c r="G133" s="32" t="s">
        <v>2088</v>
      </c>
      <c r="H133" s="32" t="s">
        <v>793</v>
      </c>
      <c r="I133" s="31" t="n">
        <v>45598</v>
      </c>
      <c r="J133" s="32" t="s">
        <v>2080</v>
      </c>
      <c r="K133" s="0" t="n">
        <v>7</v>
      </c>
      <c r="L133" s="32" t="s">
        <v>2081</v>
      </c>
      <c r="M133" s="32" t="s">
        <v>2283</v>
      </c>
      <c r="N133" s="0" t="n">
        <v>7</v>
      </c>
      <c r="O133" s="32" t="s">
        <v>794</v>
      </c>
      <c r="P133" s="32" t="s">
        <v>2101</v>
      </c>
      <c r="Q133" s="32" t="s">
        <v>2129</v>
      </c>
      <c r="R133" s="0" t="str">
        <f aca="false">IF(H133="GEN","GM",H133)</f>
        <v>EM</v>
      </c>
    </row>
    <row r="134" customFormat="false" ht="15" hidden="false" customHeight="false" outlineLevel="0" collapsed="false">
      <c r="A134" s="0" t="s">
        <v>2394</v>
      </c>
      <c r="B134" s="0" t="s">
        <v>2361</v>
      </c>
      <c r="C134" s="0" t="s">
        <v>950</v>
      </c>
      <c r="D134" s="31" t="n">
        <v>27670</v>
      </c>
      <c r="E134" s="31" t="n">
        <v>45647</v>
      </c>
      <c r="F134" s="32" t="s">
        <v>2078</v>
      </c>
      <c r="G134" s="32" t="s">
        <v>2099</v>
      </c>
      <c r="H134" s="32" t="s">
        <v>766</v>
      </c>
      <c r="I134" s="31" t="n">
        <v>45649</v>
      </c>
      <c r="J134" s="32" t="s">
        <v>2080</v>
      </c>
      <c r="K134" s="0" t="n">
        <v>2</v>
      </c>
      <c r="L134" s="32" t="s">
        <v>2106</v>
      </c>
      <c r="M134" s="32" t="s">
        <v>2227</v>
      </c>
      <c r="N134" s="0" t="n">
        <v>2</v>
      </c>
      <c r="O134" s="32" t="s">
        <v>767</v>
      </c>
      <c r="R134" s="0" t="str">
        <f aca="false">IF(H134="GEN","GM",H134)</f>
        <v>OR</v>
      </c>
    </row>
    <row r="135" customFormat="false" ht="15" hidden="false" customHeight="false" outlineLevel="0" collapsed="false">
      <c r="A135" s="0" t="s">
        <v>2395</v>
      </c>
      <c r="B135" s="0" t="s">
        <v>2396</v>
      </c>
      <c r="C135" s="0" t="s">
        <v>910</v>
      </c>
      <c r="D135" s="31" t="n">
        <v>17021</v>
      </c>
      <c r="E135" s="31" t="n">
        <v>45588</v>
      </c>
      <c r="F135" s="32" t="s">
        <v>2078</v>
      </c>
      <c r="G135" s="32" t="s">
        <v>2088</v>
      </c>
      <c r="H135" s="32" t="s">
        <v>747</v>
      </c>
      <c r="I135" s="31" t="n">
        <v>45595</v>
      </c>
      <c r="J135" s="32" t="s">
        <v>2080</v>
      </c>
      <c r="K135" s="0" t="n">
        <v>7</v>
      </c>
      <c r="L135" s="32" t="s">
        <v>2081</v>
      </c>
      <c r="M135" s="32" t="s">
        <v>2132</v>
      </c>
      <c r="N135" s="0" t="n">
        <v>7</v>
      </c>
      <c r="O135" s="32" t="s">
        <v>748</v>
      </c>
      <c r="P135" s="32" t="s">
        <v>2162</v>
      </c>
      <c r="Q135" s="32" t="s">
        <v>2084</v>
      </c>
      <c r="R135" s="0" t="str">
        <f aca="false">IF(H135="GEN","GM",H135)</f>
        <v>GM</v>
      </c>
    </row>
    <row r="136" customFormat="false" ht="15" hidden="false" customHeight="false" outlineLevel="0" collapsed="false">
      <c r="A136" s="0" t="s">
        <v>2397</v>
      </c>
      <c r="B136" s="0" t="s">
        <v>2398</v>
      </c>
      <c r="C136" s="0" t="s">
        <v>902</v>
      </c>
      <c r="D136" s="31" t="n">
        <v>26289</v>
      </c>
      <c r="E136" s="31" t="n">
        <v>45626</v>
      </c>
      <c r="F136" s="32" t="s">
        <v>2078</v>
      </c>
      <c r="G136" s="32" t="s">
        <v>2099</v>
      </c>
      <c r="H136" s="32" t="s">
        <v>766</v>
      </c>
      <c r="I136" s="31" t="n">
        <v>45629</v>
      </c>
      <c r="J136" s="32" t="s">
        <v>2080</v>
      </c>
      <c r="K136" s="0" t="n">
        <v>3</v>
      </c>
      <c r="L136" s="32" t="s">
        <v>2081</v>
      </c>
      <c r="M136" s="32" t="s">
        <v>2089</v>
      </c>
      <c r="N136" s="0" t="n">
        <v>3</v>
      </c>
      <c r="O136" s="32" t="s">
        <v>767</v>
      </c>
      <c r="P136" s="32" t="s">
        <v>2182</v>
      </c>
      <c r="Q136" s="32" t="s">
        <v>2198</v>
      </c>
      <c r="R136" s="0" t="str">
        <f aca="false">IF(H136="GEN","GM",H136)</f>
        <v>OR</v>
      </c>
    </row>
    <row r="137" customFormat="false" ht="15" hidden="false" customHeight="false" outlineLevel="0" collapsed="false">
      <c r="A137" s="0" t="s">
        <v>2399</v>
      </c>
      <c r="B137" s="0" t="s">
        <v>2400</v>
      </c>
      <c r="C137" s="0" t="s">
        <v>914</v>
      </c>
      <c r="D137" s="31" t="n">
        <v>34870</v>
      </c>
      <c r="E137" s="31" t="n">
        <v>45667</v>
      </c>
      <c r="F137" s="32" t="s">
        <v>2087</v>
      </c>
      <c r="G137" s="32" t="s">
        <v>2088</v>
      </c>
      <c r="H137" s="32" t="s">
        <v>1391</v>
      </c>
      <c r="I137" s="31" t="n">
        <v>45672</v>
      </c>
      <c r="J137" s="32" t="s">
        <v>2080</v>
      </c>
      <c r="K137" s="0" t="n">
        <v>5</v>
      </c>
      <c r="L137" s="32" t="s">
        <v>2081</v>
      </c>
      <c r="M137" s="32" t="s">
        <v>2286</v>
      </c>
      <c r="N137" s="0" t="n">
        <v>5</v>
      </c>
      <c r="O137" s="32" t="s">
        <v>748</v>
      </c>
      <c r="P137" s="32" t="s">
        <v>2222</v>
      </c>
      <c r="Q137" s="32" t="s">
        <v>2153</v>
      </c>
      <c r="R137" s="0" t="str">
        <f aca="false">IF(H137="GEN","GM",H137)</f>
        <v>GM</v>
      </c>
    </row>
    <row r="138" customFormat="false" ht="15" hidden="false" customHeight="false" outlineLevel="0" collapsed="false">
      <c r="A138" s="0" t="s">
        <v>2401</v>
      </c>
      <c r="B138" s="0" t="s">
        <v>2402</v>
      </c>
      <c r="C138" s="0" t="s">
        <v>1390</v>
      </c>
      <c r="D138" s="31" t="n">
        <v>25914</v>
      </c>
      <c r="E138" s="31" t="n">
        <v>45698</v>
      </c>
      <c r="F138" s="32" t="s">
        <v>2087</v>
      </c>
      <c r="G138" s="32" t="s">
        <v>2088</v>
      </c>
      <c r="H138" s="32" t="s">
        <v>826</v>
      </c>
      <c r="I138" s="31" t="n">
        <v>45701</v>
      </c>
      <c r="J138" s="32" t="s">
        <v>2105</v>
      </c>
      <c r="K138" s="0" t="n">
        <v>3</v>
      </c>
      <c r="L138" s="32" t="s">
        <v>2081</v>
      </c>
      <c r="M138" s="32" t="s">
        <v>2283</v>
      </c>
      <c r="N138" s="0" t="n">
        <v>3</v>
      </c>
      <c r="O138" s="32" t="s">
        <v>827</v>
      </c>
      <c r="P138" s="32" t="s">
        <v>2179</v>
      </c>
      <c r="Q138" s="32" t="s">
        <v>2107</v>
      </c>
      <c r="R138" s="0" t="str">
        <f aca="false">IF(H138="GEN","GM",H138)</f>
        <v>RHE</v>
      </c>
    </row>
    <row r="139" customFormat="false" ht="15" hidden="false" customHeight="false" outlineLevel="0" collapsed="false">
      <c r="A139" s="0" t="s">
        <v>2403</v>
      </c>
      <c r="B139" s="0" t="s">
        <v>2252</v>
      </c>
      <c r="C139" s="0" t="s">
        <v>1017</v>
      </c>
      <c r="D139" s="31" t="n">
        <v>18112</v>
      </c>
      <c r="E139" s="31" t="n">
        <v>45603</v>
      </c>
      <c r="F139" s="32" t="s">
        <v>2078</v>
      </c>
      <c r="G139" s="32" t="s">
        <v>2099</v>
      </c>
      <c r="H139" s="32" t="s">
        <v>818</v>
      </c>
      <c r="I139" s="31" t="n">
        <v>45604</v>
      </c>
      <c r="J139" s="32" t="s">
        <v>2080</v>
      </c>
      <c r="K139" s="0" t="n">
        <v>1</v>
      </c>
      <c r="L139" s="32" t="s">
        <v>2081</v>
      </c>
      <c r="M139" s="32" t="s">
        <v>2128</v>
      </c>
      <c r="N139" s="0" t="n">
        <v>1</v>
      </c>
      <c r="O139" s="32" t="s">
        <v>819</v>
      </c>
      <c r="P139" s="32" t="s">
        <v>2111</v>
      </c>
      <c r="Q139" s="32" t="s">
        <v>2145</v>
      </c>
      <c r="R139" s="0" t="str">
        <f aca="false">IF(H139="GEN","GM",H139)</f>
        <v>OPH</v>
      </c>
    </row>
    <row r="140" customFormat="false" ht="15" hidden="false" customHeight="false" outlineLevel="0" collapsed="false">
      <c r="A140" s="0" t="s">
        <v>2404</v>
      </c>
      <c r="B140" s="0" t="s">
        <v>2405</v>
      </c>
      <c r="C140" s="0" t="s">
        <v>1390</v>
      </c>
      <c r="D140" s="31" t="n">
        <v>17319</v>
      </c>
      <c r="E140" s="31" t="n">
        <v>45593</v>
      </c>
      <c r="F140" s="32" t="s">
        <v>2078</v>
      </c>
      <c r="G140" s="32" t="s">
        <v>2115</v>
      </c>
      <c r="H140" s="32" t="s">
        <v>758</v>
      </c>
      <c r="I140" s="31" t="n">
        <v>45598</v>
      </c>
      <c r="J140" s="32" t="s">
        <v>2080</v>
      </c>
      <c r="K140" s="0" t="n">
        <v>5</v>
      </c>
      <c r="L140" s="32" t="s">
        <v>2081</v>
      </c>
      <c r="N140" s="0" t="n">
        <v>5</v>
      </c>
      <c r="O140" s="32" t="s">
        <v>759</v>
      </c>
      <c r="P140" s="32" t="s">
        <v>2117</v>
      </c>
      <c r="Q140" s="32" t="s">
        <v>2129</v>
      </c>
      <c r="R140" s="0" t="str">
        <f aca="false">IF(H140="GEN","GM",H140)</f>
        <v>CS</v>
      </c>
    </row>
    <row r="141" customFormat="false" ht="15" hidden="false" customHeight="false" outlineLevel="0" collapsed="false">
      <c r="A141" s="0" t="s">
        <v>2406</v>
      </c>
      <c r="B141" s="0" t="s">
        <v>2407</v>
      </c>
      <c r="C141" s="0" t="s">
        <v>857</v>
      </c>
      <c r="D141" s="31" t="n">
        <v>22672</v>
      </c>
      <c r="E141" s="31" t="n">
        <v>45589</v>
      </c>
      <c r="F141" s="32" t="s">
        <v>2087</v>
      </c>
      <c r="G141" s="32" t="s">
        <v>2115</v>
      </c>
      <c r="H141" s="32" t="s">
        <v>758</v>
      </c>
      <c r="I141" s="31" t="n">
        <v>45592</v>
      </c>
      <c r="J141" s="32" t="s">
        <v>2160</v>
      </c>
      <c r="K141" s="0" t="n">
        <v>3</v>
      </c>
      <c r="L141" s="32" t="s">
        <v>2081</v>
      </c>
      <c r="M141" s="32" t="s">
        <v>2110</v>
      </c>
      <c r="N141" s="0" t="n">
        <v>3</v>
      </c>
      <c r="O141" s="32" t="s">
        <v>759</v>
      </c>
      <c r="P141" s="32" t="s">
        <v>2137</v>
      </c>
      <c r="Q141" s="32" t="s">
        <v>2153</v>
      </c>
      <c r="R141" s="0" t="str">
        <f aca="false">IF(H141="GEN","GM",H141)</f>
        <v>CS</v>
      </c>
    </row>
    <row r="142" customFormat="false" ht="15" hidden="false" customHeight="false" outlineLevel="0" collapsed="false">
      <c r="A142" s="0" t="s">
        <v>2408</v>
      </c>
      <c r="B142" s="0" t="s">
        <v>2409</v>
      </c>
      <c r="C142" s="0" t="s">
        <v>857</v>
      </c>
      <c r="D142" s="31" t="n">
        <v>29529</v>
      </c>
      <c r="E142" s="31" t="n">
        <v>45674</v>
      </c>
      <c r="F142" s="32" t="s">
        <v>2087</v>
      </c>
      <c r="G142" s="32" t="s">
        <v>2104</v>
      </c>
      <c r="H142" s="32" t="s">
        <v>802</v>
      </c>
      <c r="I142" s="31" t="n">
        <v>45675</v>
      </c>
      <c r="J142" s="32" t="s">
        <v>2080</v>
      </c>
      <c r="K142" s="0" t="n">
        <v>1</v>
      </c>
      <c r="L142" s="32" t="s">
        <v>2081</v>
      </c>
      <c r="M142" s="32" t="s">
        <v>2110</v>
      </c>
      <c r="N142" s="0" t="n">
        <v>1</v>
      </c>
      <c r="O142" s="32" t="s">
        <v>803</v>
      </c>
      <c r="P142" s="32" t="s">
        <v>2222</v>
      </c>
      <c r="Q142" s="32" t="s">
        <v>2145</v>
      </c>
      <c r="R142" s="0" t="str">
        <f aca="false">IF(H142="GEN","GM",H142)</f>
        <v>GYN</v>
      </c>
    </row>
    <row r="143" customFormat="false" ht="15" hidden="false" customHeight="false" outlineLevel="0" collapsed="false">
      <c r="A143" s="0" t="s">
        <v>2410</v>
      </c>
      <c r="B143" s="0" t="s">
        <v>2411</v>
      </c>
      <c r="C143" s="0" t="s">
        <v>946</v>
      </c>
      <c r="D143" s="31" t="n">
        <v>19805</v>
      </c>
      <c r="E143" s="31" t="n">
        <v>45577</v>
      </c>
      <c r="F143" s="32" t="s">
        <v>2087</v>
      </c>
      <c r="G143" s="32" t="s">
        <v>2124</v>
      </c>
      <c r="H143" s="32" t="s">
        <v>785</v>
      </c>
      <c r="I143" s="31" t="n">
        <v>45581</v>
      </c>
      <c r="J143" s="32" t="s">
        <v>2080</v>
      </c>
      <c r="K143" s="0" t="n">
        <v>4</v>
      </c>
      <c r="L143" s="32" t="s">
        <v>2081</v>
      </c>
      <c r="M143" s="32" t="s">
        <v>2141</v>
      </c>
      <c r="N143" s="0" t="n">
        <v>4</v>
      </c>
      <c r="O143" s="32" t="s">
        <v>786</v>
      </c>
      <c r="P143" s="32" t="s">
        <v>2149</v>
      </c>
      <c r="Q143" s="32" t="s">
        <v>2190</v>
      </c>
      <c r="R143" s="0" t="str">
        <f aca="false">IF(H143="GEN","GM",H143)</f>
        <v>RS</v>
      </c>
    </row>
    <row r="144" customFormat="false" ht="15" hidden="false" customHeight="false" outlineLevel="0" collapsed="false">
      <c r="A144" s="0" t="s">
        <v>2412</v>
      </c>
      <c r="B144" s="0" t="s">
        <v>2413</v>
      </c>
      <c r="C144" s="0" t="s">
        <v>946</v>
      </c>
      <c r="D144" s="31" t="n">
        <v>27691</v>
      </c>
      <c r="E144" s="31" t="n">
        <v>45613</v>
      </c>
      <c r="F144" s="32" t="s">
        <v>2087</v>
      </c>
      <c r="G144" s="32" t="s">
        <v>2124</v>
      </c>
      <c r="H144" s="32" t="s">
        <v>785</v>
      </c>
      <c r="I144" s="31" t="n">
        <v>45615</v>
      </c>
      <c r="J144" s="32" t="s">
        <v>2080</v>
      </c>
      <c r="K144" s="0" t="n">
        <v>2</v>
      </c>
      <c r="M144" s="32" t="s">
        <v>2141</v>
      </c>
      <c r="N144" s="0" t="n">
        <v>2</v>
      </c>
      <c r="O144" s="32" t="s">
        <v>786</v>
      </c>
      <c r="P144" s="32" t="s">
        <v>2137</v>
      </c>
      <c r="Q144" s="32" t="s">
        <v>2129</v>
      </c>
      <c r="R144" s="0" t="str">
        <f aca="false">IF(H144="GEN","GM",H144)</f>
        <v>RS</v>
      </c>
    </row>
    <row r="145" customFormat="false" ht="15" hidden="false" customHeight="false" outlineLevel="0" collapsed="false">
      <c r="A145" s="0" t="s">
        <v>2414</v>
      </c>
      <c r="B145" s="0" t="s">
        <v>2409</v>
      </c>
      <c r="C145" s="0" t="s">
        <v>1393</v>
      </c>
      <c r="D145" s="31" t="n">
        <v>26964</v>
      </c>
      <c r="E145" s="31" t="n">
        <v>45600</v>
      </c>
      <c r="F145" s="32" t="s">
        <v>2160</v>
      </c>
      <c r="G145" s="32" t="s">
        <v>2104</v>
      </c>
      <c r="H145" s="32" t="s">
        <v>802</v>
      </c>
      <c r="I145" s="31" t="n">
        <v>45601</v>
      </c>
      <c r="J145" s="32" t="s">
        <v>2307</v>
      </c>
      <c r="K145" s="0" t="n">
        <v>1</v>
      </c>
      <c r="L145" s="32" t="s">
        <v>2081</v>
      </c>
      <c r="M145" s="32" t="s">
        <v>2152</v>
      </c>
      <c r="N145" s="0" t="n">
        <v>1</v>
      </c>
      <c r="O145" s="32" t="s">
        <v>803</v>
      </c>
      <c r="P145" s="32" t="s">
        <v>2142</v>
      </c>
      <c r="Q145" s="32" t="s">
        <v>2129</v>
      </c>
      <c r="R145" s="0" t="str">
        <f aca="false">IF(H145="GEN","GM",H145)</f>
        <v>GYN</v>
      </c>
    </row>
    <row r="146" customFormat="false" ht="15" hidden="false" customHeight="false" outlineLevel="0" collapsed="false">
      <c r="A146" s="0" t="s">
        <v>2415</v>
      </c>
      <c r="B146" s="0" t="s">
        <v>2416</v>
      </c>
      <c r="C146" s="0" t="s">
        <v>1021</v>
      </c>
      <c r="D146" s="31" t="n">
        <v>35643</v>
      </c>
      <c r="E146" s="31" t="n">
        <v>45651</v>
      </c>
      <c r="F146" s="32" t="s">
        <v>2087</v>
      </c>
      <c r="G146" s="32" t="s">
        <v>2088</v>
      </c>
      <c r="H146" s="32" t="s">
        <v>826</v>
      </c>
      <c r="I146" s="31" t="n">
        <v>45651</v>
      </c>
      <c r="J146" s="32" t="s">
        <v>2105</v>
      </c>
      <c r="K146" s="0" t="n">
        <v>0</v>
      </c>
      <c r="L146" s="32" t="s">
        <v>2081</v>
      </c>
      <c r="M146" s="32" t="s">
        <v>2100</v>
      </c>
      <c r="N146" s="0" t="n">
        <v>0</v>
      </c>
      <c r="O146" s="32" t="s">
        <v>827</v>
      </c>
      <c r="P146" s="32" t="s">
        <v>2133</v>
      </c>
      <c r="Q146" s="32" t="s">
        <v>2241</v>
      </c>
      <c r="R146" s="0" t="str">
        <f aca="false">IF(H146="GEN","GM",H146)</f>
        <v>RHE</v>
      </c>
    </row>
    <row r="147" customFormat="false" ht="15" hidden="false" customHeight="false" outlineLevel="0" collapsed="false">
      <c r="A147" s="0" t="s">
        <v>2417</v>
      </c>
      <c r="B147" s="0" t="s">
        <v>2310</v>
      </c>
      <c r="C147" s="0" t="s">
        <v>910</v>
      </c>
      <c r="D147" s="31" t="n">
        <v>15585</v>
      </c>
      <c r="E147" s="31" t="n">
        <v>45687</v>
      </c>
      <c r="F147" s="32" t="s">
        <v>2078</v>
      </c>
      <c r="G147" s="32" t="s">
        <v>2115</v>
      </c>
      <c r="H147" s="32" t="s">
        <v>758</v>
      </c>
      <c r="I147" s="31" t="n">
        <v>45688</v>
      </c>
      <c r="J147" s="32" t="s">
        <v>2080</v>
      </c>
      <c r="K147" s="0" t="n">
        <v>1</v>
      </c>
      <c r="L147" s="32" t="s">
        <v>2081</v>
      </c>
      <c r="M147" s="32" t="s">
        <v>2116</v>
      </c>
      <c r="N147" s="0" t="n">
        <v>1</v>
      </c>
      <c r="O147" s="32" t="s">
        <v>759</v>
      </c>
      <c r="P147" s="32" t="s">
        <v>2083</v>
      </c>
      <c r="Q147" s="32" t="s">
        <v>2198</v>
      </c>
      <c r="R147" s="0" t="str">
        <f aca="false">IF(H147="GEN","GM",H147)</f>
        <v>CS</v>
      </c>
    </row>
    <row r="148" customFormat="false" ht="15" hidden="false" customHeight="false" outlineLevel="0" collapsed="false">
      <c r="A148" s="0" t="s">
        <v>2418</v>
      </c>
      <c r="B148" s="0" t="s">
        <v>2419</v>
      </c>
      <c r="C148" s="0" t="s">
        <v>993</v>
      </c>
      <c r="D148" s="31" t="n">
        <v>32468</v>
      </c>
      <c r="E148" s="31" t="n">
        <v>45588</v>
      </c>
      <c r="F148" s="32" t="s">
        <v>2087</v>
      </c>
      <c r="G148" s="32" t="s">
        <v>2099</v>
      </c>
      <c r="H148" s="32" t="s">
        <v>766</v>
      </c>
      <c r="I148" s="31" t="n">
        <v>45593</v>
      </c>
      <c r="J148" s="32" t="s">
        <v>2080</v>
      </c>
      <c r="K148" s="0" t="n">
        <v>5</v>
      </c>
      <c r="L148" s="32" t="s">
        <v>2081</v>
      </c>
      <c r="M148" s="32" t="s">
        <v>2283</v>
      </c>
      <c r="N148" s="0" t="n">
        <v>5</v>
      </c>
      <c r="O148" s="32" t="s">
        <v>767</v>
      </c>
      <c r="P148" s="32" t="s">
        <v>2175</v>
      </c>
      <c r="Q148" s="32" t="s">
        <v>2084</v>
      </c>
      <c r="R148" s="0" t="str">
        <f aca="false">IF(H148="GEN","GM",H148)</f>
        <v>OR</v>
      </c>
    </row>
    <row r="149" customFormat="false" ht="15" hidden="false" customHeight="false" outlineLevel="0" collapsed="false">
      <c r="A149" s="0" t="s">
        <v>2420</v>
      </c>
      <c r="B149" s="0" t="s">
        <v>2421</v>
      </c>
      <c r="C149" s="0" t="s">
        <v>784</v>
      </c>
      <c r="D149" s="31" t="n">
        <v>15871</v>
      </c>
      <c r="E149" s="31" t="n">
        <v>45653</v>
      </c>
      <c r="F149" s="32" t="s">
        <v>2078</v>
      </c>
      <c r="G149" s="32" t="s">
        <v>2099</v>
      </c>
      <c r="H149" s="32" t="s">
        <v>818</v>
      </c>
      <c r="I149" s="31" t="n">
        <v>45657</v>
      </c>
      <c r="J149" s="32" t="s">
        <v>2080</v>
      </c>
      <c r="K149" s="0" t="n">
        <v>4</v>
      </c>
      <c r="L149" s="32" t="s">
        <v>2081</v>
      </c>
      <c r="M149" s="32" t="s">
        <v>2283</v>
      </c>
      <c r="N149" s="0" t="n">
        <v>4</v>
      </c>
      <c r="O149" s="32" t="s">
        <v>819</v>
      </c>
      <c r="P149" s="32" t="s">
        <v>2149</v>
      </c>
      <c r="Q149" s="32" t="s">
        <v>2129</v>
      </c>
      <c r="R149" s="0" t="str">
        <f aca="false">IF(H149="GEN","GM",H149)</f>
        <v>OPH</v>
      </c>
    </row>
    <row r="150" customFormat="false" ht="15" hidden="false" customHeight="false" outlineLevel="0" collapsed="false">
      <c r="A150" s="0" t="s">
        <v>2422</v>
      </c>
      <c r="B150" s="0" t="s">
        <v>2423</v>
      </c>
      <c r="C150" s="0" t="s">
        <v>845</v>
      </c>
      <c r="D150" s="31" t="n">
        <v>14858</v>
      </c>
      <c r="E150" s="31" t="n">
        <v>45640</v>
      </c>
      <c r="F150" s="32" t="s">
        <v>2078</v>
      </c>
      <c r="G150" s="32" t="s">
        <v>2079</v>
      </c>
      <c r="H150" s="32" t="s">
        <v>776</v>
      </c>
      <c r="I150" s="31" t="n">
        <v>45644</v>
      </c>
      <c r="J150" s="32" t="s">
        <v>2160</v>
      </c>
      <c r="K150" s="0" t="n">
        <v>4</v>
      </c>
      <c r="L150" s="32" t="s">
        <v>2081</v>
      </c>
      <c r="M150" s="32" t="s">
        <v>2255</v>
      </c>
      <c r="N150" s="0" t="n">
        <v>4</v>
      </c>
      <c r="O150" s="32" t="s">
        <v>777</v>
      </c>
      <c r="P150" s="32" t="s">
        <v>2111</v>
      </c>
      <c r="Q150" s="32" t="s">
        <v>2107</v>
      </c>
      <c r="R150" s="0" t="str">
        <f aca="false">IF(H150="GEN","GM",H150)</f>
        <v>GS</v>
      </c>
    </row>
    <row r="151" customFormat="false" ht="15" hidden="false" customHeight="false" outlineLevel="0" collapsed="false">
      <c r="A151" s="0" t="s">
        <v>2424</v>
      </c>
      <c r="B151" s="0" t="s">
        <v>2231</v>
      </c>
      <c r="C151" s="0" t="s">
        <v>833</v>
      </c>
      <c r="D151" s="31" t="n">
        <v>25377</v>
      </c>
      <c r="E151" s="31" t="n">
        <v>45624</v>
      </c>
      <c r="F151" s="32" t="s">
        <v>2087</v>
      </c>
      <c r="G151" s="32" t="s">
        <v>2099</v>
      </c>
      <c r="H151" s="32" t="s">
        <v>766</v>
      </c>
      <c r="I151" s="31" t="n">
        <v>45626</v>
      </c>
      <c r="J151" s="32" t="s">
        <v>2160</v>
      </c>
      <c r="K151" s="0" t="n">
        <v>2</v>
      </c>
      <c r="L151" s="32" t="s">
        <v>2081</v>
      </c>
      <c r="M151" s="32" t="s">
        <v>2141</v>
      </c>
      <c r="N151" s="0" t="n">
        <v>2</v>
      </c>
      <c r="O151" s="32" t="s">
        <v>767</v>
      </c>
      <c r="P151" s="32" t="s">
        <v>2222</v>
      </c>
      <c r="Q151" s="32" t="s">
        <v>2179</v>
      </c>
      <c r="R151" s="0" t="str">
        <f aca="false">IF(H151="GEN","GM",H151)</f>
        <v>OR</v>
      </c>
    </row>
    <row r="152" customFormat="false" ht="15" hidden="false" customHeight="false" outlineLevel="0" collapsed="false">
      <c r="A152" s="0" t="s">
        <v>2425</v>
      </c>
      <c r="B152" s="0" t="s">
        <v>2144</v>
      </c>
      <c r="C152" s="0" t="s">
        <v>1017</v>
      </c>
      <c r="D152" s="31" t="n">
        <v>15547</v>
      </c>
      <c r="E152" s="31" t="n">
        <v>45727</v>
      </c>
      <c r="F152" s="32" t="s">
        <v>2078</v>
      </c>
      <c r="G152" s="32" t="s">
        <v>2099</v>
      </c>
      <c r="H152" s="32" t="s">
        <v>766</v>
      </c>
      <c r="I152" s="31" t="n">
        <v>45736</v>
      </c>
      <c r="J152" s="32" t="s">
        <v>2307</v>
      </c>
      <c r="K152" s="0" t="n">
        <v>9</v>
      </c>
      <c r="L152" s="32" t="s">
        <v>2081</v>
      </c>
      <c r="M152" s="32" t="s">
        <v>2094</v>
      </c>
      <c r="N152" s="0" t="n">
        <v>9</v>
      </c>
      <c r="O152" s="32" t="s">
        <v>767</v>
      </c>
      <c r="P152" s="32" t="s">
        <v>2111</v>
      </c>
      <c r="Q152" s="32" t="s">
        <v>2084</v>
      </c>
      <c r="R152" s="0" t="str">
        <f aca="false">IF(H152="GEN","GM",H152)</f>
        <v>OR</v>
      </c>
    </row>
    <row r="153" customFormat="false" ht="15" hidden="false" customHeight="false" outlineLevel="0" collapsed="false">
      <c r="A153" s="0" t="s">
        <v>2426</v>
      </c>
      <c r="B153" s="0" t="s">
        <v>2374</v>
      </c>
      <c r="C153" s="0" t="s">
        <v>1025</v>
      </c>
      <c r="D153" s="31" t="n">
        <v>22544</v>
      </c>
      <c r="E153" s="31" t="n">
        <v>45587</v>
      </c>
      <c r="F153" s="32" t="s">
        <v>2087</v>
      </c>
      <c r="G153" s="32" t="s">
        <v>2104</v>
      </c>
      <c r="H153" s="32" t="s">
        <v>802</v>
      </c>
      <c r="I153" s="31" t="n">
        <v>45588</v>
      </c>
      <c r="J153" s="32" t="s">
        <v>2080</v>
      </c>
      <c r="K153" s="0" t="n">
        <v>1</v>
      </c>
      <c r="L153" s="32" t="s">
        <v>2081</v>
      </c>
      <c r="M153" s="32" t="s">
        <v>2116</v>
      </c>
      <c r="N153" s="0" t="n">
        <v>1</v>
      </c>
      <c r="O153" s="32" t="s">
        <v>803</v>
      </c>
      <c r="P153" s="32" t="s">
        <v>2101</v>
      </c>
      <c r="Q153" s="32" t="s">
        <v>2138</v>
      </c>
      <c r="R153" s="0" t="str">
        <f aca="false">IF(H153="GEN","GM",H153)</f>
        <v>GYN</v>
      </c>
    </row>
    <row r="154" customFormat="false" ht="15" hidden="false" customHeight="false" outlineLevel="0" collapsed="false">
      <c r="A154" s="0" t="s">
        <v>2427</v>
      </c>
      <c r="B154" s="0" t="s">
        <v>2428</v>
      </c>
      <c r="C154" s="0" t="s">
        <v>946</v>
      </c>
      <c r="D154" s="31" t="n">
        <v>32755</v>
      </c>
      <c r="E154" s="31" t="n">
        <v>45732</v>
      </c>
      <c r="F154" s="32" t="s">
        <v>2087</v>
      </c>
      <c r="G154" s="32" t="s">
        <v>2099</v>
      </c>
      <c r="H154" s="32" t="s">
        <v>818</v>
      </c>
      <c r="I154" s="31" t="n">
        <v>45743</v>
      </c>
      <c r="J154" s="32" t="s">
        <v>2080</v>
      </c>
      <c r="K154" s="0" t="n">
        <v>11</v>
      </c>
      <c r="L154" s="32" t="s">
        <v>2081</v>
      </c>
      <c r="M154" s="32" t="s">
        <v>2152</v>
      </c>
      <c r="N154" s="0" t="n">
        <v>11</v>
      </c>
      <c r="O154" s="32" t="s">
        <v>819</v>
      </c>
      <c r="P154" s="32" t="s">
        <v>2090</v>
      </c>
      <c r="Q154" s="32" t="s">
        <v>2165</v>
      </c>
      <c r="R154" s="0" t="str">
        <f aca="false">IF(H154="GEN","GM",H154)</f>
        <v>OPH</v>
      </c>
    </row>
    <row r="155" customFormat="false" ht="15" hidden="false" customHeight="false" outlineLevel="0" collapsed="false">
      <c r="A155" s="0" t="s">
        <v>2429</v>
      </c>
      <c r="B155" s="0" t="s">
        <v>2383</v>
      </c>
      <c r="C155" s="0" t="s">
        <v>862</v>
      </c>
      <c r="D155" s="31" t="n">
        <v>30583</v>
      </c>
      <c r="E155" s="31" t="n">
        <v>45682</v>
      </c>
      <c r="F155" s="32" t="s">
        <v>2078</v>
      </c>
      <c r="G155" s="32" t="s">
        <v>2088</v>
      </c>
      <c r="H155" s="32" t="s">
        <v>826</v>
      </c>
      <c r="I155" s="31" t="n">
        <v>45683</v>
      </c>
      <c r="J155" s="32" t="s">
        <v>2080</v>
      </c>
      <c r="K155" s="0" t="n">
        <v>1</v>
      </c>
      <c r="L155" s="32" t="s">
        <v>2081</v>
      </c>
      <c r="M155" s="32" t="s">
        <v>2116</v>
      </c>
      <c r="N155" s="0" t="n">
        <v>1</v>
      </c>
      <c r="O155" s="32" t="s">
        <v>827</v>
      </c>
      <c r="P155" s="32" t="s">
        <v>2156</v>
      </c>
      <c r="Q155" s="32" t="s">
        <v>2145</v>
      </c>
      <c r="R155" s="0" t="str">
        <f aca="false">IF(H155="GEN","GM",H155)</f>
        <v>RHE</v>
      </c>
    </row>
    <row r="156" customFormat="false" ht="15" hidden="false" customHeight="false" outlineLevel="0" collapsed="false">
      <c r="A156" s="0" t="s">
        <v>2430</v>
      </c>
      <c r="B156" s="0" t="s">
        <v>2431</v>
      </c>
      <c r="C156" s="0" t="s">
        <v>1013</v>
      </c>
      <c r="D156" s="31" t="n">
        <v>33588</v>
      </c>
      <c r="E156" s="31" t="n">
        <v>45599</v>
      </c>
      <c r="F156" s="32" t="s">
        <v>2087</v>
      </c>
      <c r="G156" s="32" t="s">
        <v>2099</v>
      </c>
      <c r="H156" s="32" t="s">
        <v>818</v>
      </c>
      <c r="I156" s="31" t="n">
        <v>45611</v>
      </c>
      <c r="J156" s="32" t="s">
        <v>2080</v>
      </c>
      <c r="K156" s="0" t="n">
        <v>12</v>
      </c>
      <c r="L156" s="32" t="s">
        <v>2081</v>
      </c>
      <c r="M156" s="32" t="s">
        <v>2082</v>
      </c>
      <c r="N156" s="0" t="n">
        <v>12</v>
      </c>
      <c r="O156" s="32" t="s">
        <v>819</v>
      </c>
      <c r="P156" s="32" t="s">
        <v>2182</v>
      </c>
      <c r="Q156" s="32" t="s">
        <v>2259</v>
      </c>
      <c r="R156" s="0" t="str">
        <f aca="false">IF(H156="GEN","GM",H156)</f>
        <v>OPH</v>
      </c>
    </row>
    <row r="157" customFormat="false" ht="15" hidden="false" customHeight="false" outlineLevel="0" collapsed="false">
      <c r="A157" s="0" t="s">
        <v>2432</v>
      </c>
      <c r="B157" s="0" t="s">
        <v>2416</v>
      </c>
      <c r="C157" s="0" t="s">
        <v>853</v>
      </c>
      <c r="D157" s="31" t="n">
        <v>30083</v>
      </c>
      <c r="E157" s="31" t="n">
        <v>45578</v>
      </c>
      <c r="F157" s="32" t="s">
        <v>2078</v>
      </c>
      <c r="G157" s="32" t="s">
        <v>2099</v>
      </c>
      <c r="H157" s="32" t="s">
        <v>766</v>
      </c>
      <c r="I157" s="31" t="n">
        <v>45584</v>
      </c>
      <c r="J157" s="32" t="s">
        <v>2080</v>
      </c>
      <c r="K157" s="0" t="n">
        <v>-3</v>
      </c>
      <c r="L157" s="32" t="s">
        <v>2081</v>
      </c>
      <c r="M157" s="32" t="s">
        <v>2128</v>
      </c>
      <c r="N157" s="0" t="n">
        <v>-3</v>
      </c>
      <c r="O157" s="32" t="s">
        <v>767</v>
      </c>
      <c r="P157" s="32" t="s">
        <v>2149</v>
      </c>
      <c r="Q157" s="32" t="s">
        <v>2125</v>
      </c>
      <c r="R157" s="0" t="str">
        <f aca="false">IF(H157="GEN","GM",H157)</f>
        <v>OR</v>
      </c>
    </row>
    <row r="158" customFormat="false" ht="15" hidden="false" customHeight="false" outlineLevel="0" collapsed="false">
      <c r="A158" s="0" t="s">
        <v>2433</v>
      </c>
      <c r="B158" s="0" t="s">
        <v>2434</v>
      </c>
      <c r="C158" s="0" t="s">
        <v>857</v>
      </c>
      <c r="D158" s="31" t="n">
        <v>19258</v>
      </c>
      <c r="E158" s="31" t="n">
        <v>45725</v>
      </c>
      <c r="F158" s="32" t="s">
        <v>2087</v>
      </c>
      <c r="G158" s="32" t="s">
        <v>2088</v>
      </c>
      <c r="H158" s="32" t="s">
        <v>793</v>
      </c>
      <c r="I158" s="31" t="n">
        <v>45728</v>
      </c>
      <c r="J158" s="32" t="s">
        <v>2080</v>
      </c>
      <c r="K158" s="0" t="n">
        <v>3</v>
      </c>
      <c r="L158" s="32" t="s">
        <v>2081</v>
      </c>
      <c r="M158" s="32" t="s">
        <v>2141</v>
      </c>
      <c r="N158" s="0" t="n">
        <v>3</v>
      </c>
      <c r="O158" s="32" t="s">
        <v>794</v>
      </c>
      <c r="P158" s="32" t="s">
        <v>2142</v>
      </c>
      <c r="Q158" s="32" t="s">
        <v>2091</v>
      </c>
      <c r="R158" s="0" t="str">
        <f aca="false">IF(H158="GEN","GM",H158)</f>
        <v>EM</v>
      </c>
    </row>
    <row r="159" customFormat="false" ht="15" hidden="false" customHeight="false" outlineLevel="0" collapsed="false">
      <c r="A159" s="0" t="s">
        <v>2435</v>
      </c>
      <c r="B159" s="0" t="s">
        <v>2120</v>
      </c>
      <c r="C159" s="0" t="s">
        <v>1410</v>
      </c>
      <c r="D159" s="31" t="n">
        <v>15266</v>
      </c>
      <c r="E159" s="31" t="n">
        <v>45570</v>
      </c>
      <c r="F159" s="32" t="s">
        <v>2078</v>
      </c>
      <c r="G159" s="32" t="s">
        <v>2088</v>
      </c>
      <c r="H159" s="32" t="s">
        <v>747</v>
      </c>
      <c r="I159" s="31" t="n">
        <v>45572</v>
      </c>
      <c r="J159" s="32" t="s">
        <v>2080</v>
      </c>
      <c r="K159" s="0" t="n">
        <v>2</v>
      </c>
      <c r="L159" s="32" t="s">
        <v>2081</v>
      </c>
      <c r="M159" s="32" t="s">
        <v>2100</v>
      </c>
      <c r="N159" s="0" t="n">
        <v>2</v>
      </c>
      <c r="O159" s="32" t="s">
        <v>748</v>
      </c>
      <c r="P159" s="32" t="s">
        <v>2111</v>
      </c>
      <c r="Q159" s="32" t="s">
        <v>2125</v>
      </c>
      <c r="R159" s="0" t="str">
        <f aca="false">IF(H159="GEN","GM",H159)</f>
        <v>GM</v>
      </c>
    </row>
    <row r="160" customFormat="false" ht="15" hidden="false" customHeight="false" outlineLevel="0" collapsed="false">
      <c r="A160" s="0" t="s">
        <v>2436</v>
      </c>
      <c r="B160" s="0" t="s">
        <v>2437</v>
      </c>
      <c r="C160" s="0" t="s">
        <v>989</v>
      </c>
      <c r="D160" s="31" t="n">
        <v>24507</v>
      </c>
      <c r="E160" s="31" t="n">
        <v>45588</v>
      </c>
      <c r="F160" s="32" t="s">
        <v>2160</v>
      </c>
      <c r="G160" s="32" t="s">
        <v>2124</v>
      </c>
      <c r="H160" s="32" t="s">
        <v>785</v>
      </c>
      <c r="I160" s="31" t="n">
        <v>45591</v>
      </c>
      <c r="J160" s="32" t="s">
        <v>2080</v>
      </c>
      <c r="K160" s="0" t="n">
        <v>3</v>
      </c>
      <c r="L160" s="32" t="s">
        <v>2081</v>
      </c>
      <c r="M160" s="32" t="s">
        <v>2110</v>
      </c>
      <c r="N160" s="0" t="n">
        <v>3</v>
      </c>
      <c r="O160" s="32" t="s">
        <v>786</v>
      </c>
      <c r="P160" s="32" t="s">
        <v>2083</v>
      </c>
      <c r="Q160" s="32" t="s">
        <v>2084</v>
      </c>
      <c r="R160" s="0" t="str">
        <f aca="false">IF(H160="GEN","GM",H160)</f>
        <v>RS</v>
      </c>
    </row>
    <row r="161" customFormat="false" ht="15" hidden="false" customHeight="false" outlineLevel="0" collapsed="false">
      <c r="A161" s="0" t="s">
        <v>2438</v>
      </c>
      <c r="B161" s="0" t="s">
        <v>2439</v>
      </c>
      <c r="C161" s="0" t="s">
        <v>914</v>
      </c>
      <c r="D161" s="31" t="n">
        <v>23971</v>
      </c>
      <c r="E161" s="31" t="n">
        <v>45573</v>
      </c>
      <c r="F161" s="32" t="s">
        <v>2087</v>
      </c>
      <c r="G161" s="32" t="s">
        <v>2088</v>
      </c>
      <c r="H161" s="32" t="s">
        <v>747</v>
      </c>
      <c r="I161" s="31" t="n">
        <v>45576</v>
      </c>
      <c r="J161" s="32" t="s">
        <v>2080</v>
      </c>
      <c r="K161" s="0" t="n">
        <v>3</v>
      </c>
      <c r="L161" s="32" t="s">
        <v>2081</v>
      </c>
      <c r="M161" s="32" t="s">
        <v>2195</v>
      </c>
      <c r="N161" s="0" t="n">
        <v>3</v>
      </c>
      <c r="O161" s="32" t="s">
        <v>748</v>
      </c>
      <c r="P161" s="32" t="s">
        <v>2149</v>
      </c>
      <c r="Q161" s="32" t="s">
        <v>2179</v>
      </c>
      <c r="R161" s="0" t="str">
        <f aca="false">IF(H161="GEN","GM",H161)</f>
        <v>GM</v>
      </c>
    </row>
    <row r="162" customFormat="false" ht="15" hidden="false" customHeight="false" outlineLevel="0" collapsed="false">
      <c r="A162" s="0" t="s">
        <v>2440</v>
      </c>
      <c r="B162" s="0" t="s">
        <v>2441</v>
      </c>
      <c r="C162" s="0" t="s">
        <v>985</v>
      </c>
      <c r="D162" s="31" t="n">
        <v>38072</v>
      </c>
      <c r="E162" s="31" t="n">
        <v>45684</v>
      </c>
      <c r="F162" s="32" t="s">
        <v>2078</v>
      </c>
      <c r="G162" s="32" t="s">
        <v>2099</v>
      </c>
      <c r="H162" s="32" t="s">
        <v>818</v>
      </c>
      <c r="I162" s="31" t="n">
        <v>45691</v>
      </c>
      <c r="J162" s="32" t="s">
        <v>2080</v>
      </c>
      <c r="K162" s="0" t="n">
        <v>7</v>
      </c>
      <c r="L162" s="32" t="s">
        <v>2081</v>
      </c>
      <c r="M162" s="32" t="s">
        <v>2212</v>
      </c>
      <c r="N162" s="0" t="n">
        <v>7</v>
      </c>
      <c r="P162" s="32" t="s">
        <v>2162</v>
      </c>
      <c r="Q162" s="32" t="s">
        <v>2112</v>
      </c>
      <c r="R162" s="0" t="str">
        <f aca="false">IF(H162="GEN","GM",H162)</f>
        <v>OPH</v>
      </c>
    </row>
    <row r="163" customFormat="false" ht="15" hidden="false" customHeight="false" outlineLevel="0" collapsed="false">
      <c r="A163" s="0" t="s">
        <v>2442</v>
      </c>
      <c r="B163" s="0" t="s">
        <v>2301</v>
      </c>
      <c r="C163" s="0" t="s">
        <v>2225</v>
      </c>
      <c r="D163" s="31" t="n">
        <v>15829</v>
      </c>
      <c r="E163" s="31" t="n">
        <v>45676</v>
      </c>
      <c r="F163" s="32" t="s">
        <v>2078</v>
      </c>
      <c r="G163" s="32" t="s">
        <v>2099</v>
      </c>
      <c r="H163" s="32" t="s">
        <v>766</v>
      </c>
      <c r="I163" s="31" t="n">
        <v>45677</v>
      </c>
      <c r="J163" s="32" t="s">
        <v>2160</v>
      </c>
      <c r="K163" s="0" t="n">
        <v>1</v>
      </c>
      <c r="L163" s="32" t="s">
        <v>2081</v>
      </c>
      <c r="M163" s="32" t="s">
        <v>2094</v>
      </c>
      <c r="N163" s="0" t="n">
        <v>1</v>
      </c>
      <c r="O163" s="32" t="s">
        <v>767</v>
      </c>
      <c r="P163" s="32" t="s">
        <v>2149</v>
      </c>
      <c r="Q163" s="32" t="s">
        <v>2198</v>
      </c>
      <c r="R163" s="0" t="str">
        <f aca="false">IF(H163="GEN","GM",H163)</f>
        <v>OR</v>
      </c>
    </row>
    <row r="164" customFormat="false" ht="15" hidden="false" customHeight="false" outlineLevel="0" collapsed="false">
      <c r="A164" s="0" t="s">
        <v>2443</v>
      </c>
      <c r="B164" s="0" t="s">
        <v>2444</v>
      </c>
      <c r="C164" s="0" t="s">
        <v>1402</v>
      </c>
      <c r="D164" s="31" t="n">
        <v>12806</v>
      </c>
      <c r="E164" s="31" t="n">
        <v>45732</v>
      </c>
      <c r="F164" s="32" t="s">
        <v>2078</v>
      </c>
      <c r="G164" s="32" t="s">
        <v>2079</v>
      </c>
      <c r="H164" s="32" t="s">
        <v>810</v>
      </c>
      <c r="I164" s="31" t="n">
        <v>45735</v>
      </c>
      <c r="J164" s="32" t="s">
        <v>2080</v>
      </c>
      <c r="K164" s="0" t="n">
        <v>3</v>
      </c>
      <c r="L164" s="32" t="s">
        <v>2081</v>
      </c>
      <c r="M164" s="32" t="s">
        <v>2227</v>
      </c>
      <c r="N164" s="0" t="n">
        <v>3</v>
      </c>
      <c r="O164" s="32" t="s">
        <v>811</v>
      </c>
      <c r="P164" s="32" t="s">
        <v>2111</v>
      </c>
      <c r="Q164" s="32" t="s">
        <v>2259</v>
      </c>
      <c r="R164" s="0" t="str">
        <f aca="false">IF(H164="GEN","GM",H164)</f>
        <v>URO</v>
      </c>
    </row>
    <row r="165" customFormat="false" ht="15" hidden="false" customHeight="false" outlineLevel="0" collapsed="false">
      <c r="A165" s="0" t="s">
        <v>2445</v>
      </c>
      <c r="B165" s="0" t="s">
        <v>2446</v>
      </c>
      <c r="C165" s="0" t="s">
        <v>765</v>
      </c>
      <c r="D165" s="31" t="n">
        <v>25895</v>
      </c>
      <c r="E165" s="31" t="n">
        <v>45622</v>
      </c>
      <c r="F165" s="32" t="s">
        <v>2078</v>
      </c>
      <c r="G165" s="32" t="s">
        <v>2088</v>
      </c>
      <c r="H165" s="32" t="s">
        <v>826</v>
      </c>
      <c r="I165" s="31" t="n">
        <v>45623</v>
      </c>
      <c r="J165" s="32" t="s">
        <v>2080</v>
      </c>
      <c r="K165" s="0" t="n">
        <v>1</v>
      </c>
      <c r="L165" s="32" t="s">
        <v>2081</v>
      </c>
      <c r="M165" s="32" t="s">
        <v>2227</v>
      </c>
      <c r="N165" s="0" t="n">
        <v>1</v>
      </c>
      <c r="O165" s="32" t="s">
        <v>827</v>
      </c>
      <c r="P165" s="32" t="s">
        <v>2213</v>
      </c>
      <c r="Q165" s="32" t="s">
        <v>2112</v>
      </c>
      <c r="R165" s="0" t="str">
        <f aca="false">IF(H165="GEN","GM",H165)</f>
        <v>RHE</v>
      </c>
    </row>
    <row r="166" customFormat="false" ht="15" hidden="false" customHeight="false" outlineLevel="0" collapsed="false">
      <c r="A166" s="0" t="s">
        <v>2447</v>
      </c>
      <c r="B166" s="0" t="s">
        <v>2391</v>
      </c>
      <c r="C166" s="0" t="s">
        <v>2225</v>
      </c>
      <c r="D166" s="31" t="n">
        <v>20870</v>
      </c>
      <c r="E166" s="31" t="n">
        <v>45699</v>
      </c>
      <c r="F166" s="32" t="s">
        <v>2078</v>
      </c>
      <c r="G166" s="32" t="s">
        <v>2124</v>
      </c>
      <c r="H166" s="32" t="s">
        <v>785</v>
      </c>
      <c r="I166" s="31" t="n">
        <v>45703</v>
      </c>
      <c r="J166" s="32" t="s">
        <v>2080</v>
      </c>
      <c r="K166" s="0" t="n">
        <v>4</v>
      </c>
      <c r="L166" s="32" t="s">
        <v>2081</v>
      </c>
      <c r="M166" s="32" t="s">
        <v>2141</v>
      </c>
      <c r="N166" s="0" t="n">
        <v>4</v>
      </c>
      <c r="O166" s="32" t="s">
        <v>786</v>
      </c>
      <c r="P166" s="32" t="s">
        <v>2179</v>
      </c>
      <c r="Q166" s="32" t="s">
        <v>2125</v>
      </c>
      <c r="R166" s="0" t="str">
        <f aca="false">IF(H166="GEN","GM",H166)</f>
        <v>RS</v>
      </c>
    </row>
    <row r="167" customFormat="false" ht="15" hidden="false" customHeight="false" outlineLevel="0" collapsed="false">
      <c r="A167" s="0" t="s">
        <v>2448</v>
      </c>
      <c r="B167" s="0" t="s">
        <v>2449</v>
      </c>
      <c r="C167" s="0" t="s">
        <v>1453</v>
      </c>
      <c r="D167" s="31" t="n">
        <v>34558</v>
      </c>
      <c r="E167" s="31" t="n">
        <v>45567</v>
      </c>
      <c r="F167" s="32" t="s">
        <v>2087</v>
      </c>
      <c r="G167" s="32" t="s">
        <v>2088</v>
      </c>
      <c r="H167" s="32" t="s">
        <v>747</v>
      </c>
      <c r="I167" s="31" t="n">
        <v>45570</v>
      </c>
      <c r="J167" s="32" t="s">
        <v>2160</v>
      </c>
      <c r="K167" s="0" t="n">
        <v>3</v>
      </c>
      <c r="L167" s="32" t="s">
        <v>2081</v>
      </c>
      <c r="M167" s="32" t="s">
        <v>2089</v>
      </c>
      <c r="N167" s="0" t="n">
        <v>3</v>
      </c>
      <c r="O167" s="32" t="s">
        <v>748</v>
      </c>
      <c r="P167" s="32" t="s">
        <v>2142</v>
      </c>
      <c r="Q167" s="32" t="s">
        <v>2179</v>
      </c>
      <c r="R167" s="0" t="str">
        <f aca="false">IF(H167="GEN","GM",H167)</f>
        <v>GM</v>
      </c>
    </row>
    <row r="168" customFormat="false" ht="15" hidden="false" customHeight="false" outlineLevel="0" collapsed="false">
      <c r="A168" s="0" t="s">
        <v>2450</v>
      </c>
      <c r="B168" s="0" t="s">
        <v>2451</v>
      </c>
      <c r="C168" s="0" t="s">
        <v>962</v>
      </c>
      <c r="D168" s="31" t="n">
        <v>24566</v>
      </c>
      <c r="E168" s="31" t="n">
        <v>45584</v>
      </c>
      <c r="F168" s="32" t="s">
        <v>2087</v>
      </c>
      <c r="G168" s="32" t="s">
        <v>2088</v>
      </c>
      <c r="H168" s="32" t="s">
        <v>793</v>
      </c>
      <c r="I168" s="31" t="n">
        <v>45590</v>
      </c>
      <c r="J168" s="32" t="s">
        <v>2080</v>
      </c>
      <c r="K168" s="0" t="n">
        <v>6</v>
      </c>
      <c r="L168" s="32" t="s">
        <v>2106</v>
      </c>
      <c r="M168" s="32" t="s">
        <v>2286</v>
      </c>
      <c r="N168" s="0" t="n">
        <v>6</v>
      </c>
      <c r="O168" s="32" t="s">
        <v>794</v>
      </c>
      <c r="P168" s="32" t="s">
        <v>2179</v>
      </c>
      <c r="Q168" s="32" t="s">
        <v>2129</v>
      </c>
      <c r="R168" s="0" t="str">
        <f aca="false">IF(H168="GEN","GM",H168)</f>
        <v>EM</v>
      </c>
    </row>
    <row r="169" customFormat="false" ht="15" hidden="false" customHeight="false" outlineLevel="0" collapsed="false">
      <c r="A169" s="0" t="s">
        <v>2452</v>
      </c>
      <c r="B169" s="0" t="s">
        <v>2237</v>
      </c>
      <c r="C169" s="0" t="s">
        <v>809</v>
      </c>
      <c r="D169" s="31" t="n">
        <v>15124</v>
      </c>
      <c r="E169" s="31" t="n">
        <v>45734</v>
      </c>
      <c r="F169" s="32" t="s">
        <v>2078</v>
      </c>
      <c r="G169" s="32" t="s">
        <v>2104</v>
      </c>
      <c r="H169" s="32" t="s">
        <v>802</v>
      </c>
      <c r="I169" s="31" t="n">
        <v>45737</v>
      </c>
      <c r="J169" s="32" t="s">
        <v>2080</v>
      </c>
      <c r="K169" s="0" t="n">
        <v>3</v>
      </c>
      <c r="L169" s="32" t="s">
        <v>2081</v>
      </c>
      <c r="M169" s="32" t="s">
        <v>2116</v>
      </c>
      <c r="N169" s="0" t="n">
        <v>3</v>
      </c>
      <c r="O169" s="32" t="s">
        <v>803</v>
      </c>
      <c r="P169" s="32" t="s">
        <v>2162</v>
      </c>
      <c r="Q169" s="32" t="s">
        <v>2259</v>
      </c>
      <c r="R169" s="0" t="str">
        <f aca="false">IF(H169="GEN","GM",H169)</f>
        <v>GYN</v>
      </c>
    </row>
    <row r="170" customFormat="false" ht="15" hidden="false" customHeight="false" outlineLevel="0" collapsed="false">
      <c r="A170" s="0" t="s">
        <v>2453</v>
      </c>
      <c r="B170" s="0" t="s">
        <v>2454</v>
      </c>
      <c r="C170" s="0" t="s">
        <v>2178</v>
      </c>
      <c r="D170" s="31" t="n">
        <v>18949</v>
      </c>
      <c r="E170" s="31" t="n">
        <v>45577</v>
      </c>
      <c r="F170" s="32" t="s">
        <v>2078</v>
      </c>
      <c r="G170" s="32" t="s">
        <v>2088</v>
      </c>
      <c r="H170" s="32" t="s">
        <v>826</v>
      </c>
      <c r="I170" s="31" t="n">
        <v>45578</v>
      </c>
      <c r="J170" s="32" t="s">
        <v>2307</v>
      </c>
      <c r="K170" s="0" t="n">
        <v>1</v>
      </c>
      <c r="L170" s="32" t="s">
        <v>2081</v>
      </c>
      <c r="M170" s="32" t="s">
        <v>2195</v>
      </c>
      <c r="N170" s="0" t="n">
        <v>1</v>
      </c>
      <c r="O170" s="32" t="s">
        <v>827</v>
      </c>
      <c r="P170" s="32" t="s">
        <v>2142</v>
      </c>
      <c r="Q170" s="32" t="s">
        <v>2165</v>
      </c>
      <c r="R170" s="0" t="str">
        <f aca="false">IF(H170="GEN","GM",H170)</f>
        <v>RHE</v>
      </c>
    </row>
    <row r="171" customFormat="false" ht="15" hidden="false" customHeight="false" outlineLevel="0" collapsed="false">
      <c r="A171" s="0" t="s">
        <v>2455</v>
      </c>
      <c r="B171" s="0" t="s">
        <v>2456</v>
      </c>
      <c r="C171" s="0" t="s">
        <v>809</v>
      </c>
      <c r="D171" s="31" t="n">
        <v>24012</v>
      </c>
      <c r="E171" s="31" t="n">
        <v>45617</v>
      </c>
      <c r="F171" s="32" t="s">
        <v>2087</v>
      </c>
      <c r="G171" s="32" t="s">
        <v>2079</v>
      </c>
      <c r="H171" s="32" t="s">
        <v>776</v>
      </c>
      <c r="I171" s="31" t="n">
        <v>45623</v>
      </c>
      <c r="J171" s="32" t="s">
        <v>2080</v>
      </c>
      <c r="K171" s="0" t="n">
        <v>6</v>
      </c>
      <c r="L171" s="32" t="s">
        <v>2081</v>
      </c>
      <c r="M171" s="32" t="s">
        <v>2161</v>
      </c>
      <c r="N171" s="0" t="n">
        <v>6</v>
      </c>
      <c r="O171" s="32" t="s">
        <v>777</v>
      </c>
      <c r="P171" s="32" t="s">
        <v>2083</v>
      </c>
      <c r="Q171" s="32" t="s">
        <v>2190</v>
      </c>
      <c r="R171" s="0" t="str">
        <f aca="false">IF(H171="GEN","GM",H171)</f>
        <v>GS</v>
      </c>
    </row>
    <row r="172" customFormat="false" ht="15" hidden="false" customHeight="false" outlineLevel="0" collapsed="false">
      <c r="A172" s="0" t="s">
        <v>2457</v>
      </c>
      <c r="B172" s="0" t="s">
        <v>2458</v>
      </c>
      <c r="C172" s="0" t="s">
        <v>906</v>
      </c>
      <c r="D172" s="31" t="n">
        <v>13096</v>
      </c>
      <c r="E172" s="31" t="n">
        <v>45650</v>
      </c>
      <c r="F172" s="32" t="s">
        <v>2087</v>
      </c>
      <c r="G172" s="32" t="s">
        <v>2079</v>
      </c>
      <c r="H172" s="32" t="s">
        <v>810</v>
      </c>
      <c r="I172" s="31" t="n">
        <v>45657</v>
      </c>
      <c r="J172" s="32" t="s">
        <v>2368</v>
      </c>
      <c r="K172" s="0" t="n">
        <v>7</v>
      </c>
      <c r="L172" s="32" t="s">
        <v>2081</v>
      </c>
      <c r="M172" s="32" t="s">
        <v>2136</v>
      </c>
      <c r="N172" s="0" t="n">
        <v>7</v>
      </c>
      <c r="O172" s="32" t="s">
        <v>811</v>
      </c>
      <c r="P172" s="32" t="s">
        <v>2095</v>
      </c>
      <c r="Q172" s="32" t="s">
        <v>2165</v>
      </c>
      <c r="R172" s="0" t="str">
        <f aca="false">IF(H172="GEN","GM",H172)</f>
        <v>URO</v>
      </c>
    </row>
    <row r="173" customFormat="false" ht="15" hidden="false" customHeight="false" outlineLevel="0" collapsed="false">
      <c r="A173" s="0" t="s">
        <v>2459</v>
      </c>
      <c r="B173" s="0" t="s">
        <v>2460</v>
      </c>
      <c r="C173" s="0" t="s">
        <v>906</v>
      </c>
      <c r="D173" s="31" t="n">
        <v>25178</v>
      </c>
      <c r="E173" s="31" t="n">
        <v>45633</v>
      </c>
      <c r="F173" s="32" t="s">
        <v>2078</v>
      </c>
      <c r="G173" s="32" t="s">
        <v>2099</v>
      </c>
      <c r="H173" s="32" t="s">
        <v>766</v>
      </c>
      <c r="L173" s="32" t="s">
        <v>2081</v>
      </c>
      <c r="M173" s="32" t="s">
        <v>2082</v>
      </c>
      <c r="O173" s="32" t="s">
        <v>767</v>
      </c>
      <c r="P173" s="32" t="s">
        <v>2083</v>
      </c>
      <c r="Q173" s="32" t="s">
        <v>2170</v>
      </c>
      <c r="R173" s="0" t="str">
        <f aca="false">IF(H173="GEN","GM",H173)</f>
        <v>OR</v>
      </c>
    </row>
    <row r="174" customFormat="false" ht="15" hidden="false" customHeight="false" outlineLevel="0" collapsed="false">
      <c r="A174" s="0" t="s">
        <v>2461</v>
      </c>
      <c r="B174" s="0" t="s">
        <v>2462</v>
      </c>
      <c r="C174" s="0" t="s">
        <v>878</v>
      </c>
      <c r="D174" s="31" t="n">
        <v>37543</v>
      </c>
      <c r="E174" s="31" t="n">
        <v>45662</v>
      </c>
      <c r="F174" s="32" t="s">
        <v>2087</v>
      </c>
      <c r="G174" s="32" t="s">
        <v>2099</v>
      </c>
      <c r="H174" s="32" t="s">
        <v>766</v>
      </c>
      <c r="I174" s="31" t="n">
        <v>45667</v>
      </c>
      <c r="J174" s="32" t="s">
        <v>2080</v>
      </c>
      <c r="K174" s="0" t="n">
        <v>5</v>
      </c>
      <c r="L174" s="32" t="s">
        <v>2081</v>
      </c>
      <c r="M174" s="32" t="s">
        <v>2110</v>
      </c>
      <c r="N174" s="0" t="n">
        <v>5</v>
      </c>
      <c r="O174" s="32" t="s">
        <v>767</v>
      </c>
      <c r="P174" s="32" t="s">
        <v>2179</v>
      </c>
      <c r="Q174" s="32" t="s">
        <v>2084</v>
      </c>
      <c r="R174" s="0" t="str">
        <f aca="false">IF(H174="GEN","GM",H174)</f>
        <v>OR</v>
      </c>
    </row>
    <row r="175" customFormat="false" ht="15" hidden="false" customHeight="false" outlineLevel="0" collapsed="false">
      <c r="A175" s="0" t="s">
        <v>2463</v>
      </c>
      <c r="B175" s="0" t="s">
        <v>2464</v>
      </c>
      <c r="C175" s="0" t="s">
        <v>898</v>
      </c>
      <c r="D175" s="31" t="n">
        <v>16675</v>
      </c>
      <c r="E175" s="31" t="n">
        <v>45611</v>
      </c>
      <c r="F175" s="32" t="s">
        <v>2087</v>
      </c>
      <c r="G175" s="32" t="s">
        <v>2099</v>
      </c>
      <c r="H175" s="32" t="s">
        <v>818</v>
      </c>
      <c r="I175" s="31" t="n">
        <v>45614</v>
      </c>
      <c r="J175" s="32" t="s">
        <v>2080</v>
      </c>
      <c r="K175" s="0" t="n">
        <v>3</v>
      </c>
      <c r="L175" s="32" t="s">
        <v>2081</v>
      </c>
      <c r="M175" s="32" t="s">
        <v>2283</v>
      </c>
      <c r="N175" s="0" t="n">
        <v>3</v>
      </c>
      <c r="O175" s="32" t="s">
        <v>819</v>
      </c>
      <c r="P175" s="32" t="s">
        <v>2162</v>
      </c>
      <c r="Q175" s="32" t="s">
        <v>2129</v>
      </c>
      <c r="R175" s="0" t="str">
        <f aca="false">IF(H175="GEN","GM",H175)</f>
        <v>OPH</v>
      </c>
    </row>
    <row r="176" customFormat="false" ht="15" hidden="false" customHeight="false" outlineLevel="0" collapsed="false">
      <c r="A176" s="0" t="s">
        <v>2465</v>
      </c>
      <c r="B176" s="0" t="s">
        <v>2466</v>
      </c>
      <c r="C176" s="0" t="s">
        <v>2178</v>
      </c>
      <c r="D176" s="31" t="n">
        <v>20249</v>
      </c>
      <c r="E176" s="31" t="n">
        <v>45576</v>
      </c>
      <c r="F176" s="32" t="s">
        <v>2087</v>
      </c>
      <c r="G176" s="32" t="s">
        <v>2079</v>
      </c>
      <c r="H176" s="32" t="s">
        <v>810</v>
      </c>
      <c r="I176" s="31" t="n">
        <v>45580</v>
      </c>
      <c r="J176" s="32" t="s">
        <v>2080</v>
      </c>
      <c r="K176" s="0" t="n">
        <v>4</v>
      </c>
      <c r="L176" s="32" t="s">
        <v>2081</v>
      </c>
      <c r="M176" s="32" t="s">
        <v>2132</v>
      </c>
      <c r="N176" s="0" t="n">
        <v>4</v>
      </c>
      <c r="O176" s="32" t="s">
        <v>811</v>
      </c>
      <c r="P176" s="32" t="s">
        <v>2238</v>
      </c>
      <c r="Q176" s="32" t="s">
        <v>2165</v>
      </c>
      <c r="R176" s="0" t="str">
        <f aca="false">IF(H176="GEN","GM",H176)</f>
        <v>URO</v>
      </c>
    </row>
    <row r="177" customFormat="false" ht="15" hidden="false" customHeight="false" outlineLevel="0" collapsed="false">
      <c r="A177" s="0" t="s">
        <v>2467</v>
      </c>
      <c r="B177" s="0" t="s">
        <v>2468</v>
      </c>
      <c r="C177" s="0" t="s">
        <v>833</v>
      </c>
      <c r="D177" s="31" t="n">
        <v>25662</v>
      </c>
      <c r="E177" s="31" t="n">
        <v>45650</v>
      </c>
      <c r="F177" s="32" t="s">
        <v>2078</v>
      </c>
      <c r="G177" s="32" t="s">
        <v>2099</v>
      </c>
      <c r="H177" s="32" t="s">
        <v>818</v>
      </c>
      <c r="I177" s="31" t="n">
        <v>45651</v>
      </c>
      <c r="J177" s="32" t="s">
        <v>2080</v>
      </c>
      <c r="K177" s="0" t="n">
        <v>1</v>
      </c>
      <c r="L177" s="32" t="s">
        <v>2081</v>
      </c>
      <c r="M177" s="32" t="s">
        <v>2152</v>
      </c>
      <c r="N177" s="0" t="n">
        <v>1</v>
      </c>
      <c r="O177" s="32" t="s">
        <v>819</v>
      </c>
      <c r="P177" s="32" t="s">
        <v>2111</v>
      </c>
      <c r="Q177" s="32" t="s">
        <v>2096</v>
      </c>
      <c r="R177" s="0" t="str">
        <f aca="false">IF(H177="GEN","GM",H177)</f>
        <v>OPH</v>
      </c>
    </row>
    <row r="178" customFormat="false" ht="15" hidden="false" customHeight="false" outlineLevel="0" collapsed="false">
      <c r="A178" s="0" t="s">
        <v>2469</v>
      </c>
      <c r="B178" s="0" t="s">
        <v>2470</v>
      </c>
      <c r="C178" s="0" t="s">
        <v>757</v>
      </c>
      <c r="D178" s="31" t="n">
        <v>35020</v>
      </c>
      <c r="E178" s="31" t="n">
        <v>45619</v>
      </c>
      <c r="F178" s="32" t="s">
        <v>2160</v>
      </c>
      <c r="G178" s="32" t="s">
        <v>2104</v>
      </c>
      <c r="H178" s="32" t="s">
        <v>802</v>
      </c>
      <c r="I178" s="31" t="n">
        <v>45623</v>
      </c>
      <c r="J178" s="32" t="s">
        <v>2080</v>
      </c>
      <c r="K178" s="0" t="n">
        <v>4</v>
      </c>
      <c r="L178" s="32" t="s">
        <v>2081</v>
      </c>
      <c r="M178" s="32" t="s">
        <v>2255</v>
      </c>
      <c r="N178" s="0" t="n">
        <v>4</v>
      </c>
      <c r="O178" s="32" t="s">
        <v>803</v>
      </c>
      <c r="P178" s="32" t="s">
        <v>2149</v>
      </c>
      <c r="Q178" s="32" t="s">
        <v>2091</v>
      </c>
      <c r="R178" s="0" t="str">
        <f aca="false">IF(H178="GEN","GM",H178)</f>
        <v>GYN</v>
      </c>
    </row>
    <row r="179" customFormat="false" ht="15" hidden="false" customHeight="false" outlineLevel="0" collapsed="false">
      <c r="A179" s="0" t="s">
        <v>2471</v>
      </c>
      <c r="B179" s="0" t="s">
        <v>2077</v>
      </c>
      <c r="C179" s="0" t="s">
        <v>757</v>
      </c>
      <c r="D179" s="31" t="n">
        <v>36126</v>
      </c>
      <c r="E179" s="31" t="n">
        <v>45703</v>
      </c>
      <c r="F179" s="32" t="s">
        <v>2078</v>
      </c>
      <c r="G179" s="32" t="s">
        <v>2104</v>
      </c>
      <c r="H179" s="32" t="s">
        <v>802</v>
      </c>
      <c r="I179" s="31" t="n">
        <v>45705</v>
      </c>
      <c r="J179" s="32" t="s">
        <v>2080</v>
      </c>
      <c r="K179" s="0" t="n">
        <v>2</v>
      </c>
      <c r="L179" s="32" t="s">
        <v>2081</v>
      </c>
      <c r="M179" s="32" t="s">
        <v>2161</v>
      </c>
      <c r="N179" s="0" t="n">
        <v>2</v>
      </c>
      <c r="O179" s="32" t="s">
        <v>803</v>
      </c>
      <c r="P179" s="32" t="s">
        <v>2133</v>
      </c>
      <c r="Q179" s="32" t="s">
        <v>2157</v>
      </c>
      <c r="R179" s="0" t="str">
        <f aca="false">IF(H179="GEN","GM",H179)</f>
        <v>GYN</v>
      </c>
    </row>
    <row r="180" customFormat="false" ht="15" hidden="false" customHeight="false" outlineLevel="0" collapsed="false">
      <c r="A180" s="0" t="s">
        <v>2472</v>
      </c>
      <c r="B180" s="0" t="s">
        <v>2473</v>
      </c>
      <c r="C180" s="0" t="s">
        <v>1402</v>
      </c>
      <c r="D180" s="31" t="n">
        <v>17703</v>
      </c>
      <c r="E180" s="31" t="n">
        <v>45707</v>
      </c>
      <c r="F180" s="32" t="s">
        <v>2160</v>
      </c>
      <c r="G180" s="32" t="s">
        <v>2124</v>
      </c>
      <c r="H180" s="32" t="s">
        <v>785</v>
      </c>
      <c r="I180" s="31" t="n">
        <v>45710</v>
      </c>
      <c r="J180" s="32" t="s">
        <v>2080</v>
      </c>
      <c r="K180" s="0" t="n">
        <v>3</v>
      </c>
      <c r="L180" s="32" t="s">
        <v>2081</v>
      </c>
      <c r="M180" s="32" t="s">
        <v>2116</v>
      </c>
      <c r="N180" s="0" t="n">
        <v>3</v>
      </c>
      <c r="O180" s="32" t="s">
        <v>786</v>
      </c>
      <c r="P180" s="32" t="s">
        <v>2179</v>
      </c>
      <c r="Q180" s="32" t="s">
        <v>2165</v>
      </c>
      <c r="R180" s="0" t="str">
        <f aca="false">IF(H180="GEN","GM",H180)</f>
        <v>RS</v>
      </c>
    </row>
    <row r="181" customFormat="false" ht="15" hidden="false" customHeight="false" outlineLevel="0" collapsed="false">
      <c r="A181" s="0" t="s">
        <v>2474</v>
      </c>
      <c r="B181" s="0" t="s">
        <v>2475</v>
      </c>
      <c r="C181" s="0" t="s">
        <v>997</v>
      </c>
      <c r="D181" s="31" t="n">
        <v>20125</v>
      </c>
      <c r="E181" s="31" t="n">
        <v>45676</v>
      </c>
      <c r="F181" s="32" t="s">
        <v>2087</v>
      </c>
      <c r="G181" s="32" t="s">
        <v>2079</v>
      </c>
      <c r="H181" s="32" t="s">
        <v>776</v>
      </c>
      <c r="I181" s="31" t="n">
        <v>45683</v>
      </c>
      <c r="J181" s="32" t="s">
        <v>2080</v>
      </c>
      <c r="K181" s="0" t="n">
        <v>7</v>
      </c>
      <c r="L181" s="32" t="s">
        <v>2081</v>
      </c>
      <c r="M181" s="32" t="s">
        <v>2110</v>
      </c>
      <c r="N181" s="0" t="n">
        <v>7</v>
      </c>
      <c r="O181" s="32" t="s">
        <v>777</v>
      </c>
      <c r="P181" s="32" t="s">
        <v>2133</v>
      </c>
      <c r="Q181" s="32" t="s">
        <v>2198</v>
      </c>
      <c r="R181" s="0" t="str">
        <f aca="false">IF(H181="GEN","GM",H181)</f>
        <v>GS</v>
      </c>
    </row>
    <row r="182" customFormat="false" ht="15" hidden="false" customHeight="false" outlineLevel="0" collapsed="false">
      <c r="A182" s="0" t="s">
        <v>2476</v>
      </c>
      <c r="B182" s="0" t="s">
        <v>2477</v>
      </c>
      <c r="C182" s="0" t="s">
        <v>1029</v>
      </c>
      <c r="D182" s="31" t="n">
        <v>34609</v>
      </c>
      <c r="E182" s="31" t="n">
        <v>45642</v>
      </c>
      <c r="F182" s="32" t="s">
        <v>2087</v>
      </c>
      <c r="G182" s="32" t="s">
        <v>2079</v>
      </c>
      <c r="H182" s="32" t="s">
        <v>810</v>
      </c>
      <c r="I182" s="31" t="n">
        <v>45645</v>
      </c>
      <c r="J182" s="32" t="s">
        <v>2080</v>
      </c>
      <c r="K182" s="0" t="n">
        <v>3</v>
      </c>
      <c r="L182" s="32" t="s">
        <v>2081</v>
      </c>
      <c r="M182" s="32" t="s">
        <v>2128</v>
      </c>
      <c r="N182" s="0" t="n">
        <v>3</v>
      </c>
      <c r="O182" s="32" t="s">
        <v>811</v>
      </c>
      <c r="P182" s="32" t="s">
        <v>2179</v>
      </c>
      <c r="Q182" s="32" t="s">
        <v>2107</v>
      </c>
      <c r="R182" s="0" t="str">
        <f aca="false">IF(H182="GEN","GM",H182)</f>
        <v>URO</v>
      </c>
    </row>
    <row r="183" customFormat="false" ht="15" hidden="false" customHeight="false" outlineLevel="0" collapsed="false">
      <c r="A183" s="0" t="s">
        <v>2478</v>
      </c>
      <c r="B183" s="0" t="s">
        <v>2172</v>
      </c>
      <c r="C183" s="0" t="s">
        <v>942</v>
      </c>
      <c r="D183" s="31" t="n">
        <v>16064</v>
      </c>
      <c r="E183" s="31" t="n">
        <v>45592</v>
      </c>
      <c r="F183" s="32" t="s">
        <v>2087</v>
      </c>
      <c r="G183" s="32" t="s">
        <v>2099</v>
      </c>
      <c r="H183" s="32" t="s">
        <v>818</v>
      </c>
      <c r="I183" s="31" t="n">
        <v>45596</v>
      </c>
      <c r="J183" s="32" t="s">
        <v>2080</v>
      </c>
      <c r="K183" s="0" t="n">
        <v>4</v>
      </c>
      <c r="M183" s="32" t="s">
        <v>2136</v>
      </c>
      <c r="N183" s="0" t="n">
        <v>4</v>
      </c>
      <c r="O183" s="32" t="s">
        <v>819</v>
      </c>
      <c r="P183" s="32" t="s">
        <v>2133</v>
      </c>
      <c r="R183" s="0" t="str">
        <f aca="false">IF(H183="GEN","GM",H183)</f>
        <v>OPH</v>
      </c>
    </row>
    <row r="184" customFormat="false" ht="15" hidden="false" customHeight="false" outlineLevel="0" collapsed="false">
      <c r="A184" s="0" t="s">
        <v>2479</v>
      </c>
      <c r="B184" s="0" t="s">
        <v>2480</v>
      </c>
      <c r="C184" s="0" t="s">
        <v>958</v>
      </c>
      <c r="D184" s="31" t="n">
        <v>34561</v>
      </c>
      <c r="E184" s="31" t="n">
        <v>45686</v>
      </c>
      <c r="F184" s="32" t="s">
        <v>2078</v>
      </c>
      <c r="G184" s="32" t="s">
        <v>2079</v>
      </c>
      <c r="H184" s="32" t="s">
        <v>776</v>
      </c>
      <c r="I184" s="31" t="n">
        <v>45690</v>
      </c>
      <c r="J184" s="32" t="s">
        <v>2080</v>
      </c>
      <c r="K184" s="0" t="n">
        <v>4</v>
      </c>
      <c r="L184" s="32" t="s">
        <v>2081</v>
      </c>
      <c r="M184" s="32" t="s">
        <v>2141</v>
      </c>
      <c r="N184" s="0" t="n">
        <v>4</v>
      </c>
      <c r="O184" s="32" t="s">
        <v>777</v>
      </c>
      <c r="P184" s="32" t="s">
        <v>2201</v>
      </c>
      <c r="Q184" s="32" t="s">
        <v>2129</v>
      </c>
      <c r="R184" s="0" t="str">
        <f aca="false">IF(H184="GEN","GM",H184)</f>
        <v>GS</v>
      </c>
    </row>
    <row r="185" customFormat="false" ht="15" hidden="false" customHeight="false" outlineLevel="0" collapsed="false">
      <c r="A185" s="0" t="s">
        <v>2481</v>
      </c>
      <c r="B185" s="0" t="s">
        <v>2211</v>
      </c>
      <c r="C185" s="0" t="s">
        <v>1426</v>
      </c>
      <c r="D185" s="31" t="n">
        <v>22881</v>
      </c>
      <c r="E185" s="31" t="n">
        <v>45592</v>
      </c>
      <c r="F185" s="32" t="s">
        <v>2078</v>
      </c>
      <c r="G185" s="32" t="s">
        <v>2099</v>
      </c>
      <c r="H185" s="32" t="s">
        <v>818</v>
      </c>
      <c r="I185" s="31" t="n">
        <v>45594</v>
      </c>
      <c r="J185" s="32" t="s">
        <v>2080</v>
      </c>
      <c r="K185" s="0" t="n">
        <v>2</v>
      </c>
      <c r="L185" s="32" t="s">
        <v>2081</v>
      </c>
      <c r="M185" s="32" t="s">
        <v>2286</v>
      </c>
      <c r="N185" s="0" t="n">
        <v>1</v>
      </c>
      <c r="O185" s="32" t="s">
        <v>819</v>
      </c>
      <c r="P185" s="32" t="s">
        <v>2111</v>
      </c>
      <c r="Q185" s="32" t="s">
        <v>2125</v>
      </c>
      <c r="R185" s="0" t="str">
        <f aca="false">IF(H185="GEN","GM",H185)</f>
        <v>OPH</v>
      </c>
    </row>
    <row r="186" customFormat="false" ht="15" hidden="false" customHeight="false" outlineLevel="0" collapsed="false">
      <c r="A186" s="0" t="s">
        <v>2482</v>
      </c>
      <c r="B186" s="0" t="s">
        <v>2483</v>
      </c>
      <c r="C186" s="0" t="s">
        <v>878</v>
      </c>
      <c r="D186" s="31" t="n">
        <v>20468</v>
      </c>
      <c r="E186" s="31" t="n">
        <v>45667</v>
      </c>
      <c r="F186" s="32" t="s">
        <v>2087</v>
      </c>
      <c r="G186" s="32" t="s">
        <v>2079</v>
      </c>
      <c r="H186" s="32" t="s">
        <v>776</v>
      </c>
      <c r="I186" s="31" t="n">
        <v>45678</v>
      </c>
      <c r="J186" s="32" t="s">
        <v>2080</v>
      </c>
      <c r="K186" s="0" t="n">
        <v>11</v>
      </c>
      <c r="L186" s="32" t="s">
        <v>2081</v>
      </c>
      <c r="M186" s="32" t="s">
        <v>2286</v>
      </c>
      <c r="N186" s="0" t="n">
        <v>11</v>
      </c>
      <c r="O186" s="32" t="s">
        <v>777</v>
      </c>
      <c r="P186" s="32" t="s">
        <v>2213</v>
      </c>
      <c r="Q186" s="32" t="s">
        <v>2198</v>
      </c>
      <c r="R186" s="0" t="str">
        <f aca="false">IF(H186="GEN","GM",H186)</f>
        <v>GS</v>
      </c>
    </row>
    <row r="187" customFormat="false" ht="15" hidden="false" customHeight="false" outlineLevel="0" collapsed="false">
      <c r="A187" s="0" t="s">
        <v>2484</v>
      </c>
      <c r="B187" s="0" t="s">
        <v>2485</v>
      </c>
      <c r="C187" s="0" t="s">
        <v>1390</v>
      </c>
      <c r="D187" s="31" t="n">
        <v>17885</v>
      </c>
      <c r="E187" s="31" t="n">
        <v>45727</v>
      </c>
      <c r="F187" s="32" t="s">
        <v>2087</v>
      </c>
      <c r="G187" s="32" t="s">
        <v>2124</v>
      </c>
      <c r="H187" s="32" t="s">
        <v>785</v>
      </c>
      <c r="I187" s="31" t="n">
        <v>45732</v>
      </c>
      <c r="J187" s="32" t="s">
        <v>2080</v>
      </c>
      <c r="K187" s="0" t="n">
        <v>5</v>
      </c>
      <c r="L187" s="32" t="s">
        <v>2081</v>
      </c>
      <c r="M187" s="32" t="s">
        <v>2100</v>
      </c>
      <c r="N187" s="0" t="n">
        <v>5</v>
      </c>
      <c r="O187" s="32" t="s">
        <v>786</v>
      </c>
      <c r="P187" s="32" t="s">
        <v>2111</v>
      </c>
      <c r="Q187" s="32" t="s">
        <v>2198</v>
      </c>
      <c r="R187" s="0" t="str">
        <f aca="false">IF(H187="GEN","GM",H187)</f>
        <v>RS</v>
      </c>
    </row>
    <row r="188" customFormat="false" ht="15" hidden="false" customHeight="false" outlineLevel="0" collapsed="false">
      <c r="A188" s="0" t="s">
        <v>2486</v>
      </c>
      <c r="B188" s="0" t="s">
        <v>2331</v>
      </c>
      <c r="C188" s="0" t="s">
        <v>910</v>
      </c>
      <c r="D188" s="31" t="n">
        <v>36456</v>
      </c>
      <c r="E188" s="31" t="n">
        <v>45626</v>
      </c>
      <c r="F188" s="32" t="s">
        <v>2160</v>
      </c>
      <c r="G188" s="32" t="s">
        <v>2088</v>
      </c>
      <c r="H188" s="32" t="s">
        <v>826</v>
      </c>
      <c r="I188" s="31" t="n">
        <v>45632</v>
      </c>
      <c r="J188" s="32" t="s">
        <v>2080</v>
      </c>
      <c r="K188" s="0" t="n">
        <v>6</v>
      </c>
      <c r="L188" s="32" t="s">
        <v>2081</v>
      </c>
      <c r="M188" s="32" t="s">
        <v>2161</v>
      </c>
      <c r="N188" s="0" t="n">
        <v>6</v>
      </c>
      <c r="O188" s="32" t="s">
        <v>827</v>
      </c>
      <c r="P188" s="32" t="s">
        <v>2149</v>
      </c>
      <c r="Q188" s="32" t="s">
        <v>2125</v>
      </c>
      <c r="R188" s="0" t="str">
        <f aca="false">IF(H188="GEN","GM",H188)</f>
        <v>RHE</v>
      </c>
    </row>
    <row r="189" customFormat="false" ht="15" hidden="false" customHeight="false" outlineLevel="0" collapsed="false">
      <c r="A189" s="0" t="s">
        <v>2487</v>
      </c>
      <c r="B189" s="0" t="s">
        <v>2169</v>
      </c>
      <c r="C189" s="0" t="s">
        <v>1453</v>
      </c>
      <c r="D189" s="31" t="n">
        <v>32474</v>
      </c>
      <c r="E189" s="31" t="n">
        <v>45579</v>
      </c>
      <c r="F189" s="32" t="s">
        <v>2078</v>
      </c>
      <c r="G189" s="32" t="s">
        <v>2088</v>
      </c>
      <c r="H189" s="32" t="s">
        <v>793</v>
      </c>
      <c r="I189" s="31" t="n">
        <v>45584</v>
      </c>
      <c r="J189" s="32" t="s">
        <v>2080</v>
      </c>
      <c r="K189" s="0" t="n">
        <v>5</v>
      </c>
      <c r="L189" s="32" t="s">
        <v>2081</v>
      </c>
      <c r="M189" s="32" t="s">
        <v>2141</v>
      </c>
      <c r="N189" s="0" t="n">
        <v>5</v>
      </c>
      <c r="O189" s="32" t="s">
        <v>794</v>
      </c>
      <c r="P189" s="32" t="s">
        <v>2137</v>
      </c>
      <c r="Q189" s="32" t="s">
        <v>2179</v>
      </c>
      <c r="R189" s="0" t="str">
        <f aca="false">IF(H189="GEN","GM",H189)</f>
        <v>EM</v>
      </c>
    </row>
    <row r="190" customFormat="false" ht="15" hidden="false" customHeight="false" outlineLevel="0" collapsed="false">
      <c r="A190" s="0" t="s">
        <v>2488</v>
      </c>
      <c r="B190" s="0" t="s">
        <v>2489</v>
      </c>
      <c r="C190" s="0" t="s">
        <v>857</v>
      </c>
      <c r="D190" s="31" t="n">
        <v>16880</v>
      </c>
      <c r="E190" s="31" t="n">
        <v>45645</v>
      </c>
      <c r="F190" s="32" t="s">
        <v>2087</v>
      </c>
      <c r="G190" s="32" t="s">
        <v>2099</v>
      </c>
      <c r="H190" s="32" t="s">
        <v>818</v>
      </c>
      <c r="I190" s="31" t="n">
        <v>45647</v>
      </c>
      <c r="J190" s="32" t="s">
        <v>2080</v>
      </c>
      <c r="K190" s="0" t="n">
        <v>2</v>
      </c>
      <c r="L190" s="32" t="s">
        <v>2081</v>
      </c>
      <c r="M190" s="32" t="s">
        <v>2100</v>
      </c>
      <c r="N190" s="0" t="n">
        <v>2</v>
      </c>
      <c r="O190" s="32" t="s">
        <v>819</v>
      </c>
      <c r="P190" s="32" t="s">
        <v>2175</v>
      </c>
      <c r="Q190" s="32" t="s">
        <v>2157</v>
      </c>
      <c r="R190" s="0" t="str">
        <f aca="false">IF(H190="GEN","GM",H190)</f>
        <v>OPH</v>
      </c>
    </row>
    <row r="191" customFormat="false" ht="15" hidden="false" customHeight="false" outlineLevel="0" collapsed="false">
      <c r="A191" s="0" t="s">
        <v>2490</v>
      </c>
      <c r="B191" s="0" t="s">
        <v>2423</v>
      </c>
      <c r="C191" s="0" t="s">
        <v>1017</v>
      </c>
      <c r="D191" s="31" t="n">
        <v>19937</v>
      </c>
      <c r="E191" s="31" t="n">
        <v>45610</v>
      </c>
      <c r="F191" s="32" t="s">
        <v>2087</v>
      </c>
      <c r="G191" s="32" t="s">
        <v>2124</v>
      </c>
      <c r="H191" s="32" t="s">
        <v>785</v>
      </c>
      <c r="I191" s="31" t="n">
        <v>45612</v>
      </c>
      <c r="J191" s="32" t="s">
        <v>2080</v>
      </c>
      <c r="K191" s="0" t="n">
        <v>2</v>
      </c>
      <c r="L191" s="32" t="s">
        <v>2081</v>
      </c>
      <c r="M191" s="32" t="s">
        <v>2089</v>
      </c>
      <c r="N191" s="0" t="n">
        <v>4</v>
      </c>
      <c r="O191" s="32" t="s">
        <v>786</v>
      </c>
      <c r="P191" s="32" t="s">
        <v>2175</v>
      </c>
      <c r="Q191" s="32" t="s">
        <v>2241</v>
      </c>
      <c r="R191" s="0" t="str">
        <f aca="false">IF(H191="GEN","GM",H191)</f>
        <v>RS</v>
      </c>
    </row>
    <row r="192" customFormat="false" ht="15" hidden="false" customHeight="false" outlineLevel="0" collapsed="false">
      <c r="A192" s="0" t="s">
        <v>2491</v>
      </c>
      <c r="B192" s="0" t="s">
        <v>2492</v>
      </c>
      <c r="C192" s="0" t="s">
        <v>985</v>
      </c>
      <c r="D192" s="31" t="n">
        <v>30904</v>
      </c>
      <c r="E192" s="31" t="n">
        <v>45607</v>
      </c>
      <c r="F192" s="32" t="s">
        <v>2087</v>
      </c>
      <c r="G192" s="32" t="s">
        <v>2088</v>
      </c>
      <c r="H192" s="32" t="s">
        <v>747</v>
      </c>
      <c r="I192" s="31" t="n">
        <v>45609</v>
      </c>
      <c r="J192" s="32" t="s">
        <v>2307</v>
      </c>
      <c r="K192" s="0" t="n">
        <v>2</v>
      </c>
      <c r="L192" s="32" t="s">
        <v>2081</v>
      </c>
      <c r="M192" s="32" t="s">
        <v>2227</v>
      </c>
      <c r="N192" s="0" t="n">
        <v>2</v>
      </c>
      <c r="O192" s="32" t="s">
        <v>748</v>
      </c>
      <c r="P192" s="32" t="s">
        <v>2090</v>
      </c>
      <c r="Q192" s="32" t="s">
        <v>2107</v>
      </c>
      <c r="R192" s="0" t="str">
        <f aca="false">IF(H192="GEN","GM",H192)</f>
        <v>GM</v>
      </c>
    </row>
    <row r="193" customFormat="false" ht="15" hidden="false" customHeight="false" outlineLevel="0" collapsed="false">
      <c r="A193" s="0" t="s">
        <v>2493</v>
      </c>
      <c r="B193" s="0" t="s">
        <v>2494</v>
      </c>
      <c r="C193" s="0" t="s">
        <v>775</v>
      </c>
      <c r="D193" s="31" t="n">
        <v>19499</v>
      </c>
      <c r="E193" s="31" t="n">
        <v>45607</v>
      </c>
      <c r="F193" s="32" t="s">
        <v>2087</v>
      </c>
      <c r="G193" s="32" t="s">
        <v>2088</v>
      </c>
      <c r="H193" s="32" t="s">
        <v>826</v>
      </c>
      <c r="I193" s="31" t="n">
        <v>45607</v>
      </c>
      <c r="J193" s="32" t="s">
        <v>2307</v>
      </c>
      <c r="K193" s="0" t="n">
        <v>0</v>
      </c>
      <c r="L193" s="32" t="s">
        <v>2081</v>
      </c>
      <c r="M193" s="32" t="s">
        <v>2255</v>
      </c>
      <c r="N193" s="0" t="n">
        <v>0</v>
      </c>
      <c r="O193" s="32" t="s">
        <v>827</v>
      </c>
      <c r="P193" s="32" t="s">
        <v>2101</v>
      </c>
      <c r="Q193" s="32" t="s">
        <v>2153</v>
      </c>
      <c r="R193" s="0" t="str">
        <f aca="false">IF(H193="GEN","GM",H193)</f>
        <v>RHE</v>
      </c>
    </row>
    <row r="194" customFormat="false" ht="15" hidden="false" customHeight="false" outlineLevel="0" collapsed="false">
      <c r="A194" s="0" t="s">
        <v>2495</v>
      </c>
      <c r="B194" s="0" t="s">
        <v>2496</v>
      </c>
      <c r="C194" s="0" t="s">
        <v>989</v>
      </c>
      <c r="D194" s="31" t="n">
        <v>27377</v>
      </c>
      <c r="E194" s="31" t="n">
        <v>45654</v>
      </c>
      <c r="F194" s="32" t="s">
        <v>2087</v>
      </c>
      <c r="G194" s="32" t="s">
        <v>2115</v>
      </c>
      <c r="H194" s="32" t="s">
        <v>758</v>
      </c>
      <c r="I194" s="31" t="n">
        <v>45661</v>
      </c>
      <c r="J194" s="32" t="s">
        <v>2080</v>
      </c>
      <c r="K194" s="0" t="n">
        <v>7</v>
      </c>
      <c r="L194" s="32" t="s">
        <v>2081</v>
      </c>
      <c r="M194" s="32" t="s">
        <v>2255</v>
      </c>
      <c r="N194" s="0" t="n">
        <v>7</v>
      </c>
      <c r="O194" s="32" t="s">
        <v>759</v>
      </c>
      <c r="P194" s="32" t="s">
        <v>2142</v>
      </c>
      <c r="Q194" s="32" t="s">
        <v>2153</v>
      </c>
      <c r="R194" s="0" t="str">
        <f aca="false">IF(H194="GEN","GM",H194)</f>
        <v>CS</v>
      </c>
    </row>
    <row r="195" customFormat="false" ht="15" hidden="false" customHeight="false" outlineLevel="0" collapsed="false">
      <c r="A195" s="0" t="s">
        <v>2497</v>
      </c>
      <c r="B195" s="0" t="s">
        <v>2498</v>
      </c>
      <c r="C195" s="0" t="s">
        <v>1393</v>
      </c>
      <c r="D195" s="31" t="n">
        <v>21432</v>
      </c>
      <c r="E195" s="31" t="n">
        <v>45670</v>
      </c>
      <c r="F195" s="32" t="s">
        <v>2087</v>
      </c>
      <c r="G195" s="32" t="s">
        <v>2088</v>
      </c>
      <c r="H195" s="32" t="s">
        <v>747</v>
      </c>
      <c r="I195" s="31" t="n">
        <v>45673</v>
      </c>
      <c r="J195" s="32" t="s">
        <v>2080</v>
      </c>
      <c r="K195" s="0" t="n">
        <v>3</v>
      </c>
      <c r="L195" s="32" t="s">
        <v>2106</v>
      </c>
      <c r="M195" s="32" t="s">
        <v>2132</v>
      </c>
      <c r="N195" s="0" t="n">
        <v>3</v>
      </c>
      <c r="O195" s="32" t="s">
        <v>748</v>
      </c>
      <c r="P195" s="32" t="s">
        <v>2121</v>
      </c>
      <c r="Q195" s="32" t="s">
        <v>2138</v>
      </c>
      <c r="R195" s="0" t="str">
        <f aca="false">IF(H195="GEN","GM",H195)</f>
        <v>GM</v>
      </c>
    </row>
    <row r="196" customFormat="false" ht="15" hidden="false" customHeight="false" outlineLevel="0" collapsed="false">
      <c r="A196" s="0" t="s">
        <v>2499</v>
      </c>
      <c r="C196" s="0" t="s">
        <v>792</v>
      </c>
      <c r="D196" s="31" t="n">
        <v>17274</v>
      </c>
      <c r="E196" s="31" t="n">
        <v>45652</v>
      </c>
      <c r="F196" s="32" t="s">
        <v>2087</v>
      </c>
      <c r="G196" s="32" t="s">
        <v>2124</v>
      </c>
      <c r="H196" s="32" t="s">
        <v>785</v>
      </c>
      <c r="I196" s="31" t="n">
        <v>45657</v>
      </c>
      <c r="J196" s="32" t="s">
        <v>2080</v>
      </c>
      <c r="K196" s="0" t="n">
        <v>5</v>
      </c>
      <c r="L196" s="32" t="s">
        <v>2081</v>
      </c>
      <c r="M196" s="32" t="s">
        <v>2212</v>
      </c>
      <c r="N196" s="0" t="n">
        <v>5</v>
      </c>
      <c r="O196" s="32" t="s">
        <v>786</v>
      </c>
      <c r="P196" s="32" t="s">
        <v>2121</v>
      </c>
      <c r="Q196" s="32" t="s">
        <v>2138</v>
      </c>
      <c r="R196" s="0" t="str">
        <f aca="false">IF(H196="GEN","GM",H196)</f>
        <v>RS</v>
      </c>
    </row>
    <row r="197" customFormat="false" ht="15" hidden="false" customHeight="false" outlineLevel="0" collapsed="false">
      <c r="A197" s="0" t="s">
        <v>2500</v>
      </c>
      <c r="B197" s="0" t="s">
        <v>2329</v>
      </c>
      <c r="C197" s="0" t="s">
        <v>775</v>
      </c>
      <c r="D197" s="31" t="n">
        <v>18515</v>
      </c>
      <c r="E197" s="31" t="n">
        <v>45734</v>
      </c>
      <c r="F197" s="32" t="s">
        <v>2160</v>
      </c>
      <c r="G197" s="32" t="s">
        <v>2079</v>
      </c>
      <c r="H197" s="32" t="s">
        <v>776</v>
      </c>
      <c r="I197" s="31" t="n">
        <v>45742</v>
      </c>
      <c r="J197" s="32" t="s">
        <v>2080</v>
      </c>
      <c r="K197" s="0" t="n">
        <v>8</v>
      </c>
      <c r="L197" s="32" t="s">
        <v>2081</v>
      </c>
      <c r="M197" s="32" t="s">
        <v>2094</v>
      </c>
      <c r="N197" s="0" t="n">
        <v>8</v>
      </c>
      <c r="O197" s="32" t="s">
        <v>777</v>
      </c>
      <c r="P197" s="32" t="s">
        <v>2090</v>
      </c>
      <c r="Q197" s="32" t="s">
        <v>2198</v>
      </c>
      <c r="R197" s="0" t="str">
        <f aca="false">IF(H197="GEN","GM",H197)</f>
        <v>GS</v>
      </c>
    </row>
    <row r="198" customFormat="false" ht="15" hidden="false" customHeight="false" outlineLevel="0" collapsed="false">
      <c r="A198" s="0" t="s">
        <v>2501</v>
      </c>
      <c r="B198" s="0" t="s">
        <v>2502</v>
      </c>
      <c r="C198" s="0" t="s">
        <v>1013</v>
      </c>
      <c r="D198" s="31" t="n">
        <v>35031</v>
      </c>
      <c r="E198" s="31" t="n">
        <v>45699</v>
      </c>
      <c r="F198" s="32" t="s">
        <v>2087</v>
      </c>
      <c r="G198" s="32" t="s">
        <v>2088</v>
      </c>
      <c r="H198" s="32" t="s">
        <v>826</v>
      </c>
      <c r="I198" s="31" t="n">
        <v>45707</v>
      </c>
      <c r="J198" s="32" t="s">
        <v>2080</v>
      </c>
      <c r="K198" s="0" t="n">
        <v>8</v>
      </c>
      <c r="L198" s="32" t="s">
        <v>2081</v>
      </c>
      <c r="M198" s="32" t="s">
        <v>2136</v>
      </c>
      <c r="N198" s="0" t="n">
        <v>8</v>
      </c>
      <c r="O198" s="32" t="s">
        <v>827</v>
      </c>
      <c r="P198" s="32" t="s">
        <v>2149</v>
      </c>
      <c r="Q198" s="32" t="s">
        <v>2259</v>
      </c>
      <c r="R198" s="0" t="str">
        <f aca="false">IF(H198="GEN","GM",H198)</f>
        <v>RHE</v>
      </c>
    </row>
    <row r="199" customFormat="false" ht="15" hidden="false" customHeight="false" outlineLevel="0" collapsed="false">
      <c r="A199" s="0" t="s">
        <v>2503</v>
      </c>
      <c r="B199" s="0" t="s">
        <v>2231</v>
      </c>
      <c r="C199" s="0" t="s">
        <v>837</v>
      </c>
      <c r="D199" s="31" t="n">
        <v>17737</v>
      </c>
      <c r="E199" s="31" t="n">
        <v>45622</v>
      </c>
      <c r="F199" s="32" t="s">
        <v>2078</v>
      </c>
      <c r="G199" s="32" t="s">
        <v>2088</v>
      </c>
      <c r="H199" s="32" t="s">
        <v>793</v>
      </c>
      <c r="I199" s="31" t="n">
        <v>45626</v>
      </c>
      <c r="J199" s="32" t="s">
        <v>2080</v>
      </c>
      <c r="K199" s="0" t="n">
        <v>4</v>
      </c>
      <c r="L199" s="32" t="s">
        <v>2081</v>
      </c>
      <c r="M199" s="32" t="s">
        <v>2094</v>
      </c>
      <c r="N199" s="0" t="n">
        <v>4</v>
      </c>
      <c r="O199" s="32" t="s">
        <v>794</v>
      </c>
      <c r="P199" s="32" t="s">
        <v>2095</v>
      </c>
      <c r="Q199" s="32" t="s">
        <v>2198</v>
      </c>
      <c r="R199" s="0" t="str">
        <f aca="false">IF(H199="GEN","GM",H199)</f>
        <v>EM</v>
      </c>
    </row>
    <row r="200" customFormat="false" ht="15" hidden="false" customHeight="false" outlineLevel="0" collapsed="false">
      <c r="A200" s="0" t="s">
        <v>2504</v>
      </c>
      <c r="B200" s="0" t="s">
        <v>2492</v>
      </c>
      <c r="C200" s="0" t="s">
        <v>989</v>
      </c>
      <c r="D200" s="31" t="n">
        <v>32971</v>
      </c>
      <c r="E200" s="31" t="n">
        <v>45614</v>
      </c>
      <c r="F200" s="32" t="s">
        <v>2078</v>
      </c>
      <c r="G200" s="32" t="s">
        <v>2115</v>
      </c>
      <c r="H200" s="32" t="s">
        <v>758</v>
      </c>
      <c r="I200" s="31" t="n">
        <v>45618</v>
      </c>
      <c r="J200" s="32" t="s">
        <v>2160</v>
      </c>
      <c r="K200" s="0" t="n">
        <v>4</v>
      </c>
      <c r="M200" s="32" t="s">
        <v>2152</v>
      </c>
      <c r="N200" s="0" t="n">
        <v>4</v>
      </c>
      <c r="O200" s="32" t="s">
        <v>759</v>
      </c>
      <c r="P200" s="32" t="s">
        <v>2133</v>
      </c>
      <c r="Q200" s="32" t="s">
        <v>2153</v>
      </c>
      <c r="R200" s="0" t="str">
        <f aca="false">IF(H200="GEN","GM",H200)</f>
        <v>CS</v>
      </c>
    </row>
    <row r="201" customFormat="false" ht="15" hidden="false" customHeight="false" outlineLevel="0" collapsed="false">
      <c r="A201" s="0" t="s">
        <v>2505</v>
      </c>
      <c r="B201" s="0" t="s">
        <v>2506</v>
      </c>
      <c r="C201" s="0" t="s">
        <v>1453</v>
      </c>
      <c r="D201" s="31" t="n">
        <v>23055</v>
      </c>
      <c r="E201" s="31" t="n">
        <v>45622</v>
      </c>
      <c r="F201" s="32" t="s">
        <v>2078</v>
      </c>
      <c r="G201" s="32" t="s">
        <v>2088</v>
      </c>
      <c r="H201" s="32" t="s">
        <v>793</v>
      </c>
      <c r="I201" s="31" t="n">
        <v>45624</v>
      </c>
      <c r="J201" s="32" t="s">
        <v>2080</v>
      </c>
      <c r="K201" s="0" t="n">
        <v>2</v>
      </c>
      <c r="L201" s="32" t="s">
        <v>2081</v>
      </c>
      <c r="M201" s="32" t="s">
        <v>2082</v>
      </c>
      <c r="N201" s="0" t="n">
        <v>2</v>
      </c>
      <c r="O201" s="32" t="s">
        <v>794</v>
      </c>
      <c r="P201" s="32" t="s">
        <v>2095</v>
      </c>
      <c r="Q201" s="32" t="s">
        <v>2241</v>
      </c>
      <c r="R201" s="0" t="str">
        <f aca="false">IF(H201="GEN","GM",H201)</f>
        <v>EM</v>
      </c>
    </row>
    <row r="202" customFormat="false" ht="15" hidden="false" customHeight="false" outlineLevel="0" collapsed="false">
      <c r="A202" s="0" t="s">
        <v>2507</v>
      </c>
      <c r="B202" s="0" t="s">
        <v>2508</v>
      </c>
      <c r="C202" s="0" t="s">
        <v>809</v>
      </c>
      <c r="D202" s="31" t="n">
        <v>28211</v>
      </c>
      <c r="E202" s="31" t="n">
        <v>45611</v>
      </c>
      <c r="F202" s="32" t="s">
        <v>2087</v>
      </c>
      <c r="G202" s="32" t="s">
        <v>2079</v>
      </c>
      <c r="H202" s="32" t="s">
        <v>776</v>
      </c>
      <c r="I202" s="31" t="n">
        <v>45619</v>
      </c>
      <c r="J202" s="32" t="s">
        <v>2160</v>
      </c>
      <c r="K202" s="0" t="n">
        <v>8</v>
      </c>
      <c r="M202" s="32" t="s">
        <v>2255</v>
      </c>
      <c r="N202" s="0" t="n">
        <v>8</v>
      </c>
      <c r="O202" s="32" t="s">
        <v>777</v>
      </c>
      <c r="P202" s="32" t="s">
        <v>2175</v>
      </c>
      <c r="Q202" s="32" t="s">
        <v>2157</v>
      </c>
      <c r="R202" s="0" t="str">
        <f aca="false">IF(H202="GEN","GM",H202)</f>
        <v>GS</v>
      </c>
    </row>
    <row r="203" customFormat="false" ht="15" hidden="false" customHeight="false" outlineLevel="0" collapsed="false">
      <c r="A203" s="0" t="s">
        <v>2509</v>
      </c>
      <c r="B203" s="0" t="s">
        <v>2510</v>
      </c>
      <c r="C203" s="0" t="s">
        <v>890</v>
      </c>
      <c r="D203" s="31" t="n">
        <v>38537</v>
      </c>
      <c r="E203" s="31" t="n">
        <v>45643</v>
      </c>
      <c r="F203" s="32" t="s">
        <v>2078</v>
      </c>
      <c r="G203" s="32" t="s">
        <v>2088</v>
      </c>
      <c r="H203" s="32" t="s">
        <v>826</v>
      </c>
      <c r="I203" s="31" t="n">
        <v>45645</v>
      </c>
      <c r="J203" s="32" t="s">
        <v>2080</v>
      </c>
      <c r="K203" s="0" t="n">
        <v>2</v>
      </c>
      <c r="L203" s="32" t="s">
        <v>2081</v>
      </c>
      <c r="M203" s="32" t="s">
        <v>2141</v>
      </c>
      <c r="N203" s="0" t="n">
        <v>2</v>
      </c>
      <c r="O203" s="32" t="s">
        <v>827</v>
      </c>
      <c r="P203" s="32" t="s">
        <v>2095</v>
      </c>
      <c r="Q203" s="32" t="s">
        <v>2259</v>
      </c>
      <c r="R203" s="0" t="str">
        <f aca="false">IF(H203="GEN","GM",H203)</f>
        <v>RHE</v>
      </c>
    </row>
    <row r="204" customFormat="false" ht="15" hidden="false" customHeight="false" outlineLevel="0" collapsed="false">
      <c r="A204" s="0" t="s">
        <v>2511</v>
      </c>
      <c r="B204" s="0" t="s">
        <v>2512</v>
      </c>
      <c r="C204" s="0" t="s">
        <v>878</v>
      </c>
      <c r="D204" s="31" t="n">
        <v>15384</v>
      </c>
      <c r="E204" s="31" t="n">
        <v>45677</v>
      </c>
      <c r="F204" s="32" t="s">
        <v>2160</v>
      </c>
      <c r="G204" s="32" t="s">
        <v>2088</v>
      </c>
      <c r="H204" s="32" t="s">
        <v>747</v>
      </c>
      <c r="I204" s="31" t="n">
        <v>45688</v>
      </c>
      <c r="J204" s="32" t="s">
        <v>2080</v>
      </c>
      <c r="K204" s="0" t="n">
        <v>11</v>
      </c>
      <c r="L204" s="32" t="s">
        <v>2081</v>
      </c>
      <c r="M204" s="32" t="s">
        <v>2227</v>
      </c>
      <c r="N204" s="0" t="n">
        <v>11</v>
      </c>
      <c r="O204" s="32" t="s">
        <v>748</v>
      </c>
      <c r="P204" s="32" t="s">
        <v>2238</v>
      </c>
      <c r="Q204" s="32" t="s">
        <v>2129</v>
      </c>
      <c r="R204" s="0" t="str">
        <f aca="false">IF(H204="GEN","GM",H204)</f>
        <v>GM</v>
      </c>
    </row>
    <row r="205" customFormat="false" ht="15" hidden="false" customHeight="false" outlineLevel="0" collapsed="false">
      <c r="A205" s="0" t="s">
        <v>2513</v>
      </c>
      <c r="B205" s="0" t="s">
        <v>2514</v>
      </c>
      <c r="C205" s="0" t="s">
        <v>1021</v>
      </c>
      <c r="D205" s="31" t="n">
        <v>29955</v>
      </c>
      <c r="E205" s="31" t="n">
        <v>45712</v>
      </c>
      <c r="F205" s="32" t="s">
        <v>2078</v>
      </c>
      <c r="G205" s="32" t="s">
        <v>2099</v>
      </c>
      <c r="H205" s="32" t="s">
        <v>818</v>
      </c>
      <c r="I205" s="31" t="n">
        <v>45714</v>
      </c>
      <c r="J205" s="32" t="s">
        <v>2080</v>
      </c>
      <c r="K205" s="0" t="n">
        <v>2</v>
      </c>
      <c r="L205" s="32" t="s">
        <v>2081</v>
      </c>
      <c r="M205" s="32" t="s">
        <v>2094</v>
      </c>
      <c r="N205" s="0" t="n">
        <v>2</v>
      </c>
      <c r="O205" s="32" t="s">
        <v>819</v>
      </c>
      <c r="P205" s="32" t="s">
        <v>2156</v>
      </c>
      <c r="Q205" s="32" t="s">
        <v>2190</v>
      </c>
      <c r="R205" s="0" t="str">
        <f aca="false">IF(H205="GEN","GM",H205)</f>
        <v>OPH</v>
      </c>
    </row>
    <row r="206" customFormat="false" ht="15" hidden="false" customHeight="false" outlineLevel="0" collapsed="false">
      <c r="A206" s="0" t="s">
        <v>2515</v>
      </c>
      <c r="B206" s="0" t="s">
        <v>2350</v>
      </c>
      <c r="C206" s="0" t="s">
        <v>1419</v>
      </c>
      <c r="D206" s="31" t="n">
        <v>35478</v>
      </c>
      <c r="E206" s="31" t="n">
        <v>45734</v>
      </c>
      <c r="F206" s="32" t="s">
        <v>2087</v>
      </c>
      <c r="G206" s="32" t="s">
        <v>2115</v>
      </c>
      <c r="H206" s="32" t="s">
        <v>758</v>
      </c>
      <c r="I206" s="31" t="n">
        <v>45743</v>
      </c>
      <c r="J206" s="32" t="s">
        <v>2080</v>
      </c>
      <c r="K206" s="0" t="n">
        <v>9</v>
      </c>
      <c r="L206" s="32" t="s">
        <v>2081</v>
      </c>
      <c r="M206" s="32" t="s">
        <v>2207</v>
      </c>
      <c r="N206" s="0" t="n">
        <v>9</v>
      </c>
      <c r="O206" s="32" t="s">
        <v>759</v>
      </c>
      <c r="P206" s="32" t="s">
        <v>2213</v>
      </c>
      <c r="Q206" s="32" t="s">
        <v>2244</v>
      </c>
      <c r="R206" s="0" t="str">
        <f aca="false">IF(H206="GEN","GM",H206)</f>
        <v>CS</v>
      </c>
    </row>
    <row r="207" customFormat="false" ht="15" hidden="false" customHeight="false" outlineLevel="0" collapsed="false">
      <c r="A207" s="0" t="s">
        <v>2516</v>
      </c>
      <c r="B207" s="0" t="s">
        <v>2517</v>
      </c>
      <c r="C207" s="0" t="s">
        <v>878</v>
      </c>
      <c r="D207" s="31" t="n">
        <v>32813</v>
      </c>
      <c r="E207" s="31" t="n">
        <v>45702</v>
      </c>
      <c r="F207" s="32" t="s">
        <v>2078</v>
      </c>
      <c r="G207" s="32" t="s">
        <v>2099</v>
      </c>
      <c r="H207" s="32" t="s">
        <v>818</v>
      </c>
      <c r="I207" s="31" t="n">
        <v>45704</v>
      </c>
      <c r="J207" s="32" t="s">
        <v>2080</v>
      </c>
      <c r="K207" s="0" t="n">
        <v>2</v>
      </c>
      <c r="L207" s="32" t="s">
        <v>2081</v>
      </c>
      <c r="M207" s="32" t="s">
        <v>2283</v>
      </c>
      <c r="N207" s="0" t="n">
        <v>2</v>
      </c>
      <c r="O207" s="32" t="s">
        <v>819</v>
      </c>
      <c r="P207" s="32" t="s">
        <v>2162</v>
      </c>
      <c r="Q207" s="32" t="s">
        <v>2118</v>
      </c>
      <c r="R207" s="0" t="str">
        <f aca="false">IF(H207="GEN","GM",H207)</f>
        <v>OPH</v>
      </c>
    </row>
    <row r="208" customFormat="false" ht="15" hidden="false" customHeight="false" outlineLevel="0" collapsed="false">
      <c r="A208" s="0" t="s">
        <v>2518</v>
      </c>
      <c r="B208" s="0" t="s">
        <v>2409</v>
      </c>
      <c r="C208" s="0" t="s">
        <v>2148</v>
      </c>
      <c r="D208" s="31" t="n">
        <v>22931</v>
      </c>
      <c r="E208" s="31" t="n">
        <v>45663</v>
      </c>
      <c r="F208" s="32" t="s">
        <v>2078</v>
      </c>
      <c r="G208" s="32" t="s">
        <v>2104</v>
      </c>
      <c r="H208" s="32" t="s">
        <v>802</v>
      </c>
      <c r="I208" s="31" t="n">
        <v>45666</v>
      </c>
      <c r="J208" s="32" t="s">
        <v>2160</v>
      </c>
      <c r="K208" s="0" t="n">
        <v>3</v>
      </c>
      <c r="L208" s="32" t="s">
        <v>2081</v>
      </c>
      <c r="M208" s="32" t="s">
        <v>2189</v>
      </c>
      <c r="N208" s="0" t="n">
        <v>3</v>
      </c>
      <c r="O208" s="32" t="s">
        <v>803</v>
      </c>
      <c r="P208" s="32" t="s">
        <v>2162</v>
      </c>
      <c r="Q208" s="32" t="s">
        <v>2165</v>
      </c>
      <c r="R208" s="0" t="str">
        <f aca="false">IF(H208="GEN","GM",H208)</f>
        <v>GYN</v>
      </c>
    </row>
    <row r="209" customFormat="false" ht="15" hidden="false" customHeight="false" outlineLevel="0" collapsed="false">
      <c r="A209" s="0" t="s">
        <v>2505</v>
      </c>
      <c r="B209" s="0" t="s">
        <v>2506</v>
      </c>
      <c r="C209" s="0" t="s">
        <v>1453</v>
      </c>
      <c r="D209" s="31" t="n">
        <v>23055</v>
      </c>
      <c r="E209" s="31" t="n">
        <v>45622</v>
      </c>
      <c r="F209" s="32" t="s">
        <v>2078</v>
      </c>
      <c r="G209" s="32" t="s">
        <v>2088</v>
      </c>
      <c r="H209" s="32" t="s">
        <v>793</v>
      </c>
      <c r="I209" s="31" t="n">
        <v>45624</v>
      </c>
      <c r="J209" s="32" t="s">
        <v>2080</v>
      </c>
      <c r="K209" s="0" t="n">
        <v>2</v>
      </c>
      <c r="L209" s="32" t="s">
        <v>2081</v>
      </c>
      <c r="M209" s="32" t="s">
        <v>2082</v>
      </c>
      <c r="N209" s="0" t="n">
        <v>2</v>
      </c>
      <c r="O209" s="32" t="s">
        <v>794</v>
      </c>
      <c r="P209" s="32" t="s">
        <v>2095</v>
      </c>
      <c r="Q209" s="32" t="s">
        <v>2241</v>
      </c>
      <c r="R209" s="0" t="str">
        <f aca="false">IF(H209="GEN","GM",H209)</f>
        <v>EM</v>
      </c>
    </row>
    <row r="210" customFormat="false" ht="15" hidden="false" customHeight="false" outlineLevel="0" collapsed="false">
      <c r="A210" s="0" t="s">
        <v>2519</v>
      </c>
      <c r="B210" s="0" t="s">
        <v>2520</v>
      </c>
      <c r="C210" s="0" t="s">
        <v>1009</v>
      </c>
      <c r="D210" s="31" t="n">
        <v>19901</v>
      </c>
      <c r="E210" s="31" t="n">
        <v>45702</v>
      </c>
      <c r="F210" s="32" t="s">
        <v>2078</v>
      </c>
      <c r="G210" s="32" t="s">
        <v>2088</v>
      </c>
      <c r="H210" s="32" t="s">
        <v>826</v>
      </c>
      <c r="I210" s="31" t="n">
        <v>45703</v>
      </c>
      <c r="J210" s="32" t="s">
        <v>2080</v>
      </c>
      <c r="K210" s="0" t="n">
        <v>1</v>
      </c>
      <c r="L210" s="32" t="s">
        <v>2081</v>
      </c>
      <c r="M210" s="32" t="s">
        <v>2141</v>
      </c>
      <c r="N210" s="0" t="n">
        <v>1</v>
      </c>
      <c r="O210" s="32" t="s">
        <v>827</v>
      </c>
      <c r="P210" s="32" t="s">
        <v>2090</v>
      </c>
      <c r="Q210" s="32" t="s">
        <v>2157</v>
      </c>
      <c r="R210" s="0" t="str">
        <f aca="false">IF(H210="GEN","GM",H210)</f>
        <v>RHE</v>
      </c>
    </row>
    <row r="211" customFormat="false" ht="15" hidden="false" customHeight="false" outlineLevel="0" collapsed="false">
      <c r="A211" s="0" t="s">
        <v>2521</v>
      </c>
      <c r="B211" s="0" t="s">
        <v>2522</v>
      </c>
      <c r="C211" s="0" t="s">
        <v>950</v>
      </c>
      <c r="D211" s="31" t="n">
        <v>35478</v>
      </c>
      <c r="E211" s="31" t="n">
        <v>45578</v>
      </c>
      <c r="F211" s="32" t="s">
        <v>2078</v>
      </c>
      <c r="G211" s="32" t="s">
        <v>2124</v>
      </c>
      <c r="H211" s="32" t="s">
        <v>785</v>
      </c>
      <c r="I211" s="31" t="n">
        <v>45579</v>
      </c>
      <c r="J211" s="32" t="s">
        <v>2080</v>
      </c>
      <c r="K211" s="0" t="n">
        <v>1</v>
      </c>
      <c r="L211" s="32" t="s">
        <v>2081</v>
      </c>
      <c r="M211" s="32" t="s">
        <v>2100</v>
      </c>
      <c r="N211" s="0" t="n">
        <v>1</v>
      </c>
      <c r="O211" s="32" t="s">
        <v>786</v>
      </c>
      <c r="P211" s="32" t="s">
        <v>2213</v>
      </c>
      <c r="Q211" s="32" t="s">
        <v>2138</v>
      </c>
      <c r="R211" s="0" t="str">
        <f aca="false">IF(H211="GEN","GM",H211)</f>
        <v>RS</v>
      </c>
    </row>
    <row r="212" customFormat="false" ht="15" hidden="false" customHeight="false" outlineLevel="0" collapsed="false">
      <c r="A212" s="0" t="s">
        <v>2523</v>
      </c>
      <c r="B212" s="0" t="s">
        <v>2524</v>
      </c>
      <c r="C212" s="0" t="s">
        <v>989</v>
      </c>
      <c r="D212" s="31" t="n">
        <v>25227</v>
      </c>
      <c r="E212" s="31" t="n">
        <v>45678</v>
      </c>
      <c r="F212" s="32" t="s">
        <v>2087</v>
      </c>
      <c r="G212" s="32" t="s">
        <v>2088</v>
      </c>
      <c r="H212" s="32" t="s">
        <v>826</v>
      </c>
      <c r="I212" s="31" t="n">
        <v>45692</v>
      </c>
      <c r="J212" s="32" t="s">
        <v>2080</v>
      </c>
      <c r="K212" s="0" t="n">
        <v>14</v>
      </c>
      <c r="L212" s="32" t="s">
        <v>2081</v>
      </c>
      <c r="M212" s="32" t="s">
        <v>2286</v>
      </c>
      <c r="N212" s="0" t="n">
        <v>14</v>
      </c>
      <c r="O212" s="32" t="s">
        <v>827</v>
      </c>
      <c r="P212" s="32" t="s">
        <v>2182</v>
      </c>
      <c r="Q212" s="32" t="s">
        <v>2125</v>
      </c>
      <c r="R212" s="0" t="str">
        <f aca="false">IF(H212="GEN","GM",H212)</f>
        <v>RHE</v>
      </c>
    </row>
    <row r="213" customFormat="false" ht="15" hidden="false" customHeight="false" outlineLevel="0" collapsed="false">
      <c r="A213" s="0" t="s">
        <v>2525</v>
      </c>
      <c r="B213" s="0" t="s">
        <v>2526</v>
      </c>
      <c r="C213" s="0" t="s">
        <v>837</v>
      </c>
      <c r="D213" s="31" t="n">
        <v>20730</v>
      </c>
      <c r="E213" s="31" t="n">
        <v>45674</v>
      </c>
      <c r="F213" s="32" t="s">
        <v>2078</v>
      </c>
      <c r="G213" s="32" t="s">
        <v>2079</v>
      </c>
      <c r="H213" s="32" t="s">
        <v>810</v>
      </c>
      <c r="I213" s="31" t="n">
        <v>45677</v>
      </c>
      <c r="J213" s="32" t="s">
        <v>2080</v>
      </c>
      <c r="K213" s="0" t="n">
        <v>3</v>
      </c>
      <c r="L213" s="32" t="s">
        <v>2081</v>
      </c>
      <c r="N213" s="0" t="n">
        <v>3</v>
      </c>
      <c r="P213" s="32" t="s">
        <v>2111</v>
      </c>
      <c r="Q213" s="32" t="s">
        <v>2153</v>
      </c>
      <c r="R213" s="0" t="str">
        <f aca="false">IF(H213="GEN","GM",H213)</f>
        <v>URO</v>
      </c>
    </row>
    <row r="214" customFormat="false" ht="15" hidden="false" customHeight="false" outlineLevel="0" collapsed="false">
      <c r="A214" s="0" t="s">
        <v>2527</v>
      </c>
      <c r="B214" s="0" t="s">
        <v>2391</v>
      </c>
      <c r="C214" s="0" t="s">
        <v>1419</v>
      </c>
      <c r="D214" s="31" t="n">
        <v>14899</v>
      </c>
      <c r="E214" s="31" t="n">
        <v>45659</v>
      </c>
      <c r="F214" s="32" t="s">
        <v>2160</v>
      </c>
      <c r="G214" s="32" t="s">
        <v>2099</v>
      </c>
      <c r="H214" s="32" t="s">
        <v>818</v>
      </c>
      <c r="I214" s="31" t="n">
        <v>45667</v>
      </c>
      <c r="J214" s="32" t="s">
        <v>2080</v>
      </c>
      <c r="K214" s="0" t="n">
        <v>8</v>
      </c>
      <c r="L214" s="32" t="s">
        <v>2081</v>
      </c>
      <c r="M214" s="32" t="s">
        <v>2152</v>
      </c>
      <c r="N214" s="0" t="n">
        <v>8</v>
      </c>
      <c r="O214" s="32" t="s">
        <v>819</v>
      </c>
      <c r="P214" s="32" t="s">
        <v>2121</v>
      </c>
      <c r="Q214" s="32" t="s">
        <v>2096</v>
      </c>
      <c r="R214" s="0" t="str">
        <f aca="false">IF(H214="GEN","GM",H214)</f>
        <v>OPH</v>
      </c>
    </row>
    <row r="215" customFormat="false" ht="15" hidden="false" customHeight="false" outlineLevel="0" collapsed="false">
      <c r="A215" s="0" t="s">
        <v>2528</v>
      </c>
      <c r="B215" s="0" t="s">
        <v>2333</v>
      </c>
      <c r="C215" s="0" t="s">
        <v>2225</v>
      </c>
      <c r="D215" s="31" t="n">
        <v>31147</v>
      </c>
      <c r="E215" s="31" t="n">
        <v>45580</v>
      </c>
      <c r="F215" s="32" t="s">
        <v>2087</v>
      </c>
      <c r="G215" s="32" t="s">
        <v>2088</v>
      </c>
      <c r="H215" s="32" t="s">
        <v>747</v>
      </c>
      <c r="I215" s="31" t="n">
        <v>45583</v>
      </c>
      <c r="J215" s="32" t="s">
        <v>2368</v>
      </c>
      <c r="K215" s="0" t="n">
        <v>3</v>
      </c>
      <c r="L215" s="32" t="s">
        <v>2081</v>
      </c>
      <c r="M215" s="32" t="s">
        <v>2100</v>
      </c>
      <c r="N215" s="0" t="n">
        <v>3</v>
      </c>
      <c r="O215" s="32" t="s">
        <v>748</v>
      </c>
      <c r="P215" s="32" t="s">
        <v>2222</v>
      </c>
      <c r="Q215" s="32" t="s">
        <v>2145</v>
      </c>
      <c r="R215" s="0" t="str">
        <f aca="false">IF(H215="GEN","GM",H215)</f>
        <v>GM</v>
      </c>
    </row>
    <row r="216" customFormat="false" ht="15" hidden="false" customHeight="false" outlineLevel="0" collapsed="false">
      <c r="A216" s="0" t="s">
        <v>2529</v>
      </c>
      <c r="B216" s="0" t="s">
        <v>2530</v>
      </c>
      <c r="C216" s="0" t="s">
        <v>870</v>
      </c>
      <c r="D216" s="31" t="n">
        <v>24578</v>
      </c>
      <c r="E216" s="31" t="n">
        <v>45634</v>
      </c>
      <c r="F216" s="32" t="s">
        <v>2078</v>
      </c>
      <c r="G216" s="32" t="s">
        <v>2104</v>
      </c>
      <c r="H216" s="32" t="s">
        <v>802</v>
      </c>
      <c r="I216" s="31" t="n">
        <v>45635</v>
      </c>
      <c r="J216" s="32" t="s">
        <v>2080</v>
      </c>
      <c r="K216" s="0" t="n">
        <v>1</v>
      </c>
      <c r="L216" s="32" t="s">
        <v>2081</v>
      </c>
      <c r="M216" s="32" t="s">
        <v>2089</v>
      </c>
      <c r="N216" s="0" t="n">
        <v>1</v>
      </c>
      <c r="O216" s="32" t="s">
        <v>803</v>
      </c>
      <c r="P216" s="32" t="s">
        <v>2201</v>
      </c>
      <c r="Q216" s="32" t="s">
        <v>2157</v>
      </c>
      <c r="R216" s="0" t="str">
        <f aca="false">IF(H216="GEN","GM",H216)</f>
        <v>GYN</v>
      </c>
    </row>
    <row r="217" customFormat="false" ht="15" hidden="false" customHeight="false" outlineLevel="0" collapsed="false">
      <c r="A217" s="0" t="s">
        <v>2531</v>
      </c>
      <c r="B217" s="0" t="s">
        <v>2243</v>
      </c>
      <c r="C217" s="0" t="s">
        <v>894</v>
      </c>
      <c r="D217" s="31" t="n">
        <v>35378</v>
      </c>
      <c r="E217" s="31" t="n">
        <v>45649</v>
      </c>
      <c r="F217" s="32" t="s">
        <v>2078</v>
      </c>
      <c r="G217" s="32" t="s">
        <v>2079</v>
      </c>
      <c r="H217" s="32" t="s">
        <v>810</v>
      </c>
      <c r="I217" s="31" t="n">
        <v>45653</v>
      </c>
      <c r="J217" s="32" t="s">
        <v>2080</v>
      </c>
      <c r="K217" s="0" t="n">
        <v>4</v>
      </c>
      <c r="L217" s="32" t="s">
        <v>2081</v>
      </c>
      <c r="M217" s="32" t="s">
        <v>2110</v>
      </c>
      <c r="N217" s="0" t="n">
        <v>4</v>
      </c>
      <c r="O217" s="32" t="s">
        <v>811</v>
      </c>
      <c r="P217" s="32" t="s">
        <v>2222</v>
      </c>
      <c r="Q217" s="32" t="s">
        <v>2138</v>
      </c>
      <c r="R217" s="0" t="str">
        <f aca="false">IF(H217="GEN","GM",H217)</f>
        <v>URO</v>
      </c>
    </row>
    <row r="218" customFormat="false" ht="15" hidden="false" customHeight="false" outlineLevel="0" collapsed="false">
      <c r="A218" s="0" t="s">
        <v>2532</v>
      </c>
      <c r="B218" s="0" t="s">
        <v>2304</v>
      </c>
      <c r="C218" s="0" t="s">
        <v>1013</v>
      </c>
      <c r="D218" s="31" t="n">
        <v>13347</v>
      </c>
      <c r="E218" s="31" t="n">
        <v>45696</v>
      </c>
      <c r="F218" s="32" t="s">
        <v>2078</v>
      </c>
      <c r="G218" s="32" t="s">
        <v>2104</v>
      </c>
      <c r="H218" s="32" t="s">
        <v>802</v>
      </c>
      <c r="I218" s="31" t="n">
        <v>45697</v>
      </c>
      <c r="J218" s="32" t="s">
        <v>2080</v>
      </c>
      <c r="K218" s="0" t="n">
        <v>1</v>
      </c>
      <c r="L218" s="32" t="s">
        <v>2081</v>
      </c>
      <c r="M218" s="32" t="s">
        <v>2082</v>
      </c>
      <c r="N218" s="0" t="n">
        <v>1</v>
      </c>
      <c r="O218" s="32" t="s">
        <v>803</v>
      </c>
      <c r="P218" s="32" t="s">
        <v>2222</v>
      </c>
      <c r="Q218" s="32" t="s">
        <v>2198</v>
      </c>
      <c r="R218" s="0" t="str">
        <f aca="false">IF(H218="GEN","GM",H218)</f>
        <v>GYN</v>
      </c>
    </row>
    <row r="219" customFormat="false" ht="15" hidden="false" customHeight="false" outlineLevel="0" collapsed="false">
      <c r="A219" s="0" t="s">
        <v>2533</v>
      </c>
      <c r="B219" s="0" t="s">
        <v>2098</v>
      </c>
      <c r="C219" s="0" t="s">
        <v>870</v>
      </c>
      <c r="D219" s="31" t="n">
        <v>23412</v>
      </c>
      <c r="E219" s="31" t="n">
        <v>45723</v>
      </c>
      <c r="F219" s="32" t="s">
        <v>2078</v>
      </c>
      <c r="G219" s="32" t="s">
        <v>2079</v>
      </c>
      <c r="H219" s="32" t="s">
        <v>776</v>
      </c>
      <c r="I219" s="31" t="n">
        <v>45724</v>
      </c>
      <c r="J219" s="32" t="s">
        <v>2080</v>
      </c>
      <c r="K219" s="0" t="n">
        <v>1</v>
      </c>
      <c r="L219" s="32" t="s">
        <v>2081</v>
      </c>
      <c r="M219" s="32" t="s">
        <v>2255</v>
      </c>
      <c r="N219" s="0" t="n">
        <v>1</v>
      </c>
      <c r="O219" s="32" t="s">
        <v>777</v>
      </c>
      <c r="P219" s="32" t="s">
        <v>2142</v>
      </c>
      <c r="Q219" s="32" t="s">
        <v>2259</v>
      </c>
      <c r="R219" s="0" t="str">
        <f aca="false">IF(H219="GEN","GM",H219)</f>
        <v>GS</v>
      </c>
    </row>
    <row r="220" customFormat="false" ht="15" hidden="false" customHeight="false" outlineLevel="0" collapsed="false">
      <c r="A220" s="0" t="s">
        <v>2534</v>
      </c>
      <c r="B220" s="0" t="s">
        <v>2535</v>
      </c>
      <c r="C220" s="0" t="s">
        <v>918</v>
      </c>
      <c r="D220" s="31" t="n">
        <v>27400</v>
      </c>
      <c r="E220" s="31" t="n">
        <v>45721</v>
      </c>
      <c r="F220" s="32" t="s">
        <v>2078</v>
      </c>
      <c r="G220" s="32" t="s">
        <v>2088</v>
      </c>
      <c r="H220" s="32" t="s">
        <v>793</v>
      </c>
      <c r="I220" s="31" t="n">
        <v>45722</v>
      </c>
      <c r="J220" s="32" t="s">
        <v>2080</v>
      </c>
      <c r="K220" s="0" t="n">
        <v>1</v>
      </c>
      <c r="M220" s="32" t="s">
        <v>2110</v>
      </c>
      <c r="N220" s="0" t="n">
        <v>1</v>
      </c>
      <c r="O220" s="32" t="s">
        <v>794</v>
      </c>
      <c r="P220" s="32" t="s">
        <v>2175</v>
      </c>
      <c r="Q220" s="32" t="s">
        <v>2112</v>
      </c>
      <c r="R220" s="0" t="str">
        <f aca="false">IF(H220="GEN","GM",H220)</f>
        <v>EM</v>
      </c>
    </row>
    <row r="221" customFormat="false" ht="15" hidden="false" customHeight="false" outlineLevel="0" collapsed="false">
      <c r="A221" s="0" t="s">
        <v>2536</v>
      </c>
      <c r="B221" s="0" t="s">
        <v>2194</v>
      </c>
      <c r="C221" s="0" t="s">
        <v>993</v>
      </c>
      <c r="D221" s="31" t="n">
        <v>16838</v>
      </c>
      <c r="E221" s="31" t="n">
        <v>45591</v>
      </c>
      <c r="F221" s="32" t="s">
        <v>2087</v>
      </c>
      <c r="G221" s="32" t="s">
        <v>2079</v>
      </c>
      <c r="H221" s="32" t="s">
        <v>776</v>
      </c>
      <c r="I221" s="31" t="n">
        <v>45592</v>
      </c>
      <c r="J221" s="32" t="s">
        <v>2080</v>
      </c>
      <c r="K221" s="0" t="n">
        <v>1</v>
      </c>
      <c r="L221" s="32" t="s">
        <v>2106</v>
      </c>
      <c r="M221" s="32" t="s">
        <v>2152</v>
      </c>
      <c r="N221" s="0" t="n">
        <v>1</v>
      </c>
      <c r="O221" s="32" t="s">
        <v>777</v>
      </c>
      <c r="P221" s="32" t="s">
        <v>2156</v>
      </c>
      <c r="Q221" s="32" t="s">
        <v>2165</v>
      </c>
      <c r="R221" s="0" t="str">
        <f aca="false">IF(H221="GEN","GM",H221)</f>
        <v>GS</v>
      </c>
    </row>
    <row r="222" customFormat="false" ht="15" hidden="false" customHeight="false" outlineLevel="0" collapsed="false">
      <c r="A222" s="0" t="s">
        <v>2537</v>
      </c>
      <c r="B222" s="0" t="s">
        <v>2538</v>
      </c>
      <c r="C222" s="0" t="s">
        <v>817</v>
      </c>
      <c r="D222" s="31" t="n">
        <v>35263</v>
      </c>
      <c r="E222" s="31" t="n">
        <v>45640</v>
      </c>
      <c r="F222" s="32" t="s">
        <v>2087</v>
      </c>
      <c r="G222" s="32" t="s">
        <v>2088</v>
      </c>
      <c r="H222" s="32" t="s">
        <v>826</v>
      </c>
      <c r="I222" s="31" t="n">
        <v>45641</v>
      </c>
      <c r="J222" s="32" t="s">
        <v>2080</v>
      </c>
      <c r="K222" s="0" t="n">
        <v>1</v>
      </c>
      <c r="L222" s="32" t="s">
        <v>2081</v>
      </c>
      <c r="M222" s="32" t="s">
        <v>2207</v>
      </c>
      <c r="N222" s="0" t="n">
        <v>1</v>
      </c>
      <c r="O222" s="32" t="s">
        <v>827</v>
      </c>
      <c r="P222" s="32" t="s">
        <v>2222</v>
      </c>
      <c r="Q222" s="32" t="s">
        <v>2157</v>
      </c>
      <c r="R222" s="0" t="str">
        <f aca="false">IF(H222="GEN","GM",H222)</f>
        <v>RHE</v>
      </c>
    </row>
    <row r="223" customFormat="false" ht="15" hidden="false" customHeight="false" outlineLevel="0" collapsed="false">
      <c r="A223" s="0" t="s">
        <v>2539</v>
      </c>
      <c r="B223" s="0" t="s">
        <v>2398</v>
      </c>
      <c r="C223" s="0" t="s">
        <v>886</v>
      </c>
      <c r="D223" s="31" t="n">
        <v>12862</v>
      </c>
      <c r="E223" s="31" t="n">
        <v>45700</v>
      </c>
      <c r="F223" s="32" t="s">
        <v>2078</v>
      </c>
      <c r="G223" s="32" t="s">
        <v>2099</v>
      </c>
      <c r="H223" s="32" t="s">
        <v>818</v>
      </c>
      <c r="I223" s="31" t="n">
        <v>45702</v>
      </c>
      <c r="J223" s="32" t="s">
        <v>2080</v>
      </c>
      <c r="K223" s="0" t="n">
        <v>2</v>
      </c>
      <c r="L223" s="32" t="s">
        <v>2081</v>
      </c>
      <c r="M223" s="32" t="s">
        <v>2189</v>
      </c>
      <c r="N223" s="0" t="n">
        <v>2</v>
      </c>
      <c r="O223" s="32" t="s">
        <v>819</v>
      </c>
      <c r="P223" s="32" t="s">
        <v>2213</v>
      </c>
      <c r="Q223" s="32" t="s">
        <v>2244</v>
      </c>
      <c r="R223" s="0" t="str">
        <f aca="false">IF(H223="GEN","GM",H223)</f>
        <v>OPH</v>
      </c>
    </row>
    <row r="224" customFormat="false" ht="15" hidden="false" customHeight="false" outlineLevel="0" collapsed="false">
      <c r="A224" s="0" t="s">
        <v>2540</v>
      </c>
      <c r="B224" s="0" t="s">
        <v>2301</v>
      </c>
      <c r="C224" s="0" t="s">
        <v>849</v>
      </c>
      <c r="D224" s="31" t="n">
        <v>13100</v>
      </c>
      <c r="E224" s="31" t="n">
        <v>45722</v>
      </c>
      <c r="F224" s="32" t="s">
        <v>2087</v>
      </c>
      <c r="G224" s="32" t="s">
        <v>2099</v>
      </c>
      <c r="H224" s="32" t="s">
        <v>818</v>
      </c>
      <c r="I224" s="31" t="n">
        <v>45725</v>
      </c>
      <c r="J224" s="32" t="s">
        <v>2080</v>
      </c>
      <c r="K224" s="0" t="n">
        <v>3</v>
      </c>
      <c r="L224" s="32" t="s">
        <v>2081</v>
      </c>
      <c r="N224" s="0" t="n">
        <v>3</v>
      </c>
      <c r="O224" s="32" t="s">
        <v>819</v>
      </c>
      <c r="P224" s="32" t="s">
        <v>2095</v>
      </c>
      <c r="Q224" s="32" t="s">
        <v>2259</v>
      </c>
      <c r="R224" s="0" t="str">
        <f aca="false">IF(H224="GEN","GM",H224)</f>
        <v>OPH</v>
      </c>
    </row>
    <row r="225" customFormat="false" ht="15" hidden="false" customHeight="false" outlineLevel="0" collapsed="false">
      <c r="A225" s="0" t="s">
        <v>2541</v>
      </c>
      <c r="B225" s="0" t="s">
        <v>2323</v>
      </c>
      <c r="C225" s="0" t="s">
        <v>2148</v>
      </c>
      <c r="D225" s="31" t="n">
        <v>22501</v>
      </c>
      <c r="E225" s="31" t="n">
        <v>45677</v>
      </c>
      <c r="F225" s="32" t="s">
        <v>2078</v>
      </c>
      <c r="G225" s="32" t="s">
        <v>2104</v>
      </c>
      <c r="H225" s="32" t="s">
        <v>802</v>
      </c>
      <c r="I225" s="31" t="n">
        <v>45679</v>
      </c>
      <c r="J225" s="32" t="s">
        <v>2080</v>
      </c>
      <c r="K225" s="0" t="n">
        <v>2</v>
      </c>
      <c r="L225" s="32" t="s">
        <v>2081</v>
      </c>
      <c r="M225" s="32" t="s">
        <v>2195</v>
      </c>
      <c r="N225" s="0" t="n">
        <v>1</v>
      </c>
      <c r="O225" s="32" t="s">
        <v>803</v>
      </c>
      <c r="P225" s="32" t="s">
        <v>2101</v>
      </c>
      <c r="Q225" s="32" t="s">
        <v>2157</v>
      </c>
      <c r="R225" s="0" t="str">
        <f aca="false">IF(H225="GEN","GM",H225)</f>
        <v>GYN</v>
      </c>
    </row>
    <row r="226" customFormat="false" ht="15" hidden="false" customHeight="false" outlineLevel="0" collapsed="false">
      <c r="A226" s="0" t="s">
        <v>2542</v>
      </c>
      <c r="B226" s="0" t="s">
        <v>2512</v>
      </c>
      <c r="C226" s="0" t="s">
        <v>918</v>
      </c>
      <c r="D226" s="31" t="n">
        <v>34286</v>
      </c>
      <c r="E226" s="31" t="n">
        <v>45569</v>
      </c>
      <c r="F226" s="32" t="s">
        <v>2078</v>
      </c>
      <c r="G226" s="32" t="s">
        <v>2088</v>
      </c>
      <c r="H226" s="32" t="s">
        <v>747</v>
      </c>
      <c r="I226" s="31" t="n">
        <v>45573</v>
      </c>
      <c r="J226" s="32" t="s">
        <v>2080</v>
      </c>
      <c r="K226" s="0" t="n">
        <v>4</v>
      </c>
      <c r="L226" s="32" t="s">
        <v>2106</v>
      </c>
      <c r="M226" s="32" t="s">
        <v>2082</v>
      </c>
      <c r="N226" s="0" t="n">
        <v>4</v>
      </c>
      <c r="O226" s="32" t="s">
        <v>748</v>
      </c>
      <c r="P226" s="32" t="s">
        <v>2083</v>
      </c>
      <c r="Q226" s="32" t="s">
        <v>2179</v>
      </c>
      <c r="R226" s="0" t="str">
        <f aca="false">IF(H226="GEN","GM",H226)</f>
        <v>GM</v>
      </c>
    </row>
    <row r="227" customFormat="false" ht="15" hidden="false" customHeight="false" outlineLevel="0" collapsed="false">
      <c r="A227" s="0" t="s">
        <v>2543</v>
      </c>
      <c r="B227" s="0" t="s">
        <v>2372</v>
      </c>
      <c r="C227" s="0" t="s">
        <v>874</v>
      </c>
      <c r="D227" s="31" t="n">
        <v>27196</v>
      </c>
      <c r="E227" s="31" t="n">
        <v>45577</v>
      </c>
      <c r="F227" s="32" t="s">
        <v>2078</v>
      </c>
      <c r="G227" s="32" t="s">
        <v>2124</v>
      </c>
      <c r="H227" s="32" t="s">
        <v>785</v>
      </c>
      <c r="I227" s="31" t="n">
        <v>45578</v>
      </c>
      <c r="J227" s="32" t="s">
        <v>2080</v>
      </c>
      <c r="K227" s="0" t="n">
        <v>1</v>
      </c>
      <c r="M227" s="32" t="s">
        <v>2110</v>
      </c>
      <c r="N227" s="0" t="n">
        <v>1</v>
      </c>
      <c r="O227" s="32" t="s">
        <v>786</v>
      </c>
      <c r="P227" s="32" t="s">
        <v>2142</v>
      </c>
      <c r="Q227" s="32" t="s">
        <v>2107</v>
      </c>
      <c r="R227" s="0" t="str">
        <f aca="false">IF(H227="GEN","GM",H227)</f>
        <v>RS</v>
      </c>
    </row>
    <row r="228" customFormat="false" ht="15" hidden="false" customHeight="false" outlineLevel="0" collapsed="false">
      <c r="A228" s="0" t="s">
        <v>2544</v>
      </c>
      <c r="B228" s="0" t="s">
        <v>2545</v>
      </c>
      <c r="C228" s="0" t="s">
        <v>849</v>
      </c>
      <c r="D228" s="31" t="n">
        <v>35493</v>
      </c>
      <c r="E228" s="31" t="n">
        <v>45596</v>
      </c>
      <c r="F228" s="32" t="s">
        <v>2078</v>
      </c>
      <c r="G228" s="32" t="s">
        <v>2124</v>
      </c>
      <c r="H228" s="32" t="s">
        <v>785</v>
      </c>
      <c r="I228" s="31" t="n">
        <v>45598</v>
      </c>
      <c r="J228" s="32" t="s">
        <v>2080</v>
      </c>
      <c r="K228" s="0" t="n">
        <v>2</v>
      </c>
      <c r="L228" s="32" t="s">
        <v>2081</v>
      </c>
      <c r="M228" s="32" t="s">
        <v>2195</v>
      </c>
      <c r="N228" s="0" t="n">
        <v>2</v>
      </c>
      <c r="O228" s="32" t="s">
        <v>786</v>
      </c>
      <c r="P228" s="32" t="s">
        <v>2142</v>
      </c>
      <c r="Q228" s="32" t="s">
        <v>2165</v>
      </c>
      <c r="R228" s="0" t="str">
        <f aca="false">IF(H228="GEN","GM",H228)</f>
        <v>RS</v>
      </c>
    </row>
    <row r="229" customFormat="false" ht="15" hidden="false" customHeight="false" outlineLevel="0" collapsed="false">
      <c r="A229" s="0" t="s">
        <v>2546</v>
      </c>
      <c r="B229" s="0" t="s">
        <v>2547</v>
      </c>
      <c r="C229" s="0" t="s">
        <v>926</v>
      </c>
      <c r="D229" s="31" t="n">
        <v>16099</v>
      </c>
      <c r="E229" s="31" t="n">
        <v>45688</v>
      </c>
      <c r="F229" s="32" t="s">
        <v>2087</v>
      </c>
      <c r="G229" s="32" t="s">
        <v>2088</v>
      </c>
      <c r="H229" s="32" t="s">
        <v>793</v>
      </c>
      <c r="I229" s="31" t="n">
        <v>45695</v>
      </c>
      <c r="J229" s="32" t="s">
        <v>2080</v>
      </c>
      <c r="K229" s="0" t="n">
        <v>7</v>
      </c>
      <c r="L229" s="32" t="s">
        <v>2081</v>
      </c>
      <c r="M229" s="32" t="s">
        <v>2100</v>
      </c>
      <c r="N229" s="0" t="n">
        <v>7</v>
      </c>
      <c r="O229" s="32" t="s">
        <v>794</v>
      </c>
      <c r="P229" s="32" t="s">
        <v>2182</v>
      </c>
      <c r="Q229" s="32" t="s">
        <v>2198</v>
      </c>
      <c r="R229" s="0" t="str">
        <f aca="false">IF(H229="GEN","GM",H229)</f>
        <v>EM</v>
      </c>
    </row>
    <row r="230" customFormat="false" ht="15" hidden="false" customHeight="false" outlineLevel="0" collapsed="false">
      <c r="A230" s="0" t="s">
        <v>2548</v>
      </c>
      <c r="B230" s="0" t="s">
        <v>2514</v>
      </c>
      <c r="C230" s="0" t="s">
        <v>918</v>
      </c>
      <c r="D230" s="31" t="n">
        <v>30881</v>
      </c>
      <c r="E230" s="31" t="n">
        <v>45673</v>
      </c>
      <c r="F230" s="32" t="s">
        <v>2087</v>
      </c>
      <c r="G230" s="32" t="s">
        <v>2079</v>
      </c>
      <c r="H230" s="32" t="s">
        <v>776</v>
      </c>
      <c r="I230" s="31" t="n">
        <v>45677</v>
      </c>
      <c r="J230" s="32" t="s">
        <v>2080</v>
      </c>
      <c r="K230" s="0" t="n">
        <v>4</v>
      </c>
      <c r="L230" s="32" t="s">
        <v>2081</v>
      </c>
      <c r="M230" s="32" t="s">
        <v>2100</v>
      </c>
      <c r="N230" s="0" t="n">
        <v>4</v>
      </c>
      <c r="O230" s="32" t="s">
        <v>777</v>
      </c>
      <c r="P230" s="32" t="s">
        <v>2121</v>
      </c>
      <c r="Q230" s="32" t="s">
        <v>2244</v>
      </c>
      <c r="R230" s="0" t="str">
        <f aca="false">IF(H230="GEN","GM",H230)</f>
        <v>GS</v>
      </c>
    </row>
    <row r="231" customFormat="false" ht="15" hidden="false" customHeight="false" outlineLevel="0" collapsed="false">
      <c r="A231" s="0" t="s">
        <v>2549</v>
      </c>
      <c r="B231" s="0" t="s">
        <v>2550</v>
      </c>
      <c r="C231" s="0" t="s">
        <v>862</v>
      </c>
      <c r="D231" s="31" t="n">
        <v>26516</v>
      </c>
      <c r="E231" s="31" t="n">
        <v>45580</v>
      </c>
      <c r="F231" s="32" t="s">
        <v>2087</v>
      </c>
      <c r="G231" s="32" t="s">
        <v>2104</v>
      </c>
      <c r="H231" s="32" t="s">
        <v>802</v>
      </c>
      <c r="I231" s="31" t="n">
        <v>45586</v>
      </c>
      <c r="J231" s="32" t="s">
        <v>2080</v>
      </c>
      <c r="K231" s="0" t="n">
        <v>6</v>
      </c>
      <c r="L231" s="32" t="s">
        <v>2106</v>
      </c>
      <c r="M231" s="32" t="s">
        <v>2128</v>
      </c>
      <c r="N231" s="0" t="n">
        <v>6</v>
      </c>
      <c r="O231" s="32" t="s">
        <v>803</v>
      </c>
      <c r="P231" s="32" t="s">
        <v>2117</v>
      </c>
      <c r="Q231" s="32" t="s">
        <v>2190</v>
      </c>
      <c r="R231" s="0" t="str">
        <f aca="false">IF(H231="GEN","GM",H231)</f>
        <v>GYN</v>
      </c>
    </row>
    <row r="232" customFormat="false" ht="15" hidden="false" customHeight="false" outlineLevel="0" collapsed="false">
      <c r="A232" s="0" t="s">
        <v>2551</v>
      </c>
      <c r="B232" s="0" t="s">
        <v>2192</v>
      </c>
      <c r="C232" s="0" t="s">
        <v>757</v>
      </c>
      <c r="D232" s="31" t="n">
        <v>32227</v>
      </c>
      <c r="E232" s="31" t="n">
        <v>45671</v>
      </c>
      <c r="F232" s="32" t="s">
        <v>2078</v>
      </c>
      <c r="G232" s="32" t="s">
        <v>2099</v>
      </c>
      <c r="H232" s="32" t="s">
        <v>818</v>
      </c>
      <c r="I232" s="31" t="n">
        <v>45675</v>
      </c>
      <c r="J232" s="32" t="s">
        <v>2080</v>
      </c>
      <c r="K232" s="0" t="n">
        <v>4</v>
      </c>
      <c r="L232" s="32" t="s">
        <v>2081</v>
      </c>
      <c r="M232" s="32" t="s">
        <v>2207</v>
      </c>
      <c r="N232" s="0" t="n">
        <v>5</v>
      </c>
      <c r="O232" s="32" t="s">
        <v>819</v>
      </c>
      <c r="P232" s="32" t="s">
        <v>2149</v>
      </c>
      <c r="Q232" s="32" t="s">
        <v>2091</v>
      </c>
      <c r="R232" s="0" t="str">
        <f aca="false">IF(H232="GEN","GM",H232)</f>
        <v>OPH</v>
      </c>
    </row>
    <row r="233" customFormat="false" ht="15" hidden="false" customHeight="false" outlineLevel="0" collapsed="false">
      <c r="A233" s="0" t="s">
        <v>2552</v>
      </c>
      <c r="B233" s="0" t="s">
        <v>2077</v>
      </c>
      <c r="C233" s="0" t="s">
        <v>910</v>
      </c>
      <c r="D233" s="31" t="n">
        <v>32576</v>
      </c>
      <c r="E233" s="31" t="n">
        <v>45580</v>
      </c>
      <c r="F233" s="32" t="s">
        <v>2160</v>
      </c>
      <c r="G233" s="32" t="s">
        <v>2099</v>
      </c>
      <c r="H233" s="32" t="s">
        <v>766</v>
      </c>
      <c r="I233" s="31" t="n">
        <v>45583</v>
      </c>
      <c r="J233" s="32" t="s">
        <v>2080</v>
      </c>
      <c r="K233" s="0" t="n">
        <v>3</v>
      </c>
      <c r="L233" s="32" t="s">
        <v>2081</v>
      </c>
      <c r="M233" s="32" t="s">
        <v>2227</v>
      </c>
      <c r="N233" s="0" t="n">
        <v>3</v>
      </c>
      <c r="O233" s="32" t="s">
        <v>767</v>
      </c>
      <c r="P233" s="32" t="s">
        <v>2175</v>
      </c>
      <c r="Q233" s="32" t="s">
        <v>2153</v>
      </c>
      <c r="R233" s="0" t="str">
        <f aca="false">IF(H233="GEN","GM",H233)</f>
        <v>OR</v>
      </c>
    </row>
    <row r="234" customFormat="false" ht="15" hidden="false" customHeight="false" outlineLevel="0" collapsed="false">
      <c r="A234" s="0" t="s">
        <v>2553</v>
      </c>
      <c r="B234" s="0" t="s">
        <v>2409</v>
      </c>
      <c r="C234" s="0" t="s">
        <v>962</v>
      </c>
      <c r="D234" s="31" t="n">
        <v>13980</v>
      </c>
      <c r="E234" s="31" t="n">
        <v>45645</v>
      </c>
      <c r="F234" s="32" t="s">
        <v>2078</v>
      </c>
      <c r="G234" s="32" t="s">
        <v>2079</v>
      </c>
      <c r="H234" s="32" t="s">
        <v>776</v>
      </c>
      <c r="I234" s="31" t="n">
        <v>45646</v>
      </c>
      <c r="J234" s="32" t="s">
        <v>2080</v>
      </c>
      <c r="K234" s="0" t="n">
        <v>1</v>
      </c>
      <c r="L234" s="32" t="s">
        <v>2081</v>
      </c>
      <c r="M234" s="32" t="s">
        <v>2283</v>
      </c>
      <c r="N234" s="0" t="n">
        <v>1</v>
      </c>
      <c r="O234" s="32" t="s">
        <v>777</v>
      </c>
      <c r="P234" s="32" t="s">
        <v>2142</v>
      </c>
      <c r="Q234" s="32" t="s">
        <v>2138</v>
      </c>
      <c r="R234" s="0" t="str">
        <f aca="false">IF(H234="GEN","GM",H234)</f>
        <v>GS</v>
      </c>
    </row>
    <row r="235" customFormat="false" ht="15" hidden="false" customHeight="false" outlineLevel="0" collapsed="false">
      <c r="A235" s="0" t="s">
        <v>2554</v>
      </c>
      <c r="B235" s="0" t="s">
        <v>2271</v>
      </c>
      <c r="C235" s="0" t="s">
        <v>890</v>
      </c>
      <c r="D235" s="31" t="n">
        <v>27599</v>
      </c>
      <c r="E235" s="31" t="n">
        <v>45694</v>
      </c>
      <c r="F235" s="32" t="s">
        <v>2078</v>
      </c>
      <c r="G235" s="32" t="s">
        <v>2115</v>
      </c>
      <c r="H235" s="32" t="s">
        <v>758</v>
      </c>
      <c r="I235" s="31" t="n">
        <v>45695</v>
      </c>
      <c r="J235" s="32" t="s">
        <v>2080</v>
      </c>
      <c r="K235" s="0" t="n">
        <v>1</v>
      </c>
      <c r="L235" s="32" t="s">
        <v>2081</v>
      </c>
      <c r="M235" s="32" t="s">
        <v>2136</v>
      </c>
      <c r="N235" s="0" t="n">
        <v>1</v>
      </c>
      <c r="O235" s="32" t="s">
        <v>759</v>
      </c>
      <c r="P235" s="32" t="s">
        <v>2238</v>
      </c>
      <c r="Q235" s="32" t="s">
        <v>2107</v>
      </c>
      <c r="R235" s="0" t="str">
        <f aca="false">IF(H235="GEN","GM",H235)</f>
        <v>CS</v>
      </c>
    </row>
    <row r="236" customFormat="false" ht="15" hidden="false" customHeight="false" outlineLevel="0" collapsed="false">
      <c r="A236" s="0" t="s">
        <v>2555</v>
      </c>
      <c r="B236" s="0" t="s">
        <v>2556</v>
      </c>
      <c r="C236" s="0" t="s">
        <v>874</v>
      </c>
      <c r="D236" s="31" t="n">
        <v>36427</v>
      </c>
      <c r="E236" s="31" t="n">
        <v>45658</v>
      </c>
      <c r="F236" s="32" t="s">
        <v>2087</v>
      </c>
      <c r="G236" s="32" t="s">
        <v>2079</v>
      </c>
      <c r="H236" s="32" t="s">
        <v>810</v>
      </c>
      <c r="I236" s="31" t="n">
        <v>45663</v>
      </c>
      <c r="J236" s="32" t="s">
        <v>2080</v>
      </c>
      <c r="K236" s="0" t="n">
        <v>5</v>
      </c>
      <c r="L236" s="32" t="s">
        <v>2081</v>
      </c>
      <c r="M236" s="32" t="s">
        <v>2128</v>
      </c>
      <c r="N236" s="0" t="n">
        <v>5</v>
      </c>
      <c r="O236" s="32" t="s">
        <v>811</v>
      </c>
      <c r="P236" s="32" t="s">
        <v>2137</v>
      </c>
      <c r="Q236" s="32" t="s">
        <v>2259</v>
      </c>
      <c r="R236" s="0" t="str">
        <f aca="false">IF(H236="GEN","GM",H236)</f>
        <v>URO</v>
      </c>
    </row>
    <row r="237" customFormat="false" ht="15" hidden="false" customHeight="false" outlineLevel="0" collapsed="false">
      <c r="A237" s="0" t="s">
        <v>2557</v>
      </c>
      <c r="B237" s="0" t="s">
        <v>2558</v>
      </c>
      <c r="C237" s="0" t="s">
        <v>837</v>
      </c>
      <c r="D237" s="31" t="n">
        <v>35841</v>
      </c>
      <c r="E237" s="31" t="n">
        <v>45656</v>
      </c>
      <c r="F237" s="32" t="s">
        <v>2078</v>
      </c>
      <c r="G237" s="32" t="s">
        <v>2099</v>
      </c>
      <c r="H237" s="32" t="s">
        <v>766</v>
      </c>
      <c r="I237" s="31" t="n">
        <v>45657</v>
      </c>
      <c r="J237" s="32" t="s">
        <v>2080</v>
      </c>
      <c r="K237" s="0" t="n">
        <v>1</v>
      </c>
      <c r="L237" s="32" t="s">
        <v>2081</v>
      </c>
      <c r="M237" s="32" t="s">
        <v>2082</v>
      </c>
      <c r="N237" s="0" t="n">
        <v>1</v>
      </c>
      <c r="O237" s="32" t="s">
        <v>767</v>
      </c>
      <c r="P237" s="32" t="s">
        <v>2137</v>
      </c>
      <c r="Q237" s="32" t="s">
        <v>2244</v>
      </c>
      <c r="R237" s="0" t="str">
        <f aca="false">IF(H237="GEN","GM",H237)</f>
        <v>OR</v>
      </c>
    </row>
    <row r="238" customFormat="false" ht="15" hidden="false" customHeight="false" outlineLevel="0" collapsed="false">
      <c r="A238" s="0" t="s">
        <v>2559</v>
      </c>
      <c r="B238" s="0" t="s">
        <v>2560</v>
      </c>
      <c r="C238" s="0" t="s">
        <v>857</v>
      </c>
      <c r="D238" s="31" t="n">
        <v>33406</v>
      </c>
      <c r="E238" s="31" t="n">
        <v>45576</v>
      </c>
      <c r="F238" s="32" t="s">
        <v>2087</v>
      </c>
      <c r="G238" s="32" t="s">
        <v>2104</v>
      </c>
      <c r="H238" s="32" t="s">
        <v>802</v>
      </c>
      <c r="I238" s="31" t="n">
        <v>45581</v>
      </c>
      <c r="J238" s="32" t="s">
        <v>2080</v>
      </c>
      <c r="K238" s="0" t="n">
        <v>5</v>
      </c>
      <c r="L238" s="32" t="s">
        <v>2081</v>
      </c>
      <c r="M238" s="32" t="s">
        <v>2227</v>
      </c>
      <c r="N238" s="0" t="n">
        <v>5</v>
      </c>
      <c r="O238" s="32" t="s">
        <v>803</v>
      </c>
      <c r="P238" s="32" t="s">
        <v>2090</v>
      </c>
      <c r="Q238" s="32" t="s">
        <v>2157</v>
      </c>
      <c r="R238" s="0" t="str">
        <f aca="false">IF(H238="GEN","GM",H238)</f>
        <v>GYN</v>
      </c>
    </row>
    <row r="239" customFormat="false" ht="15" hidden="false" customHeight="false" outlineLevel="0" collapsed="false">
      <c r="A239" s="0" t="s">
        <v>2561</v>
      </c>
      <c r="B239" s="0" t="s">
        <v>2252</v>
      </c>
      <c r="C239" s="0" t="s">
        <v>1426</v>
      </c>
      <c r="D239" s="31" t="n">
        <v>34368</v>
      </c>
      <c r="E239" s="31" t="n">
        <v>45650</v>
      </c>
      <c r="F239" s="32" t="s">
        <v>2078</v>
      </c>
      <c r="G239" s="32" t="s">
        <v>2104</v>
      </c>
      <c r="H239" s="32" t="s">
        <v>802</v>
      </c>
      <c r="I239" s="31" t="n">
        <v>45651</v>
      </c>
      <c r="J239" s="32" t="s">
        <v>2080</v>
      </c>
      <c r="K239" s="0" t="n">
        <v>1</v>
      </c>
      <c r="L239" s="32" t="s">
        <v>2081</v>
      </c>
      <c r="M239" s="32" t="s">
        <v>2110</v>
      </c>
      <c r="N239" s="0" t="n">
        <v>1</v>
      </c>
      <c r="O239" s="32" t="s">
        <v>803</v>
      </c>
      <c r="P239" s="32" t="s">
        <v>2083</v>
      </c>
      <c r="Q239" s="32" t="s">
        <v>2112</v>
      </c>
      <c r="R239" s="0" t="str">
        <f aca="false">IF(H239="GEN","GM",H239)</f>
        <v>GYN</v>
      </c>
    </row>
    <row r="240" customFormat="false" ht="15" hidden="false" customHeight="false" outlineLevel="0" collapsed="false">
      <c r="A240" s="0" t="s">
        <v>2562</v>
      </c>
      <c r="B240" s="0" t="s">
        <v>2563</v>
      </c>
      <c r="C240" s="0" t="s">
        <v>1017</v>
      </c>
      <c r="D240" s="31" t="n">
        <v>34791</v>
      </c>
      <c r="E240" s="31" t="n">
        <v>45587</v>
      </c>
      <c r="F240" s="32" t="s">
        <v>2078</v>
      </c>
      <c r="G240" s="32" t="s">
        <v>2104</v>
      </c>
      <c r="H240" s="32" t="s">
        <v>802</v>
      </c>
      <c r="I240" s="31" t="n">
        <v>45588</v>
      </c>
      <c r="J240" s="32" t="s">
        <v>2160</v>
      </c>
      <c r="K240" s="0" t="n">
        <v>1</v>
      </c>
      <c r="L240" s="32" t="s">
        <v>2081</v>
      </c>
      <c r="M240" s="32" t="s">
        <v>2283</v>
      </c>
      <c r="N240" s="0" t="n">
        <v>1</v>
      </c>
      <c r="O240" s="32" t="s">
        <v>803</v>
      </c>
      <c r="P240" s="32" t="s">
        <v>2182</v>
      </c>
      <c r="Q240" s="32" t="s">
        <v>2125</v>
      </c>
      <c r="R240" s="0" t="str">
        <f aca="false">IF(H240="GEN","GM",H240)</f>
        <v>GYN</v>
      </c>
    </row>
    <row r="241" customFormat="false" ht="15" hidden="false" customHeight="false" outlineLevel="0" collapsed="false">
      <c r="A241" s="0" t="s">
        <v>2564</v>
      </c>
      <c r="B241" s="0" t="s">
        <v>2535</v>
      </c>
      <c r="C241" s="0" t="s">
        <v>1398</v>
      </c>
      <c r="D241" s="31" t="n">
        <v>34965</v>
      </c>
      <c r="E241" s="31" t="n">
        <v>45718</v>
      </c>
      <c r="F241" s="32" t="s">
        <v>2087</v>
      </c>
      <c r="G241" s="32" t="s">
        <v>2088</v>
      </c>
      <c r="H241" s="32" t="s">
        <v>826</v>
      </c>
      <c r="I241" s="31" t="n">
        <v>45720</v>
      </c>
      <c r="J241" s="32" t="s">
        <v>2080</v>
      </c>
      <c r="K241" s="0" t="n">
        <v>2</v>
      </c>
      <c r="L241" s="32" t="s">
        <v>2081</v>
      </c>
      <c r="M241" s="32" t="s">
        <v>2141</v>
      </c>
      <c r="N241" s="0" t="n">
        <v>2</v>
      </c>
      <c r="P241" s="32" t="s">
        <v>2149</v>
      </c>
      <c r="Q241" s="32" t="s">
        <v>2118</v>
      </c>
      <c r="R241" s="0" t="str">
        <f aca="false">IF(H241="GEN","GM",H241)</f>
        <v>RHE</v>
      </c>
    </row>
    <row r="242" customFormat="false" ht="15" hidden="false" customHeight="false" outlineLevel="0" collapsed="false">
      <c r="A242" s="0" t="s">
        <v>2565</v>
      </c>
      <c r="B242" s="0" t="s">
        <v>2211</v>
      </c>
      <c r="C242" s="0" t="s">
        <v>1005</v>
      </c>
      <c r="D242" s="31" t="n">
        <v>25105</v>
      </c>
      <c r="E242" s="31" t="n">
        <v>45714</v>
      </c>
      <c r="F242" s="32" t="s">
        <v>2078</v>
      </c>
      <c r="G242" s="32" t="s">
        <v>2099</v>
      </c>
      <c r="H242" s="32" t="s">
        <v>766</v>
      </c>
      <c r="I242" s="31" t="n">
        <v>45715</v>
      </c>
      <c r="J242" s="32" t="s">
        <v>2080</v>
      </c>
      <c r="K242" s="0" t="n">
        <v>1</v>
      </c>
      <c r="L242" s="32" t="s">
        <v>2081</v>
      </c>
      <c r="M242" s="32" t="s">
        <v>2128</v>
      </c>
      <c r="N242" s="0" t="n">
        <v>1</v>
      </c>
      <c r="O242" s="32" t="s">
        <v>767</v>
      </c>
      <c r="Q242" s="32" t="s">
        <v>2165</v>
      </c>
      <c r="R242" s="0" t="str">
        <f aca="false">IF(H242="GEN","GM",H242)</f>
        <v>OR</v>
      </c>
    </row>
    <row r="243" customFormat="false" ht="15" hidden="false" customHeight="false" outlineLevel="0" collapsed="false">
      <c r="A243" s="0" t="s">
        <v>2566</v>
      </c>
      <c r="B243" s="0" t="s">
        <v>2567</v>
      </c>
      <c r="C243" s="0" t="s">
        <v>1390</v>
      </c>
      <c r="D243" s="31" t="n">
        <v>34164</v>
      </c>
      <c r="E243" s="31" t="n">
        <v>45595</v>
      </c>
      <c r="F243" s="32" t="s">
        <v>2078</v>
      </c>
      <c r="G243" s="32" t="s">
        <v>2104</v>
      </c>
      <c r="H243" s="32" t="s">
        <v>802</v>
      </c>
      <c r="I243" s="31" t="n">
        <v>45601</v>
      </c>
      <c r="J243" s="32" t="s">
        <v>2080</v>
      </c>
      <c r="K243" s="0" t="n">
        <v>6</v>
      </c>
      <c r="L243" s="32" t="s">
        <v>2081</v>
      </c>
      <c r="M243" s="32" t="s">
        <v>2195</v>
      </c>
      <c r="N243" s="0" t="n">
        <v>6</v>
      </c>
      <c r="O243" s="32" t="s">
        <v>803</v>
      </c>
      <c r="P243" s="32" t="s">
        <v>2121</v>
      </c>
      <c r="Q243" s="32" t="s">
        <v>2179</v>
      </c>
      <c r="R243" s="0" t="str">
        <f aca="false">IF(H243="GEN","GM",H243)</f>
        <v>GYN</v>
      </c>
    </row>
    <row r="244" customFormat="false" ht="15" hidden="false" customHeight="false" outlineLevel="0" collapsed="false">
      <c r="A244" s="0" t="s">
        <v>2568</v>
      </c>
      <c r="B244" s="0" t="s">
        <v>2292</v>
      </c>
      <c r="C244" s="0" t="s">
        <v>1005</v>
      </c>
      <c r="D244" s="31" t="n">
        <v>17769</v>
      </c>
      <c r="E244" s="31" t="n">
        <v>45736</v>
      </c>
      <c r="F244" s="32" t="s">
        <v>2087</v>
      </c>
      <c r="G244" s="32" t="s">
        <v>2079</v>
      </c>
      <c r="H244" s="32" t="s">
        <v>810</v>
      </c>
      <c r="I244" s="31" t="n">
        <v>45739</v>
      </c>
      <c r="J244" s="32" t="s">
        <v>2080</v>
      </c>
      <c r="K244" s="0" t="n">
        <v>3</v>
      </c>
      <c r="L244" s="32" t="s">
        <v>2081</v>
      </c>
      <c r="M244" s="32" t="s">
        <v>2136</v>
      </c>
      <c r="N244" s="0" t="n">
        <v>3</v>
      </c>
      <c r="O244" s="32" t="s">
        <v>811</v>
      </c>
      <c r="P244" s="32" t="s">
        <v>2133</v>
      </c>
      <c r="Q244" s="32" t="s">
        <v>2138</v>
      </c>
      <c r="R244" s="0" t="str">
        <f aca="false">IF(H244="GEN","GM",H244)</f>
        <v>URO</v>
      </c>
    </row>
    <row r="245" customFormat="false" ht="15" hidden="false" customHeight="false" outlineLevel="0" collapsed="false">
      <c r="A245" s="0" t="s">
        <v>2569</v>
      </c>
      <c r="B245" s="0" t="s">
        <v>2570</v>
      </c>
      <c r="C245" s="0" t="s">
        <v>926</v>
      </c>
      <c r="D245" s="31" t="n">
        <v>27232</v>
      </c>
      <c r="E245" s="31" t="n">
        <v>45661</v>
      </c>
      <c r="F245" s="32" t="s">
        <v>2078</v>
      </c>
      <c r="G245" s="32" t="s">
        <v>2104</v>
      </c>
      <c r="H245" s="32" t="s">
        <v>802</v>
      </c>
      <c r="I245" s="31" t="n">
        <v>45666</v>
      </c>
      <c r="J245" s="32" t="s">
        <v>2080</v>
      </c>
      <c r="K245" s="0" t="n">
        <v>5</v>
      </c>
      <c r="L245" s="32" t="s">
        <v>2081</v>
      </c>
      <c r="M245" s="32" t="s">
        <v>2161</v>
      </c>
      <c r="N245" s="0" t="n">
        <v>5</v>
      </c>
      <c r="O245" s="32" t="s">
        <v>803</v>
      </c>
      <c r="P245" s="32" t="s">
        <v>2179</v>
      </c>
      <c r="Q245" s="32" t="s">
        <v>2112</v>
      </c>
      <c r="R245" s="0" t="str">
        <f aca="false">IF(H245="GEN","GM",H245)</f>
        <v>GYN</v>
      </c>
    </row>
    <row r="246" customFormat="false" ht="15" hidden="false" customHeight="false" outlineLevel="0" collapsed="false">
      <c r="A246" s="0" t="s">
        <v>2571</v>
      </c>
      <c r="B246" s="0" t="s">
        <v>2572</v>
      </c>
      <c r="C246" s="0" t="s">
        <v>882</v>
      </c>
      <c r="D246" s="31" t="n">
        <v>31580</v>
      </c>
      <c r="E246" s="31" t="n">
        <v>45666</v>
      </c>
      <c r="F246" s="32" t="s">
        <v>2078</v>
      </c>
      <c r="G246" s="32" t="s">
        <v>2099</v>
      </c>
      <c r="H246" s="32" t="s">
        <v>766</v>
      </c>
      <c r="I246" s="31" t="n">
        <v>45671</v>
      </c>
      <c r="J246" s="32" t="s">
        <v>2080</v>
      </c>
      <c r="K246" s="0" t="n">
        <v>5</v>
      </c>
      <c r="L246" s="32" t="s">
        <v>2081</v>
      </c>
      <c r="M246" s="32" t="s">
        <v>2128</v>
      </c>
      <c r="N246" s="0" t="n">
        <v>5</v>
      </c>
      <c r="O246" s="32" t="s">
        <v>767</v>
      </c>
      <c r="P246" s="32" t="s">
        <v>2117</v>
      </c>
      <c r="Q246" s="32" t="s">
        <v>2091</v>
      </c>
      <c r="R246" s="0" t="str">
        <f aca="false">IF(H246="GEN","GM",H246)</f>
        <v>OR</v>
      </c>
    </row>
    <row r="247" customFormat="false" ht="15" hidden="false" customHeight="false" outlineLevel="0" collapsed="false">
      <c r="A247" s="0" t="s">
        <v>2573</v>
      </c>
      <c r="B247" s="0" t="s">
        <v>2492</v>
      </c>
      <c r="C247" s="0" t="s">
        <v>857</v>
      </c>
      <c r="D247" s="31" t="n">
        <v>34294</v>
      </c>
      <c r="E247" s="31" t="n">
        <v>45628</v>
      </c>
      <c r="F247" s="32" t="s">
        <v>2087</v>
      </c>
      <c r="G247" s="32" t="s">
        <v>2079</v>
      </c>
      <c r="H247" s="32" t="s">
        <v>776</v>
      </c>
      <c r="I247" s="31" t="n">
        <v>45634</v>
      </c>
      <c r="J247" s="32" t="s">
        <v>2080</v>
      </c>
      <c r="K247" s="0" t="n">
        <v>6</v>
      </c>
      <c r="L247" s="32" t="s">
        <v>2106</v>
      </c>
      <c r="M247" s="32" t="s">
        <v>2082</v>
      </c>
      <c r="N247" s="0" t="n">
        <v>6</v>
      </c>
      <c r="O247" s="32" t="s">
        <v>777</v>
      </c>
      <c r="P247" s="32" t="s">
        <v>2117</v>
      </c>
      <c r="Q247" s="32" t="s">
        <v>2259</v>
      </c>
      <c r="R247" s="0" t="str">
        <f aca="false">IF(H247="GEN","GM",H247)</f>
        <v>GS</v>
      </c>
    </row>
    <row r="248" customFormat="false" ht="15" hidden="false" customHeight="false" outlineLevel="0" collapsed="false">
      <c r="A248" s="0" t="s">
        <v>2574</v>
      </c>
      <c r="B248" s="0" t="s">
        <v>2575</v>
      </c>
      <c r="C248" s="0" t="s">
        <v>825</v>
      </c>
      <c r="D248" s="31" t="n">
        <v>35973</v>
      </c>
      <c r="E248" s="31" t="n">
        <v>45619</v>
      </c>
      <c r="F248" s="32" t="s">
        <v>2078</v>
      </c>
      <c r="G248" s="32" t="s">
        <v>2088</v>
      </c>
      <c r="H248" s="32" t="s">
        <v>747</v>
      </c>
      <c r="I248" s="31" t="n">
        <v>45622</v>
      </c>
      <c r="J248" s="32" t="s">
        <v>2160</v>
      </c>
      <c r="K248" s="0" t="n">
        <v>3</v>
      </c>
      <c r="M248" s="32" t="s">
        <v>2128</v>
      </c>
      <c r="N248" s="0" t="n">
        <v>3</v>
      </c>
      <c r="O248" s="32" t="s">
        <v>748</v>
      </c>
      <c r="P248" s="32" t="s">
        <v>2179</v>
      </c>
      <c r="Q248" s="32" t="s">
        <v>2259</v>
      </c>
      <c r="R248" s="0" t="str">
        <f aca="false">IF(H248="GEN","GM",H248)</f>
        <v>GM</v>
      </c>
    </row>
    <row r="249" customFormat="false" ht="15" hidden="false" customHeight="false" outlineLevel="0" collapsed="false">
      <c r="A249" s="0" t="s">
        <v>2576</v>
      </c>
      <c r="B249" s="0" t="s">
        <v>2577</v>
      </c>
      <c r="C249" s="0" t="s">
        <v>1410</v>
      </c>
      <c r="D249" s="31" t="n">
        <v>12860</v>
      </c>
      <c r="E249" s="31" t="n">
        <v>45621</v>
      </c>
      <c r="F249" s="32" t="s">
        <v>2087</v>
      </c>
      <c r="G249" s="32" t="s">
        <v>2088</v>
      </c>
      <c r="H249" s="32" t="s">
        <v>747</v>
      </c>
      <c r="I249" s="31" t="n">
        <v>45629</v>
      </c>
      <c r="J249" s="32" t="s">
        <v>2080</v>
      </c>
      <c r="K249" s="0" t="n">
        <v>8</v>
      </c>
      <c r="L249" s="32" t="s">
        <v>2081</v>
      </c>
      <c r="M249" s="32" t="s">
        <v>2286</v>
      </c>
      <c r="N249" s="0" t="n">
        <v>8</v>
      </c>
      <c r="O249" s="32" t="s">
        <v>748</v>
      </c>
      <c r="P249" s="32" t="s">
        <v>2156</v>
      </c>
      <c r="Q249" s="32" t="s">
        <v>2096</v>
      </c>
      <c r="R249" s="0" t="str">
        <f aca="false">IF(H249="GEN","GM",H249)</f>
        <v>GM</v>
      </c>
    </row>
    <row r="250" customFormat="false" ht="15" hidden="false" customHeight="false" outlineLevel="0" collapsed="false">
      <c r="A250" s="0" t="s">
        <v>2578</v>
      </c>
      <c r="B250" s="0" t="s">
        <v>2579</v>
      </c>
      <c r="C250" s="0" t="s">
        <v>890</v>
      </c>
      <c r="D250" s="31" t="n">
        <v>24538</v>
      </c>
      <c r="E250" s="31" t="n">
        <v>45716</v>
      </c>
      <c r="F250" s="32" t="s">
        <v>2087</v>
      </c>
      <c r="G250" s="32" t="s">
        <v>2104</v>
      </c>
      <c r="H250" s="32" t="s">
        <v>802</v>
      </c>
      <c r="I250" s="31" t="n">
        <v>45719</v>
      </c>
      <c r="J250" s="32" t="s">
        <v>2080</v>
      </c>
      <c r="K250" s="0" t="n">
        <v>3</v>
      </c>
      <c r="L250" s="32" t="s">
        <v>2081</v>
      </c>
      <c r="M250" s="32" t="s">
        <v>2161</v>
      </c>
      <c r="N250" s="0" t="n">
        <v>3</v>
      </c>
      <c r="O250" s="32" t="s">
        <v>803</v>
      </c>
      <c r="P250" s="32" t="s">
        <v>2162</v>
      </c>
      <c r="Q250" s="32" t="s">
        <v>2112</v>
      </c>
      <c r="R250" s="0" t="str">
        <f aca="false">IF(H250="GEN","GM",H250)</f>
        <v>GYN</v>
      </c>
    </row>
    <row r="251" customFormat="false" ht="15" hidden="false" customHeight="false" outlineLevel="0" collapsed="false">
      <c r="A251" s="0" t="s">
        <v>2580</v>
      </c>
      <c r="B251" s="0" t="s">
        <v>2581</v>
      </c>
      <c r="C251" s="0" t="s">
        <v>878</v>
      </c>
      <c r="D251" s="31" t="n">
        <v>14497</v>
      </c>
      <c r="E251" s="31" t="n">
        <v>45612</v>
      </c>
      <c r="F251" s="32" t="s">
        <v>2087</v>
      </c>
      <c r="G251" s="32" t="s">
        <v>2099</v>
      </c>
      <c r="H251" s="32" t="s">
        <v>818</v>
      </c>
      <c r="I251" s="31" t="n">
        <v>45619</v>
      </c>
      <c r="J251" s="32" t="s">
        <v>2080</v>
      </c>
      <c r="K251" s="0" t="n">
        <v>7</v>
      </c>
      <c r="L251" s="32" t="s">
        <v>2081</v>
      </c>
      <c r="N251" s="0" t="n">
        <v>7</v>
      </c>
      <c r="O251" s="32" t="s">
        <v>819</v>
      </c>
      <c r="P251" s="32" t="s">
        <v>2083</v>
      </c>
      <c r="Q251" s="32" t="s">
        <v>2170</v>
      </c>
      <c r="R251" s="0" t="str">
        <f aca="false">IF(H251="GEN","GM",H251)</f>
        <v>OPH</v>
      </c>
    </row>
    <row r="252" customFormat="false" ht="15" hidden="false" customHeight="false" outlineLevel="0" collapsed="false">
      <c r="A252" s="0" t="s">
        <v>2582</v>
      </c>
      <c r="B252" s="0" t="s">
        <v>2224</v>
      </c>
      <c r="C252" s="0" t="s">
        <v>817</v>
      </c>
      <c r="D252" s="31" t="n">
        <v>30822</v>
      </c>
      <c r="E252" s="31" t="n">
        <v>45585</v>
      </c>
      <c r="F252" s="32" t="s">
        <v>2078</v>
      </c>
      <c r="G252" s="32" t="s">
        <v>2099</v>
      </c>
      <c r="H252" s="32" t="s">
        <v>818</v>
      </c>
      <c r="I252" s="31" t="n">
        <v>45588</v>
      </c>
      <c r="J252" s="32" t="s">
        <v>2080</v>
      </c>
      <c r="K252" s="0" t="n">
        <v>3</v>
      </c>
      <c r="L252" s="32" t="s">
        <v>2081</v>
      </c>
      <c r="M252" s="32" t="s">
        <v>2189</v>
      </c>
      <c r="N252" s="0" t="n">
        <v>3</v>
      </c>
      <c r="O252" s="32" t="s">
        <v>819</v>
      </c>
      <c r="P252" s="32" t="s">
        <v>2121</v>
      </c>
      <c r="Q252" s="32" t="s">
        <v>2129</v>
      </c>
      <c r="R252" s="0" t="str">
        <f aca="false">IF(H252="GEN","GM",H252)</f>
        <v>OPH</v>
      </c>
    </row>
    <row r="253" customFormat="false" ht="15" hidden="false" customHeight="false" outlineLevel="0" collapsed="false">
      <c r="A253" s="0" t="s">
        <v>2583</v>
      </c>
      <c r="B253" s="0" t="s">
        <v>2584</v>
      </c>
      <c r="C253" s="0" t="s">
        <v>765</v>
      </c>
      <c r="D253" s="31" t="n">
        <v>25954</v>
      </c>
      <c r="E253" s="31" t="n">
        <v>45669</v>
      </c>
      <c r="F253" s="32" t="s">
        <v>2585</v>
      </c>
      <c r="G253" s="32" t="s">
        <v>2079</v>
      </c>
      <c r="H253" s="32" t="s">
        <v>810</v>
      </c>
      <c r="I253" s="31" t="n">
        <v>45670</v>
      </c>
      <c r="J253" s="32" t="s">
        <v>2080</v>
      </c>
      <c r="K253" s="0" t="n">
        <v>1</v>
      </c>
      <c r="L253" s="32" t="s">
        <v>2081</v>
      </c>
      <c r="M253" s="32" t="s">
        <v>2094</v>
      </c>
      <c r="N253" s="0" t="n">
        <v>1</v>
      </c>
      <c r="O253" s="32" t="s">
        <v>811</v>
      </c>
      <c r="P253" s="32" t="s">
        <v>2133</v>
      </c>
      <c r="Q253" s="32" t="s">
        <v>2179</v>
      </c>
      <c r="R253" s="0" t="str">
        <f aca="false">IF(H253="GEN","GM",H253)</f>
        <v>URO</v>
      </c>
    </row>
    <row r="254" customFormat="false" ht="15" hidden="false" customHeight="false" outlineLevel="0" collapsed="false">
      <c r="A254" s="0" t="s">
        <v>2586</v>
      </c>
      <c r="B254" s="0" t="s">
        <v>2587</v>
      </c>
      <c r="C254" s="0" t="s">
        <v>946</v>
      </c>
      <c r="D254" s="31" t="n">
        <v>34209</v>
      </c>
      <c r="E254" s="31" t="n">
        <v>45568</v>
      </c>
      <c r="F254" s="32" t="s">
        <v>2087</v>
      </c>
      <c r="G254" s="32" t="s">
        <v>2088</v>
      </c>
      <c r="H254" s="32" t="s">
        <v>826</v>
      </c>
      <c r="I254" s="31" t="n">
        <v>45570</v>
      </c>
      <c r="J254" s="32" t="s">
        <v>2080</v>
      </c>
      <c r="K254" s="0" t="n">
        <v>2</v>
      </c>
      <c r="L254" s="32" t="s">
        <v>2081</v>
      </c>
      <c r="M254" s="32" t="s">
        <v>2152</v>
      </c>
      <c r="N254" s="0" t="n">
        <v>2</v>
      </c>
      <c r="O254" s="32" t="s">
        <v>827</v>
      </c>
      <c r="P254" s="32" t="s">
        <v>2179</v>
      </c>
      <c r="Q254" s="32" t="s">
        <v>2084</v>
      </c>
      <c r="R254" s="0" t="str">
        <f aca="false">IF(H254="GEN","GM",H254)</f>
        <v>RHE</v>
      </c>
    </row>
    <row r="255" customFormat="false" ht="15" hidden="false" customHeight="false" outlineLevel="0" collapsed="false">
      <c r="A255" s="0" t="s">
        <v>2588</v>
      </c>
      <c r="B255" s="0" t="s">
        <v>2589</v>
      </c>
      <c r="C255" s="0" t="s">
        <v>825</v>
      </c>
      <c r="D255" s="31" t="n">
        <v>25012</v>
      </c>
      <c r="E255" s="31" t="n">
        <v>45596</v>
      </c>
      <c r="F255" s="32" t="s">
        <v>2087</v>
      </c>
      <c r="G255" s="32" t="s">
        <v>2099</v>
      </c>
      <c r="H255" s="32" t="s">
        <v>766</v>
      </c>
      <c r="I255" s="31" t="n">
        <v>45598</v>
      </c>
      <c r="J255" s="32" t="s">
        <v>2160</v>
      </c>
      <c r="K255" s="0" t="n">
        <v>2</v>
      </c>
      <c r="L255" s="32" t="s">
        <v>2081</v>
      </c>
      <c r="M255" s="32" t="s">
        <v>2128</v>
      </c>
      <c r="N255" s="0" t="n">
        <v>2</v>
      </c>
      <c r="O255" s="32" t="s">
        <v>767</v>
      </c>
      <c r="P255" s="32" t="s">
        <v>2137</v>
      </c>
      <c r="Q255" s="32" t="s">
        <v>2084</v>
      </c>
      <c r="R255" s="0" t="str">
        <f aca="false">IF(H255="GEN","GM",H255)</f>
        <v>OR</v>
      </c>
    </row>
    <row r="256" customFormat="false" ht="15" hidden="false" customHeight="false" outlineLevel="0" collapsed="false">
      <c r="A256" s="0" t="s">
        <v>2590</v>
      </c>
      <c r="B256" s="0" t="s">
        <v>2591</v>
      </c>
      <c r="C256" s="0" t="s">
        <v>942</v>
      </c>
      <c r="D256" s="31" t="n">
        <v>16606</v>
      </c>
      <c r="E256" s="31" t="n">
        <v>45692</v>
      </c>
      <c r="F256" s="32" t="s">
        <v>2087</v>
      </c>
      <c r="G256" s="32" t="s">
        <v>2079</v>
      </c>
      <c r="H256" s="32" t="s">
        <v>776</v>
      </c>
      <c r="L256" s="32" t="s">
        <v>2081</v>
      </c>
      <c r="M256" s="32" t="s">
        <v>2082</v>
      </c>
      <c r="O256" s="32" t="s">
        <v>777</v>
      </c>
      <c r="P256" s="32" t="s">
        <v>2083</v>
      </c>
      <c r="Q256" s="32" t="s">
        <v>2170</v>
      </c>
      <c r="R256" s="0" t="str">
        <f aca="false">IF(H256="GEN","GM",H256)</f>
        <v>GS</v>
      </c>
    </row>
    <row r="257" customFormat="false" ht="15" hidden="false" customHeight="false" outlineLevel="0" collapsed="false">
      <c r="A257" s="0" t="s">
        <v>2592</v>
      </c>
      <c r="B257" s="0" t="s">
        <v>2593</v>
      </c>
      <c r="C257" s="0" t="s">
        <v>950</v>
      </c>
      <c r="D257" s="31" t="n">
        <v>34278</v>
      </c>
      <c r="E257" s="31" t="n">
        <v>45724</v>
      </c>
      <c r="F257" s="32" t="s">
        <v>2087</v>
      </c>
      <c r="G257" s="32" t="s">
        <v>2088</v>
      </c>
      <c r="H257" s="32" t="s">
        <v>793</v>
      </c>
      <c r="I257" s="31" t="n">
        <v>45728</v>
      </c>
      <c r="J257" s="32" t="s">
        <v>2080</v>
      </c>
      <c r="K257" s="0" t="n">
        <v>4</v>
      </c>
      <c r="L257" s="32" t="s">
        <v>2081</v>
      </c>
      <c r="M257" s="32" t="s">
        <v>2082</v>
      </c>
      <c r="N257" s="0" t="n">
        <v>4</v>
      </c>
      <c r="O257" s="32" t="s">
        <v>794</v>
      </c>
      <c r="P257" s="32" t="s">
        <v>2090</v>
      </c>
      <c r="Q257" s="32" t="s">
        <v>2138</v>
      </c>
      <c r="R257" s="0" t="str">
        <f aca="false">IF(H257="GEN","GM",H257)</f>
        <v>EM</v>
      </c>
    </row>
    <row r="258" customFormat="false" ht="15" hidden="false" customHeight="false" outlineLevel="0" collapsed="false">
      <c r="A258" s="0" t="s">
        <v>2594</v>
      </c>
      <c r="B258" s="0" t="s">
        <v>2462</v>
      </c>
      <c r="C258" s="0" t="s">
        <v>1419</v>
      </c>
      <c r="D258" s="31" t="n">
        <v>33764</v>
      </c>
      <c r="E258" s="31" t="n">
        <v>45694</v>
      </c>
      <c r="F258" s="32" t="s">
        <v>2078</v>
      </c>
      <c r="G258" s="32" t="s">
        <v>2088</v>
      </c>
      <c r="H258" s="32" t="s">
        <v>793</v>
      </c>
      <c r="I258" s="31" t="n">
        <v>45696</v>
      </c>
      <c r="J258" s="32" t="s">
        <v>2080</v>
      </c>
      <c r="K258" s="0" t="n">
        <v>2</v>
      </c>
      <c r="L258" s="32" t="s">
        <v>2081</v>
      </c>
      <c r="M258" s="32" t="s">
        <v>2207</v>
      </c>
      <c r="N258" s="0" t="n">
        <v>2</v>
      </c>
      <c r="O258" s="32" t="s">
        <v>794</v>
      </c>
      <c r="P258" s="32" t="s">
        <v>2222</v>
      </c>
      <c r="Q258" s="32" t="s">
        <v>2198</v>
      </c>
      <c r="R258" s="0" t="str">
        <f aca="false">IF(H258="GEN","GM",H258)</f>
        <v>EM</v>
      </c>
    </row>
    <row r="259" customFormat="false" ht="15" hidden="false" customHeight="false" outlineLevel="0" collapsed="false">
      <c r="A259" s="0" t="s">
        <v>2595</v>
      </c>
      <c r="B259" s="0" t="s">
        <v>2596</v>
      </c>
      <c r="C259" s="0" t="s">
        <v>918</v>
      </c>
      <c r="D259" s="31" t="n">
        <v>17992</v>
      </c>
      <c r="E259" s="31" t="n">
        <v>45636</v>
      </c>
      <c r="F259" s="32" t="s">
        <v>2078</v>
      </c>
      <c r="G259" s="32" t="s">
        <v>2124</v>
      </c>
      <c r="H259" s="32" t="s">
        <v>785</v>
      </c>
      <c r="I259" s="31" t="n">
        <v>45637</v>
      </c>
      <c r="J259" s="32" t="s">
        <v>2080</v>
      </c>
      <c r="K259" s="0" t="n">
        <v>1</v>
      </c>
      <c r="L259" s="32" t="s">
        <v>2081</v>
      </c>
      <c r="M259" s="32" t="s">
        <v>2089</v>
      </c>
      <c r="N259" s="0" t="n">
        <v>1</v>
      </c>
      <c r="O259" s="32" t="s">
        <v>786</v>
      </c>
      <c r="P259" s="32" t="s">
        <v>2142</v>
      </c>
      <c r="R259" s="0" t="str">
        <f aca="false">IF(H259="GEN","GM",H259)</f>
        <v>RS</v>
      </c>
    </row>
    <row r="260" customFormat="false" ht="15" hidden="false" customHeight="false" outlineLevel="0" collapsed="false">
      <c r="A260" s="0" t="s">
        <v>2597</v>
      </c>
      <c r="B260" s="0" t="s">
        <v>2598</v>
      </c>
      <c r="C260" s="0" t="s">
        <v>1398</v>
      </c>
      <c r="D260" s="31" t="n">
        <v>27371</v>
      </c>
      <c r="E260" s="31" t="n">
        <v>45602</v>
      </c>
      <c r="F260" s="32" t="s">
        <v>2078</v>
      </c>
      <c r="G260" s="32" t="s">
        <v>2099</v>
      </c>
      <c r="H260" s="32" t="s">
        <v>766</v>
      </c>
      <c r="I260" s="31" t="n">
        <v>45609</v>
      </c>
      <c r="J260" s="32" t="s">
        <v>2080</v>
      </c>
      <c r="K260" s="0" t="n">
        <v>7</v>
      </c>
      <c r="L260" s="32" t="s">
        <v>2081</v>
      </c>
      <c r="N260" s="0" t="n">
        <v>7</v>
      </c>
      <c r="O260" s="32" t="s">
        <v>767</v>
      </c>
      <c r="Q260" s="32" t="s">
        <v>2112</v>
      </c>
      <c r="R260" s="0" t="str">
        <f aca="false">IF(H260="GEN","GM",H260)</f>
        <v>OR</v>
      </c>
    </row>
    <row r="261" customFormat="false" ht="15" hidden="false" customHeight="false" outlineLevel="0" collapsed="false">
      <c r="A261" s="0" t="s">
        <v>2599</v>
      </c>
      <c r="B261" s="0" t="s">
        <v>2600</v>
      </c>
      <c r="C261" s="0" t="s">
        <v>765</v>
      </c>
      <c r="D261" s="31" t="n">
        <v>26406</v>
      </c>
      <c r="E261" s="31" t="n">
        <v>45681</v>
      </c>
      <c r="F261" s="32" t="s">
        <v>2087</v>
      </c>
      <c r="G261" s="32" t="s">
        <v>2115</v>
      </c>
      <c r="H261" s="32" t="s">
        <v>758</v>
      </c>
      <c r="I261" s="31" t="n">
        <v>45685</v>
      </c>
      <c r="J261" s="32" t="s">
        <v>2080</v>
      </c>
      <c r="K261" s="0" t="n">
        <v>4</v>
      </c>
      <c r="L261" s="32" t="s">
        <v>2081</v>
      </c>
      <c r="M261" s="32" t="s">
        <v>2116</v>
      </c>
      <c r="N261" s="0" t="n">
        <v>4</v>
      </c>
      <c r="O261" s="32" t="s">
        <v>759</v>
      </c>
      <c r="P261" s="32" t="s">
        <v>2117</v>
      </c>
      <c r="Q261" s="32" t="s">
        <v>2241</v>
      </c>
      <c r="R261" s="0" t="str">
        <f aca="false">IF(H261="GEN","GM",H261)</f>
        <v>CS</v>
      </c>
    </row>
    <row r="262" customFormat="false" ht="15" hidden="false" customHeight="false" outlineLevel="0" collapsed="false">
      <c r="A262" s="0" t="s">
        <v>2601</v>
      </c>
      <c r="B262" s="0" t="s">
        <v>2602</v>
      </c>
      <c r="C262" s="0" t="s">
        <v>866</v>
      </c>
      <c r="D262" s="31" t="n">
        <v>31889</v>
      </c>
      <c r="E262" s="31" t="n">
        <v>45658</v>
      </c>
      <c r="F262" s="32" t="s">
        <v>2160</v>
      </c>
      <c r="G262" s="32" t="s">
        <v>2088</v>
      </c>
      <c r="H262" s="32" t="s">
        <v>747</v>
      </c>
      <c r="I262" s="31" t="n">
        <v>45661</v>
      </c>
      <c r="J262" s="32" t="s">
        <v>2080</v>
      </c>
      <c r="K262" s="0" t="n">
        <v>3</v>
      </c>
      <c r="L262" s="32" t="s">
        <v>2081</v>
      </c>
      <c r="M262" s="32" t="s">
        <v>2116</v>
      </c>
      <c r="N262" s="0" t="n">
        <v>3</v>
      </c>
      <c r="O262" s="32" t="s">
        <v>748</v>
      </c>
      <c r="P262" s="32" t="s">
        <v>2175</v>
      </c>
      <c r="Q262" s="32" t="s">
        <v>2125</v>
      </c>
      <c r="R262" s="0" t="str">
        <f aca="false">IF(H262="GEN","GM",H262)</f>
        <v>GM</v>
      </c>
    </row>
    <row r="263" customFormat="false" ht="15" hidden="false" customHeight="false" outlineLevel="0" collapsed="false">
      <c r="A263" s="0" t="s">
        <v>2603</v>
      </c>
      <c r="B263" s="0" t="s">
        <v>2604</v>
      </c>
      <c r="C263" s="0" t="s">
        <v>890</v>
      </c>
      <c r="D263" s="31" t="n">
        <v>14901</v>
      </c>
      <c r="E263" s="31" t="n">
        <v>45654</v>
      </c>
      <c r="F263" s="32" t="s">
        <v>2087</v>
      </c>
      <c r="G263" s="32" t="s">
        <v>2079</v>
      </c>
      <c r="H263" s="32" t="s">
        <v>810</v>
      </c>
      <c r="I263" s="31" t="n">
        <v>45657</v>
      </c>
      <c r="J263" s="32" t="s">
        <v>2080</v>
      </c>
      <c r="K263" s="0" t="n">
        <v>3</v>
      </c>
      <c r="L263" s="32" t="s">
        <v>2081</v>
      </c>
      <c r="M263" s="32" t="s">
        <v>2195</v>
      </c>
      <c r="N263" s="0" t="n">
        <v>3</v>
      </c>
      <c r="O263" s="32" t="s">
        <v>811</v>
      </c>
      <c r="Q263" s="32" t="s">
        <v>2096</v>
      </c>
      <c r="R263" s="0" t="str">
        <f aca="false">IF(H263="GEN","GM",H263)</f>
        <v>URO</v>
      </c>
    </row>
    <row r="264" customFormat="false" ht="15" hidden="false" customHeight="false" outlineLevel="0" collapsed="false">
      <c r="A264" s="0" t="s">
        <v>2605</v>
      </c>
      <c r="B264" s="0" t="s">
        <v>2606</v>
      </c>
      <c r="C264" s="0" t="s">
        <v>853</v>
      </c>
      <c r="D264" s="31" t="n">
        <v>15198</v>
      </c>
      <c r="E264" s="31" t="n">
        <v>45694</v>
      </c>
      <c r="F264" s="32" t="s">
        <v>2078</v>
      </c>
      <c r="G264" s="32" t="s">
        <v>2088</v>
      </c>
      <c r="H264" s="32" t="s">
        <v>1391</v>
      </c>
      <c r="I264" s="31" t="n">
        <v>45697</v>
      </c>
      <c r="J264" s="32" t="s">
        <v>2080</v>
      </c>
      <c r="K264" s="0" t="n">
        <v>3</v>
      </c>
      <c r="L264" s="32" t="s">
        <v>2081</v>
      </c>
      <c r="M264" s="32" t="s">
        <v>2132</v>
      </c>
      <c r="N264" s="0" t="n">
        <v>4</v>
      </c>
      <c r="O264" s="32" t="s">
        <v>748</v>
      </c>
      <c r="P264" s="32" t="s">
        <v>2090</v>
      </c>
      <c r="Q264" s="32" t="s">
        <v>2157</v>
      </c>
      <c r="R264" s="0" t="str">
        <f aca="false">IF(H264="GEN","GM",H264)</f>
        <v>GM</v>
      </c>
    </row>
    <row r="265" customFormat="false" ht="15" hidden="false" customHeight="false" outlineLevel="0" collapsed="false">
      <c r="A265" s="0" t="s">
        <v>2607</v>
      </c>
      <c r="B265" s="0" t="s">
        <v>2186</v>
      </c>
      <c r="C265" s="0" t="s">
        <v>946</v>
      </c>
      <c r="D265" s="31" t="n">
        <v>27107</v>
      </c>
      <c r="E265" s="31" t="n">
        <v>45630</v>
      </c>
      <c r="F265" s="32" t="s">
        <v>2078</v>
      </c>
      <c r="G265" s="32" t="s">
        <v>2088</v>
      </c>
      <c r="H265" s="32" t="s">
        <v>826</v>
      </c>
      <c r="I265" s="31" t="n">
        <v>45631</v>
      </c>
      <c r="J265" s="32" t="s">
        <v>2080</v>
      </c>
      <c r="K265" s="0" t="n">
        <v>1</v>
      </c>
      <c r="L265" s="32" t="s">
        <v>2081</v>
      </c>
      <c r="M265" s="32" t="s">
        <v>2255</v>
      </c>
      <c r="N265" s="0" t="n">
        <v>1</v>
      </c>
      <c r="O265" s="32" t="s">
        <v>827</v>
      </c>
      <c r="P265" s="32" t="s">
        <v>2222</v>
      </c>
      <c r="Q265" s="32" t="s">
        <v>2129</v>
      </c>
      <c r="R265" s="0" t="str">
        <f aca="false">IF(H265="GEN","GM",H265)</f>
        <v>RHE</v>
      </c>
    </row>
    <row r="266" customFormat="false" ht="15" hidden="false" customHeight="false" outlineLevel="0" collapsed="false">
      <c r="A266" s="0" t="s">
        <v>2608</v>
      </c>
      <c r="B266" s="0" t="s">
        <v>2093</v>
      </c>
      <c r="C266" s="0" t="s">
        <v>1033</v>
      </c>
      <c r="D266" s="31" t="n">
        <v>29417</v>
      </c>
      <c r="E266" s="31" t="n">
        <v>45588</v>
      </c>
      <c r="F266" s="32" t="s">
        <v>2078</v>
      </c>
      <c r="G266" s="32" t="s">
        <v>2088</v>
      </c>
      <c r="H266" s="32" t="s">
        <v>747</v>
      </c>
      <c r="I266" s="31" t="n">
        <v>45592</v>
      </c>
      <c r="J266" s="32" t="s">
        <v>2080</v>
      </c>
      <c r="K266" s="0" t="n">
        <v>4</v>
      </c>
      <c r="L266" s="32" t="s">
        <v>2081</v>
      </c>
      <c r="M266" s="32" t="s">
        <v>2227</v>
      </c>
      <c r="N266" s="0" t="n">
        <v>4</v>
      </c>
      <c r="O266" s="32" t="s">
        <v>748</v>
      </c>
      <c r="P266" s="32" t="s">
        <v>2111</v>
      </c>
      <c r="Q266" s="32" t="s">
        <v>2129</v>
      </c>
      <c r="R266" s="0" t="str">
        <f aca="false">IF(H266="GEN","GM",H266)</f>
        <v>GM</v>
      </c>
    </row>
    <row r="267" customFormat="false" ht="15" hidden="false" customHeight="false" outlineLevel="0" collapsed="false">
      <c r="A267" s="0" t="s">
        <v>2609</v>
      </c>
      <c r="B267" s="0" t="s">
        <v>2135</v>
      </c>
      <c r="C267" s="0" t="s">
        <v>833</v>
      </c>
      <c r="D267" s="31" t="n">
        <v>15488</v>
      </c>
      <c r="E267" s="31" t="n">
        <v>45689</v>
      </c>
      <c r="F267" s="32" t="s">
        <v>2160</v>
      </c>
      <c r="G267" s="32" t="s">
        <v>2088</v>
      </c>
      <c r="H267" s="32" t="s">
        <v>826</v>
      </c>
      <c r="I267" s="31" t="n">
        <v>45695</v>
      </c>
      <c r="J267" s="32" t="s">
        <v>2080</v>
      </c>
      <c r="K267" s="0" t="n">
        <v>6</v>
      </c>
      <c r="L267" s="32" t="s">
        <v>2081</v>
      </c>
      <c r="M267" s="32" t="s">
        <v>2100</v>
      </c>
      <c r="N267" s="0" t="n">
        <v>6</v>
      </c>
      <c r="O267" s="32" t="s">
        <v>827</v>
      </c>
      <c r="P267" s="32" t="s">
        <v>2201</v>
      </c>
      <c r="Q267" s="32" t="s">
        <v>2096</v>
      </c>
      <c r="R267" s="0" t="str">
        <f aca="false">IF(H267="GEN","GM",H267)</f>
        <v>RHE</v>
      </c>
    </row>
    <row r="268" customFormat="false" ht="15" hidden="false" customHeight="false" outlineLevel="0" collapsed="false">
      <c r="A268" s="0" t="s">
        <v>2610</v>
      </c>
      <c r="B268" s="0" t="s">
        <v>2388</v>
      </c>
      <c r="C268" s="0" t="s">
        <v>894</v>
      </c>
      <c r="D268" s="31" t="n">
        <v>17930</v>
      </c>
      <c r="E268" s="31" t="n">
        <v>45687</v>
      </c>
      <c r="F268" s="32" t="s">
        <v>2078</v>
      </c>
      <c r="G268" s="32" t="s">
        <v>2099</v>
      </c>
      <c r="H268" s="32" t="s">
        <v>818</v>
      </c>
      <c r="I268" s="31" t="n">
        <v>45687</v>
      </c>
      <c r="J268" s="32" t="s">
        <v>2160</v>
      </c>
      <c r="K268" s="0" t="n">
        <v>0</v>
      </c>
      <c r="L268" s="32" t="s">
        <v>2081</v>
      </c>
      <c r="M268" s="32" t="s">
        <v>2189</v>
      </c>
      <c r="N268" s="0" t="n">
        <v>0</v>
      </c>
      <c r="O268" s="32" t="s">
        <v>819</v>
      </c>
      <c r="P268" s="32" t="s">
        <v>2117</v>
      </c>
      <c r="Q268" s="32" t="s">
        <v>2129</v>
      </c>
      <c r="R268" s="0" t="str">
        <f aca="false">IF(H268="GEN","GM",H268)</f>
        <v>OPH</v>
      </c>
    </row>
    <row r="269" customFormat="false" ht="15" hidden="false" customHeight="false" outlineLevel="0" collapsed="false">
      <c r="A269" s="0" t="s">
        <v>2611</v>
      </c>
      <c r="B269" s="0" t="s">
        <v>2431</v>
      </c>
      <c r="C269" s="0" t="s">
        <v>765</v>
      </c>
      <c r="D269" s="31" t="n">
        <v>21271</v>
      </c>
      <c r="E269" s="31" t="n">
        <v>45640</v>
      </c>
      <c r="F269" s="32" t="s">
        <v>2087</v>
      </c>
      <c r="G269" s="32" t="s">
        <v>2099</v>
      </c>
      <c r="H269" s="32" t="s">
        <v>818</v>
      </c>
      <c r="I269" s="31" t="n">
        <v>45645</v>
      </c>
      <c r="J269" s="32" t="s">
        <v>2080</v>
      </c>
      <c r="K269" s="0" t="n">
        <v>5</v>
      </c>
      <c r="L269" s="32" t="s">
        <v>2081</v>
      </c>
      <c r="M269" s="32" t="s">
        <v>2141</v>
      </c>
      <c r="N269" s="0" t="n">
        <v>5</v>
      </c>
      <c r="O269" s="32" t="s">
        <v>819</v>
      </c>
      <c r="P269" s="32" t="s">
        <v>2121</v>
      </c>
      <c r="Q269" s="32" t="s">
        <v>2112</v>
      </c>
      <c r="R269" s="0" t="str">
        <f aca="false">IF(H269="GEN","GM",H269)</f>
        <v>OPH</v>
      </c>
    </row>
    <row r="270" customFormat="false" ht="15" hidden="false" customHeight="false" outlineLevel="0" collapsed="false">
      <c r="A270" s="0" t="s">
        <v>2594</v>
      </c>
      <c r="B270" s="0" t="s">
        <v>2462</v>
      </c>
      <c r="C270" s="0" t="s">
        <v>1419</v>
      </c>
      <c r="D270" s="31" t="n">
        <v>33764</v>
      </c>
      <c r="E270" s="31" t="n">
        <v>45694</v>
      </c>
      <c r="F270" s="32" t="s">
        <v>2078</v>
      </c>
      <c r="G270" s="32" t="s">
        <v>2124</v>
      </c>
      <c r="H270" s="32" t="s">
        <v>793</v>
      </c>
      <c r="I270" s="31" t="n">
        <v>45696</v>
      </c>
      <c r="J270" s="32" t="s">
        <v>2080</v>
      </c>
      <c r="K270" s="0" t="n">
        <v>2</v>
      </c>
      <c r="L270" s="32" t="s">
        <v>2081</v>
      </c>
      <c r="M270" s="32" t="s">
        <v>2207</v>
      </c>
      <c r="N270" s="0" t="n">
        <v>2</v>
      </c>
      <c r="O270" s="32" t="s">
        <v>794</v>
      </c>
      <c r="P270" s="32" t="s">
        <v>2222</v>
      </c>
      <c r="Q270" s="32" t="s">
        <v>2198</v>
      </c>
      <c r="R270" s="0" t="str">
        <f aca="false">IF(H270="GEN","GM",H270)</f>
        <v>EM</v>
      </c>
    </row>
    <row r="271" customFormat="false" ht="15" hidden="false" customHeight="false" outlineLevel="0" collapsed="false">
      <c r="A271" s="0" t="s">
        <v>2612</v>
      </c>
      <c r="B271" s="0" t="s">
        <v>2613</v>
      </c>
      <c r="C271" s="0" t="s">
        <v>1021</v>
      </c>
      <c r="D271" s="31" t="n">
        <v>14767</v>
      </c>
      <c r="E271" s="31" t="n">
        <v>45694</v>
      </c>
      <c r="F271" s="32" t="s">
        <v>2087</v>
      </c>
      <c r="G271" s="32" t="s">
        <v>2099</v>
      </c>
      <c r="H271" s="32" t="s">
        <v>766</v>
      </c>
      <c r="I271" s="31" t="n">
        <v>45696</v>
      </c>
      <c r="J271" s="32" t="s">
        <v>2080</v>
      </c>
      <c r="K271" s="0" t="n">
        <v>2</v>
      </c>
      <c r="L271" s="32" t="s">
        <v>2081</v>
      </c>
      <c r="M271" s="32" t="s">
        <v>2110</v>
      </c>
      <c r="N271" s="0" t="n">
        <v>2</v>
      </c>
      <c r="O271" s="32" t="s">
        <v>767</v>
      </c>
      <c r="P271" s="32" t="s">
        <v>2142</v>
      </c>
      <c r="Q271" s="32" t="s">
        <v>2157</v>
      </c>
      <c r="R271" s="0" t="str">
        <f aca="false">IF(H271="GEN","GM",H271)</f>
        <v>OR</v>
      </c>
    </row>
    <row r="272" customFormat="false" ht="15" hidden="false" customHeight="false" outlineLevel="0" collapsed="false">
      <c r="A272" s="0" t="s">
        <v>2614</v>
      </c>
      <c r="B272" s="0" t="s">
        <v>2615</v>
      </c>
      <c r="C272" s="0" t="s">
        <v>886</v>
      </c>
      <c r="D272" s="31" t="n">
        <v>36481</v>
      </c>
      <c r="E272" s="31" t="n">
        <v>45724</v>
      </c>
      <c r="F272" s="32" t="s">
        <v>2078</v>
      </c>
      <c r="G272" s="32" t="s">
        <v>2088</v>
      </c>
      <c r="H272" s="32" t="s">
        <v>826</v>
      </c>
      <c r="I272" s="31" t="n">
        <v>45729</v>
      </c>
      <c r="J272" s="32" t="s">
        <v>2080</v>
      </c>
      <c r="K272" s="0" t="n">
        <v>5</v>
      </c>
      <c r="L272" s="32" t="s">
        <v>2081</v>
      </c>
      <c r="M272" s="32" t="s">
        <v>2132</v>
      </c>
      <c r="N272" s="0" t="n">
        <v>5</v>
      </c>
      <c r="O272" s="32" t="s">
        <v>827</v>
      </c>
      <c r="P272" s="32" t="s">
        <v>2090</v>
      </c>
      <c r="Q272" s="32" t="s">
        <v>2259</v>
      </c>
      <c r="R272" s="0" t="str">
        <f aca="false">IF(H272="GEN","GM",H272)</f>
        <v>RHE</v>
      </c>
    </row>
    <row r="273" customFormat="false" ht="15" hidden="false" customHeight="false" outlineLevel="0" collapsed="false">
      <c r="A273" s="0" t="s">
        <v>2616</v>
      </c>
      <c r="B273" s="0" t="s">
        <v>2306</v>
      </c>
      <c r="C273" s="0" t="s">
        <v>1009</v>
      </c>
      <c r="D273" s="31" t="n">
        <v>15726</v>
      </c>
      <c r="E273" s="31" t="n">
        <v>45727</v>
      </c>
      <c r="F273" s="32" t="s">
        <v>2078</v>
      </c>
      <c r="G273" s="32" t="s">
        <v>2115</v>
      </c>
      <c r="H273" s="32" t="s">
        <v>758</v>
      </c>
      <c r="I273" s="31" t="n">
        <v>45732</v>
      </c>
      <c r="J273" s="32" t="s">
        <v>2080</v>
      </c>
      <c r="K273" s="0" t="n">
        <v>5</v>
      </c>
      <c r="L273" s="32" t="s">
        <v>2081</v>
      </c>
      <c r="M273" s="32" t="s">
        <v>2136</v>
      </c>
      <c r="N273" s="0" t="n">
        <v>5</v>
      </c>
      <c r="O273" s="32" t="s">
        <v>759</v>
      </c>
      <c r="P273" s="32" t="s">
        <v>2090</v>
      </c>
      <c r="Q273" s="32" t="s">
        <v>2170</v>
      </c>
      <c r="R273" s="0" t="str">
        <f aca="false">IF(H273="GEN","GM",H273)</f>
        <v>CS</v>
      </c>
    </row>
    <row r="274" customFormat="false" ht="15" hidden="false" customHeight="false" outlineLevel="0" collapsed="false">
      <c r="A274" s="0" t="s">
        <v>2617</v>
      </c>
      <c r="B274" s="0" t="s">
        <v>2618</v>
      </c>
      <c r="C274" s="0" t="s">
        <v>837</v>
      </c>
      <c r="D274" s="31" t="n">
        <v>14206</v>
      </c>
      <c r="E274" s="31" t="n">
        <v>45670</v>
      </c>
      <c r="F274" s="32" t="s">
        <v>2078</v>
      </c>
      <c r="G274" s="32" t="s">
        <v>2099</v>
      </c>
      <c r="H274" s="32" t="s">
        <v>766</v>
      </c>
      <c r="I274" s="31" t="n">
        <v>45673</v>
      </c>
      <c r="J274" s="32" t="s">
        <v>2080</v>
      </c>
      <c r="K274" s="0" t="n">
        <v>3</v>
      </c>
      <c r="L274" s="32" t="s">
        <v>2081</v>
      </c>
      <c r="M274" s="32" t="s">
        <v>2100</v>
      </c>
      <c r="N274" s="0" t="n">
        <v>3</v>
      </c>
      <c r="O274" s="32" t="s">
        <v>767</v>
      </c>
      <c r="P274" s="32" t="s">
        <v>2175</v>
      </c>
      <c r="Q274" s="32" t="s">
        <v>2198</v>
      </c>
      <c r="R274" s="0" t="str">
        <f aca="false">IF(H274="GEN","GM",H274)</f>
        <v>OR</v>
      </c>
    </row>
    <row r="275" customFormat="false" ht="15" hidden="false" customHeight="false" outlineLevel="0" collapsed="false">
      <c r="A275" s="0" t="s">
        <v>2619</v>
      </c>
      <c r="B275" s="0" t="s">
        <v>2620</v>
      </c>
      <c r="C275" s="0" t="s">
        <v>1013</v>
      </c>
      <c r="D275" s="31" t="n">
        <v>30366</v>
      </c>
      <c r="E275" s="31" t="n">
        <v>45579</v>
      </c>
      <c r="F275" s="32" t="s">
        <v>2078</v>
      </c>
      <c r="G275" s="32" t="s">
        <v>2124</v>
      </c>
      <c r="H275" s="32" t="s">
        <v>785</v>
      </c>
      <c r="I275" s="31" t="n">
        <v>45582</v>
      </c>
      <c r="J275" s="32" t="s">
        <v>2160</v>
      </c>
      <c r="K275" s="0" t="n">
        <v>3</v>
      </c>
      <c r="L275" s="32" t="s">
        <v>2106</v>
      </c>
      <c r="M275" s="32" t="s">
        <v>2195</v>
      </c>
      <c r="N275" s="0" t="n">
        <v>3</v>
      </c>
      <c r="O275" s="32" t="s">
        <v>786</v>
      </c>
      <c r="P275" s="32" t="s">
        <v>2095</v>
      </c>
      <c r="Q275" s="32" t="s">
        <v>2107</v>
      </c>
      <c r="R275" s="0" t="str">
        <f aca="false">IF(H275="GEN","GM",H275)</f>
        <v>RS</v>
      </c>
    </row>
    <row r="276" customFormat="false" ht="15" hidden="false" customHeight="false" outlineLevel="0" collapsed="false">
      <c r="A276" s="0" t="s">
        <v>2621</v>
      </c>
      <c r="B276" s="0" t="s">
        <v>2579</v>
      </c>
      <c r="C276" s="0" t="s">
        <v>809</v>
      </c>
      <c r="D276" s="31" t="n">
        <v>38325</v>
      </c>
      <c r="E276" s="31" t="n">
        <v>45581</v>
      </c>
      <c r="F276" s="32" t="s">
        <v>2087</v>
      </c>
      <c r="G276" s="32" t="s">
        <v>2088</v>
      </c>
      <c r="H276" s="32" t="s">
        <v>1391</v>
      </c>
      <c r="I276" s="31" t="n">
        <v>45583</v>
      </c>
      <c r="J276" s="32" t="s">
        <v>2307</v>
      </c>
      <c r="K276" s="0" t="n">
        <v>2</v>
      </c>
      <c r="L276" s="32" t="s">
        <v>2106</v>
      </c>
      <c r="M276" s="32" t="s">
        <v>2161</v>
      </c>
      <c r="N276" s="0" t="n">
        <v>2</v>
      </c>
      <c r="O276" s="32" t="s">
        <v>748</v>
      </c>
      <c r="P276" s="32" t="s">
        <v>2179</v>
      </c>
      <c r="Q276" s="32" t="s">
        <v>2165</v>
      </c>
      <c r="R276" s="0" t="str">
        <f aca="false">IF(H276="GEN","GM",H276)</f>
        <v>GM</v>
      </c>
    </row>
    <row r="277" customFormat="false" ht="15" hidden="false" customHeight="false" outlineLevel="0" collapsed="false">
      <c r="A277" s="0" t="s">
        <v>2622</v>
      </c>
      <c r="B277" s="0" t="s">
        <v>2396</v>
      </c>
      <c r="C277" s="0" t="s">
        <v>833</v>
      </c>
      <c r="D277" s="31" t="n">
        <v>38569</v>
      </c>
      <c r="E277" s="31" t="n">
        <v>45688</v>
      </c>
      <c r="F277" s="32" t="s">
        <v>2078</v>
      </c>
      <c r="G277" s="32" t="s">
        <v>2088</v>
      </c>
      <c r="H277" s="32" t="s">
        <v>747</v>
      </c>
      <c r="I277" s="31" t="n">
        <v>45690</v>
      </c>
      <c r="J277" s="32" t="s">
        <v>2080</v>
      </c>
      <c r="K277" s="0" t="n">
        <v>2</v>
      </c>
      <c r="L277" s="32" t="s">
        <v>2081</v>
      </c>
      <c r="M277" s="32" t="s">
        <v>2141</v>
      </c>
      <c r="N277" s="0" t="n">
        <v>2</v>
      </c>
      <c r="O277" s="32" t="s">
        <v>748</v>
      </c>
      <c r="P277" s="32" t="s">
        <v>2179</v>
      </c>
      <c r="Q277" s="32" t="s">
        <v>2157</v>
      </c>
      <c r="R277" s="0" t="str">
        <f aca="false">IF(H277="GEN","GM",H277)</f>
        <v>GM</v>
      </c>
    </row>
    <row r="278" customFormat="false" ht="15" hidden="false" customHeight="false" outlineLevel="0" collapsed="false">
      <c r="A278" s="0" t="s">
        <v>2623</v>
      </c>
      <c r="B278" s="0" t="s">
        <v>2512</v>
      </c>
      <c r="C278" s="0" t="s">
        <v>2148</v>
      </c>
      <c r="D278" s="31" t="n">
        <v>19039</v>
      </c>
      <c r="E278" s="31" t="n">
        <v>45580</v>
      </c>
      <c r="F278" s="32" t="s">
        <v>2078</v>
      </c>
      <c r="G278" s="32" t="s">
        <v>2088</v>
      </c>
      <c r="H278" s="32" t="s">
        <v>793</v>
      </c>
      <c r="I278" s="31" t="n">
        <v>45581</v>
      </c>
      <c r="J278" s="32" t="s">
        <v>2080</v>
      </c>
      <c r="K278" s="0" t="n">
        <v>1</v>
      </c>
      <c r="L278" s="32" t="s">
        <v>2106</v>
      </c>
      <c r="M278" s="32" t="s">
        <v>2132</v>
      </c>
      <c r="N278" s="0" t="n">
        <v>1</v>
      </c>
      <c r="O278" s="32" t="s">
        <v>794</v>
      </c>
      <c r="P278" s="32" t="s">
        <v>2238</v>
      </c>
      <c r="Q278" s="32" t="s">
        <v>2244</v>
      </c>
      <c r="R278" s="0" t="str">
        <f aca="false">IF(H278="GEN","GM",H278)</f>
        <v>EM</v>
      </c>
    </row>
    <row r="279" customFormat="false" ht="15" hidden="false" customHeight="false" outlineLevel="0" collapsed="false">
      <c r="A279" s="0" t="s">
        <v>2624</v>
      </c>
      <c r="B279" s="0" t="s">
        <v>2367</v>
      </c>
      <c r="C279" s="0" t="s">
        <v>918</v>
      </c>
      <c r="D279" s="31" t="n">
        <v>26378</v>
      </c>
      <c r="E279" s="31" t="n">
        <v>45618</v>
      </c>
      <c r="F279" s="32" t="s">
        <v>2078</v>
      </c>
      <c r="G279" s="32" t="s">
        <v>2115</v>
      </c>
      <c r="H279" s="32" t="s">
        <v>758</v>
      </c>
      <c r="I279" s="31" t="n">
        <v>45620</v>
      </c>
      <c r="J279" s="32" t="s">
        <v>2160</v>
      </c>
      <c r="K279" s="0" t="n">
        <v>2</v>
      </c>
      <c r="L279" s="32" t="s">
        <v>2081</v>
      </c>
      <c r="M279" s="32" t="s">
        <v>2132</v>
      </c>
      <c r="N279" s="0" t="n">
        <v>2</v>
      </c>
      <c r="O279" s="32" t="s">
        <v>759</v>
      </c>
      <c r="P279" s="32" t="s">
        <v>2213</v>
      </c>
      <c r="Q279" s="32" t="s">
        <v>2125</v>
      </c>
      <c r="R279" s="0" t="str">
        <f aca="false">IF(H279="GEN","GM",H279)</f>
        <v>CS</v>
      </c>
    </row>
    <row r="280" customFormat="false" ht="15" hidden="false" customHeight="false" outlineLevel="0" collapsed="false">
      <c r="A280" s="0" t="s">
        <v>2610</v>
      </c>
      <c r="B280" s="0" t="s">
        <v>2388</v>
      </c>
      <c r="C280" s="0" t="s">
        <v>894</v>
      </c>
      <c r="D280" s="31" t="n">
        <v>17930</v>
      </c>
      <c r="E280" s="31" t="n">
        <v>45687</v>
      </c>
      <c r="F280" s="32" t="s">
        <v>2078</v>
      </c>
      <c r="G280" s="32" t="s">
        <v>2104</v>
      </c>
      <c r="H280" s="32" t="s">
        <v>818</v>
      </c>
      <c r="I280" s="31" t="n">
        <v>45687</v>
      </c>
      <c r="J280" s="32" t="s">
        <v>2160</v>
      </c>
      <c r="K280" s="0" t="n">
        <v>0</v>
      </c>
      <c r="L280" s="32" t="s">
        <v>2081</v>
      </c>
      <c r="M280" s="32" t="s">
        <v>2189</v>
      </c>
      <c r="N280" s="0" t="n">
        <v>0</v>
      </c>
      <c r="O280" s="32" t="s">
        <v>819</v>
      </c>
      <c r="P280" s="32" t="s">
        <v>2117</v>
      </c>
      <c r="Q280" s="32" t="s">
        <v>2129</v>
      </c>
      <c r="R280" s="0" t="str">
        <f aca="false">IF(H280="GEN","GM",H280)</f>
        <v>OPH</v>
      </c>
    </row>
    <row r="281" customFormat="false" ht="15" hidden="false" customHeight="false" outlineLevel="0" collapsed="false">
      <c r="A281" s="0" t="s">
        <v>2625</v>
      </c>
      <c r="B281" s="0" t="s">
        <v>2475</v>
      </c>
      <c r="C281" s="0" t="s">
        <v>1393</v>
      </c>
      <c r="D281" s="31" t="n">
        <v>25606</v>
      </c>
      <c r="E281" s="31" t="n">
        <v>45661</v>
      </c>
      <c r="F281" s="32" t="s">
        <v>2087</v>
      </c>
      <c r="G281" s="32" t="s">
        <v>2124</v>
      </c>
      <c r="H281" s="32" t="s">
        <v>785</v>
      </c>
      <c r="I281" s="31" t="n">
        <v>45667</v>
      </c>
      <c r="J281" s="32" t="s">
        <v>2080</v>
      </c>
      <c r="K281" s="0" t="n">
        <v>6</v>
      </c>
      <c r="L281" s="32" t="s">
        <v>2106</v>
      </c>
      <c r="M281" s="32" t="s">
        <v>2189</v>
      </c>
      <c r="N281" s="0" t="n">
        <v>6</v>
      </c>
      <c r="O281" s="32" t="s">
        <v>786</v>
      </c>
      <c r="P281" s="32" t="s">
        <v>2133</v>
      </c>
      <c r="Q281" s="32" t="s">
        <v>2096</v>
      </c>
      <c r="R281" s="0" t="str">
        <f aca="false">IF(H281="GEN","GM",H281)</f>
        <v>RS</v>
      </c>
    </row>
    <row r="282" customFormat="false" ht="15" hidden="false" customHeight="false" outlineLevel="0" collapsed="false">
      <c r="A282" s="0" t="s">
        <v>2626</v>
      </c>
      <c r="B282" s="0" t="s">
        <v>2423</v>
      </c>
      <c r="C282" s="0" t="s">
        <v>993</v>
      </c>
      <c r="D282" s="31" t="n">
        <v>35823</v>
      </c>
      <c r="E282" s="31" t="n">
        <v>45676</v>
      </c>
      <c r="F282" s="32" t="s">
        <v>2078</v>
      </c>
      <c r="G282" s="32" t="s">
        <v>2079</v>
      </c>
      <c r="H282" s="32" t="s">
        <v>776</v>
      </c>
      <c r="I282" s="31" t="n">
        <v>45679</v>
      </c>
      <c r="J282" s="32" t="s">
        <v>2080</v>
      </c>
      <c r="K282" s="0" t="n">
        <v>3</v>
      </c>
      <c r="L282" s="32" t="s">
        <v>2081</v>
      </c>
      <c r="M282" s="32" t="s">
        <v>2189</v>
      </c>
      <c r="N282" s="0" t="n">
        <v>3</v>
      </c>
      <c r="O282" s="32" t="s">
        <v>777</v>
      </c>
      <c r="P282" s="32" t="s">
        <v>2095</v>
      </c>
      <c r="Q282" s="32" t="s">
        <v>2170</v>
      </c>
      <c r="R282" s="0" t="str">
        <f aca="false">IF(H282="GEN","GM",H282)</f>
        <v>GS</v>
      </c>
    </row>
    <row r="283" customFormat="false" ht="15" hidden="false" customHeight="false" outlineLevel="0" collapsed="false">
      <c r="A283" s="0" t="s">
        <v>2627</v>
      </c>
      <c r="B283" s="0" t="s">
        <v>2628</v>
      </c>
      <c r="C283" s="0" t="s">
        <v>1013</v>
      </c>
      <c r="D283" s="31" t="n">
        <v>15390</v>
      </c>
      <c r="E283" s="31" t="n">
        <v>45684</v>
      </c>
      <c r="F283" s="32" t="s">
        <v>2078</v>
      </c>
      <c r="G283" s="32" t="s">
        <v>2124</v>
      </c>
      <c r="H283" s="32" t="s">
        <v>785</v>
      </c>
      <c r="I283" s="31" t="n">
        <v>45686</v>
      </c>
      <c r="J283" s="32" t="s">
        <v>2080</v>
      </c>
      <c r="K283" s="0" t="n">
        <v>2</v>
      </c>
      <c r="L283" s="32" t="s">
        <v>2081</v>
      </c>
      <c r="M283" s="32" t="s">
        <v>2189</v>
      </c>
      <c r="N283" s="0" t="n">
        <v>2</v>
      </c>
      <c r="O283" s="32" t="s">
        <v>786</v>
      </c>
      <c r="P283" s="32" t="s">
        <v>2213</v>
      </c>
      <c r="Q283" s="32" t="s">
        <v>2179</v>
      </c>
      <c r="R283" s="0" t="str">
        <f aca="false">IF(H283="GEN","GM",H283)</f>
        <v>RS</v>
      </c>
    </row>
    <row r="284" customFormat="false" ht="15" hidden="false" customHeight="false" outlineLevel="0" collapsed="false">
      <c r="A284" s="0" t="s">
        <v>2629</v>
      </c>
      <c r="B284" s="0" t="s">
        <v>2630</v>
      </c>
      <c r="C284" s="0" t="s">
        <v>997</v>
      </c>
      <c r="D284" s="31" t="n">
        <v>14527</v>
      </c>
      <c r="E284" s="31" t="n">
        <v>45735</v>
      </c>
      <c r="F284" s="32" t="s">
        <v>2078</v>
      </c>
      <c r="G284" s="32" t="s">
        <v>2088</v>
      </c>
      <c r="H284" s="32" t="s">
        <v>826</v>
      </c>
      <c r="I284" s="31" t="n">
        <v>45737</v>
      </c>
      <c r="J284" s="32" t="s">
        <v>2080</v>
      </c>
      <c r="K284" s="0" t="n">
        <v>2</v>
      </c>
      <c r="L284" s="32" t="s">
        <v>2081</v>
      </c>
      <c r="M284" s="32" t="s">
        <v>2089</v>
      </c>
      <c r="N284" s="0" t="n">
        <v>2</v>
      </c>
      <c r="O284" s="32" t="s">
        <v>827</v>
      </c>
      <c r="P284" s="32" t="s">
        <v>2095</v>
      </c>
      <c r="Q284" s="32" t="s">
        <v>2179</v>
      </c>
      <c r="R284" s="0" t="str">
        <f aca="false">IF(H284="GEN","GM",H284)</f>
        <v>RHE</v>
      </c>
    </row>
    <row r="285" customFormat="false" ht="15" hidden="false" customHeight="false" outlineLevel="0" collapsed="false">
      <c r="A285" s="0" t="s">
        <v>2631</v>
      </c>
      <c r="B285" s="0" t="s">
        <v>2632</v>
      </c>
      <c r="C285" s="0" t="s">
        <v>1021</v>
      </c>
      <c r="D285" s="31" t="n">
        <v>21330</v>
      </c>
      <c r="E285" s="31" t="n">
        <v>45724</v>
      </c>
      <c r="F285" s="32" t="s">
        <v>2087</v>
      </c>
      <c r="G285" s="32" t="s">
        <v>2079</v>
      </c>
      <c r="H285" s="32" t="s">
        <v>776</v>
      </c>
      <c r="I285" s="31" t="n">
        <v>45729</v>
      </c>
      <c r="J285" s="32" t="s">
        <v>2080</v>
      </c>
      <c r="K285" s="0" t="n">
        <v>5</v>
      </c>
      <c r="L285" s="32" t="s">
        <v>2081</v>
      </c>
      <c r="M285" s="32" t="s">
        <v>2189</v>
      </c>
      <c r="N285" s="0" t="n">
        <v>5</v>
      </c>
      <c r="O285" s="32" t="s">
        <v>777</v>
      </c>
      <c r="P285" s="32" t="s">
        <v>2111</v>
      </c>
      <c r="Q285" s="32" t="s">
        <v>2165</v>
      </c>
      <c r="R285" s="0" t="str">
        <f aca="false">IF(H285="GEN","GM",H285)</f>
        <v>GS</v>
      </c>
    </row>
    <row r="286" customFormat="false" ht="15" hidden="false" customHeight="false" outlineLevel="0" collapsed="false">
      <c r="A286" s="0" t="s">
        <v>2633</v>
      </c>
      <c r="B286" s="0" t="s">
        <v>2634</v>
      </c>
      <c r="C286" s="0" t="s">
        <v>825</v>
      </c>
      <c r="D286" s="31" t="n">
        <v>36376</v>
      </c>
      <c r="E286" s="31" t="n">
        <v>45584</v>
      </c>
      <c r="F286" s="32" t="s">
        <v>2087</v>
      </c>
      <c r="G286" s="32" t="s">
        <v>2088</v>
      </c>
      <c r="H286" s="32" t="s">
        <v>793</v>
      </c>
      <c r="I286" s="31" t="n">
        <v>45589</v>
      </c>
      <c r="J286" s="32" t="s">
        <v>2080</v>
      </c>
      <c r="K286" s="0" t="n">
        <v>5</v>
      </c>
      <c r="L286" s="32" t="s">
        <v>2081</v>
      </c>
      <c r="M286" s="32" t="s">
        <v>2195</v>
      </c>
      <c r="N286" s="0" t="n">
        <v>5</v>
      </c>
      <c r="O286" s="32" t="s">
        <v>794</v>
      </c>
      <c r="P286" s="32" t="s">
        <v>2101</v>
      </c>
      <c r="Q286" s="32" t="s">
        <v>2165</v>
      </c>
      <c r="R286" s="0" t="str">
        <f aca="false">IF(H286="GEN","GM",H286)</f>
        <v>EM</v>
      </c>
    </row>
    <row r="287" customFormat="false" ht="15" hidden="false" customHeight="false" outlineLevel="0" collapsed="false">
      <c r="A287" s="0" t="s">
        <v>2635</v>
      </c>
      <c r="B287" s="0" t="s">
        <v>2636</v>
      </c>
      <c r="C287" s="0" t="s">
        <v>845</v>
      </c>
      <c r="D287" s="31" t="n">
        <v>22814</v>
      </c>
      <c r="E287" s="31" t="n">
        <v>45715</v>
      </c>
      <c r="F287" s="32" t="s">
        <v>2087</v>
      </c>
      <c r="G287" s="32" t="s">
        <v>2088</v>
      </c>
      <c r="H287" s="32" t="s">
        <v>793</v>
      </c>
      <c r="I287" s="31" t="n">
        <v>45716</v>
      </c>
      <c r="J287" s="32" t="s">
        <v>2105</v>
      </c>
      <c r="K287" s="0" t="n">
        <v>1</v>
      </c>
      <c r="L287" s="32" t="s">
        <v>2081</v>
      </c>
      <c r="M287" s="32" t="s">
        <v>2128</v>
      </c>
      <c r="N287" s="0" t="n">
        <v>1</v>
      </c>
      <c r="O287" s="32" t="s">
        <v>794</v>
      </c>
      <c r="P287" s="32" t="s">
        <v>2182</v>
      </c>
      <c r="Q287" s="32" t="s">
        <v>2091</v>
      </c>
      <c r="R287" s="0" t="str">
        <f aca="false">IF(H287="GEN","GM",H287)</f>
        <v>EM</v>
      </c>
    </row>
    <row r="288" customFormat="false" ht="15" hidden="false" customHeight="false" outlineLevel="0" collapsed="false">
      <c r="A288" s="0" t="s">
        <v>2637</v>
      </c>
      <c r="B288" s="0" t="s">
        <v>2638</v>
      </c>
      <c r="C288" s="0" t="s">
        <v>1402</v>
      </c>
      <c r="D288" s="31" t="n">
        <v>37514</v>
      </c>
      <c r="E288" s="31" t="n">
        <v>45628</v>
      </c>
      <c r="F288" s="32" t="s">
        <v>2078</v>
      </c>
      <c r="G288" s="32" t="s">
        <v>2088</v>
      </c>
      <c r="H288" s="32" t="s">
        <v>826</v>
      </c>
      <c r="I288" s="31" t="n">
        <v>45632</v>
      </c>
      <c r="J288" s="32" t="s">
        <v>2080</v>
      </c>
      <c r="K288" s="0" t="n">
        <v>4</v>
      </c>
      <c r="L288" s="32" t="s">
        <v>2081</v>
      </c>
      <c r="M288" s="32" t="s">
        <v>2286</v>
      </c>
      <c r="N288" s="0" t="n">
        <v>4</v>
      </c>
      <c r="O288" s="32" t="s">
        <v>827</v>
      </c>
      <c r="P288" s="32" t="s">
        <v>2222</v>
      </c>
      <c r="Q288" s="32" t="s">
        <v>2179</v>
      </c>
      <c r="R288" s="0" t="str">
        <f aca="false">IF(H288="GEN","GM",H288)</f>
        <v>RHE</v>
      </c>
    </row>
    <row r="289" customFormat="false" ht="15" hidden="false" customHeight="false" outlineLevel="0" collapsed="false">
      <c r="A289" s="0" t="s">
        <v>2639</v>
      </c>
      <c r="B289" s="0" t="s">
        <v>2640</v>
      </c>
      <c r="C289" s="0" t="s">
        <v>1009</v>
      </c>
      <c r="D289" s="31" t="n">
        <v>23677</v>
      </c>
      <c r="E289" s="31" t="n">
        <v>45721</v>
      </c>
      <c r="F289" s="32" t="s">
        <v>2087</v>
      </c>
      <c r="G289" s="32" t="s">
        <v>2104</v>
      </c>
      <c r="H289" s="32" t="s">
        <v>802</v>
      </c>
      <c r="I289" s="31" t="n">
        <v>45723</v>
      </c>
      <c r="J289" s="32" t="s">
        <v>2080</v>
      </c>
      <c r="K289" s="0" t="n">
        <v>2</v>
      </c>
      <c r="L289" s="32" t="s">
        <v>2081</v>
      </c>
      <c r="M289" s="32" t="s">
        <v>2207</v>
      </c>
      <c r="N289" s="0" t="n">
        <v>2</v>
      </c>
      <c r="O289" s="32" t="s">
        <v>803</v>
      </c>
      <c r="P289" s="32" t="s">
        <v>2111</v>
      </c>
      <c r="Q289" s="32" t="s">
        <v>2190</v>
      </c>
      <c r="R289" s="0" t="str">
        <f aca="false">IF(H289="GEN","GM",H289)</f>
        <v>GYN</v>
      </c>
    </row>
    <row r="290" customFormat="false" ht="15" hidden="false" customHeight="false" outlineLevel="0" collapsed="false">
      <c r="A290" s="0" t="s">
        <v>2641</v>
      </c>
      <c r="B290" s="0" t="s">
        <v>2314</v>
      </c>
      <c r="C290" s="0" t="s">
        <v>841</v>
      </c>
      <c r="D290" s="31" t="n">
        <v>18655</v>
      </c>
      <c r="E290" s="31" t="n">
        <v>45665</v>
      </c>
      <c r="F290" s="32" t="s">
        <v>2078</v>
      </c>
      <c r="G290" s="32" t="s">
        <v>2115</v>
      </c>
      <c r="H290" s="32" t="s">
        <v>758</v>
      </c>
      <c r="I290" s="31" t="n">
        <v>45670</v>
      </c>
      <c r="J290" s="32" t="s">
        <v>2080</v>
      </c>
      <c r="K290" s="0" t="n">
        <v>5</v>
      </c>
      <c r="L290" s="32" t="s">
        <v>2081</v>
      </c>
      <c r="M290" s="32" t="s">
        <v>2161</v>
      </c>
      <c r="N290" s="0" t="n">
        <v>5</v>
      </c>
      <c r="O290" s="32" t="s">
        <v>759</v>
      </c>
      <c r="P290" s="32" t="s">
        <v>2179</v>
      </c>
      <c r="Q290" s="32" t="s">
        <v>2179</v>
      </c>
      <c r="R290" s="0" t="str">
        <f aca="false">IF(H290="GEN","GM",H290)</f>
        <v>CS</v>
      </c>
    </row>
    <row r="291" customFormat="false" ht="15" hidden="false" customHeight="false" outlineLevel="0" collapsed="false">
      <c r="A291" s="0" t="s">
        <v>2642</v>
      </c>
      <c r="B291" s="0" t="s">
        <v>2276</v>
      </c>
      <c r="C291" s="0" t="s">
        <v>1025</v>
      </c>
      <c r="D291" s="31" t="n">
        <v>33018</v>
      </c>
      <c r="E291" s="31" t="n">
        <v>45587</v>
      </c>
      <c r="F291" s="32" t="s">
        <v>2087</v>
      </c>
      <c r="G291" s="32" t="s">
        <v>2088</v>
      </c>
      <c r="H291" s="32" t="s">
        <v>826</v>
      </c>
      <c r="L291" s="32" t="s">
        <v>2081</v>
      </c>
      <c r="M291" s="32" t="s">
        <v>2094</v>
      </c>
      <c r="O291" s="32" t="s">
        <v>827</v>
      </c>
      <c r="P291" s="32" t="s">
        <v>2149</v>
      </c>
      <c r="Q291" s="32" t="s">
        <v>2190</v>
      </c>
      <c r="R291" s="0" t="str">
        <f aca="false">IF(H291="GEN","GM",H291)</f>
        <v>RHE</v>
      </c>
    </row>
    <row r="292" customFormat="false" ht="15" hidden="false" customHeight="false" outlineLevel="0" collapsed="false">
      <c r="A292" s="0" t="s">
        <v>2643</v>
      </c>
      <c r="B292" s="0" t="s">
        <v>2483</v>
      </c>
      <c r="C292" s="0" t="s">
        <v>910</v>
      </c>
      <c r="D292" s="31" t="n">
        <v>26887</v>
      </c>
      <c r="E292" s="31" t="n">
        <v>45675</v>
      </c>
      <c r="F292" s="32" t="s">
        <v>2078</v>
      </c>
      <c r="G292" s="32" t="s">
        <v>2099</v>
      </c>
      <c r="H292" s="32" t="s">
        <v>818</v>
      </c>
      <c r="I292" s="31" t="n">
        <v>45677</v>
      </c>
      <c r="J292" s="32" t="s">
        <v>2307</v>
      </c>
      <c r="K292" s="0" t="n">
        <v>2</v>
      </c>
      <c r="L292" s="32" t="s">
        <v>2081</v>
      </c>
      <c r="M292" s="32" t="s">
        <v>2189</v>
      </c>
      <c r="N292" s="0" t="n">
        <v>2</v>
      </c>
      <c r="O292" s="32" t="s">
        <v>819</v>
      </c>
      <c r="P292" s="32" t="s">
        <v>2117</v>
      </c>
      <c r="Q292" s="32" t="s">
        <v>2125</v>
      </c>
      <c r="R292" s="0" t="str">
        <f aca="false">IF(H292="GEN","GM",H292)</f>
        <v>OPH</v>
      </c>
    </row>
    <row r="293" customFormat="false" ht="15" hidden="false" customHeight="false" outlineLevel="0" collapsed="false">
      <c r="A293" s="0" t="s">
        <v>2644</v>
      </c>
      <c r="B293" s="0" t="s">
        <v>2645</v>
      </c>
      <c r="C293" s="0" t="s">
        <v>1393</v>
      </c>
      <c r="D293" s="31" t="n">
        <v>33334</v>
      </c>
      <c r="E293" s="31" t="n">
        <v>45736</v>
      </c>
      <c r="F293" s="32" t="s">
        <v>2078</v>
      </c>
      <c r="G293" s="32" t="s">
        <v>2088</v>
      </c>
      <c r="H293" s="32" t="s">
        <v>826</v>
      </c>
      <c r="I293" s="31" t="n">
        <v>45738</v>
      </c>
      <c r="J293" s="32" t="s">
        <v>2080</v>
      </c>
      <c r="K293" s="0" t="n">
        <v>2</v>
      </c>
      <c r="L293" s="32" t="s">
        <v>2081</v>
      </c>
      <c r="M293" s="32" t="s">
        <v>2089</v>
      </c>
      <c r="N293" s="0" t="n">
        <v>1</v>
      </c>
      <c r="O293" s="32" t="s">
        <v>827</v>
      </c>
      <c r="P293" s="32" t="s">
        <v>2175</v>
      </c>
      <c r="Q293" s="32" t="s">
        <v>2170</v>
      </c>
      <c r="R293" s="0" t="str">
        <f aca="false">IF(H293="GEN","GM",H293)</f>
        <v>RHE</v>
      </c>
    </row>
    <row r="294" customFormat="false" ht="15" hidden="false" customHeight="false" outlineLevel="0" collapsed="false">
      <c r="A294" s="0" t="s">
        <v>2646</v>
      </c>
      <c r="B294" s="0" t="s">
        <v>2372</v>
      </c>
      <c r="C294" s="0" t="s">
        <v>1453</v>
      </c>
      <c r="D294" s="31" t="n">
        <v>18850</v>
      </c>
      <c r="E294" s="31" t="n">
        <v>45633</v>
      </c>
      <c r="F294" s="32" t="s">
        <v>2087</v>
      </c>
      <c r="G294" s="32" t="s">
        <v>2115</v>
      </c>
      <c r="H294" s="32" t="s">
        <v>758</v>
      </c>
      <c r="I294" s="31" t="n">
        <v>45634</v>
      </c>
      <c r="J294" s="32" t="s">
        <v>2080</v>
      </c>
      <c r="K294" s="0" t="n">
        <v>1</v>
      </c>
      <c r="L294" s="32" t="s">
        <v>2081</v>
      </c>
      <c r="M294" s="32" t="s">
        <v>2207</v>
      </c>
      <c r="N294" s="0" t="n">
        <v>1</v>
      </c>
      <c r="O294" s="32" t="s">
        <v>759</v>
      </c>
      <c r="P294" s="32" t="s">
        <v>2213</v>
      </c>
      <c r="Q294" s="32" t="s">
        <v>2129</v>
      </c>
      <c r="R294" s="0" t="str">
        <f aca="false">IF(H294="GEN","GM",H294)</f>
        <v>CS</v>
      </c>
    </row>
    <row r="295" customFormat="false" ht="15" hidden="false" customHeight="false" outlineLevel="0" collapsed="false">
      <c r="A295" s="0" t="s">
        <v>2647</v>
      </c>
      <c r="B295" s="0" t="s">
        <v>2494</v>
      </c>
      <c r="C295" s="0" t="s">
        <v>954</v>
      </c>
      <c r="D295" s="31" t="n">
        <v>14430</v>
      </c>
      <c r="E295" s="31" t="n">
        <v>45575</v>
      </c>
      <c r="F295" s="32" t="s">
        <v>2087</v>
      </c>
      <c r="G295" s="32" t="s">
        <v>2099</v>
      </c>
      <c r="H295" s="32" t="s">
        <v>818</v>
      </c>
      <c r="I295" s="31" t="n">
        <v>45586</v>
      </c>
      <c r="J295" s="32" t="s">
        <v>2080</v>
      </c>
      <c r="K295" s="0" t="n">
        <v>11</v>
      </c>
      <c r="L295" s="32" t="s">
        <v>2081</v>
      </c>
      <c r="M295" s="32" t="s">
        <v>2207</v>
      </c>
      <c r="N295" s="0" t="n">
        <v>11</v>
      </c>
      <c r="O295" s="32" t="s">
        <v>819</v>
      </c>
      <c r="P295" s="32" t="s">
        <v>2142</v>
      </c>
      <c r="Q295" s="32" t="s">
        <v>2118</v>
      </c>
      <c r="R295" s="0" t="str">
        <f aca="false">IF(H295="GEN","GM",H295)</f>
        <v>OPH</v>
      </c>
    </row>
    <row r="296" customFormat="false" ht="15" hidden="false" customHeight="false" outlineLevel="0" collapsed="false">
      <c r="A296" s="0" t="s">
        <v>2648</v>
      </c>
      <c r="B296" s="0" t="s">
        <v>2649</v>
      </c>
      <c r="C296" s="0" t="s">
        <v>902</v>
      </c>
      <c r="D296" s="31" t="n">
        <v>12968</v>
      </c>
      <c r="E296" s="31" t="n">
        <v>45715</v>
      </c>
      <c r="F296" s="32" t="s">
        <v>2087</v>
      </c>
      <c r="G296" s="32" t="s">
        <v>2088</v>
      </c>
      <c r="H296" s="32" t="s">
        <v>747</v>
      </c>
      <c r="I296" s="31" t="n">
        <v>45717</v>
      </c>
      <c r="J296" s="32" t="s">
        <v>2105</v>
      </c>
      <c r="K296" s="0" t="n">
        <v>2</v>
      </c>
      <c r="L296" s="32" t="s">
        <v>2081</v>
      </c>
      <c r="M296" s="32" t="s">
        <v>2227</v>
      </c>
      <c r="N296" s="0" t="n">
        <v>2</v>
      </c>
      <c r="O296" s="32" t="s">
        <v>748</v>
      </c>
      <c r="P296" s="32" t="s">
        <v>2156</v>
      </c>
      <c r="Q296" s="32" t="s">
        <v>2241</v>
      </c>
      <c r="R296" s="0" t="str">
        <f aca="false">IF(H296="GEN","GM",H296)</f>
        <v>GM</v>
      </c>
    </row>
    <row r="297" customFormat="false" ht="15" hidden="false" customHeight="false" outlineLevel="0" collapsed="false">
      <c r="A297" s="0" t="s">
        <v>2650</v>
      </c>
      <c r="B297" s="0" t="s">
        <v>2306</v>
      </c>
      <c r="C297" s="0" t="s">
        <v>938</v>
      </c>
      <c r="D297" s="31" t="n">
        <v>32366</v>
      </c>
      <c r="E297" s="31" t="n">
        <v>45595</v>
      </c>
      <c r="F297" s="32" t="s">
        <v>2078</v>
      </c>
      <c r="G297" s="32" t="s">
        <v>2099</v>
      </c>
      <c r="H297" s="32" t="s">
        <v>766</v>
      </c>
      <c r="I297" s="31" t="n">
        <v>45597</v>
      </c>
      <c r="J297" s="32" t="s">
        <v>2160</v>
      </c>
      <c r="K297" s="0" t="n">
        <v>2</v>
      </c>
      <c r="L297" s="32" t="s">
        <v>2081</v>
      </c>
      <c r="M297" s="32" t="s">
        <v>2189</v>
      </c>
      <c r="N297" s="0" t="n">
        <v>2</v>
      </c>
      <c r="O297" s="32" t="s">
        <v>767</v>
      </c>
      <c r="P297" s="32" t="s">
        <v>2182</v>
      </c>
      <c r="Q297" s="32" t="s">
        <v>2244</v>
      </c>
      <c r="R297" s="0" t="str">
        <f aca="false">IF(H297="GEN","GM",H297)</f>
        <v>OR</v>
      </c>
    </row>
    <row r="298" customFormat="false" ht="15" hidden="false" customHeight="false" outlineLevel="0" collapsed="false">
      <c r="A298" s="0" t="s">
        <v>2651</v>
      </c>
      <c r="B298" s="0" t="s">
        <v>2475</v>
      </c>
      <c r="C298" s="0" t="s">
        <v>997</v>
      </c>
      <c r="D298" s="31" t="n">
        <v>33432</v>
      </c>
      <c r="E298" s="31" t="n">
        <v>45577</v>
      </c>
      <c r="F298" s="32" t="s">
        <v>2078</v>
      </c>
      <c r="G298" s="32" t="s">
        <v>2079</v>
      </c>
      <c r="H298" s="32" t="s">
        <v>810</v>
      </c>
      <c r="I298" s="31" t="n">
        <v>45579</v>
      </c>
      <c r="J298" s="32" t="s">
        <v>2080</v>
      </c>
      <c r="K298" s="0" t="n">
        <v>2</v>
      </c>
      <c r="L298" s="32" t="s">
        <v>2081</v>
      </c>
      <c r="M298" s="32" t="s">
        <v>2161</v>
      </c>
      <c r="N298" s="0" t="n">
        <v>2</v>
      </c>
      <c r="O298" s="32" t="s">
        <v>811</v>
      </c>
      <c r="P298" s="32" t="s">
        <v>2111</v>
      </c>
      <c r="Q298" s="32" t="s">
        <v>2157</v>
      </c>
      <c r="R298" s="0" t="str">
        <f aca="false">IF(H298="GEN","GM",H298)</f>
        <v>URO</v>
      </c>
    </row>
    <row r="299" customFormat="false" ht="15" hidden="false" customHeight="false" outlineLevel="0" collapsed="false">
      <c r="A299" s="0" t="s">
        <v>2652</v>
      </c>
      <c r="B299" s="0" t="s">
        <v>2653</v>
      </c>
      <c r="C299" s="0" t="s">
        <v>2148</v>
      </c>
      <c r="D299" s="31" t="n">
        <v>16012</v>
      </c>
      <c r="E299" s="31" t="n">
        <v>45624</v>
      </c>
      <c r="F299" s="32" t="s">
        <v>2087</v>
      </c>
      <c r="G299" s="32" t="s">
        <v>2099</v>
      </c>
      <c r="H299" s="32" t="s">
        <v>766</v>
      </c>
      <c r="I299" s="31" t="n">
        <v>45627</v>
      </c>
      <c r="J299" s="32" t="s">
        <v>2080</v>
      </c>
      <c r="K299" s="0" t="n">
        <v>3</v>
      </c>
      <c r="M299" s="32" t="s">
        <v>2116</v>
      </c>
      <c r="N299" s="0" t="n">
        <v>3</v>
      </c>
      <c r="O299" s="32" t="s">
        <v>767</v>
      </c>
      <c r="P299" s="32" t="s">
        <v>2133</v>
      </c>
      <c r="Q299" s="32" t="s">
        <v>2241</v>
      </c>
      <c r="R299" s="0" t="str">
        <f aca="false">IF(H299="GEN","GM",H299)</f>
        <v>OR</v>
      </c>
    </row>
    <row r="300" customFormat="false" ht="15" hidden="false" customHeight="false" outlineLevel="0" collapsed="false">
      <c r="A300" s="0" t="s">
        <v>2654</v>
      </c>
      <c r="B300" s="0" t="s">
        <v>2655</v>
      </c>
      <c r="C300" s="0" t="s">
        <v>918</v>
      </c>
      <c r="D300" s="31" t="n">
        <v>14389</v>
      </c>
      <c r="E300" s="31" t="n">
        <v>45635</v>
      </c>
      <c r="F300" s="32" t="s">
        <v>2078</v>
      </c>
      <c r="G300" s="32" t="s">
        <v>2104</v>
      </c>
      <c r="H300" s="32" t="s">
        <v>802</v>
      </c>
      <c r="I300" s="31" t="n">
        <v>45640</v>
      </c>
      <c r="J300" s="32" t="s">
        <v>2080</v>
      </c>
      <c r="K300" s="0" t="n">
        <v>5</v>
      </c>
      <c r="L300" s="32" t="s">
        <v>2081</v>
      </c>
      <c r="M300" s="32" t="s">
        <v>2082</v>
      </c>
      <c r="N300" s="0" t="n">
        <v>5</v>
      </c>
      <c r="O300" s="32" t="s">
        <v>803</v>
      </c>
      <c r="P300" s="32" t="s">
        <v>2133</v>
      </c>
      <c r="Q300" s="32" t="s">
        <v>2170</v>
      </c>
      <c r="R300" s="0" t="str">
        <f aca="false">IF(H300="GEN","GM",H300)</f>
        <v>GYN</v>
      </c>
    </row>
    <row r="301" customFormat="false" ht="15" hidden="false" customHeight="false" outlineLevel="0" collapsed="false">
      <c r="A301" s="0" t="s">
        <v>2656</v>
      </c>
      <c r="B301" s="0" t="s">
        <v>2657</v>
      </c>
      <c r="C301" s="0" t="s">
        <v>1460</v>
      </c>
      <c r="D301" s="31" t="n">
        <v>13644</v>
      </c>
      <c r="E301" s="31" t="n">
        <v>45589</v>
      </c>
      <c r="F301" s="32" t="s">
        <v>2087</v>
      </c>
      <c r="G301" s="32" t="s">
        <v>2088</v>
      </c>
      <c r="H301" s="32" t="s">
        <v>826</v>
      </c>
      <c r="I301" s="31" t="n">
        <v>45591</v>
      </c>
      <c r="J301" s="32" t="s">
        <v>2080</v>
      </c>
      <c r="K301" s="0" t="n">
        <v>2</v>
      </c>
      <c r="L301" s="32" t="s">
        <v>2081</v>
      </c>
      <c r="M301" s="32" t="s">
        <v>2212</v>
      </c>
      <c r="N301" s="0" t="n">
        <v>2</v>
      </c>
      <c r="O301" s="32" t="s">
        <v>827</v>
      </c>
      <c r="P301" s="32" t="s">
        <v>2121</v>
      </c>
      <c r="Q301" s="32" t="s">
        <v>2129</v>
      </c>
      <c r="R301" s="0" t="str">
        <f aca="false">IF(H301="GEN","GM",H301)</f>
        <v>RHE</v>
      </c>
    </row>
    <row r="302" customFormat="false" ht="15" hidden="false" customHeight="false" outlineLevel="0" collapsed="false">
      <c r="A302" s="0" t="s">
        <v>2658</v>
      </c>
      <c r="B302" s="0" t="s">
        <v>2659</v>
      </c>
      <c r="C302" s="0" t="s">
        <v>1025</v>
      </c>
      <c r="D302" s="31" t="n">
        <v>30182</v>
      </c>
      <c r="E302" s="31" t="n">
        <v>45590</v>
      </c>
      <c r="F302" s="32" t="s">
        <v>2078</v>
      </c>
      <c r="G302" s="32" t="s">
        <v>2099</v>
      </c>
      <c r="H302" s="32" t="s">
        <v>766</v>
      </c>
      <c r="I302" s="31" t="n">
        <v>45593</v>
      </c>
      <c r="J302" s="32" t="s">
        <v>2080</v>
      </c>
      <c r="K302" s="0" t="n">
        <v>3</v>
      </c>
      <c r="L302" s="32" t="s">
        <v>2081</v>
      </c>
      <c r="M302" s="32" t="s">
        <v>2132</v>
      </c>
      <c r="N302" s="0" t="n">
        <v>3</v>
      </c>
      <c r="O302" s="32" t="s">
        <v>767</v>
      </c>
      <c r="P302" s="32" t="s">
        <v>2137</v>
      </c>
      <c r="Q302" s="32" t="s">
        <v>2084</v>
      </c>
      <c r="R302" s="0" t="str">
        <f aca="false">IF(H302="GEN","GM",H302)</f>
        <v>OR</v>
      </c>
    </row>
    <row r="303" customFormat="false" ht="15" hidden="false" customHeight="false" outlineLevel="0" collapsed="false">
      <c r="A303" s="0" t="s">
        <v>2660</v>
      </c>
      <c r="B303" s="0" t="s">
        <v>2378</v>
      </c>
      <c r="C303" s="0" t="s">
        <v>958</v>
      </c>
      <c r="D303" s="31" t="n">
        <v>31786</v>
      </c>
      <c r="E303" s="31" t="n">
        <v>45626</v>
      </c>
      <c r="F303" s="32" t="s">
        <v>2087</v>
      </c>
      <c r="G303" s="32" t="s">
        <v>2099</v>
      </c>
      <c r="H303" s="32" t="s">
        <v>818</v>
      </c>
      <c r="I303" s="31" t="n">
        <v>45629</v>
      </c>
      <c r="J303" s="32" t="s">
        <v>2160</v>
      </c>
      <c r="K303" s="0" t="n">
        <v>3</v>
      </c>
      <c r="L303" s="32" t="s">
        <v>2081</v>
      </c>
      <c r="M303" s="32" t="s">
        <v>2141</v>
      </c>
      <c r="N303" s="0" t="n">
        <v>3</v>
      </c>
      <c r="O303" s="32" t="s">
        <v>819</v>
      </c>
      <c r="P303" s="32" t="s">
        <v>2121</v>
      </c>
      <c r="Q303" s="32" t="s">
        <v>2190</v>
      </c>
      <c r="R303" s="0" t="str">
        <f aca="false">IF(H303="GEN","GM",H303)</f>
        <v>OPH</v>
      </c>
    </row>
    <row r="304" customFormat="false" ht="15" hidden="false" customHeight="false" outlineLevel="0" collapsed="false">
      <c r="A304" s="0" t="s">
        <v>2661</v>
      </c>
      <c r="B304" s="0" t="s">
        <v>2657</v>
      </c>
      <c r="C304" s="0" t="s">
        <v>1390</v>
      </c>
      <c r="D304" s="31" t="n">
        <v>20785</v>
      </c>
      <c r="E304" s="31" t="n">
        <v>45677</v>
      </c>
      <c r="F304" s="32" t="s">
        <v>2087</v>
      </c>
      <c r="G304" s="32" t="s">
        <v>2104</v>
      </c>
      <c r="H304" s="32" t="s">
        <v>802</v>
      </c>
      <c r="I304" s="31" t="n">
        <v>45692</v>
      </c>
      <c r="J304" s="32" t="s">
        <v>2080</v>
      </c>
      <c r="K304" s="0" t="n">
        <v>15</v>
      </c>
      <c r="L304" s="32" t="s">
        <v>2081</v>
      </c>
      <c r="M304" s="32" t="s">
        <v>2089</v>
      </c>
      <c r="N304" s="0" t="n">
        <v>15</v>
      </c>
      <c r="O304" s="32" t="s">
        <v>803</v>
      </c>
      <c r="P304" s="32" t="s">
        <v>2175</v>
      </c>
      <c r="Q304" s="32" t="s">
        <v>2145</v>
      </c>
      <c r="R304" s="0" t="str">
        <f aca="false">IF(H304="GEN","GM",H304)</f>
        <v>GYN</v>
      </c>
    </row>
    <row r="305" customFormat="false" ht="15" hidden="false" customHeight="false" outlineLevel="0" collapsed="false">
      <c r="A305" s="0" t="s">
        <v>2662</v>
      </c>
      <c r="B305" s="0" t="s">
        <v>2663</v>
      </c>
      <c r="C305" s="0" t="s">
        <v>862</v>
      </c>
      <c r="D305" s="31" t="n">
        <v>20721</v>
      </c>
      <c r="E305" s="31" t="n">
        <v>45567</v>
      </c>
      <c r="F305" s="32" t="s">
        <v>2087</v>
      </c>
      <c r="G305" s="32" t="s">
        <v>2099</v>
      </c>
      <c r="H305" s="32" t="s">
        <v>766</v>
      </c>
      <c r="I305" s="31" t="n">
        <v>45570</v>
      </c>
      <c r="J305" s="32" t="s">
        <v>2080</v>
      </c>
      <c r="K305" s="0" t="n">
        <v>3</v>
      </c>
      <c r="L305" s="32" t="s">
        <v>2081</v>
      </c>
      <c r="M305" s="32" t="s">
        <v>2152</v>
      </c>
      <c r="N305" s="0" t="n">
        <v>3</v>
      </c>
      <c r="O305" s="32" t="s">
        <v>767</v>
      </c>
      <c r="P305" s="32" t="s">
        <v>2175</v>
      </c>
      <c r="Q305" s="32" t="s">
        <v>2138</v>
      </c>
      <c r="R305" s="0" t="str">
        <f aca="false">IF(H305="GEN","GM",H305)</f>
        <v>OR</v>
      </c>
    </row>
    <row r="306" customFormat="false" ht="15" hidden="false" customHeight="false" outlineLevel="0" collapsed="false">
      <c r="A306" s="0" t="s">
        <v>2664</v>
      </c>
      <c r="B306" s="0" t="s">
        <v>2512</v>
      </c>
      <c r="C306" s="0" t="s">
        <v>950</v>
      </c>
      <c r="D306" s="31" t="n">
        <v>30249</v>
      </c>
      <c r="E306" s="31" t="n">
        <v>45717</v>
      </c>
      <c r="F306" s="32" t="s">
        <v>2078</v>
      </c>
      <c r="G306" s="32" t="s">
        <v>2099</v>
      </c>
      <c r="H306" s="32" t="s">
        <v>818</v>
      </c>
      <c r="I306" s="31" t="n">
        <v>45718</v>
      </c>
      <c r="J306" s="32" t="s">
        <v>2080</v>
      </c>
      <c r="K306" s="0" t="n">
        <v>1</v>
      </c>
      <c r="L306" s="32" t="s">
        <v>2081</v>
      </c>
      <c r="M306" s="32" t="s">
        <v>2128</v>
      </c>
      <c r="N306" s="0" t="n">
        <v>1</v>
      </c>
      <c r="O306" s="32" t="s">
        <v>819</v>
      </c>
      <c r="P306" s="32" t="s">
        <v>2117</v>
      </c>
      <c r="R306" s="0" t="str">
        <f aca="false">IF(H306="GEN","GM",H306)</f>
        <v>OPH</v>
      </c>
    </row>
    <row r="307" customFormat="false" ht="15" hidden="false" customHeight="false" outlineLevel="0" collapsed="false">
      <c r="A307" s="0" t="s">
        <v>2665</v>
      </c>
      <c r="B307" s="0" t="s">
        <v>2666</v>
      </c>
      <c r="C307" s="0" t="s">
        <v>837</v>
      </c>
      <c r="D307" s="31" t="n">
        <v>19424</v>
      </c>
      <c r="E307" s="31" t="n">
        <v>45696</v>
      </c>
      <c r="F307" s="32" t="s">
        <v>2258</v>
      </c>
      <c r="G307" s="32" t="s">
        <v>2115</v>
      </c>
      <c r="H307" s="32" t="s">
        <v>758</v>
      </c>
      <c r="I307" s="31" t="n">
        <v>45703</v>
      </c>
      <c r="J307" s="32" t="s">
        <v>2080</v>
      </c>
      <c r="K307" s="0" t="n">
        <v>7</v>
      </c>
      <c r="L307" s="32" t="s">
        <v>2081</v>
      </c>
      <c r="M307" s="32" t="s">
        <v>2212</v>
      </c>
      <c r="N307" s="0" t="n">
        <v>7</v>
      </c>
      <c r="O307" s="32" t="s">
        <v>759</v>
      </c>
      <c r="P307" s="32" t="s">
        <v>2222</v>
      </c>
      <c r="Q307" s="32" t="s">
        <v>2125</v>
      </c>
      <c r="R307" s="0" t="str">
        <f aca="false">IF(H307="GEN","GM",H307)</f>
        <v>CS</v>
      </c>
    </row>
    <row r="308" customFormat="false" ht="15" hidden="false" customHeight="false" outlineLevel="0" collapsed="false">
      <c r="A308" s="0" t="s">
        <v>2667</v>
      </c>
      <c r="B308" s="0" t="s">
        <v>2229</v>
      </c>
      <c r="C308" s="0" t="s">
        <v>934</v>
      </c>
      <c r="D308" s="31" t="n">
        <v>19558</v>
      </c>
      <c r="E308" s="31" t="n">
        <v>45677</v>
      </c>
      <c r="F308" s="32" t="s">
        <v>2078</v>
      </c>
      <c r="G308" s="32" t="s">
        <v>2124</v>
      </c>
      <c r="H308" s="32" t="s">
        <v>785</v>
      </c>
      <c r="I308" s="31" t="n">
        <v>45680</v>
      </c>
      <c r="J308" s="32" t="s">
        <v>2160</v>
      </c>
      <c r="K308" s="0" t="n">
        <v>3</v>
      </c>
      <c r="L308" s="32" t="s">
        <v>2081</v>
      </c>
      <c r="M308" s="32" t="s">
        <v>2089</v>
      </c>
      <c r="N308" s="0" t="n">
        <v>3</v>
      </c>
      <c r="O308" s="32" t="s">
        <v>786</v>
      </c>
      <c r="P308" s="32" t="s">
        <v>2101</v>
      </c>
      <c r="Q308" s="32" t="s">
        <v>2138</v>
      </c>
      <c r="R308" s="0" t="str">
        <f aca="false">IF(H308="GEN","GM",H308)</f>
        <v>RS</v>
      </c>
    </row>
    <row r="309" customFormat="false" ht="15" hidden="false" customHeight="false" outlineLevel="0" collapsed="false">
      <c r="A309" s="0" t="s">
        <v>2668</v>
      </c>
      <c r="B309" s="0" t="s">
        <v>2669</v>
      </c>
      <c r="C309" s="0" t="s">
        <v>950</v>
      </c>
      <c r="D309" s="31" t="n">
        <v>28168</v>
      </c>
      <c r="E309" s="31" t="n">
        <v>45688</v>
      </c>
      <c r="F309" s="32" t="s">
        <v>2087</v>
      </c>
      <c r="G309" s="32" t="s">
        <v>2124</v>
      </c>
      <c r="H309" s="32" t="s">
        <v>785</v>
      </c>
      <c r="I309" s="31" t="n">
        <v>45691</v>
      </c>
      <c r="J309" s="32" t="s">
        <v>2080</v>
      </c>
      <c r="K309" s="0" t="n">
        <v>3</v>
      </c>
      <c r="M309" s="32" t="s">
        <v>2100</v>
      </c>
      <c r="N309" s="0" t="n">
        <v>3</v>
      </c>
      <c r="O309" s="32" t="s">
        <v>786</v>
      </c>
      <c r="P309" s="32" t="s">
        <v>2149</v>
      </c>
      <c r="Q309" s="32" t="s">
        <v>2241</v>
      </c>
      <c r="R309" s="0" t="str">
        <f aca="false">IF(H309="GEN","GM",H309)</f>
        <v>RS</v>
      </c>
    </row>
    <row r="310" customFormat="false" ht="15" hidden="false" customHeight="false" outlineLevel="0" collapsed="false">
      <c r="A310" s="0" t="s">
        <v>2670</v>
      </c>
      <c r="B310" s="0" t="s">
        <v>2468</v>
      </c>
      <c r="C310" s="0" t="s">
        <v>845</v>
      </c>
      <c r="D310" s="31" t="n">
        <v>14397</v>
      </c>
      <c r="E310" s="31" t="n">
        <v>45673</v>
      </c>
      <c r="F310" s="32" t="s">
        <v>2087</v>
      </c>
      <c r="G310" s="32" t="s">
        <v>2099</v>
      </c>
      <c r="H310" s="32" t="s">
        <v>766</v>
      </c>
      <c r="I310" s="31" t="n">
        <v>45680</v>
      </c>
      <c r="J310" s="32" t="s">
        <v>2080</v>
      </c>
      <c r="K310" s="0" t="n">
        <v>7</v>
      </c>
      <c r="L310" s="32" t="s">
        <v>2081</v>
      </c>
      <c r="M310" s="32" t="s">
        <v>2141</v>
      </c>
      <c r="N310" s="0" t="n">
        <v>7</v>
      </c>
      <c r="O310" s="32" t="s">
        <v>767</v>
      </c>
      <c r="P310" s="32" t="s">
        <v>2083</v>
      </c>
      <c r="Q310" s="32" t="s">
        <v>2190</v>
      </c>
      <c r="R310" s="0" t="str">
        <f aca="false">IF(H310="GEN","GM",H310)</f>
        <v>OR</v>
      </c>
    </row>
    <row r="311" customFormat="false" ht="15" hidden="false" customHeight="false" outlineLevel="0" collapsed="false">
      <c r="A311" s="0" t="s">
        <v>2671</v>
      </c>
      <c r="B311" s="0" t="s">
        <v>2672</v>
      </c>
      <c r="C311" s="0" t="s">
        <v>757</v>
      </c>
      <c r="D311" s="31" t="n">
        <v>31620</v>
      </c>
      <c r="E311" s="31" t="n">
        <v>45610</v>
      </c>
      <c r="F311" s="32" t="s">
        <v>2087</v>
      </c>
      <c r="G311" s="32" t="s">
        <v>2099</v>
      </c>
      <c r="H311" s="32" t="s">
        <v>818</v>
      </c>
      <c r="I311" s="31" t="n">
        <v>45613</v>
      </c>
      <c r="J311" s="32" t="s">
        <v>2080</v>
      </c>
      <c r="K311" s="0" t="n">
        <v>3</v>
      </c>
      <c r="L311" s="32" t="s">
        <v>2106</v>
      </c>
      <c r="M311" s="32" t="s">
        <v>2212</v>
      </c>
      <c r="N311" s="0" t="n">
        <v>3</v>
      </c>
      <c r="O311" s="32" t="s">
        <v>819</v>
      </c>
      <c r="P311" s="32" t="s">
        <v>2149</v>
      </c>
      <c r="Q311" s="32" t="s">
        <v>2112</v>
      </c>
      <c r="R311" s="0" t="str">
        <f aca="false">IF(H311="GEN","GM",H311)</f>
        <v>OPH</v>
      </c>
    </row>
    <row r="312" customFormat="false" ht="15" hidden="false" customHeight="false" outlineLevel="0" collapsed="false">
      <c r="A312" s="0" t="s">
        <v>2673</v>
      </c>
      <c r="B312" s="0" t="s">
        <v>2209</v>
      </c>
      <c r="C312" s="0" t="s">
        <v>849</v>
      </c>
      <c r="D312" s="31" t="n">
        <v>16885</v>
      </c>
      <c r="E312" s="31" t="n">
        <v>45661</v>
      </c>
      <c r="F312" s="32" t="s">
        <v>2078</v>
      </c>
      <c r="G312" s="32" t="s">
        <v>2088</v>
      </c>
      <c r="H312" s="32" t="s">
        <v>747</v>
      </c>
      <c r="I312" s="31" t="n">
        <v>45663</v>
      </c>
      <c r="J312" s="32" t="s">
        <v>2080</v>
      </c>
      <c r="K312" s="0" t="n">
        <v>2</v>
      </c>
      <c r="L312" s="32" t="s">
        <v>2081</v>
      </c>
      <c r="M312" s="32" t="s">
        <v>2195</v>
      </c>
      <c r="N312" s="0" t="n">
        <v>2</v>
      </c>
      <c r="O312" s="32" t="s">
        <v>748</v>
      </c>
      <c r="P312" s="32" t="s">
        <v>2142</v>
      </c>
      <c r="Q312" s="32" t="s">
        <v>2190</v>
      </c>
      <c r="R312" s="0" t="str">
        <f aca="false">IF(H312="GEN","GM",H312)</f>
        <v>GM</v>
      </c>
    </row>
    <row r="313" customFormat="false" ht="15" hidden="false" customHeight="false" outlineLevel="0" collapsed="false">
      <c r="A313" s="0" t="s">
        <v>2674</v>
      </c>
      <c r="B313" s="0" t="s">
        <v>2473</v>
      </c>
      <c r="C313" s="0" t="s">
        <v>930</v>
      </c>
      <c r="D313" s="31" t="n">
        <v>21985</v>
      </c>
      <c r="E313" s="31" t="n">
        <v>45655</v>
      </c>
      <c r="F313" s="32" t="s">
        <v>2078</v>
      </c>
      <c r="G313" s="32" t="s">
        <v>2115</v>
      </c>
      <c r="H313" s="32" t="s">
        <v>758</v>
      </c>
      <c r="I313" s="31" t="n">
        <v>45659</v>
      </c>
      <c r="J313" s="32" t="s">
        <v>2080</v>
      </c>
      <c r="K313" s="0" t="n">
        <v>4</v>
      </c>
      <c r="L313" s="32" t="s">
        <v>2081</v>
      </c>
      <c r="M313" s="32" t="s">
        <v>2255</v>
      </c>
      <c r="N313" s="0" t="n">
        <v>4</v>
      </c>
      <c r="O313" s="32" t="s">
        <v>759</v>
      </c>
      <c r="P313" s="32" t="s">
        <v>2142</v>
      </c>
      <c r="Q313" s="32" t="s">
        <v>2170</v>
      </c>
      <c r="R313" s="0" t="str">
        <f aca="false">IF(H313="GEN","GM",H313)</f>
        <v>CS</v>
      </c>
    </row>
    <row r="314" customFormat="false" ht="15" hidden="false" customHeight="false" outlineLevel="0" collapsed="false">
      <c r="A314" s="0" t="s">
        <v>2675</v>
      </c>
      <c r="B314" s="0" t="s">
        <v>2492</v>
      </c>
      <c r="C314" s="0" t="s">
        <v>930</v>
      </c>
      <c r="D314" s="31" t="n">
        <v>17070</v>
      </c>
      <c r="E314" s="31" t="n">
        <v>45734</v>
      </c>
      <c r="F314" s="32" t="s">
        <v>2078</v>
      </c>
      <c r="G314" s="32" t="s">
        <v>2124</v>
      </c>
      <c r="H314" s="32" t="s">
        <v>785</v>
      </c>
      <c r="I314" s="31" t="n">
        <v>45737</v>
      </c>
      <c r="J314" s="32" t="s">
        <v>2080</v>
      </c>
      <c r="K314" s="0" t="n">
        <v>3</v>
      </c>
      <c r="L314" s="32" t="s">
        <v>2081</v>
      </c>
      <c r="M314" s="32" t="s">
        <v>2212</v>
      </c>
      <c r="N314" s="0" t="n">
        <v>3</v>
      </c>
      <c r="O314" s="32" t="s">
        <v>786</v>
      </c>
      <c r="P314" s="32" t="s">
        <v>2111</v>
      </c>
      <c r="Q314" s="32" t="s">
        <v>2190</v>
      </c>
      <c r="R314" s="0" t="str">
        <f aca="false">IF(H314="GEN","GM",H314)</f>
        <v>RS</v>
      </c>
    </row>
    <row r="315" customFormat="false" ht="15" hidden="false" customHeight="false" outlineLevel="0" collapsed="false">
      <c r="A315" s="0" t="s">
        <v>2676</v>
      </c>
      <c r="B315" s="0" t="s">
        <v>2677</v>
      </c>
      <c r="C315" s="0" t="s">
        <v>886</v>
      </c>
      <c r="D315" s="31" t="n">
        <v>29347</v>
      </c>
      <c r="E315" s="31" t="n">
        <v>45677</v>
      </c>
      <c r="F315" s="32" t="s">
        <v>2087</v>
      </c>
      <c r="G315" s="32" t="s">
        <v>2088</v>
      </c>
      <c r="H315" s="32" t="s">
        <v>826</v>
      </c>
      <c r="I315" s="31" t="n">
        <v>45683</v>
      </c>
      <c r="J315" s="32" t="s">
        <v>2080</v>
      </c>
      <c r="K315" s="0" t="n">
        <v>6</v>
      </c>
      <c r="L315" s="32" t="s">
        <v>2106</v>
      </c>
      <c r="M315" s="32" t="s">
        <v>2132</v>
      </c>
      <c r="N315" s="0" t="n">
        <v>6</v>
      </c>
      <c r="O315" s="32" t="s">
        <v>827</v>
      </c>
      <c r="P315" s="32" t="s">
        <v>2222</v>
      </c>
      <c r="Q315" s="32" t="s">
        <v>2259</v>
      </c>
      <c r="R315" s="0" t="str">
        <f aca="false">IF(H315="GEN","GM",H315)</f>
        <v>RHE</v>
      </c>
    </row>
    <row r="316" customFormat="false" ht="15" hidden="false" customHeight="false" outlineLevel="0" collapsed="false">
      <c r="A316" s="0" t="s">
        <v>2678</v>
      </c>
      <c r="B316" s="0" t="s">
        <v>2679</v>
      </c>
      <c r="C316" s="0" t="s">
        <v>775</v>
      </c>
      <c r="D316" s="31" t="n">
        <v>20338</v>
      </c>
      <c r="E316" s="31" t="n">
        <v>45601</v>
      </c>
      <c r="F316" s="32" t="s">
        <v>2087</v>
      </c>
      <c r="G316" s="32" t="s">
        <v>2099</v>
      </c>
      <c r="H316" s="32" t="s">
        <v>818</v>
      </c>
      <c r="I316" s="31" t="n">
        <v>45603</v>
      </c>
      <c r="J316" s="32" t="s">
        <v>2105</v>
      </c>
      <c r="K316" s="0" t="n">
        <v>2</v>
      </c>
      <c r="L316" s="32" t="s">
        <v>2081</v>
      </c>
      <c r="M316" s="32" t="s">
        <v>2141</v>
      </c>
      <c r="N316" s="0" t="n">
        <v>2</v>
      </c>
      <c r="O316" s="32" t="s">
        <v>819</v>
      </c>
      <c r="P316" s="32" t="s">
        <v>2162</v>
      </c>
      <c r="Q316" s="32" t="s">
        <v>2190</v>
      </c>
      <c r="R316" s="0" t="str">
        <f aca="false">IF(H316="GEN","GM",H316)</f>
        <v>OPH</v>
      </c>
    </row>
    <row r="317" customFormat="false" ht="15" hidden="false" customHeight="false" outlineLevel="0" collapsed="false">
      <c r="A317" s="0" t="s">
        <v>2680</v>
      </c>
      <c r="B317" s="0" t="s">
        <v>2489</v>
      </c>
      <c r="C317" s="0" t="s">
        <v>1017</v>
      </c>
      <c r="D317" s="31" t="n">
        <v>17144</v>
      </c>
      <c r="E317" s="31" t="n">
        <v>45591</v>
      </c>
      <c r="F317" s="32" t="s">
        <v>2078</v>
      </c>
      <c r="G317" s="32" t="s">
        <v>2088</v>
      </c>
      <c r="H317" s="32" t="s">
        <v>793</v>
      </c>
      <c r="I317" s="31" t="n">
        <v>45593</v>
      </c>
      <c r="J317" s="32" t="s">
        <v>2160</v>
      </c>
      <c r="K317" s="0" t="n">
        <v>2</v>
      </c>
      <c r="L317" s="32" t="s">
        <v>2081</v>
      </c>
      <c r="M317" s="32" t="s">
        <v>2110</v>
      </c>
      <c r="N317" s="0" t="n">
        <v>2</v>
      </c>
      <c r="O317" s="32" t="s">
        <v>794</v>
      </c>
      <c r="P317" s="32" t="s">
        <v>2201</v>
      </c>
      <c r="Q317" s="32" t="s">
        <v>2157</v>
      </c>
      <c r="R317" s="0" t="str">
        <f aca="false">IF(H317="GEN","GM",H317)</f>
        <v>EM</v>
      </c>
    </row>
    <row r="318" customFormat="false" ht="15" hidden="false" customHeight="false" outlineLevel="0" collapsed="false">
      <c r="A318" s="0" t="s">
        <v>2681</v>
      </c>
      <c r="B318" s="0" t="s">
        <v>2340</v>
      </c>
      <c r="C318" s="0" t="s">
        <v>1013</v>
      </c>
      <c r="D318" s="31" t="n">
        <v>31293</v>
      </c>
      <c r="E318" s="31" t="n">
        <v>45611</v>
      </c>
      <c r="F318" s="32" t="s">
        <v>2078</v>
      </c>
      <c r="G318" s="32" t="s">
        <v>2088</v>
      </c>
      <c r="H318" s="32" t="s">
        <v>826</v>
      </c>
      <c r="I318" s="31" t="n">
        <v>45615</v>
      </c>
      <c r="J318" s="32" t="s">
        <v>2080</v>
      </c>
      <c r="K318" s="0" t="n">
        <v>4</v>
      </c>
      <c r="L318" s="32" t="s">
        <v>2081</v>
      </c>
      <c r="M318" s="32" t="s">
        <v>2089</v>
      </c>
      <c r="N318" s="0" t="n">
        <v>4</v>
      </c>
      <c r="O318" s="32" t="s">
        <v>827</v>
      </c>
      <c r="P318" s="32" t="s">
        <v>2142</v>
      </c>
      <c r="Q318" s="32" t="s">
        <v>2153</v>
      </c>
      <c r="R318" s="0" t="str">
        <f aca="false">IF(H318="GEN","GM",H318)</f>
        <v>RHE</v>
      </c>
    </row>
    <row r="319" customFormat="false" ht="15" hidden="false" customHeight="false" outlineLevel="0" collapsed="false">
      <c r="A319" s="0" t="s">
        <v>2682</v>
      </c>
      <c r="B319" s="0" t="s">
        <v>2683</v>
      </c>
      <c r="C319" s="0" t="s">
        <v>938</v>
      </c>
      <c r="D319" s="31" t="n">
        <v>27232</v>
      </c>
      <c r="E319" s="31" t="n">
        <v>45698</v>
      </c>
      <c r="F319" s="32" t="s">
        <v>2087</v>
      </c>
      <c r="G319" s="32" t="s">
        <v>2104</v>
      </c>
      <c r="H319" s="32" t="s">
        <v>802</v>
      </c>
      <c r="I319" s="31" t="n">
        <v>45705</v>
      </c>
      <c r="J319" s="32" t="s">
        <v>2080</v>
      </c>
      <c r="K319" s="0" t="n">
        <v>7</v>
      </c>
      <c r="L319" s="32" t="s">
        <v>2106</v>
      </c>
      <c r="M319" s="32" t="s">
        <v>2128</v>
      </c>
      <c r="N319" s="0" t="n">
        <v>7</v>
      </c>
      <c r="O319" s="32" t="s">
        <v>803</v>
      </c>
      <c r="P319" s="32" t="s">
        <v>2149</v>
      </c>
      <c r="Q319" s="32" t="s">
        <v>2138</v>
      </c>
      <c r="R319" s="0" t="str">
        <f aca="false">IF(H319="GEN","GM",H319)</f>
        <v>GYN</v>
      </c>
    </row>
    <row r="320" customFormat="false" ht="15" hidden="false" customHeight="false" outlineLevel="0" collapsed="false">
      <c r="A320" s="0" t="s">
        <v>2684</v>
      </c>
      <c r="B320" s="0" t="s">
        <v>2685</v>
      </c>
      <c r="C320" s="0" t="s">
        <v>801</v>
      </c>
      <c r="D320" s="31" t="n">
        <v>26854</v>
      </c>
      <c r="E320" s="31" t="n">
        <v>45651</v>
      </c>
      <c r="F320" s="32" t="s">
        <v>2087</v>
      </c>
      <c r="G320" s="32" t="s">
        <v>2079</v>
      </c>
      <c r="H320" s="32" t="s">
        <v>810</v>
      </c>
      <c r="I320" s="31" t="n">
        <v>45658</v>
      </c>
      <c r="J320" s="32" t="s">
        <v>2080</v>
      </c>
      <c r="K320" s="0" t="n">
        <v>7</v>
      </c>
      <c r="L320" s="32" t="s">
        <v>2106</v>
      </c>
      <c r="N320" s="0" t="n">
        <v>7</v>
      </c>
      <c r="O320" s="32" t="s">
        <v>811</v>
      </c>
      <c r="P320" s="32" t="s">
        <v>2095</v>
      </c>
      <c r="Q320" s="32" t="s">
        <v>2084</v>
      </c>
      <c r="R320" s="0" t="str">
        <f aca="false">IF(H320="GEN","GM",H320)</f>
        <v>URO</v>
      </c>
    </row>
    <row r="321" customFormat="false" ht="15" hidden="false" customHeight="false" outlineLevel="0" collapsed="false">
      <c r="A321" s="0" t="s">
        <v>2686</v>
      </c>
      <c r="B321" s="0" t="s">
        <v>2687</v>
      </c>
      <c r="C321" s="0" t="s">
        <v>1017</v>
      </c>
      <c r="D321" s="31" t="n">
        <v>15198</v>
      </c>
      <c r="E321" s="31" t="n">
        <v>45660</v>
      </c>
      <c r="F321" s="32" t="s">
        <v>2078</v>
      </c>
      <c r="G321" s="32" t="s">
        <v>2079</v>
      </c>
      <c r="H321" s="32" t="s">
        <v>810</v>
      </c>
      <c r="I321" s="31" t="n">
        <v>45661</v>
      </c>
      <c r="J321" s="32" t="s">
        <v>2080</v>
      </c>
      <c r="K321" s="0" t="n">
        <v>1</v>
      </c>
      <c r="L321" s="32" t="s">
        <v>2106</v>
      </c>
      <c r="M321" s="32" t="s">
        <v>2283</v>
      </c>
      <c r="N321" s="0" t="n">
        <v>1</v>
      </c>
      <c r="O321" s="32" t="s">
        <v>811</v>
      </c>
      <c r="P321" s="32" t="s">
        <v>2175</v>
      </c>
      <c r="Q321" s="32" t="s">
        <v>2244</v>
      </c>
      <c r="R321" s="0" t="str">
        <f aca="false">IF(H321="GEN","GM",H321)</f>
        <v>URO</v>
      </c>
    </row>
    <row r="322" customFormat="false" ht="15" hidden="false" customHeight="false" outlineLevel="0" collapsed="false">
      <c r="A322" s="0" t="s">
        <v>2688</v>
      </c>
      <c r="B322" s="0" t="s">
        <v>2301</v>
      </c>
      <c r="C322" s="0" t="s">
        <v>841</v>
      </c>
      <c r="D322" s="31" t="n">
        <v>18967</v>
      </c>
      <c r="E322" s="31" t="n">
        <v>45700</v>
      </c>
      <c r="F322" s="32" t="s">
        <v>2087</v>
      </c>
      <c r="G322" s="32" t="s">
        <v>2079</v>
      </c>
      <c r="H322" s="32" t="s">
        <v>810</v>
      </c>
      <c r="I322" s="31" t="n">
        <v>45704</v>
      </c>
      <c r="J322" s="32" t="s">
        <v>2080</v>
      </c>
      <c r="K322" s="0" t="n">
        <v>4</v>
      </c>
      <c r="L322" s="32" t="s">
        <v>2081</v>
      </c>
      <c r="M322" s="32" t="s">
        <v>2286</v>
      </c>
      <c r="N322" s="0" t="n">
        <v>4</v>
      </c>
      <c r="O322" s="32" t="s">
        <v>811</v>
      </c>
      <c r="P322" s="32" t="s">
        <v>2142</v>
      </c>
      <c r="Q322" s="32" t="s">
        <v>2153</v>
      </c>
      <c r="R322" s="0" t="str">
        <f aca="false">IF(H322="GEN","GM",H322)</f>
        <v>URO</v>
      </c>
    </row>
    <row r="323" customFormat="false" ht="15" hidden="false" customHeight="false" outlineLevel="0" collapsed="false">
      <c r="A323" s="0" t="s">
        <v>2689</v>
      </c>
      <c r="B323" s="0" t="s">
        <v>2690</v>
      </c>
      <c r="C323" s="0" t="s">
        <v>833</v>
      </c>
      <c r="D323" s="31" t="n">
        <v>32930</v>
      </c>
      <c r="E323" s="31" t="n">
        <v>45628</v>
      </c>
      <c r="F323" s="32" t="s">
        <v>2078</v>
      </c>
      <c r="G323" s="32" t="s">
        <v>2124</v>
      </c>
      <c r="H323" s="32" t="s">
        <v>785</v>
      </c>
      <c r="I323" s="31" t="n">
        <v>45631</v>
      </c>
      <c r="J323" s="32" t="s">
        <v>2080</v>
      </c>
      <c r="K323" s="0" t="n">
        <v>3</v>
      </c>
      <c r="L323" s="32" t="s">
        <v>2081</v>
      </c>
      <c r="M323" s="32" t="s">
        <v>2283</v>
      </c>
      <c r="N323" s="0" t="n">
        <v>3</v>
      </c>
      <c r="O323" s="32" t="s">
        <v>786</v>
      </c>
      <c r="P323" s="32" t="s">
        <v>2101</v>
      </c>
      <c r="Q323" s="32" t="s">
        <v>2096</v>
      </c>
      <c r="R323" s="0" t="str">
        <f aca="false">IF(H323="GEN","GM",H323)</f>
        <v>RS</v>
      </c>
    </row>
    <row r="324" customFormat="false" ht="15" hidden="false" customHeight="false" outlineLevel="0" collapsed="false">
      <c r="A324" s="0" t="s">
        <v>2691</v>
      </c>
      <c r="C324" s="0" t="s">
        <v>1009</v>
      </c>
      <c r="D324" s="31" t="n">
        <v>18757</v>
      </c>
      <c r="E324" s="31" t="n">
        <v>45649</v>
      </c>
      <c r="F324" s="32" t="s">
        <v>2087</v>
      </c>
      <c r="G324" s="32" t="s">
        <v>2115</v>
      </c>
      <c r="H324" s="32" t="s">
        <v>758</v>
      </c>
      <c r="I324" s="31" t="n">
        <v>45651</v>
      </c>
      <c r="J324" s="32" t="s">
        <v>2080</v>
      </c>
      <c r="K324" s="0" t="n">
        <v>2</v>
      </c>
      <c r="L324" s="32" t="s">
        <v>2081</v>
      </c>
      <c r="M324" s="32" t="s">
        <v>2152</v>
      </c>
      <c r="N324" s="0" t="n">
        <v>3</v>
      </c>
      <c r="O324" s="32" t="s">
        <v>759</v>
      </c>
      <c r="P324" s="32" t="s">
        <v>2083</v>
      </c>
      <c r="Q324" s="32" t="s">
        <v>2165</v>
      </c>
      <c r="R324" s="0" t="str">
        <f aca="false">IF(H324="GEN","GM",H324)</f>
        <v>CS</v>
      </c>
    </row>
    <row r="325" customFormat="false" ht="15" hidden="false" customHeight="false" outlineLevel="0" collapsed="false">
      <c r="A325" s="0" t="s">
        <v>2692</v>
      </c>
      <c r="B325" s="0" t="s">
        <v>2282</v>
      </c>
      <c r="C325" s="0" t="s">
        <v>898</v>
      </c>
      <c r="D325" s="31" t="n">
        <v>37961</v>
      </c>
      <c r="E325" s="31" t="n">
        <v>45709</v>
      </c>
      <c r="F325" s="32" t="s">
        <v>2087</v>
      </c>
      <c r="G325" s="32" t="s">
        <v>2088</v>
      </c>
      <c r="H325" s="32" t="s">
        <v>826</v>
      </c>
      <c r="I325" s="31" t="n">
        <v>45723</v>
      </c>
      <c r="J325" s="32" t="s">
        <v>2080</v>
      </c>
      <c r="K325" s="0" t="n">
        <v>14</v>
      </c>
      <c r="L325" s="32" t="s">
        <v>2081</v>
      </c>
      <c r="M325" s="32" t="s">
        <v>2128</v>
      </c>
      <c r="N325" s="0" t="n">
        <v>14</v>
      </c>
      <c r="O325" s="32" t="s">
        <v>827</v>
      </c>
      <c r="P325" s="32" t="s">
        <v>2175</v>
      </c>
      <c r="Q325" s="32" t="s">
        <v>2112</v>
      </c>
      <c r="R325" s="0" t="str">
        <f aca="false">IF(H325="GEN","GM",H325)</f>
        <v>RHE</v>
      </c>
    </row>
    <row r="326" customFormat="false" ht="15" hidden="false" customHeight="false" outlineLevel="0" collapsed="false">
      <c r="A326" s="0" t="s">
        <v>2693</v>
      </c>
      <c r="B326" s="0" t="s">
        <v>2203</v>
      </c>
      <c r="C326" s="0" t="s">
        <v>2206</v>
      </c>
      <c r="D326" s="31" t="n">
        <v>35533</v>
      </c>
      <c r="E326" s="31" t="n">
        <v>45594</v>
      </c>
      <c r="F326" s="32" t="s">
        <v>2087</v>
      </c>
      <c r="G326" s="32" t="s">
        <v>2115</v>
      </c>
      <c r="H326" s="32" t="s">
        <v>758</v>
      </c>
      <c r="I326" s="31" t="n">
        <v>45598</v>
      </c>
      <c r="J326" s="32" t="s">
        <v>2160</v>
      </c>
      <c r="K326" s="0" t="n">
        <v>4</v>
      </c>
      <c r="L326" s="32" t="s">
        <v>2081</v>
      </c>
      <c r="M326" s="32" t="s">
        <v>2161</v>
      </c>
      <c r="N326" s="0" t="n">
        <v>4</v>
      </c>
      <c r="O326" s="32" t="s">
        <v>759</v>
      </c>
      <c r="P326" s="32" t="s">
        <v>2175</v>
      </c>
      <c r="Q326" s="32" t="s">
        <v>2259</v>
      </c>
      <c r="R326" s="0" t="str">
        <f aca="false">IF(H326="GEN","GM",H326)</f>
        <v>CS</v>
      </c>
    </row>
    <row r="327" customFormat="false" ht="15" hidden="false" customHeight="false" outlineLevel="0" collapsed="false">
      <c r="A327" s="0" t="s">
        <v>2694</v>
      </c>
      <c r="B327" s="0" t="s">
        <v>2431</v>
      </c>
      <c r="C327" s="0" t="s">
        <v>954</v>
      </c>
      <c r="D327" s="31" t="n">
        <v>36421</v>
      </c>
      <c r="E327" s="31" t="n">
        <v>45681</v>
      </c>
      <c r="F327" s="32" t="s">
        <v>2078</v>
      </c>
      <c r="G327" s="32" t="s">
        <v>2079</v>
      </c>
      <c r="H327" s="32" t="s">
        <v>810</v>
      </c>
      <c r="I327" s="31" t="n">
        <v>45682</v>
      </c>
      <c r="J327" s="32" t="s">
        <v>2080</v>
      </c>
      <c r="K327" s="0" t="n">
        <v>1</v>
      </c>
      <c r="L327" s="32" t="s">
        <v>2081</v>
      </c>
      <c r="M327" s="32" t="s">
        <v>2128</v>
      </c>
      <c r="N327" s="0" t="n">
        <v>1</v>
      </c>
      <c r="O327" s="32" t="s">
        <v>811</v>
      </c>
      <c r="P327" s="32" t="s">
        <v>2182</v>
      </c>
      <c r="Q327" s="32" t="s">
        <v>2153</v>
      </c>
      <c r="R327" s="0" t="str">
        <f aca="false">IF(H327="GEN","GM",H327)</f>
        <v>URO</v>
      </c>
    </row>
    <row r="328" customFormat="false" ht="15" hidden="false" customHeight="false" outlineLevel="0" collapsed="false">
      <c r="A328" s="0" t="s">
        <v>2695</v>
      </c>
      <c r="B328" s="0" t="s">
        <v>2423</v>
      </c>
      <c r="C328" s="0" t="s">
        <v>1414</v>
      </c>
      <c r="D328" s="31" t="n">
        <v>16729</v>
      </c>
      <c r="E328" s="31" t="n">
        <v>45589</v>
      </c>
      <c r="F328" s="32" t="s">
        <v>2087</v>
      </c>
      <c r="G328" s="32" t="s">
        <v>2079</v>
      </c>
      <c r="H328" s="32" t="s">
        <v>776</v>
      </c>
      <c r="L328" s="32" t="s">
        <v>2081</v>
      </c>
      <c r="M328" s="32" t="s">
        <v>2116</v>
      </c>
      <c r="O328" s="32" t="s">
        <v>777</v>
      </c>
      <c r="P328" s="32" t="s">
        <v>2162</v>
      </c>
      <c r="Q328" s="32" t="s">
        <v>2190</v>
      </c>
      <c r="R328" s="0" t="str">
        <f aca="false">IF(H328="GEN","GM",H328)</f>
        <v>GS</v>
      </c>
    </row>
    <row r="329" customFormat="false" ht="15" hidden="false" customHeight="false" outlineLevel="0" collapsed="false">
      <c r="A329" s="0" t="s">
        <v>2696</v>
      </c>
      <c r="B329" s="0" t="s">
        <v>2615</v>
      </c>
      <c r="C329" s="0" t="s">
        <v>894</v>
      </c>
      <c r="D329" s="31" t="n">
        <v>27829</v>
      </c>
      <c r="E329" s="31" t="n">
        <v>45720</v>
      </c>
      <c r="F329" s="32" t="s">
        <v>2078</v>
      </c>
      <c r="G329" s="32" t="s">
        <v>2088</v>
      </c>
      <c r="H329" s="32" t="s">
        <v>826</v>
      </c>
      <c r="I329" s="31" t="n">
        <v>45722</v>
      </c>
      <c r="J329" s="32" t="s">
        <v>2080</v>
      </c>
      <c r="K329" s="0" t="n">
        <v>2</v>
      </c>
      <c r="L329" s="32" t="s">
        <v>2081</v>
      </c>
      <c r="M329" s="32" t="s">
        <v>2132</v>
      </c>
      <c r="N329" s="0" t="n">
        <v>2</v>
      </c>
      <c r="O329" s="32" t="s">
        <v>827</v>
      </c>
      <c r="P329" s="32" t="s">
        <v>2238</v>
      </c>
      <c r="Q329" s="32" t="s">
        <v>2138</v>
      </c>
      <c r="R329" s="0" t="str">
        <f aca="false">IF(H329="GEN","GM",H329)</f>
        <v>RHE</v>
      </c>
    </row>
    <row r="330" customFormat="false" ht="15" hidden="false" customHeight="false" outlineLevel="0" collapsed="false">
      <c r="A330" s="0" t="s">
        <v>2697</v>
      </c>
      <c r="B330" s="0" t="s">
        <v>2698</v>
      </c>
      <c r="C330" s="0" t="s">
        <v>1402</v>
      </c>
      <c r="D330" s="31" t="n">
        <v>30738</v>
      </c>
      <c r="E330" s="31" t="n">
        <v>45731</v>
      </c>
      <c r="F330" s="32" t="s">
        <v>2078</v>
      </c>
      <c r="G330" s="32" t="s">
        <v>2099</v>
      </c>
      <c r="H330" s="32" t="s">
        <v>818</v>
      </c>
      <c r="I330" s="31" t="n">
        <v>45740</v>
      </c>
      <c r="J330" s="32" t="s">
        <v>2080</v>
      </c>
      <c r="K330" s="0" t="n">
        <v>9</v>
      </c>
      <c r="L330" s="32" t="s">
        <v>2081</v>
      </c>
      <c r="M330" s="32" t="s">
        <v>2227</v>
      </c>
      <c r="N330" s="0" t="n">
        <v>9</v>
      </c>
      <c r="O330" s="32" t="s">
        <v>819</v>
      </c>
      <c r="P330" s="32" t="s">
        <v>2222</v>
      </c>
      <c r="Q330" s="32" t="s">
        <v>2129</v>
      </c>
      <c r="R330" s="0" t="str">
        <f aca="false">IF(H330="GEN","GM",H330)</f>
        <v>OPH</v>
      </c>
    </row>
    <row r="331" customFormat="false" ht="15" hidden="false" customHeight="false" outlineLevel="0" collapsed="false">
      <c r="A331" s="0" t="s">
        <v>2699</v>
      </c>
      <c r="B331" s="0" t="s">
        <v>2265</v>
      </c>
      <c r="C331" s="0" t="s">
        <v>849</v>
      </c>
      <c r="D331" s="31" t="n">
        <v>20620</v>
      </c>
      <c r="E331" s="31" t="n">
        <v>45730</v>
      </c>
      <c r="F331" s="32" t="s">
        <v>2087</v>
      </c>
      <c r="G331" s="32" t="s">
        <v>2079</v>
      </c>
      <c r="H331" s="32" t="s">
        <v>810</v>
      </c>
      <c r="I331" s="31" t="n">
        <v>45735</v>
      </c>
      <c r="J331" s="32" t="s">
        <v>2160</v>
      </c>
      <c r="K331" s="0" t="n">
        <v>5</v>
      </c>
      <c r="L331" s="32" t="s">
        <v>2081</v>
      </c>
      <c r="M331" s="32" t="s">
        <v>2189</v>
      </c>
      <c r="N331" s="0" t="n">
        <v>5</v>
      </c>
      <c r="O331" s="32" t="s">
        <v>811</v>
      </c>
      <c r="P331" s="32" t="s">
        <v>2117</v>
      </c>
      <c r="Q331" s="32" t="s">
        <v>2244</v>
      </c>
      <c r="R331" s="0" t="str">
        <f aca="false">IF(H331="GEN","GM",H331)</f>
        <v>URO</v>
      </c>
    </row>
    <row r="332" customFormat="false" ht="15" hidden="false" customHeight="false" outlineLevel="0" collapsed="false">
      <c r="A332" s="0" t="s">
        <v>2700</v>
      </c>
      <c r="B332" s="0" t="s">
        <v>2446</v>
      </c>
      <c r="C332" s="0" t="s">
        <v>985</v>
      </c>
      <c r="D332" s="31" t="n">
        <v>29930</v>
      </c>
      <c r="E332" s="31" t="n">
        <v>45678</v>
      </c>
      <c r="F332" s="32" t="s">
        <v>2078</v>
      </c>
      <c r="G332" s="32" t="s">
        <v>2088</v>
      </c>
      <c r="H332" s="32" t="s">
        <v>826</v>
      </c>
      <c r="I332" s="31" t="n">
        <v>45681</v>
      </c>
      <c r="J332" s="32" t="s">
        <v>2080</v>
      </c>
      <c r="K332" s="0" t="n">
        <v>3</v>
      </c>
      <c r="L332" s="32" t="s">
        <v>2081</v>
      </c>
      <c r="M332" s="32" t="s">
        <v>2128</v>
      </c>
      <c r="N332" s="0" t="n">
        <v>3</v>
      </c>
      <c r="O332" s="32" t="s">
        <v>827</v>
      </c>
      <c r="P332" s="32" t="s">
        <v>2095</v>
      </c>
      <c r="Q332" s="32" t="s">
        <v>2138</v>
      </c>
      <c r="R332" s="0" t="str">
        <f aca="false">IF(H332="GEN","GM",H332)</f>
        <v>RHE</v>
      </c>
    </row>
    <row r="333" customFormat="false" ht="15" hidden="false" customHeight="false" outlineLevel="0" collapsed="false">
      <c r="A333" s="0" t="s">
        <v>2701</v>
      </c>
      <c r="B333" s="0" t="s">
        <v>2672</v>
      </c>
      <c r="C333" s="0" t="s">
        <v>1001</v>
      </c>
      <c r="D333" s="31" t="n">
        <v>35344</v>
      </c>
      <c r="E333" s="31" t="n">
        <v>45661</v>
      </c>
      <c r="F333" s="32" t="s">
        <v>2160</v>
      </c>
      <c r="G333" s="32" t="s">
        <v>2088</v>
      </c>
      <c r="H333" s="32" t="s">
        <v>826</v>
      </c>
      <c r="I333" s="31" t="n">
        <v>45665</v>
      </c>
      <c r="J333" s="32" t="s">
        <v>2160</v>
      </c>
      <c r="K333" s="0" t="n">
        <v>4</v>
      </c>
      <c r="L333" s="32" t="s">
        <v>2081</v>
      </c>
      <c r="M333" s="32" t="s">
        <v>2132</v>
      </c>
      <c r="N333" s="0" t="n">
        <v>4</v>
      </c>
      <c r="O333" s="32" t="s">
        <v>827</v>
      </c>
      <c r="P333" s="32" t="s">
        <v>2090</v>
      </c>
      <c r="Q333" s="32" t="s">
        <v>2118</v>
      </c>
      <c r="R333" s="0" t="str">
        <f aca="false">IF(H333="GEN","GM",H333)</f>
        <v>RHE</v>
      </c>
    </row>
    <row r="334" customFormat="false" ht="15" hidden="false" customHeight="false" outlineLevel="0" collapsed="false">
      <c r="A334" s="0" t="s">
        <v>2702</v>
      </c>
      <c r="B334" s="0" t="s">
        <v>2269</v>
      </c>
      <c r="C334" s="0" t="s">
        <v>894</v>
      </c>
      <c r="D334" s="31" t="n">
        <v>29448</v>
      </c>
      <c r="E334" s="31" t="n">
        <v>45659</v>
      </c>
      <c r="F334" s="32" t="s">
        <v>2087</v>
      </c>
      <c r="G334" s="32" t="s">
        <v>2099</v>
      </c>
      <c r="H334" s="32" t="s">
        <v>818</v>
      </c>
      <c r="I334" s="31" t="n">
        <v>45664</v>
      </c>
      <c r="J334" s="32" t="s">
        <v>2080</v>
      </c>
      <c r="K334" s="0" t="n">
        <v>5</v>
      </c>
      <c r="L334" s="32" t="s">
        <v>2081</v>
      </c>
      <c r="M334" s="32" t="s">
        <v>2283</v>
      </c>
      <c r="N334" s="0" t="n">
        <v>5</v>
      </c>
      <c r="O334" s="32" t="s">
        <v>819</v>
      </c>
      <c r="P334" s="32" t="s">
        <v>2222</v>
      </c>
      <c r="Q334" s="32" t="s">
        <v>2107</v>
      </c>
      <c r="R334" s="0" t="str">
        <f aca="false">IF(H334="GEN","GM",H334)</f>
        <v>OPH</v>
      </c>
    </row>
    <row r="335" customFormat="false" ht="15" hidden="false" customHeight="false" outlineLevel="0" collapsed="false">
      <c r="A335" s="0" t="s">
        <v>2703</v>
      </c>
      <c r="B335" s="0" t="s">
        <v>2613</v>
      </c>
      <c r="C335" s="0" t="s">
        <v>918</v>
      </c>
      <c r="D335" s="31" t="n">
        <v>23734</v>
      </c>
      <c r="E335" s="31" t="n">
        <v>45582</v>
      </c>
      <c r="F335" s="32" t="s">
        <v>2087</v>
      </c>
      <c r="G335" s="32" t="s">
        <v>2099</v>
      </c>
      <c r="H335" s="32" t="s">
        <v>818</v>
      </c>
      <c r="I335" s="31" t="n">
        <v>45591</v>
      </c>
      <c r="J335" s="32" t="s">
        <v>2080</v>
      </c>
      <c r="K335" s="0" t="n">
        <v>9</v>
      </c>
      <c r="L335" s="32" t="s">
        <v>2081</v>
      </c>
      <c r="M335" s="32" t="s">
        <v>2283</v>
      </c>
      <c r="N335" s="0" t="n">
        <v>9</v>
      </c>
      <c r="O335" s="32" t="s">
        <v>819</v>
      </c>
      <c r="P335" s="32" t="s">
        <v>2238</v>
      </c>
      <c r="Q335" s="32" t="s">
        <v>2170</v>
      </c>
      <c r="R335" s="0" t="str">
        <f aca="false">IF(H335="GEN","GM",H335)</f>
        <v>OPH</v>
      </c>
    </row>
    <row r="336" customFormat="false" ht="15" hidden="false" customHeight="false" outlineLevel="0" collapsed="false">
      <c r="A336" s="0" t="s">
        <v>2704</v>
      </c>
      <c r="B336" s="0" t="s">
        <v>2677</v>
      </c>
      <c r="C336" s="0" t="s">
        <v>1410</v>
      </c>
      <c r="D336" s="31" t="n">
        <v>22935</v>
      </c>
      <c r="E336" s="31" t="n">
        <v>45679</v>
      </c>
      <c r="F336" s="32" t="s">
        <v>2078</v>
      </c>
      <c r="G336" s="32" t="s">
        <v>2104</v>
      </c>
      <c r="H336" s="32" t="s">
        <v>802</v>
      </c>
      <c r="I336" s="31" t="n">
        <v>45683</v>
      </c>
      <c r="J336" s="32" t="s">
        <v>2080</v>
      </c>
      <c r="K336" s="0" t="n">
        <v>-2</v>
      </c>
      <c r="L336" s="32" t="s">
        <v>2081</v>
      </c>
      <c r="M336" s="32" t="s">
        <v>2116</v>
      </c>
      <c r="N336" s="0" t="n">
        <v>-2</v>
      </c>
      <c r="O336" s="32" t="s">
        <v>803</v>
      </c>
      <c r="P336" s="32" t="s">
        <v>2142</v>
      </c>
      <c r="Q336" s="32" t="s">
        <v>2096</v>
      </c>
      <c r="R336" s="0" t="str">
        <f aca="false">IF(H336="GEN","GM",H336)</f>
        <v>GYN</v>
      </c>
    </row>
    <row r="337" customFormat="false" ht="15" hidden="false" customHeight="false" outlineLevel="0" collapsed="false">
      <c r="A337" s="0" t="s">
        <v>2705</v>
      </c>
      <c r="B337" s="0" t="s">
        <v>2376</v>
      </c>
      <c r="C337" s="0" t="s">
        <v>2206</v>
      </c>
      <c r="D337" s="31" t="n">
        <v>36301</v>
      </c>
      <c r="E337" s="31" t="n">
        <v>45696</v>
      </c>
      <c r="F337" s="32" t="s">
        <v>2078</v>
      </c>
      <c r="G337" s="32" t="s">
        <v>2099</v>
      </c>
      <c r="H337" s="32" t="s">
        <v>766</v>
      </c>
      <c r="I337" s="31" t="n">
        <v>45698</v>
      </c>
      <c r="J337" s="32" t="s">
        <v>2080</v>
      </c>
      <c r="K337" s="0" t="n">
        <v>2</v>
      </c>
      <c r="L337" s="32" t="s">
        <v>2081</v>
      </c>
      <c r="M337" s="32" t="s">
        <v>2207</v>
      </c>
      <c r="N337" s="0" t="n">
        <v>2</v>
      </c>
      <c r="O337" s="32" t="s">
        <v>767</v>
      </c>
      <c r="P337" s="32" t="s">
        <v>2121</v>
      </c>
      <c r="Q337" s="32" t="s">
        <v>2107</v>
      </c>
      <c r="R337" s="0" t="str">
        <f aca="false">IF(H337="GEN","GM",H337)</f>
        <v>OR</v>
      </c>
    </row>
    <row r="338" customFormat="false" ht="15" hidden="false" customHeight="false" outlineLevel="0" collapsed="false">
      <c r="A338" s="0" t="s">
        <v>2706</v>
      </c>
      <c r="B338" s="0" t="s">
        <v>2707</v>
      </c>
      <c r="C338" s="0" t="s">
        <v>1402</v>
      </c>
      <c r="D338" s="31" t="n">
        <v>17847</v>
      </c>
      <c r="E338" s="31" t="n">
        <v>45609</v>
      </c>
      <c r="F338" s="32" t="s">
        <v>2087</v>
      </c>
      <c r="G338" s="32" t="s">
        <v>2088</v>
      </c>
      <c r="H338" s="32" t="s">
        <v>793</v>
      </c>
      <c r="I338" s="31" t="n">
        <v>45617</v>
      </c>
      <c r="J338" s="32" t="s">
        <v>2105</v>
      </c>
      <c r="K338" s="0" t="n">
        <v>8</v>
      </c>
      <c r="L338" s="32" t="s">
        <v>2081</v>
      </c>
      <c r="M338" s="32" t="s">
        <v>2189</v>
      </c>
      <c r="N338" s="0" t="n">
        <v>8</v>
      </c>
      <c r="O338" s="32" t="s">
        <v>794</v>
      </c>
      <c r="P338" s="32" t="s">
        <v>2142</v>
      </c>
      <c r="Q338" s="32" t="s">
        <v>2165</v>
      </c>
      <c r="R338" s="0" t="str">
        <f aca="false">IF(H338="GEN","GM",H338)</f>
        <v>EM</v>
      </c>
    </row>
    <row r="339" customFormat="false" ht="15" hidden="false" customHeight="false" outlineLevel="0" collapsed="false">
      <c r="A339" s="0" t="s">
        <v>2708</v>
      </c>
      <c r="B339" s="0" t="s">
        <v>2709</v>
      </c>
      <c r="C339" s="0" t="s">
        <v>954</v>
      </c>
      <c r="D339" s="31" t="n">
        <v>33738</v>
      </c>
      <c r="E339" s="31" t="n">
        <v>45731</v>
      </c>
      <c r="F339" s="32" t="s">
        <v>2585</v>
      </c>
      <c r="G339" s="32" t="s">
        <v>2104</v>
      </c>
      <c r="H339" s="32" t="s">
        <v>802</v>
      </c>
      <c r="I339" s="31" t="n">
        <v>45738</v>
      </c>
      <c r="J339" s="32" t="s">
        <v>2080</v>
      </c>
      <c r="K339" s="0" t="n">
        <v>7</v>
      </c>
      <c r="L339" s="32" t="s">
        <v>2081</v>
      </c>
      <c r="M339" s="32" t="s">
        <v>2094</v>
      </c>
      <c r="N339" s="0" t="n">
        <v>7</v>
      </c>
      <c r="O339" s="32" t="s">
        <v>803</v>
      </c>
      <c r="P339" s="32" t="s">
        <v>2133</v>
      </c>
      <c r="Q339" s="32" t="s">
        <v>2125</v>
      </c>
      <c r="R339" s="0" t="str">
        <f aca="false">IF(H339="GEN","GM",H339)</f>
        <v>GYN</v>
      </c>
    </row>
    <row r="340" customFormat="false" ht="15" hidden="false" customHeight="false" outlineLevel="0" collapsed="false">
      <c r="A340" s="0" t="s">
        <v>2710</v>
      </c>
      <c r="B340" s="0" t="s">
        <v>2120</v>
      </c>
      <c r="C340" s="0" t="s">
        <v>1414</v>
      </c>
      <c r="D340" s="31" t="n">
        <v>33362</v>
      </c>
      <c r="E340" s="31" t="n">
        <v>45577</v>
      </c>
      <c r="F340" s="32" t="s">
        <v>2078</v>
      </c>
      <c r="G340" s="32" t="s">
        <v>2079</v>
      </c>
      <c r="H340" s="32" t="s">
        <v>810</v>
      </c>
      <c r="I340" s="31" t="n">
        <v>45581</v>
      </c>
      <c r="J340" s="32" t="s">
        <v>2080</v>
      </c>
      <c r="K340" s="0" t="n">
        <v>4</v>
      </c>
      <c r="L340" s="32" t="s">
        <v>2106</v>
      </c>
      <c r="M340" s="32" t="s">
        <v>2094</v>
      </c>
      <c r="N340" s="0" t="n">
        <v>4</v>
      </c>
      <c r="O340" s="32" t="s">
        <v>811</v>
      </c>
      <c r="P340" s="32" t="s">
        <v>2175</v>
      </c>
      <c r="Q340" s="32" t="s">
        <v>2129</v>
      </c>
      <c r="R340" s="0" t="str">
        <f aca="false">IF(H340="GEN","GM",H340)</f>
        <v>URO</v>
      </c>
    </row>
    <row r="341" customFormat="false" ht="15" hidden="false" customHeight="false" outlineLevel="0" collapsed="false">
      <c r="A341" s="0" t="s">
        <v>2711</v>
      </c>
      <c r="B341" s="0" t="s">
        <v>2712</v>
      </c>
      <c r="C341" s="0" t="s">
        <v>825</v>
      </c>
      <c r="D341" s="31" t="n">
        <v>28108</v>
      </c>
      <c r="E341" s="31" t="n">
        <v>45628</v>
      </c>
      <c r="F341" s="32" t="s">
        <v>2087</v>
      </c>
      <c r="G341" s="32" t="s">
        <v>2088</v>
      </c>
      <c r="H341" s="32" t="s">
        <v>826</v>
      </c>
      <c r="I341" s="31" t="n">
        <v>45631</v>
      </c>
      <c r="J341" s="32" t="s">
        <v>2080</v>
      </c>
      <c r="K341" s="0" t="n">
        <v>3</v>
      </c>
      <c r="L341" s="32" t="s">
        <v>2081</v>
      </c>
      <c r="M341" s="32" t="s">
        <v>2094</v>
      </c>
      <c r="N341" s="0" t="n">
        <v>3</v>
      </c>
      <c r="O341" s="32" t="s">
        <v>827</v>
      </c>
      <c r="P341" s="32" t="s">
        <v>2175</v>
      </c>
      <c r="Q341" s="32" t="s">
        <v>2129</v>
      </c>
      <c r="R341" s="0" t="str">
        <f aca="false">IF(H341="GEN","GM",H341)</f>
        <v>RHE</v>
      </c>
    </row>
    <row r="342" customFormat="false" ht="15" hidden="false" customHeight="false" outlineLevel="0" collapsed="false">
      <c r="A342" s="0" t="s">
        <v>2713</v>
      </c>
      <c r="B342" s="0" t="s">
        <v>2714</v>
      </c>
      <c r="C342" s="0" t="s">
        <v>1029</v>
      </c>
      <c r="D342" s="31" t="n">
        <v>29744</v>
      </c>
      <c r="E342" s="31" t="n">
        <v>45690</v>
      </c>
      <c r="F342" s="32" t="s">
        <v>2087</v>
      </c>
      <c r="G342" s="32" t="s">
        <v>2088</v>
      </c>
      <c r="H342" s="32" t="s">
        <v>747</v>
      </c>
      <c r="I342" s="31" t="n">
        <v>45697</v>
      </c>
      <c r="J342" s="32" t="s">
        <v>2105</v>
      </c>
      <c r="K342" s="0" t="n">
        <v>7</v>
      </c>
      <c r="L342" s="32" t="s">
        <v>2081</v>
      </c>
      <c r="M342" s="32" t="s">
        <v>2094</v>
      </c>
      <c r="N342" s="0" t="n">
        <v>7</v>
      </c>
      <c r="O342" s="32" t="s">
        <v>748</v>
      </c>
      <c r="P342" s="32" t="s">
        <v>2137</v>
      </c>
      <c r="Q342" s="32" t="s">
        <v>2096</v>
      </c>
      <c r="R342" s="0" t="str">
        <f aca="false">IF(H342="GEN","GM",H342)</f>
        <v>GM</v>
      </c>
    </row>
    <row r="343" customFormat="false" ht="15" hidden="false" customHeight="false" outlineLevel="0" collapsed="false">
      <c r="A343" s="0" t="s">
        <v>2715</v>
      </c>
      <c r="B343" s="0" t="s">
        <v>2716</v>
      </c>
      <c r="C343" s="0" t="s">
        <v>837</v>
      </c>
      <c r="D343" s="31" t="n">
        <v>18147</v>
      </c>
      <c r="E343" s="31" t="n">
        <v>45584</v>
      </c>
      <c r="F343" s="32" t="s">
        <v>2087</v>
      </c>
      <c r="G343" s="32" t="s">
        <v>2079</v>
      </c>
      <c r="H343" s="32" t="s">
        <v>810</v>
      </c>
      <c r="I343" s="31" t="n">
        <v>45590</v>
      </c>
      <c r="J343" s="32" t="s">
        <v>2080</v>
      </c>
      <c r="K343" s="0" t="n">
        <v>6</v>
      </c>
      <c r="L343" s="32" t="s">
        <v>2106</v>
      </c>
      <c r="M343" s="32" t="s">
        <v>2094</v>
      </c>
      <c r="N343" s="0" t="n">
        <v>6</v>
      </c>
      <c r="O343" s="32" t="s">
        <v>811</v>
      </c>
      <c r="P343" s="32" t="s">
        <v>2182</v>
      </c>
      <c r="Q343" s="32" t="s">
        <v>2138</v>
      </c>
      <c r="R343" s="0" t="str">
        <f aca="false">IF(H343="GEN","GM",H343)</f>
        <v>URO</v>
      </c>
    </row>
    <row r="344" customFormat="false" ht="15" hidden="false" customHeight="false" outlineLevel="0" collapsed="false">
      <c r="A344" s="0" t="s">
        <v>2717</v>
      </c>
      <c r="B344" s="0" t="s">
        <v>2235</v>
      </c>
      <c r="C344" s="0" t="s">
        <v>765</v>
      </c>
      <c r="D344" s="31" t="n">
        <v>13251</v>
      </c>
      <c r="E344" s="31" t="n">
        <v>45702</v>
      </c>
      <c r="F344" s="32" t="s">
        <v>2078</v>
      </c>
      <c r="G344" s="32" t="s">
        <v>2079</v>
      </c>
      <c r="H344" s="32" t="s">
        <v>776</v>
      </c>
      <c r="I344" s="31" t="n">
        <v>45704</v>
      </c>
      <c r="J344" s="32" t="s">
        <v>2080</v>
      </c>
      <c r="K344" s="0" t="n">
        <v>2</v>
      </c>
      <c r="L344" s="32" t="s">
        <v>2081</v>
      </c>
      <c r="M344" s="32" t="s">
        <v>2089</v>
      </c>
      <c r="N344" s="0" t="n">
        <v>2</v>
      </c>
      <c r="O344" s="32" t="s">
        <v>777</v>
      </c>
      <c r="P344" s="32" t="s">
        <v>2121</v>
      </c>
      <c r="Q344" s="32" t="s">
        <v>2138</v>
      </c>
      <c r="R344" s="0" t="str">
        <f aca="false">IF(H344="GEN","GM",H344)</f>
        <v>GS</v>
      </c>
    </row>
    <row r="345" customFormat="false" ht="15" hidden="false" customHeight="false" outlineLevel="0" collapsed="false">
      <c r="A345" s="0" t="s">
        <v>2718</v>
      </c>
      <c r="B345" s="0" t="s">
        <v>2402</v>
      </c>
      <c r="C345" s="0" t="s">
        <v>1410</v>
      </c>
      <c r="D345" s="31" t="n">
        <v>28897</v>
      </c>
      <c r="E345" s="31" t="n">
        <v>45635</v>
      </c>
      <c r="F345" s="32" t="s">
        <v>2087</v>
      </c>
      <c r="G345" s="32" t="s">
        <v>2079</v>
      </c>
      <c r="H345" s="32" t="s">
        <v>776</v>
      </c>
      <c r="I345" s="31" t="n">
        <v>45637</v>
      </c>
      <c r="J345" s="32" t="s">
        <v>2080</v>
      </c>
      <c r="K345" s="0" t="n">
        <v>2</v>
      </c>
      <c r="L345" s="32" t="s">
        <v>2081</v>
      </c>
      <c r="M345" s="32" t="s">
        <v>2089</v>
      </c>
      <c r="N345" s="0" t="n">
        <v>2</v>
      </c>
      <c r="O345" s="32" t="s">
        <v>777</v>
      </c>
      <c r="P345" s="32" t="s">
        <v>2149</v>
      </c>
      <c r="Q345" s="32" t="s">
        <v>2129</v>
      </c>
      <c r="R345" s="0" t="str">
        <f aca="false">IF(H345="GEN","GM",H345)</f>
        <v>GS</v>
      </c>
    </row>
    <row r="346" customFormat="false" ht="15" hidden="false" customHeight="false" outlineLevel="0" collapsed="false">
      <c r="A346" s="0" t="s">
        <v>2719</v>
      </c>
      <c r="B346" s="0" t="s">
        <v>2567</v>
      </c>
      <c r="C346" s="0" t="s">
        <v>837</v>
      </c>
      <c r="D346" s="31" t="n">
        <v>21082</v>
      </c>
      <c r="E346" s="31" t="n">
        <v>45657</v>
      </c>
      <c r="F346" s="32" t="s">
        <v>2087</v>
      </c>
      <c r="G346" s="32" t="s">
        <v>2115</v>
      </c>
      <c r="H346" s="32" t="s">
        <v>758</v>
      </c>
      <c r="I346" s="31" t="n">
        <v>45663</v>
      </c>
      <c r="J346" s="32" t="s">
        <v>2105</v>
      </c>
      <c r="K346" s="0" t="n">
        <v>6</v>
      </c>
      <c r="L346" s="32" t="s">
        <v>2081</v>
      </c>
      <c r="M346" s="32" t="s">
        <v>2141</v>
      </c>
      <c r="N346" s="0" t="n">
        <v>6</v>
      </c>
      <c r="O346" s="32" t="s">
        <v>759</v>
      </c>
      <c r="P346" s="32" t="s">
        <v>2182</v>
      </c>
      <c r="Q346" s="32" t="s">
        <v>2157</v>
      </c>
      <c r="R346" s="0" t="str">
        <f aca="false">IF(H346="GEN","GM",H346)</f>
        <v>CS</v>
      </c>
    </row>
    <row r="347" customFormat="false" ht="15" hidden="false" customHeight="false" outlineLevel="0" collapsed="false">
      <c r="A347" s="0" t="s">
        <v>2720</v>
      </c>
      <c r="B347" s="0" t="s">
        <v>2604</v>
      </c>
      <c r="C347" s="0" t="s">
        <v>817</v>
      </c>
      <c r="D347" s="31" t="n">
        <v>33187</v>
      </c>
      <c r="E347" s="31" t="n">
        <v>45636</v>
      </c>
      <c r="F347" s="32" t="s">
        <v>2078</v>
      </c>
      <c r="G347" s="32" t="s">
        <v>2104</v>
      </c>
      <c r="H347" s="32" t="s">
        <v>802</v>
      </c>
      <c r="I347" s="31" t="n">
        <v>45640</v>
      </c>
      <c r="J347" s="32" t="s">
        <v>2080</v>
      </c>
      <c r="K347" s="0" t="n">
        <v>4</v>
      </c>
      <c r="L347" s="32" t="s">
        <v>2081</v>
      </c>
      <c r="M347" s="32" t="s">
        <v>2283</v>
      </c>
      <c r="N347" s="0" t="n">
        <v>4</v>
      </c>
      <c r="O347" s="32" t="s">
        <v>803</v>
      </c>
      <c r="P347" s="32" t="s">
        <v>2162</v>
      </c>
      <c r="Q347" s="32" t="s">
        <v>2096</v>
      </c>
      <c r="R347" s="0" t="str">
        <f aca="false">IF(H347="GEN","GM",H347)</f>
        <v>GYN</v>
      </c>
    </row>
    <row r="348" customFormat="false" ht="15" hidden="false" customHeight="false" outlineLevel="0" collapsed="false">
      <c r="A348" s="0" t="s">
        <v>2721</v>
      </c>
      <c r="B348" s="0" t="s">
        <v>2164</v>
      </c>
      <c r="C348" s="0" t="s">
        <v>882</v>
      </c>
      <c r="D348" s="31" t="n">
        <v>36974</v>
      </c>
      <c r="E348" s="31" t="n">
        <v>45618</v>
      </c>
      <c r="F348" s="32" t="s">
        <v>2087</v>
      </c>
      <c r="G348" s="32" t="s">
        <v>2115</v>
      </c>
      <c r="H348" s="32" t="s">
        <v>758</v>
      </c>
      <c r="I348" s="31" t="n">
        <v>45621</v>
      </c>
      <c r="J348" s="32" t="s">
        <v>2080</v>
      </c>
      <c r="K348" s="0" t="n">
        <v>3</v>
      </c>
      <c r="L348" s="32" t="s">
        <v>2081</v>
      </c>
      <c r="M348" s="32" t="s">
        <v>2110</v>
      </c>
      <c r="N348" s="0" t="n">
        <v>3</v>
      </c>
      <c r="O348" s="32" t="s">
        <v>759</v>
      </c>
      <c r="P348" s="32" t="s">
        <v>2179</v>
      </c>
      <c r="Q348" s="32" t="s">
        <v>2091</v>
      </c>
      <c r="R348" s="0" t="str">
        <f aca="false">IF(H348="GEN","GM",H348)</f>
        <v>CS</v>
      </c>
    </row>
    <row r="349" customFormat="false" ht="15" hidden="false" customHeight="false" outlineLevel="0" collapsed="false">
      <c r="A349" s="0" t="s">
        <v>2722</v>
      </c>
      <c r="B349" s="0" t="s">
        <v>2723</v>
      </c>
      <c r="C349" s="0" t="s">
        <v>841</v>
      </c>
      <c r="D349" s="31" t="n">
        <v>13309</v>
      </c>
      <c r="E349" s="31" t="n">
        <v>45672</v>
      </c>
      <c r="F349" s="32" t="s">
        <v>2078</v>
      </c>
      <c r="G349" s="32" t="s">
        <v>2115</v>
      </c>
      <c r="H349" s="32" t="s">
        <v>758</v>
      </c>
      <c r="I349" s="31" t="n">
        <v>45677</v>
      </c>
      <c r="J349" s="32" t="s">
        <v>2080</v>
      </c>
      <c r="K349" s="0" t="n">
        <v>5</v>
      </c>
      <c r="L349" s="32" t="s">
        <v>2081</v>
      </c>
      <c r="M349" s="32" t="s">
        <v>2152</v>
      </c>
      <c r="N349" s="0" t="n">
        <v>5</v>
      </c>
      <c r="O349" s="32" t="s">
        <v>759</v>
      </c>
      <c r="P349" s="32" t="s">
        <v>2117</v>
      </c>
      <c r="Q349" s="32" t="s">
        <v>2259</v>
      </c>
      <c r="R349" s="0" t="str">
        <f aca="false">IF(H349="GEN","GM",H349)</f>
        <v>CS</v>
      </c>
    </row>
    <row r="350" customFormat="false" ht="15" hidden="false" customHeight="false" outlineLevel="0" collapsed="false">
      <c r="A350" s="0" t="s">
        <v>2724</v>
      </c>
      <c r="B350" s="0" t="s">
        <v>2725</v>
      </c>
      <c r="C350" s="0" t="s">
        <v>857</v>
      </c>
      <c r="D350" s="31" t="n">
        <v>23259</v>
      </c>
      <c r="E350" s="31" t="n">
        <v>45723</v>
      </c>
      <c r="F350" s="32" t="s">
        <v>2087</v>
      </c>
      <c r="G350" s="32" t="s">
        <v>2115</v>
      </c>
      <c r="H350" s="32" t="s">
        <v>758</v>
      </c>
      <c r="I350" s="31" t="n">
        <v>45724</v>
      </c>
      <c r="J350" s="32" t="s">
        <v>2080</v>
      </c>
      <c r="K350" s="0" t="n">
        <v>1</v>
      </c>
      <c r="L350" s="32" t="s">
        <v>2081</v>
      </c>
      <c r="M350" s="32" t="s">
        <v>2189</v>
      </c>
      <c r="N350" s="0" t="n">
        <v>1</v>
      </c>
      <c r="O350" s="32" t="s">
        <v>759</v>
      </c>
      <c r="P350" s="32" t="s">
        <v>2201</v>
      </c>
      <c r="Q350" s="32" t="s">
        <v>2125</v>
      </c>
      <c r="R350" s="0" t="str">
        <f aca="false">IF(H350="GEN","GM",H350)</f>
        <v>CS</v>
      </c>
    </row>
    <row r="351" customFormat="false" ht="15" hidden="false" customHeight="false" outlineLevel="0" collapsed="false">
      <c r="A351" s="0" t="s">
        <v>2726</v>
      </c>
      <c r="B351" s="0" t="s">
        <v>2321</v>
      </c>
      <c r="C351" s="0" t="s">
        <v>993</v>
      </c>
      <c r="D351" s="31" t="n">
        <v>15072</v>
      </c>
      <c r="E351" s="31" t="n">
        <v>45712</v>
      </c>
      <c r="F351" s="32" t="s">
        <v>2078</v>
      </c>
      <c r="G351" s="32" t="s">
        <v>2079</v>
      </c>
      <c r="H351" s="32" t="s">
        <v>776</v>
      </c>
      <c r="I351" s="31" t="n">
        <v>45714</v>
      </c>
      <c r="J351" s="32" t="s">
        <v>2160</v>
      </c>
      <c r="K351" s="0" t="n">
        <v>2</v>
      </c>
      <c r="L351" s="32" t="s">
        <v>2081</v>
      </c>
      <c r="M351" s="32" t="s">
        <v>2136</v>
      </c>
      <c r="N351" s="0" t="n">
        <v>2</v>
      </c>
      <c r="O351" s="32" t="s">
        <v>777</v>
      </c>
      <c r="P351" s="32" t="s">
        <v>2213</v>
      </c>
      <c r="Q351" s="32" t="s">
        <v>2145</v>
      </c>
      <c r="R351" s="0" t="str">
        <f aca="false">IF(H351="GEN","GM",H351)</f>
        <v>GS</v>
      </c>
    </row>
    <row r="352" customFormat="false" ht="15" hidden="false" customHeight="false" outlineLevel="0" collapsed="false">
      <c r="A352" s="0" t="s">
        <v>2727</v>
      </c>
      <c r="B352" s="0" t="s">
        <v>2728</v>
      </c>
      <c r="C352" s="0" t="s">
        <v>966</v>
      </c>
      <c r="D352" s="31" t="n">
        <v>35688</v>
      </c>
      <c r="E352" s="31" t="n">
        <v>45675</v>
      </c>
      <c r="F352" s="32" t="s">
        <v>2087</v>
      </c>
      <c r="G352" s="32" t="s">
        <v>2099</v>
      </c>
      <c r="H352" s="32" t="s">
        <v>818</v>
      </c>
      <c r="I352" s="31" t="n">
        <v>45680</v>
      </c>
      <c r="J352" s="32" t="s">
        <v>2080</v>
      </c>
      <c r="K352" s="0" t="n">
        <v>5</v>
      </c>
      <c r="L352" s="32" t="s">
        <v>2081</v>
      </c>
      <c r="M352" s="32" t="s">
        <v>2195</v>
      </c>
      <c r="N352" s="0" t="n">
        <v>5</v>
      </c>
      <c r="O352" s="32" t="s">
        <v>819</v>
      </c>
      <c r="P352" s="32" t="s">
        <v>2156</v>
      </c>
      <c r="Q352" s="32" t="s">
        <v>2179</v>
      </c>
      <c r="R352" s="0" t="str">
        <f aca="false">IF(H352="GEN","GM",H352)</f>
        <v>OPH</v>
      </c>
    </row>
    <row r="353" customFormat="false" ht="15" hidden="false" customHeight="false" outlineLevel="0" collapsed="false">
      <c r="A353" s="0" t="s">
        <v>2729</v>
      </c>
      <c r="B353" s="0" t="s">
        <v>2123</v>
      </c>
      <c r="C353" s="0" t="s">
        <v>890</v>
      </c>
      <c r="D353" s="31" t="n">
        <v>19671</v>
      </c>
      <c r="E353" s="31" t="n">
        <v>45701</v>
      </c>
      <c r="F353" s="32" t="s">
        <v>2087</v>
      </c>
      <c r="G353" s="32" t="s">
        <v>2099</v>
      </c>
      <c r="H353" s="32" t="s">
        <v>818</v>
      </c>
      <c r="I353" s="31" t="n">
        <v>45705</v>
      </c>
      <c r="J353" s="32" t="s">
        <v>2080</v>
      </c>
      <c r="K353" s="0" t="n">
        <v>4</v>
      </c>
      <c r="L353" s="32" t="s">
        <v>2081</v>
      </c>
      <c r="M353" s="32" t="s">
        <v>2161</v>
      </c>
      <c r="N353" s="0" t="n">
        <v>4</v>
      </c>
      <c r="O353" s="32" t="s">
        <v>819</v>
      </c>
      <c r="P353" s="32" t="s">
        <v>2201</v>
      </c>
      <c r="Q353" s="32" t="s">
        <v>2091</v>
      </c>
      <c r="R353" s="0" t="str">
        <f aca="false">IF(H353="GEN","GM",H353)</f>
        <v>OPH</v>
      </c>
    </row>
    <row r="354" customFormat="false" ht="15" hidden="false" customHeight="false" outlineLevel="0" collapsed="false">
      <c r="A354" s="0" t="s">
        <v>2730</v>
      </c>
      <c r="B354" s="0" t="s">
        <v>2731</v>
      </c>
      <c r="C354" s="0" t="s">
        <v>801</v>
      </c>
      <c r="D354" s="31" t="n">
        <v>31545</v>
      </c>
      <c r="E354" s="31" t="n">
        <v>45642</v>
      </c>
      <c r="F354" s="32" t="s">
        <v>2087</v>
      </c>
      <c r="G354" s="32" t="s">
        <v>2079</v>
      </c>
      <c r="H354" s="32" t="s">
        <v>810</v>
      </c>
      <c r="I354" s="31" t="n">
        <v>45642</v>
      </c>
      <c r="J354" s="32" t="s">
        <v>2080</v>
      </c>
      <c r="K354" s="0" t="n">
        <v>0</v>
      </c>
      <c r="L354" s="32" t="s">
        <v>2106</v>
      </c>
      <c r="M354" s="32" t="s">
        <v>2110</v>
      </c>
      <c r="N354" s="0" t="n">
        <v>0</v>
      </c>
      <c r="O354" s="32" t="s">
        <v>811</v>
      </c>
      <c r="P354" s="32" t="s">
        <v>2137</v>
      </c>
      <c r="Q354" s="32" t="s">
        <v>2190</v>
      </c>
      <c r="R354" s="0" t="str">
        <f aca="false">IF(H354="GEN","GM",H354)</f>
        <v>URO</v>
      </c>
    </row>
    <row r="355" customFormat="false" ht="15" hidden="false" customHeight="false" outlineLevel="0" collapsed="false">
      <c r="A355" s="0" t="s">
        <v>2732</v>
      </c>
      <c r="B355" s="0" t="s">
        <v>2733</v>
      </c>
      <c r="C355" s="0" t="s">
        <v>997</v>
      </c>
      <c r="D355" s="31" t="n">
        <v>20407</v>
      </c>
      <c r="E355" s="31" t="n">
        <v>45636</v>
      </c>
      <c r="F355" s="32" t="s">
        <v>2078</v>
      </c>
      <c r="G355" s="32" t="s">
        <v>2088</v>
      </c>
      <c r="H355" s="32" t="s">
        <v>793</v>
      </c>
      <c r="I355" s="31" t="n">
        <v>45637</v>
      </c>
      <c r="J355" s="32" t="s">
        <v>2080</v>
      </c>
      <c r="K355" s="0" t="n">
        <v>1</v>
      </c>
      <c r="L355" s="32" t="s">
        <v>2081</v>
      </c>
      <c r="M355" s="32" t="s">
        <v>2082</v>
      </c>
      <c r="N355" s="0" t="n">
        <v>1</v>
      </c>
      <c r="O355" s="32" t="s">
        <v>794</v>
      </c>
      <c r="P355" s="32" t="s">
        <v>2222</v>
      </c>
      <c r="Q355" s="32" t="s">
        <v>2259</v>
      </c>
      <c r="R355" s="0" t="str">
        <f aca="false">IF(H355="GEN","GM",H355)</f>
        <v>EM</v>
      </c>
    </row>
    <row r="356" customFormat="false" ht="15" hidden="false" customHeight="false" outlineLevel="0" collapsed="false">
      <c r="A356" s="0" t="s">
        <v>2734</v>
      </c>
      <c r="B356" s="0" t="s">
        <v>2620</v>
      </c>
      <c r="C356" s="0" t="s">
        <v>946</v>
      </c>
      <c r="D356" s="31" t="n">
        <v>18530</v>
      </c>
      <c r="E356" s="31" t="n">
        <v>45576</v>
      </c>
      <c r="F356" s="32" t="s">
        <v>2087</v>
      </c>
      <c r="G356" s="32" t="s">
        <v>2088</v>
      </c>
      <c r="H356" s="32" t="s">
        <v>793</v>
      </c>
      <c r="I356" s="31" t="n">
        <v>45579</v>
      </c>
      <c r="J356" s="32" t="s">
        <v>2080</v>
      </c>
      <c r="K356" s="0" t="n">
        <v>3</v>
      </c>
      <c r="L356" s="32" t="s">
        <v>2081</v>
      </c>
      <c r="M356" s="32" t="s">
        <v>2132</v>
      </c>
      <c r="N356" s="0" t="n">
        <v>3</v>
      </c>
      <c r="O356" s="32" t="s">
        <v>794</v>
      </c>
      <c r="P356" s="32" t="s">
        <v>2238</v>
      </c>
      <c r="Q356" s="32" t="s">
        <v>2198</v>
      </c>
      <c r="R356" s="0" t="str">
        <f aca="false">IF(H356="GEN","GM",H356)</f>
        <v>EM</v>
      </c>
    </row>
    <row r="357" customFormat="false" ht="15" hidden="false" customHeight="false" outlineLevel="0" collapsed="false">
      <c r="A357" s="0" t="s">
        <v>2735</v>
      </c>
      <c r="B357" s="0" t="s">
        <v>2736</v>
      </c>
      <c r="C357" s="0" t="s">
        <v>1390</v>
      </c>
      <c r="D357" s="31" t="n">
        <v>33056</v>
      </c>
      <c r="E357" s="31" t="n">
        <v>45650</v>
      </c>
      <c r="F357" s="32" t="s">
        <v>2087</v>
      </c>
      <c r="G357" s="32" t="s">
        <v>2124</v>
      </c>
      <c r="H357" s="32" t="s">
        <v>785</v>
      </c>
      <c r="I357" s="31" t="n">
        <v>45653</v>
      </c>
      <c r="J357" s="32" t="s">
        <v>2080</v>
      </c>
      <c r="K357" s="0" t="n">
        <v>3</v>
      </c>
      <c r="L357" s="32" t="s">
        <v>2081</v>
      </c>
      <c r="M357" s="32" t="s">
        <v>2189</v>
      </c>
      <c r="N357" s="0" t="n">
        <v>3</v>
      </c>
      <c r="O357" s="32" t="s">
        <v>786</v>
      </c>
      <c r="P357" s="32" t="s">
        <v>2137</v>
      </c>
      <c r="Q357" s="32" t="s">
        <v>2091</v>
      </c>
      <c r="R357" s="0" t="str">
        <f aca="false">IF(H357="GEN","GM",H357)</f>
        <v>RS</v>
      </c>
    </row>
    <row r="358" customFormat="false" ht="15" hidden="false" customHeight="false" outlineLevel="0" collapsed="false">
      <c r="A358" s="0" t="s">
        <v>2737</v>
      </c>
      <c r="B358" s="0" t="s">
        <v>2243</v>
      </c>
      <c r="C358" s="0" t="s">
        <v>989</v>
      </c>
      <c r="D358" s="31" t="n">
        <v>14888</v>
      </c>
      <c r="E358" s="31" t="n">
        <v>45627</v>
      </c>
      <c r="F358" s="32" t="s">
        <v>2087</v>
      </c>
      <c r="G358" s="32" t="s">
        <v>2088</v>
      </c>
      <c r="H358" s="32" t="s">
        <v>826</v>
      </c>
      <c r="I358" s="31" t="n">
        <v>45630</v>
      </c>
      <c r="J358" s="32" t="s">
        <v>2080</v>
      </c>
      <c r="K358" s="0" t="n">
        <v>3</v>
      </c>
      <c r="L358" s="32" t="s">
        <v>2081</v>
      </c>
      <c r="M358" s="32" t="s">
        <v>2128</v>
      </c>
      <c r="N358" s="0" t="n">
        <v>3</v>
      </c>
      <c r="O358" s="32" t="s">
        <v>827</v>
      </c>
      <c r="P358" s="32" t="s">
        <v>2179</v>
      </c>
      <c r="Q358" s="32" t="s">
        <v>2157</v>
      </c>
      <c r="R358" s="0" t="str">
        <f aca="false">IF(H358="GEN","GM",H358)</f>
        <v>RHE</v>
      </c>
    </row>
    <row r="359" customFormat="false" ht="15" hidden="false" customHeight="false" outlineLevel="0" collapsed="false">
      <c r="A359" s="0" t="s">
        <v>2738</v>
      </c>
      <c r="B359" s="0" t="s">
        <v>2739</v>
      </c>
      <c r="C359" s="0" t="s">
        <v>775</v>
      </c>
      <c r="D359" s="31" t="n">
        <v>22925</v>
      </c>
      <c r="E359" s="31" t="n">
        <v>45573</v>
      </c>
      <c r="F359" s="32" t="s">
        <v>2078</v>
      </c>
      <c r="G359" s="32" t="s">
        <v>2115</v>
      </c>
      <c r="H359" s="32" t="s">
        <v>758</v>
      </c>
      <c r="I359" s="31" t="n">
        <v>45577</v>
      </c>
      <c r="J359" s="32" t="s">
        <v>2080</v>
      </c>
      <c r="K359" s="0" t="n">
        <v>4</v>
      </c>
      <c r="L359" s="32" t="s">
        <v>2081</v>
      </c>
      <c r="M359" s="32" t="s">
        <v>2136</v>
      </c>
      <c r="N359" s="0" t="n">
        <v>4</v>
      </c>
      <c r="O359" s="32" t="s">
        <v>759</v>
      </c>
      <c r="P359" s="32" t="s">
        <v>2213</v>
      </c>
      <c r="Q359" s="32" t="s">
        <v>2190</v>
      </c>
      <c r="R359" s="0" t="str">
        <f aca="false">IF(H359="GEN","GM",H359)</f>
        <v>CS</v>
      </c>
    </row>
    <row r="360" customFormat="false" ht="15" hidden="false" customHeight="false" outlineLevel="0" collapsed="false">
      <c r="A360" s="0" t="s">
        <v>2740</v>
      </c>
      <c r="B360" s="0" t="s">
        <v>2250</v>
      </c>
      <c r="C360" s="0" t="s">
        <v>1001</v>
      </c>
      <c r="D360" s="31" t="n">
        <v>28942</v>
      </c>
      <c r="E360" s="31" t="n">
        <v>45624</v>
      </c>
      <c r="F360" s="32" t="s">
        <v>2087</v>
      </c>
      <c r="G360" s="32" t="s">
        <v>2099</v>
      </c>
      <c r="H360" s="32" t="s">
        <v>818</v>
      </c>
      <c r="I360" s="31" t="n">
        <v>45627</v>
      </c>
      <c r="J360" s="32" t="s">
        <v>2080</v>
      </c>
      <c r="K360" s="0" t="n">
        <v>3</v>
      </c>
      <c r="L360" s="32" t="s">
        <v>2081</v>
      </c>
      <c r="M360" s="32" t="s">
        <v>2100</v>
      </c>
      <c r="N360" s="0" t="n">
        <v>3</v>
      </c>
      <c r="O360" s="32" t="s">
        <v>819</v>
      </c>
      <c r="P360" s="32" t="s">
        <v>2149</v>
      </c>
      <c r="Q360" s="32" t="s">
        <v>2165</v>
      </c>
      <c r="R360" s="0" t="str">
        <f aca="false">IF(H360="GEN","GM",H360)</f>
        <v>OPH</v>
      </c>
    </row>
    <row r="361" customFormat="false" ht="15" hidden="false" customHeight="false" outlineLevel="0" collapsed="false">
      <c r="A361" s="0" t="s">
        <v>2741</v>
      </c>
      <c r="B361" s="0" t="s">
        <v>2742</v>
      </c>
      <c r="C361" s="0" t="s">
        <v>890</v>
      </c>
      <c r="D361" s="31" t="n">
        <v>27295</v>
      </c>
      <c r="E361" s="31" t="n">
        <v>45616</v>
      </c>
      <c r="F361" s="32" t="s">
        <v>2087</v>
      </c>
      <c r="G361" s="32" t="s">
        <v>2099</v>
      </c>
      <c r="H361" s="32" t="s">
        <v>766</v>
      </c>
      <c r="I361" s="31" t="n">
        <v>45617</v>
      </c>
      <c r="J361" s="32" t="s">
        <v>2080</v>
      </c>
      <c r="K361" s="0" t="n">
        <v>1</v>
      </c>
      <c r="L361" s="32" t="s">
        <v>2081</v>
      </c>
      <c r="M361" s="32" t="s">
        <v>2227</v>
      </c>
      <c r="N361" s="0" t="n">
        <v>1</v>
      </c>
      <c r="O361" s="32" t="s">
        <v>767</v>
      </c>
      <c r="P361" s="32" t="s">
        <v>2142</v>
      </c>
      <c r="Q361" s="32" t="s">
        <v>2198</v>
      </c>
      <c r="R361" s="0" t="str">
        <f aca="false">IF(H361="GEN","GM",H361)</f>
        <v>OR</v>
      </c>
    </row>
    <row r="362" customFormat="false" ht="15" hidden="false" customHeight="false" outlineLevel="0" collapsed="false">
      <c r="A362" s="0" t="s">
        <v>2743</v>
      </c>
      <c r="B362" s="0" t="s">
        <v>2744</v>
      </c>
      <c r="C362" s="0" t="s">
        <v>792</v>
      </c>
      <c r="D362" s="31" t="n">
        <v>24355</v>
      </c>
      <c r="E362" s="31" t="n">
        <v>45731</v>
      </c>
      <c r="F362" s="32" t="s">
        <v>2087</v>
      </c>
      <c r="G362" s="32" t="s">
        <v>2079</v>
      </c>
      <c r="H362" s="32" t="s">
        <v>776</v>
      </c>
      <c r="I362" s="31" t="n">
        <v>45738</v>
      </c>
      <c r="J362" s="32" t="s">
        <v>2105</v>
      </c>
      <c r="K362" s="0" t="n">
        <v>7</v>
      </c>
      <c r="L362" s="32" t="s">
        <v>2081</v>
      </c>
      <c r="M362" s="32" t="s">
        <v>2089</v>
      </c>
      <c r="N362" s="0" t="n">
        <v>7</v>
      </c>
      <c r="O362" s="32" t="s">
        <v>777</v>
      </c>
      <c r="P362" s="32" t="s">
        <v>2222</v>
      </c>
      <c r="Q362" s="32" t="s">
        <v>2112</v>
      </c>
      <c r="R362" s="0" t="str">
        <f aca="false">IF(H362="GEN","GM",H362)</f>
        <v>GS</v>
      </c>
    </row>
    <row r="363" customFormat="false" ht="15" hidden="false" customHeight="false" outlineLevel="0" collapsed="false">
      <c r="A363" s="0" t="s">
        <v>2745</v>
      </c>
      <c r="B363" s="0" t="s">
        <v>2746</v>
      </c>
      <c r="C363" s="0" t="s">
        <v>926</v>
      </c>
      <c r="D363" s="31" t="n">
        <v>29720</v>
      </c>
      <c r="E363" s="31" t="n">
        <v>45600</v>
      </c>
      <c r="F363" s="32" t="s">
        <v>2078</v>
      </c>
      <c r="G363" s="32" t="s">
        <v>2079</v>
      </c>
      <c r="H363" s="32" t="s">
        <v>776</v>
      </c>
      <c r="I363" s="31" t="n">
        <v>45602</v>
      </c>
      <c r="J363" s="32" t="s">
        <v>2080</v>
      </c>
      <c r="K363" s="0" t="n">
        <v>2</v>
      </c>
      <c r="L363" s="32" t="s">
        <v>2081</v>
      </c>
      <c r="M363" s="32" t="s">
        <v>2152</v>
      </c>
      <c r="N363" s="0" t="n">
        <v>2</v>
      </c>
      <c r="O363" s="32" t="s">
        <v>777</v>
      </c>
      <c r="P363" s="32" t="s">
        <v>2117</v>
      </c>
      <c r="Q363" s="32" t="s">
        <v>2107</v>
      </c>
      <c r="R363" s="0" t="str">
        <f aca="false">IF(H363="GEN","GM",H363)</f>
        <v>GS</v>
      </c>
    </row>
    <row r="364" customFormat="false" ht="15" hidden="false" customHeight="false" outlineLevel="0" collapsed="false">
      <c r="A364" s="0" t="s">
        <v>2747</v>
      </c>
      <c r="B364" s="0" t="s">
        <v>2248</v>
      </c>
      <c r="C364" s="0" t="s">
        <v>906</v>
      </c>
      <c r="D364" s="31" t="n">
        <v>34473</v>
      </c>
      <c r="E364" s="31" t="n">
        <v>45609</v>
      </c>
      <c r="F364" s="32" t="s">
        <v>2087</v>
      </c>
      <c r="G364" s="32" t="s">
        <v>2088</v>
      </c>
      <c r="H364" s="32" t="s">
        <v>826</v>
      </c>
      <c r="I364" s="31" t="n">
        <v>45609</v>
      </c>
      <c r="J364" s="32" t="s">
        <v>2160</v>
      </c>
      <c r="K364" s="0" t="n">
        <v>0</v>
      </c>
      <c r="L364" s="32" t="s">
        <v>2081</v>
      </c>
      <c r="M364" s="32" t="s">
        <v>2189</v>
      </c>
      <c r="N364" s="0" t="n">
        <v>0</v>
      </c>
      <c r="O364" s="32" t="s">
        <v>827</v>
      </c>
      <c r="P364" s="32" t="s">
        <v>2095</v>
      </c>
      <c r="Q364" s="32" t="s">
        <v>2084</v>
      </c>
      <c r="R364" s="0" t="str">
        <f aca="false">IF(H364="GEN","GM",H364)</f>
        <v>RHE</v>
      </c>
    </row>
    <row r="365" customFormat="false" ht="15" hidden="false" customHeight="false" outlineLevel="0" collapsed="false">
      <c r="A365" s="0" t="s">
        <v>2748</v>
      </c>
      <c r="B365" s="0" t="s">
        <v>2477</v>
      </c>
      <c r="C365" s="0" t="s">
        <v>1017</v>
      </c>
      <c r="D365" s="31" t="n">
        <v>19182</v>
      </c>
      <c r="E365" s="31" t="n">
        <v>45696</v>
      </c>
      <c r="F365" s="32" t="s">
        <v>2087</v>
      </c>
      <c r="G365" s="32" t="s">
        <v>2124</v>
      </c>
      <c r="H365" s="32" t="s">
        <v>785</v>
      </c>
      <c r="I365" s="31" t="n">
        <v>45707</v>
      </c>
      <c r="J365" s="32" t="s">
        <v>2080</v>
      </c>
      <c r="K365" s="0" t="n">
        <v>11</v>
      </c>
      <c r="L365" s="32" t="s">
        <v>2081</v>
      </c>
      <c r="M365" s="32" t="s">
        <v>2082</v>
      </c>
      <c r="N365" s="0" t="n">
        <v>11</v>
      </c>
      <c r="O365" s="32" t="s">
        <v>786</v>
      </c>
      <c r="P365" s="32" t="s">
        <v>2238</v>
      </c>
      <c r="Q365" s="32" t="s">
        <v>2198</v>
      </c>
      <c r="R365" s="0" t="str">
        <f aca="false">IF(H365="GEN","GM",H365)</f>
        <v>RS</v>
      </c>
    </row>
    <row r="366" customFormat="false" ht="15" hidden="false" customHeight="false" outlineLevel="0" collapsed="false">
      <c r="A366" s="0" t="s">
        <v>2749</v>
      </c>
      <c r="B366" s="0" t="s">
        <v>2454</v>
      </c>
      <c r="C366" s="0" t="s">
        <v>918</v>
      </c>
      <c r="D366" s="31" t="n">
        <v>20880</v>
      </c>
      <c r="E366" s="31" t="n">
        <v>45665</v>
      </c>
      <c r="F366" s="32" t="s">
        <v>2087</v>
      </c>
      <c r="G366" s="32" t="s">
        <v>2115</v>
      </c>
      <c r="H366" s="32" t="s">
        <v>758</v>
      </c>
      <c r="I366" s="31" t="n">
        <v>45672</v>
      </c>
      <c r="J366" s="32" t="s">
        <v>2160</v>
      </c>
      <c r="K366" s="0" t="n">
        <v>7</v>
      </c>
      <c r="L366" s="32" t="s">
        <v>2081</v>
      </c>
      <c r="M366" s="32" t="s">
        <v>2286</v>
      </c>
      <c r="N366" s="0" t="n">
        <v>7</v>
      </c>
      <c r="O366" s="32" t="s">
        <v>759</v>
      </c>
      <c r="P366" s="32" t="s">
        <v>2133</v>
      </c>
      <c r="Q366" s="32" t="s">
        <v>2170</v>
      </c>
      <c r="R366" s="0" t="str">
        <f aca="false">IF(H366="GEN","GM",H366)</f>
        <v>CS</v>
      </c>
    </row>
    <row r="367" customFormat="false" ht="15" hidden="false" customHeight="false" outlineLevel="0" collapsed="false">
      <c r="A367" s="0" t="s">
        <v>2750</v>
      </c>
      <c r="B367" s="0" t="s">
        <v>2751</v>
      </c>
      <c r="C367" s="0" t="s">
        <v>1025</v>
      </c>
      <c r="D367" s="31" t="n">
        <v>17419</v>
      </c>
      <c r="E367" s="31" t="n">
        <v>45609</v>
      </c>
      <c r="F367" s="32" t="s">
        <v>2078</v>
      </c>
      <c r="G367" s="32" t="s">
        <v>2099</v>
      </c>
      <c r="H367" s="32" t="s">
        <v>818</v>
      </c>
      <c r="I367" s="31" t="n">
        <v>45609</v>
      </c>
      <c r="J367" s="32" t="s">
        <v>2080</v>
      </c>
      <c r="K367" s="0" t="n">
        <v>0</v>
      </c>
      <c r="L367" s="32" t="s">
        <v>2081</v>
      </c>
      <c r="M367" s="32" t="s">
        <v>2207</v>
      </c>
      <c r="N367" s="0" t="n">
        <v>0</v>
      </c>
      <c r="O367" s="32" t="s">
        <v>819</v>
      </c>
      <c r="P367" s="32" t="s">
        <v>2162</v>
      </c>
      <c r="Q367" s="32" t="s">
        <v>2198</v>
      </c>
      <c r="R367" s="0" t="str">
        <f aca="false">IF(H367="GEN","GM",H367)</f>
        <v>OPH</v>
      </c>
    </row>
    <row r="368" customFormat="false" ht="15" hidden="false" customHeight="false" outlineLevel="0" collapsed="false">
      <c r="A368" s="0" t="s">
        <v>2752</v>
      </c>
      <c r="B368" s="0" t="s">
        <v>2483</v>
      </c>
      <c r="C368" s="0" t="s">
        <v>870</v>
      </c>
      <c r="D368" s="31" t="n">
        <v>30230</v>
      </c>
      <c r="E368" s="31" t="n">
        <v>45679</v>
      </c>
      <c r="F368" s="32" t="s">
        <v>2087</v>
      </c>
      <c r="G368" s="32" t="s">
        <v>2099</v>
      </c>
      <c r="H368" s="32" t="s">
        <v>766</v>
      </c>
      <c r="I368" s="31" t="n">
        <v>45679</v>
      </c>
      <c r="J368" s="32" t="s">
        <v>2105</v>
      </c>
      <c r="K368" s="0" t="n">
        <v>0</v>
      </c>
      <c r="L368" s="32" t="s">
        <v>2081</v>
      </c>
      <c r="M368" s="32" t="s">
        <v>2207</v>
      </c>
      <c r="N368" s="0" t="n">
        <v>0</v>
      </c>
      <c r="O368" s="32" t="s">
        <v>767</v>
      </c>
      <c r="P368" s="32" t="s">
        <v>2095</v>
      </c>
      <c r="Q368" s="32" t="s">
        <v>2145</v>
      </c>
      <c r="R368" s="0" t="str">
        <f aca="false">IF(H368="GEN","GM",H368)</f>
        <v>OR</v>
      </c>
    </row>
    <row r="369" customFormat="false" ht="15" hidden="false" customHeight="false" outlineLevel="0" collapsed="false">
      <c r="A369" s="0" t="s">
        <v>2753</v>
      </c>
      <c r="B369" s="0" t="s">
        <v>2754</v>
      </c>
      <c r="C369" s="0" t="s">
        <v>966</v>
      </c>
      <c r="D369" s="31" t="n">
        <v>34291</v>
      </c>
      <c r="E369" s="31" t="n">
        <v>45602</v>
      </c>
      <c r="F369" s="32" t="s">
        <v>2087</v>
      </c>
      <c r="G369" s="32" t="s">
        <v>2099</v>
      </c>
      <c r="H369" s="32" t="s">
        <v>818</v>
      </c>
      <c r="I369" s="31" t="n">
        <v>45604</v>
      </c>
      <c r="J369" s="32" t="s">
        <v>2080</v>
      </c>
      <c r="K369" s="0" t="n">
        <v>2</v>
      </c>
      <c r="L369" s="32" t="s">
        <v>2081</v>
      </c>
      <c r="M369" s="32" t="s">
        <v>2128</v>
      </c>
      <c r="N369" s="0" t="n">
        <v>2</v>
      </c>
      <c r="O369" s="32" t="s">
        <v>819</v>
      </c>
      <c r="P369" s="32" t="s">
        <v>2222</v>
      </c>
      <c r="Q369" s="32" t="s">
        <v>2179</v>
      </c>
      <c r="R369" s="0" t="str">
        <f aca="false">IF(H369="GEN","GM",H369)</f>
        <v>OPH</v>
      </c>
    </row>
    <row r="370" customFormat="false" ht="15" hidden="false" customHeight="false" outlineLevel="0" collapsed="false">
      <c r="A370" s="0" t="s">
        <v>2755</v>
      </c>
      <c r="B370" s="0" t="s">
        <v>2215</v>
      </c>
      <c r="C370" s="0" t="s">
        <v>1426</v>
      </c>
      <c r="D370" s="31" t="n">
        <v>37097</v>
      </c>
      <c r="E370" s="31" t="n">
        <v>45726</v>
      </c>
      <c r="F370" s="32" t="s">
        <v>2087</v>
      </c>
      <c r="G370" s="32" t="s">
        <v>2079</v>
      </c>
      <c r="H370" s="32" t="s">
        <v>810</v>
      </c>
      <c r="I370" s="31" t="n">
        <v>45729</v>
      </c>
      <c r="J370" s="32" t="s">
        <v>2080</v>
      </c>
      <c r="K370" s="0" t="n">
        <v>3</v>
      </c>
      <c r="L370" s="32" t="s">
        <v>2081</v>
      </c>
      <c r="M370" s="32" t="s">
        <v>2195</v>
      </c>
      <c r="N370" s="0" t="n">
        <v>3</v>
      </c>
      <c r="O370" s="32" t="s">
        <v>811</v>
      </c>
      <c r="P370" s="32" t="s">
        <v>2179</v>
      </c>
      <c r="Q370" s="32" t="s">
        <v>2145</v>
      </c>
      <c r="R370" s="0" t="str">
        <f aca="false">IF(H370="GEN","GM",H370)</f>
        <v>URO</v>
      </c>
    </row>
    <row r="371" customFormat="false" ht="15" hidden="false" customHeight="false" outlineLevel="0" collapsed="false">
      <c r="A371" s="0" t="s">
        <v>2756</v>
      </c>
      <c r="B371" s="0" t="s">
        <v>2669</v>
      </c>
      <c r="C371" s="0" t="s">
        <v>2178</v>
      </c>
      <c r="D371" s="31" t="n">
        <v>38067</v>
      </c>
      <c r="E371" s="31" t="n">
        <v>45703</v>
      </c>
      <c r="F371" s="32" t="s">
        <v>2078</v>
      </c>
      <c r="G371" s="32" t="s">
        <v>2088</v>
      </c>
      <c r="H371" s="32" t="s">
        <v>1391</v>
      </c>
      <c r="I371" s="31" t="n">
        <v>45704</v>
      </c>
      <c r="J371" s="32" t="s">
        <v>2080</v>
      </c>
      <c r="K371" s="0" t="n">
        <v>1</v>
      </c>
      <c r="L371" s="32" t="s">
        <v>2081</v>
      </c>
      <c r="M371" s="32" t="s">
        <v>2082</v>
      </c>
      <c r="N371" s="0" t="n">
        <v>1</v>
      </c>
      <c r="O371" s="32" t="s">
        <v>748</v>
      </c>
      <c r="P371" s="32" t="s">
        <v>2101</v>
      </c>
      <c r="Q371" s="32" t="s">
        <v>2107</v>
      </c>
      <c r="R371" s="0" t="str">
        <f aca="false">IF(H371="GEN","GM",H371)</f>
        <v>GM</v>
      </c>
    </row>
    <row r="372" customFormat="false" ht="15" hidden="false" customHeight="false" outlineLevel="0" collapsed="false">
      <c r="A372" s="0" t="s">
        <v>2757</v>
      </c>
      <c r="B372" s="0" t="s">
        <v>2398</v>
      </c>
      <c r="C372" s="0" t="s">
        <v>2178</v>
      </c>
      <c r="D372" s="31" t="n">
        <v>13162</v>
      </c>
      <c r="E372" s="31" t="n">
        <v>45650</v>
      </c>
      <c r="F372" s="32" t="s">
        <v>2078</v>
      </c>
      <c r="G372" s="32" t="s">
        <v>2124</v>
      </c>
      <c r="H372" s="32" t="s">
        <v>785</v>
      </c>
      <c r="I372" s="31" t="n">
        <v>45659</v>
      </c>
      <c r="J372" s="32" t="s">
        <v>2080</v>
      </c>
      <c r="K372" s="0" t="n">
        <v>9</v>
      </c>
      <c r="L372" s="32" t="s">
        <v>2081</v>
      </c>
      <c r="M372" s="32" t="s">
        <v>2255</v>
      </c>
      <c r="N372" s="0" t="n">
        <v>9</v>
      </c>
      <c r="O372" s="32" t="s">
        <v>786</v>
      </c>
      <c r="P372" s="32" t="s">
        <v>2142</v>
      </c>
      <c r="Q372" s="32" t="s">
        <v>2170</v>
      </c>
      <c r="R372" s="0" t="str">
        <f aca="false">IF(H372="GEN","GM",H372)</f>
        <v>RS</v>
      </c>
    </row>
    <row r="373" customFormat="false" ht="15" hidden="false" customHeight="false" outlineLevel="0" collapsed="false">
      <c r="A373" s="0" t="s">
        <v>2758</v>
      </c>
      <c r="B373" s="0" t="s">
        <v>2276</v>
      </c>
      <c r="C373" s="0" t="s">
        <v>757</v>
      </c>
      <c r="D373" s="31" t="n">
        <v>32337</v>
      </c>
      <c r="E373" s="31" t="n">
        <v>45667</v>
      </c>
      <c r="F373" s="32" t="s">
        <v>2078</v>
      </c>
      <c r="G373" s="32" t="s">
        <v>2079</v>
      </c>
      <c r="H373" s="32" t="s">
        <v>810</v>
      </c>
      <c r="I373" s="31" t="n">
        <v>45667</v>
      </c>
      <c r="J373" s="32" t="s">
        <v>2080</v>
      </c>
      <c r="K373" s="0" t="n">
        <v>0</v>
      </c>
      <c r="L373" s="32" t="s">
        <v>2081</v>
      </c>
      <c r="M373" s="32" t="s">
        <v>2152</v>
      </c>
      <c r="N373" s="0" t="n">
        <v>0</v>
      </c>
      <c r="P373" s="32" t="s">
        <v>2083</v>
      </c>
      <c r="Q373" s="32" t="s">
        <v>2190</v>
      </c>
      <c r="R373" s="0" t="str">
        <f aca="false">IF(H373="GEN","GM",H373)</f>
        <v>URO</v>
      </c>
    </row>
    <row r="374" customFormat="false" ht="15" hidden="false" customHeight="false" outlineLevel="0" collapsed="false">
      <c r="A374" s="0" t="s">
        <v>2759</v>
      </c>
      <c r="B374" s="0" t="s">
        <v>2760</v>
      </c>
      <c r="C374" s="0" t="s">
        <v>997</v>
      </c>
      <c r="D374" s="31" t="n">
        <v>26186</v>
      </c>
      <c r="E374" s="31" t="n">
        <v>45617</v>
      </c>
      <c r="F374" s="32" t="s">
        <v>2078</v>
      </c>
      <c r="G374" s="32" t="s">
        <v>2115</v>
      </c>
      <c r="H374" s="32" t="s">
        <v>758</v>
      </c>
      <c r="I374" s="31" t="n">
        <v>45624</v>
      </c>
      <c r="J374" s="32" t="s">
        <v>2080</v>
      </c>
      <c r="K374" s="0" t="n">
        <v>7</v>
      </c>
      <c r="L374" s="32" t="s">
        <v>2081</v>
      </c>
      <c r="M374" s="32" t="s">
        <v>2207</v>
      </c>
      <c r="N374" s="0" t="n">
        <v>7</v>
      </c>
      <c r="O374" s="32" t="s">
        <v>759</v>
      </c>
      <c r="P374" s="32" t="s">
        <v>2238</v>
      </c>
      <c r="Q374" s="32" t="s">
        <v>2107</v>
      </c>
      <c r="R374" s="0" t="str">
        <f aca="false">IF(H374="GEN","GM",H374)</f>
        <v>CS</v>
      </c>
    </row>
    <row r="375" customFormat="false" ht="15" hidden="false" customHeight="false" outlineLevel="0" collapsed="false">
      <c r="A375" s="0" t="s">
        <v>2761</v>
      </c>
      <c r="B375" s="0" t="s">
        <v>2744</v>
      </c>
      <c r="C375" s="0" t="s">
        <v>792</v>
      </c>
      <c r="D375" s="31" t="n">
        <v>36275</v>
      </c>
      <c r="E375" s="31" t="n">
        <v>45630</v>
      </c>
      <c r="F375" s="32" t="s">
        <v>2078</v>
      </c>
      <c r="G375" s="32" t="s">
        <v>2088</v>
      </c>
      <c r="H375" s="32" t="s">
        <v>826</v>
      </c>
      <c r="I375" s="31" t="n">
        <v>45636</v>
      </c>
      <c r="J375" s="32" t="s">
        <v>2080</v>
      </c>
      <c r="K375" s="0" t="n">
        <v>6</v>
      </c>
      <c r="L375" s="32" t="s">
        <v>2106</v>
      </c>
      <c r="M375" s="32" t="s">
        <v>2089</v>
      </c>
      <c r="N375" s="0" t="n">
        <v>6</v>
      </c>
      <c r="O375" s="32" t="s">
        <v>827</v>
      </c>
      <c r="P375" s="32" t="s">
        <v>2149</v>
      </c>
      <c r="Q375" s="32" t="s">
        <v>2138</v>
      </c>
      <c r="R375" s="0" t="str">
        <f aca="false">IF(H375="GEN","GM",H375)</f>
        <v>RHE</v>
      </c>
    </row>
    <row r="376" customFormat="false" ht="15" hidden="false" customHeight="false" outlineLevel="0" collapsed="false">
      <c r="A376" s="0" t="s">
        <v>2762</v>
      </c>
      <c r="B376" s="0" t="s">
        <v>2763</v>
      </c>
      <c r="C376" s="0" t="s">
        <v>938</v>
      </c>
      <c r="D376" s="31" t="n">
        <v>20166</v>
      </c>
      <c r="E376" s="31" t="n">
        <v>45724</v>
      </c>
      <c r="F376" s="32" t="s">
        <v>2160</v>
      </c>
      <c r="G376" s="32" t="s">
        <v>2115</v>
      </c>
      <c r="H376" s="32" t="s">
        <v>758</v>
      </c>
      <c r="I376" s="31" t="n">
        <v>45730</v>
      </c>
      <c r="J376" s="32" t="s">
        <v>2080</v>
      </c>
      <c r="K376" s="0" t="n">
        <v>6</v>
      </c>
      <c r="N376" s="0" t="n">
        <v>6</v>
      </c>
      <c r="O376" s="32" t="s">
        <v>759</v>
      </c>
      <c r="P376" s="32" t="s">
        <v>2133</v>
      </c>
      <c r="Q376" s="32" t="s">
        <v>2112</v>
      </c>
      <c r="R376" s="0" t="str">
        <f aca="false">IF(H376="GEN","GM",H376)</f>
        <v>CS</v>
      </c>
    </row>
    <row r="377" customFormat="false" ht="15" hidden="false" customHeight="false" outlineLevel="0" collapsed="false">
      <c r="A377" s="0" t="s">
        <v>2764</v>
      </c>
      <c r="B377" s="0" t="s">
        <v>2765</v>
      </c>
      <c r="C377" s="0" t="s">
        <v>1410</v>
      </c>
      <c r="D377" s="31" t="n">
        <v>16092</v>
      </c>
      <c r="E377" s="31" t="n">
        <v>45681</v>
      </c>
      <c r="F377" s="32" t="s">
        <v>2087</v>
      </c>
      <c r="G377" s="32" t="s">
        <v>2104</v>
      </c>
      <c r="H377" s="32" t="s">
        <v>802</v>
      </c>
      <c r="I377" s="31" t="n">
        <v>45690</v>
      </c>
      <c r="J377" s="32" t="s">
        <v>2080</v>
      </c>
      <c r="K377" s="0" t="n">
        <v>9</v>
      </c>
      <c r="L377" s="32" t="s">
        <v>2081</v>
      </c>
      <c r="M377" s="32" t="s">
        <v>2212</v>
      </c>
      <c r="N377" s="0" t="n">
        <v>9</v>
      </c>
      <c r="O377" s="32" t="s">
        <v>803</v>
      </c>
      <c r="P377" s="32" t="s">
        <v>2142</v>
      </c>
      <c r="Q377" s="32" t="s">
        <v>2190</v>
      </c>
      <c r="R377" s="0" t="str">
        <f aca="false">IF(H377="GEN","GM",H377)</f>
        <v>GYN</v>
      </c>
    </row>
    <row r="378" customFormat="false" ht="15" hidden="false" customHeight="false" outlineLevel="0" collapsed="false">
      <c r="A378" s="0" t="s">
        <v>2766</v>
      </c>
      <c r="B378" s="0" t="s">
        <v>2767</v>
      </c>
      <c r="C378" s="0" t="s">
        <v>985</v>
      </c>
      <c r="D378" s="31" t="n">
        <v>13722</v>
      </c>
      <c r="E378" s="31" t="n">
        <v>45624</v>
      </c>
      <c r="F378" s="32" t="s">
        <v>2078</v>
      </c>
      <c r="G378" s="32" t="s">
        <v>2104</v>
      </c>
      <c r="H378" s="32" t="s">
        <v>802</v>
      </c>
      <c r="I378" s="31" t="n">
        <v>45633</v>
      </c>
      <c r="J378" s="32" t="s">
        <v>2080</v>
      </c>
      <c r="K378" s="0" t="n">
        <v>9</v>
      </c>
      <c r="L378" s="32" t="s">
        <v>2081</v>
      </c>
      <c r="M378" s="32" t="s">
        <v>2136</v>
      </c>
      <c r="N378" s="0" t="n">
        <v>9</v>
      </c>
      <c r="O378" s="32" t="s">
        <v>803</v>
      </c>
      <c r="P378" s="32" t="s">
        <v>2083</v>
      </c>
      <c r="Q378" s="32" t="s">
        <v>2157</v>
      </c>
      <c r="R378" s="0" t="str">
        <f aca="false">IF(H378="GEN","GM",H378)</f>
        <v>GYN</v>
      </c>
    </row>
    <row r="379" customFormat="false" ht="15" hidden="false" customHeight="false" outlineLevel="0" collapsed="false">
      <c r="A379" s="0" t="s">
        <v>2768</v>
      </c>
      <c r="B379" s="0" t="s">
        <v>2086</v>
      </c>
      <c r="C379" s="0" t="s">
        <v>890</v>
      </c>
      <c r="D379" s="31" t="n">
        <v>21906</v>
      </c>
      <c r="E379" s="31" t="n">
        <v>45666</v>
      </c>
      <c r="F379" s="32" t="s">
        <v>2087</v>
      </c>
      <c r="G379" s="32" t="s">
        <v>2104</v>
      </c>
      <c r="H379" s="32" t="s">
        <v>802</v>
      </c>
      <c r="I379" s="31" t="n">
        <v>45668</v>
      </c>
      <c r="J379" s="32" t="s">
        <v>2080</v>
      </c>
      <c r="K379" s="0" t="n">
        <v>2</v>
      </c>
      <c r="L379" s="32" t="s">
        <v>2106</v>
      </c>
      <c r="M379" s="32" t="s">
        <v>2152</v>
      </c>
      <c r="N379" s="0" t="n">
        <v>2</v>
      </c>
      <c r="O379" s="32" t="s">
        <v>803</v>
      </c>
      <c r="P379" s="32" t="s">
        <v>2133</v>
      </c>
      <c r="Q379" s="32" t="s">
        <v>2145</v>
      </c>
      <c r="R379" s="0" t="str">
        <f aca="false">IF(H379="GEN","GM",H379)</f>
        <v>GYN</v>
      </c>
    </row>
    <row r="380" customFormat="false" ht="15" hidden="false" customHeight="false" outlineLevel="0" collapsed="false">
      <c r="A380" s="0" t="s">
        <v>2769</v>
      </c>
      <c r="B380" s="0" t="s">
        <v>2398</v>
      </c>
      <c r="C380" s="0" t="s">
        <v>993</v>
      </c>
      <c r="D380" s="31" t="n">
        <v>20964</v>
      </c>
      <c r="E380" s="31" t="n">
        <v>45671</v>
      </c>
      <c r="F380" s="32" t="s">
        <v>2087</v>
      </c>
      <c r="G380" s="32" t="s">
        <v>2088</v>
      </c>
      <c r="H380" s="32" t="s">
        <v>826</v>
      </c>
      <c r="I380" s="31" t="n">
        <v>45674</v>
      </c>
      <c r="J380" s="32" t="s">
        <v>2160</v>
      </c>
      <c r="K380" s="0" t="n">
        <v>3</v>
      </c>
      <c r="L380" s="32" t="s">
        <v>2081</v>
      </c>
      <c r="M380" s="32" t="s">
        <v>2283</v>
      </c>
      <c r="N380" s="0" t="n">
        <v>3</v>
      </c>
      <c r="O380" s="32" t="s">
        <v>827</v>
      </c>
      <c r="Q380" s="32" t="s">
        <v>2179</v>
      </c>
      <c r="R380" s="0" t="str">
        <f aca="false">IF(H380="GEN","GM",H380)</f>
        <v>RHE</v>
      </c>
    </row>
    <row r="381" customFormat="false" ht="15" hidden="false" customHeight="false" outlineLevel="0" collapsed="false">
      <c r="A381" s="0" t="s">
        <v>2770</v>
      </c>
      <c r="B381" s="0" t="s">
        <v>2663</v>
      </c>
      <c r="C381" s="0" t="s">
        <v>837</v>
      </c>
      <c r="D381" s="31" t="n">
        <v>27552</v>
      </c>
      <c r="E381" s="31" t="n">
        <v>45715</v>
      </c>
      <c r="F381" s="32" t="s">
        <v>2087</v>
      </c>
      <c r="G381" s="32" t="s">
        <v>2115</v>
      </c>
      <c r="H381" s="32" t="s">
        <v>758</v>
      </c>
      <c r="I381" s="31" t="n">
        <v>45724</v>
      </c>
      <c r="J381" s="32" t="s">
        <v>2080</v>
      </c>
      <c r="K381" s="0" t="n">
        <v>9</v>
      </c>
      <c r="L381" s="32" t="s">
        <v>2081</v>
      </c>
      <c r="M381" s="32" t="s">
        <v>2082</v>
      </c>
      <c r="N381" s="0" t="n">
        <v>9</v>
      </c>
      <c r="O381" s="32" t="s">
        <v>759</v>
      </c>
      <c r="P381" s="32" t="s">
        <v>2117</v>
      </c>
      <c r="Q381" s="32" t="s">
        <v>2153</v>
      </c>
      <c r="R381" s="0" t="str">
        <f aca="false">IF(H381="GEN","GM",H381)</f>
        <v>CS</v>
      </c>
    </row>
    <row r="382" customFormat="false" ht="15" hidden="false" customHeight="false" outlineLevel="0" collapsed="false">
      <c r="A382" s="0" t="s">
        <v>2771</v>
      </c>
      <c r="B382" s="0" t="s">
        <v>2772</v>
      </c>
      <c r="C382" s="0" t="s">
        <v>918</v>
      </c>
      <c r="D382" s="31" t="n">
        <v>18207</v>
      </c>
      <c r="E382" s="31" t="n">
        <v>45571</v>
      </c>
      <c r="F382" s="32" t="s">
        <v>2087</v>
      </c>
      <c r="G382" s="32" t="s">
        <v>2104</v>
      </c>
      <c r="H382" s="32" t="s">
        <v>802</v>
      </c>
      <c r="I382" s="31" t="n">
        <v>45575</v>
      </c>
      <c r="J382" s="32" t="s">
        <v>2080</v>
      </c>
      <c r="K382" s="0" t="n">
        <v>4</v>
      </c>
      <c r="M382" s="32" t="s">
        <v>2128</v>
      </c>
      <c r="N382" s="0" t="n">
        <v>4</v>
      </c>
      <c r="O382" s="32" t="s">
        <v>803</v>
      </c>
      <c r="P382" s="32" t="s">
        <v>2083</v>
      </c>
      <c r="Q382" s="32" t="s">
        <v>2179</v>
      </c>
      <c r="R382" s="0" t="str">
        <f aca="false">IF(H382="GEN","GM",H382)</f>
        <v>GYN</v>
      </c>
    </row>
    <row r="383" customFormat="false" ht="15" hidden="false" customHeight="false" outlineLevel="0" collapsed="false">
      <c r="A383" s="0" t="s">
        <v>2773</v>
      </c>
      <c r="B383" s="0" t="s">
        <v>2774</v>
      </c>
      <c r="C383" s="0" t="s">
        <v>997</v>
      </c>
      <c r="D383" s="31" t="n">
        <v>19781</v>
      </c>
      <c r="E383" s="31" t="n">
        <v>45587</v>
      </c>
      <c r="F383" s="32" t="s">
        <v>2160</v>
      </c>
      <c r="G383" s="32" t="s">
        <v>2088</v>
      </c>
      <c r="H383" s="32" t="s">
        <v>793</v>
      </c>
      <c r="I383" s="31" t="n">
        <v>45591</v>
      </c>
      <c r="J383" s="32" t="s">
        <v>2080</v>
      </c>
      <c r="K383" s="0" t="n">
        <v>4</v>
      </c>
      <c r="L383" s="32" t="s">
        <v>2081</v>
      </c>
      <c r="M383" s="32" t="s">
        <v>2116</v>
      </c>
      <c r="N383" s="0" t="n">
        <v>4</v>
      </c>
      <c r="O383" s="32" t="s">
        <v>794</v>
      </c>
      <c r="P383" s="32" t="s">
        <v>2111</v>
      </c>
      <c r="Q383" s="32" t="s">
        <v>2241</v>
      </c>
      <c r="R383" s="0" t="str">
        <f aca="false">IF(H383="GEN","GM",H383)</f>
        <v>EM</v>
      </c>
    </row>
    <row r="384" customFormat="false" ht="15" hidden="false" customHeight="false" outlineLevel="0" collapsed="false">
      <c r="A384" s="0" t="s">
        <v>2775</v>
      </c>
      <c r="B384" s="0" t="s">
        <v>2598</v>
      </c>
      <c r="C384" s="0" t="s">
        <v>950</v>
      </c>
      <c r="D384" s="31" t="n">
        <v>25064</v>
      </c>
      <c r="E384" s="31" t="n">
        <v>45574</v>
      </c>
      <c r="F384" s="32" t="s">
        <v>2078</v>
      </c>
      <c r="G384" s="32" t="s">
        <v>2079</v>
      </c>
      <c r="H384" s="32" t="s">
        <v>810</v>
      </c>
      <c r="I384" s="31" t="n">
        <v>45575</v>
      </c>
      <c r="J384" s="32" t="s">
        <v>2080</v>
      </c>
      <c r="K384" s="0" t="n">
        <v>1</v>
      </c>
      <c r="L384" s="32" t="s">
        <v>2081</v>
      </c>
      <c r="M384" s="32" t="s">
        <v>2189</v>
      </c>
      <c r="N384" s="0" t="n">
        <v>1</v>
      </c>
      <c r="O384" s="32" t="s">
        <v>811</v>
      </c>
      <c r="P384" s="32" t="s">
        <v>2083</v>
      </c>
      <c r="Q384" s="32" t="s">
        <v>2165</v>
      </c>
      <c r="R384" s="0" t="str">
        <f aca="false">IF(H384="GEN","GM",H384)</f>
        <v>URO</v>
      </c>
    </row>
    <row r="385" customFormat="false" ht="15" hidden="false" customHeight="false" outlineLevel="0" collapsed="false">
      <c r="A385" s="0" t="s">
        <v>2776</v>
      </c>
      <c r="B385" s="0" t="s">
        <v>2393</v>
      </c>
      <c r="C385" s="0" t="s">
        <v>966</v>
      </c>
      <c r="D385" s="31" t="n">
        <v>18803</v>
      </c>
      <c r="E385" s="31" t="n">
        <v>45587</v>
      </c>
      <c r="F385" s="32" t="s">
        <v>2078</v>
      </c>
      <c r="G385" s="32" t="s">
        <v>2124</v>
      </c>
      <c r="H385" s="32" t="s">
        <v>785</v>
      </c>
      <c r="I385" s="31" t="n">
        <v>45591</v>
      </c>
      <c r="J385" s="32" t="s">
        <v>2160</v>
      </c>
      <c r="K385" s="0" t="n">
        <v>4</v>
      </c>
      <c r="L385" s="32" t="s">
        <v>2081</v>
      </c>
      <c r="M385" s="32" t="s">
        <v>2286</v>
      </c>
      <c r="N385" s="0" t="n">
        <v>4</v>
      </c>
      <c r="O385" s="32" t="s">
        <v>786</v>
      </c>
      <c r="P385" s="32" t="s">
        <v>2090</v>
      </c>
      <c r="R385" s="0" t="str">
        <f aca="false">IF(H385="GEN","GM",H385)</f>
        <v>RS</v>
      </c>
    </row>
    <row r="386" customFormat="false" ht="15" hidden="false" customHeight="false" outlineLevel="0" collapsed="false">
      <c r="A386" s="0" t="s">
        <v>2777</v>
      </c>
      <c r="C386" s="0" t="s">
        <v>966</v>
      </c>
      <c r="D386" s="31" t="n">
        <v>16150</v>
      </c>
      <c r="E386" s="31" t="n">
        <v>45597</v>
      </c>
      <c r="F386" s="32" t="s">
        <v>2087</v>
      </c>
      <c r="G386" s="32" t="s">
        <v>2088</v>
      </c>
      <c r="H386" s="32" t="s">
        <v>793</v>
      </c>
      <c r="I386" s="31" t="n">
        <v>45598</v>
      </c>
      <c r="J386" s="32" t="s">
        <v>2307</v>
      </c>
      <c r="K386" s="0" t="n">
        <v>1</v>
      </c>
      <c r="L386" s="32" t="s">
        <v>2081</v>
      </c>
      <c r="M386" s="32" t="s">
        <v>2089</v>
      </c>
      <c r="N386" s="0" t="n">
        <v>1</v>
      </c>
      <c r="O386" s="32" t="s">
        <v>794</v>
      </c>
      <c r="P386" s="32" t="s">
        <v>2238</v>
      </c>
      <c r="Q386" s="32" t="s">
        <v>2157</v>
      </c>
      <c r="R386" s="0" t="str">
        <f aca="false">IF(H386="GEN","GM",H386)</f>
        <v>EM</v>
      </c>
    </row>
    <row r="387" customFormat="false" ht="15" hidden="false" customHeight="false" outlineLevel="0" collapsed="false">
      <c r="A387" s="0" t="s">
        <v>2778</v>
      </c>
      <c r="B387" s="0" t="s">
        <v>2498</v>
      </c>
      <c r="C387" s="0" t="s">
        <v>1390</v>
      </c>
      <c r="D387" s="31" t="n">
        <v>21407</v>
      </c>
      <c r="E387" s="31" t="n">
        <v>45611</v>
      </c>
      <c r="F387" s="32" t="s">
        <v>2087</v>
      </c>
      <c r="G387" s="32" t="s">
        <v>2079</v>
      </c>
      <c r="H387" s="32" t="s">
        <v>810</v>
      </c>
      <c r="I387" s="31" t="n">
        <v>45624</v>
      </c>
      <c r="J387" s="32" t="s">
        <v>2080</v>
      </c>
      <c r="K387" s="0" t="n">
        <v>13</v>
      </c>
      <c r="L387" s="32" t="s">
        <v>2081</v>
      </c>
      <c r="M387" s="32" t="s">
        <v>2132</v>
      </c>
      <c r="N387" s="0" t="n">
        <v>13</v>
      </c>
      <c r="P387" s="32" t="s">
        <v>2095</v>
      </c>
      <c r="Q387" s="32" t="s">
        <v>2096</v>
      </c>
      <c r="R387" s="0" t="str">
        <f aca="false">IF(H387="GEN","GM",H387)</f>
        <v>URO</v>
      </c>
    </row>
    <row r="388" customFormat="false" ht="15" hidden="false" customHeight="false" outlineLevel="0" collapsed="false">
      <c r="A388" s="0" t="s">
        <v>2779</v>
      </c>
      <c r="B388" s="0" t="s">
        <v>2512</v>
      </c>
      <c r="C388" s="0" t="s">
        <v>922</v>
      </c>
      <c r="D388" s="31" t="n">
        <v>29197</v>
      </c>
      <c r="E388" s="31" t="n">
        <v>45581</v>
      </c>
      <c r="F388" s="32" t="s">
        <v>2087</v>
      </c>
      <c r="G388" s="32" t="s">
        <v>2124</v>
      </c>
      <c r="H388" s="32" t="s">
        <v>785</v>
      </c>
      <c r="I388" s="31" t="n">
        <v>45582</v>
      </c>
      <c r="J388" s="32" t="s">
        <v>2080</v>
      </c>
      <c r="K388" s="0" t="n">
        <v>1</v>
      </c>
      <c r="L388" s="32" t="s">
        <v>2081</v>
      </c>
      <c r="N388" s="0" t="n">
        <v>1</v>
      </c>
      <c r="O388" s="32" t="s">
        <v>786</v>
      </c>
      <c r="P388" s="32" t="s">
        <v>2238</v>
      </c>
      <c r="Q388" s="32" t="s">
        <v>2125</v>
      </c>
      <c r="R388" s="0" t="str">
        <f aca="false">IF(H388="GEN","GM",H388)</f>
        <v>RS</v>
      </c>
    </row>
    <row r="389" customFormat="false" ht="15" hidden="false" customHeight="false" outlineLevel="0" collapsed="false">
      <c r="A389" s="0" t="s">
        <v>2780</v>
      </c>
      <c r="B389" s="0" t="s">
        <v>2449</v>
      </c>
      <c r="C389" s="0" t="s">
        <v>817</v>
      </c>
      <c r="D389" s="31" t="n">
        <v>25199</v>
      </c>
      <c r="E389" s="31" t="n">
        <v>45691</v>
      </c>
      <c r="F389" s="32" t="s">
        <v>2078</v>
      </c>
      <c r="G389" s="32" t="s">
        <v>2079</v>
      </c>
      <c r="H389" s="32" t="s">
        <v>810</v>
      </c>
      <c r="I389" s="31" t="n">
        <v>45693</v>
      </c>
      <c r="J389" s="32" t="s">
        <v>2080</v>
      </c>
      <c r="K389" s="0" t="n">
        <v>2</v>
      </c>
      <c r="L389" s="32" t="s">
        <v>2081</v>
      </c>
      <c r="M389" s="32" t="s">
        <v>2227</v>
      </c>
      <c r="N389" s="0" t="n">
        <v>2</v>
      </c>
      <c r="O389" s="32" t="s">
        <v>811</v>
      </c>
      <c r="P389" s="32" t="s">
        <v>2149</v>
      </c>
      <c r="Q389" s="32" t="s">
        <v>2129</v>
      </c>
      <c r="R389" s="0" t="str">
        <f aca="false">IF(H389="GEN","GM",H389)</f>
        <v>URO</v>
      </c>
    </row>
    <row r="390" customFormat="false" ht="15" hidden="false" customHeight="false" outlineLevel="0" collapsed="false">
      <c r="A390" s="0" t="s">
        <v>2781</v>
      </c>
      <c r="B390" s="0" t="s">
        <v>2451</v>
      </c>
      <c r="C390" s="0" t="s">
        <v>862</v>
      </c>
      <c r="D390" s="31" t="n">
        <v>27603</v>
      </c>
      <c r="E390" s="31" t="n">
        <v>45621</v>
      </c>
      <c r="F390" s="32" t="s">
        <v>2087</v>
      </c>
      <c r="G390" s="32" t="s">
        <v>2099</v>
      </c>
      <c r="H390" s="32" t="s">
        <v>766</v>
      </c>
      <c r="I390" s="31" t="n">
        <v>45622</v>
      </c>
      <c r="J390" s="32" t="s">
        <v>2080</v>
      </c>
      <c r="K390" s="0" t="n">
        <v>1</v>
      </c>
      <c r="L390" s="32" t="s">
        <v>2081</v>
      </c>
      <c r="M390" s="32" t="s">
        <v>2132</v>
      </c>
      <c r="N390" s="0" t="n">
        <v>1</v>
      </c>
      <c r="O390" s="32" t="s">
        <v>767</v>
      </c>
      <c r="P390" s="32" t="s">
        <v>2117</v>
      </c>
      <c r="Q390" s="32" t="s">
        <v>2241</v>
      </c>
      <c r="R390" s="0" t="str">
        <f aca="false">IF(H390="GEN","GM",H390)</f>
        <v>OR</v>
      </c>
    </row>
    <row r="391" customFormat="false" ht="15" hidden="false" customHeight="false" outlineLevel="0" collapsed="false">
      <c r="A391" s="0" t="s">
        <v>2782</v>
      </c>
      <c r="B391" s="0" t="s">
        <v>2736</v>
      </c>
      <c r="C391" s="0" t="s">
        <v>809</v>
      </c>
      <c r="D391" s="31" t="n">
        <v>29254</v>
      </c>
      <c r="E391" s="31" t="n">
        <v>45692</v>
      </c>
      <c r="F391" s="32" t="s">
        <v>2160</v>
      </c>
      <c r="G391" s="32" t="s">
        <v>2088</v>
      </c>
      <c r="H391" s="32" t="s">
        <v>826</v>
      </c>
      <c r="I391" s="31" t="n">
        <v>45699</v>
      </c>
      <c r="J391" s="32" t="s">
        <v>2080</v>
      </c>
      <c r="K391" s="0" t="n">
        <v>7</v>
      </c>
      <c r="L391" s="32" t="s">
        <v>2081</v>
      </c>
      <c r="M391" s="32" t="s">
        <v>2110</v>
      </c>
      <c r="N391" s="0" t="n">
        <v>7</v>
      </c>
      <c r="O391" s="32" t="s">
        <v>827</v>
      </c>
      <c r="P391" s="32" t="s">
        <v>2083</v>
      </c>
      <c r="Q391" s="32" t="s">
        <v>2165</v>
      </c>
      <c r="R391" s="0" t="str">
        <f aca="false">IF(H391="GEN","GM",H391)</f>
        <v>RHE</v>
      </c>
    </row>
    <row r="392" customFormat="false" ht="15" hidden="false" customHeight="false" outlineLevel="0" collapsed="false">
      <c r="A392" s="0" t="s">
        <v>2783</v>
      </c>
      <c r="B392" s="0" t="s">
        <v>2784</v>
      </c>
      <c r="C392" s="0" t="s">
        <v>817</v>
      </c>
      <c r="D392" s="31" t="n">
        <v>13739</v>
      </c>
      <c r="E392" s="31" t="n">
        <v>45646</v>
      </c>
      <c r="F392" s="32" t="s">
        <v>2078</v>
      </c>
      <c r="G392" s="32" t="s">
        <v>2088</v>
      </c>
      <c r="H392" s="32" t="s">
        <v>793</v>
      </c>
      <c r="I392" s="31" t="n">
        <v>45649</v>
      </c>
      <c r="J392" s="32" t="s">
        <v>2080</v>
      </c>
      <c r="K392" s="0" t="n">
        <v>3</v>
      </c>
      <c r="L392" s="32" t="s">
        <v>2081</v>
      </c>
      <c r="M392" s="32" t="s">
        <v>2128</v>
      </c>
      <c r="N392" s="0" t="n">
        <v>3</v>
      </c>
      <c r="O392" s="32" t="s">
        <v>794</v>
      </c>
      <c r="P392" s="32" t="s">
        <v>2090</v>
      </c>
      <c r="Q392" s="32" t="s">
        <v>2112</v>
      </c>
      <c r="R392" s="0" t="str">
        <f aca="false">IF(H392="GEN","GM",H392)</f>
        <v>EM</v>
      </c>
    </row>
    <row r="393" customFormat="false" ht="15" hidden="false" customHeight="false" outlineLevel="0" collapsed="false">
      <c r="A393" s="0" t="s">
        <v>2785</v>
      </c>
      <c r="B393" s="0" t="s">
        <v>2765</v>
      </c>
      <c r="C393" s="0" t="s">
        <v>1402</v>
      </c>
      <c r="D393" s="31" t="n">
        <v>13683</v>
      </c>
      <c r="E393" s="31" t="n">
        <v>45720</v>
      </c>
      <c r="F393" s="32" t="s">
        <v>2087</v>
      </c>
      <c r="G393" s="32" t="s">
        <v>2088</v>
      </c>
      <c r="H393" s="32" t="s">
        <v>793</v>
      </c>
      <c r="I393" s="31" t="n">
        <v>45729</v>
      </c>
      <c r="J393" s="32" t="s">
        <v>2080</v>
      </c>
      <c r="K393" s="0" t="n">
        <v>9</v>
      </c>
      <c r="L393" s="32" t="s">
        <v>2081</v>
      </c>
      <c r="M393" s="32" t="s">
        <v>2283</v>
      </c>
      <c r="N393" s="0" t="n">
        <v>9</v>
      </c>
      <c r="O393" s="32" t="s">
        <v>794</v>
      </c>
      <c r="P393" s="32" t="s">
        <v>2090</v>
      </c>
      <c r="Q393" s="32" t="s">
        <v>2138</v>
      </c>
      <c r="R393" s="0" t="str">
        <f aca="false">IF(H393="GEN","GM",H393)</f>
        <v>EM</v>
      </c>
    </row>
    <row r="394" customFormat="false" ht="15" hidden="false" customHeight="false" outlineLevel="0" collapsed="false">
      <c r="A394" s="0" t="s">
        <v>2786</v>
      </c>
      <c r="B394" s="0" t="s">
        <v>2456</v>
      </c>
      <c r="C394" s="0" t="s">
        <v>930</v>
      </c>
      <c r="D394" s="31" t="n">
        <v>27617</v>
      </c>
      <c r="E394" s="31" t="n">
        <v>45596</v>
      </c>
      <c r="F394" s="32" t="s">
        <v>2087</v>
      </c>
      <c r="G394" s="32" t="s">
        <v>2079</v>
      </c>
      <c r="H394" s="32" t="s">
        <v>776</v>
      </c>
      <c r="I394" s="31" t="n">
        <v>45599</v>
      </c>
      <c r="J394" s="32" t="s">
        <v>2080</v>
      </c>
      <c r="K394" s="0" t="n">
        <v>3</v>
      </c>
      <c r="L394" s="32" t="s">
        <v>2081</v>
      </c>
      <c r="M394" s="32" t="s">
        <v>2195</v>
      </c>
      <c r="N394" s="0" t="n">
        <v>3</v>
      </c>
      <c r="O394" s="32" t="s">
        <v>777</v>
      </c>
      <c r="P394" s="32" t="s">
        <v>2201</v>
      </c>
      <c r="Q394" s="32" t="s">
        <v>2096</v>
      </c>
      <c r="R394" s="0" t="str">
        <f aca="false">IF(H394="GEN","GM",H394)</f>
        <v>GS</v>
      </c>
    </row>
    <row r="395" customFormat="false" ht="15" hidden="false" customHeight="false" outlineLevel="0" collapsed="false">
      <c r="A395" s="0" t="s">
        <v>2787</v>
      </c>
      <c r="B395" s="0" t="s">
        <v>2788</v>
      </c>
      <c r="C395" s="0" t="s">
        <v>985</v>
      </c>
      <c r="D395" s="31" t="n">
        <v>34408</v>
      </c>
      <c r="E395" s="31" t="n">
        <v>45636</v>
      </c>
      <c r="F395" s="32" t="s">
        <v>2087</v>
      </c>
      <c r="G395" s="32" t="s">
        <v>2088</v>
      </c>
      <c r="H395" s="32" t="s">
        <v>793</v>
      </c>
      <c r="I395" s="31" t="n">
        <v>45638</v>
      </c>
      <c r="J395" s="32" t="s">
        <v>2080</v>
      </c>
      <c r="K395" s="0" t="n">
        <v>2</v>
      </c>
      <c r="L395" s="32" t="s">
        <v>2081</v>
      </c>
      <c r="M395" s="32" t="s">
        <v>2110</v>
      </c>
      <c r="N395" s="0" t="n">
        <v>2</v>
      </c>
      <c r="O395" s="32" t="s">
        <v>794</v>
      </c>
      <c r="P395" s="32" t="s">
        <v>2133</v>
      </c>
      <c r="Q395" s="32" t="s">
        <v>2091</v>
      </c>
      <c r="R395" s="0" t="str">
        <f aca="false">IF(H395="GEN","GM",H395)</f>
        <v>EM</v>
      </c>
    </row>
    <row r="396" customFormat="false" ht="15" hidden="false" customHeight="false" outlineLevel="0" collapsed="false">
      <c r="A396" s="0" t="s">
        <v>2789</v>
      </c>
      <c r="B396" s="0" t="s">
        <v>2790</v>
      </c>
      <c r="C396" s="0" t="s">
        <v>958</v>
      </c>
      <c r="D396" s="31" t="n">
        <v>14559</v>
      </c>
      <c r="E396" s="31" t="n">
        <v>45599</v>
      </c>
      <c r="F396" s="32" t="s">
        <v>2078</v>
      </c>
      <c r="G396" s="32" t="s">
        <v>2088</v>
      </c>
      <c r="H396" s="32" t="s">
        <v>747</v>
      </c>
      <c r="I396" s="31" t="n">
        <v>45601</v>
      </c>
      <c r="J396" s="32" t="s">
        <v>2080</v>
      </c>
      <c r="K396" s="0" t="n">
        <v>2</v>
      </c>
      <c r="L396" s="32" t="s">
        <v>2081</v>
      </c>
      <c r="M396" s="32" t="s">
        <v>2286</v>
      </c>
      <c r="N396" s="0" t="n">
        <v>2</v>
      </c>
      <c r="O396" s="32" t="s">
        <v>748</v>
      </c>
      <c r="P396" s="32" t="s">
        <v>2238</v>
      </c>
      <c r="Q396" s="32" t="s">
        <v>2241</v>
      </c>
      <c r="R396" s="0" t="str">
        <f aca="false">IF(H396="GEN","GM",H396)</f>
        <v>GM</v>
      </c>
    </row>
    <row r="397" customFormat="false" ht="15" hidden="false" customHeight="false" outlineLevel="0" collapsed="false">
      <c r="A397" s="0" t="s">
        <v>2791</v>
      </c>
      <c r="B397" s="0" t="s">
        <v>2792</v>
      </c>
      <c r="C397" s="0" t="s">
        <v>870</v>
      </c>
      <c r="D397" s="31" t="n">
        <v>38410</v>
      </c>
      <c r="E397" s="31" t="n">
        <v>45708</v>
      </c>
      <c r="F397" s="32" t="s">
        <v>2078</v>
      </c>
      <c r="G397" s="32" t="s">
        <v>2124</v>
      </c>
      <c r="H397" s="32" t="s">
        <v>785</v>
      </c>
      <c r="I397" s="31" t="n">
        <v>45708</v>
      </c>
      <c r="J397" s="32" t="s">
        <v>2080</v>
      </c>
      <c r="K397" s="0" t="n">
        <v>0</v>
      </c>
      <c r="L397" s="32" t="s">
        <v>2081</v>
      </c>
      <c r="M397" s="32" t="s">
        <v>2094</v>
      </c>
      <c r="N397" s="0" t="n">
        <v>0</v>
      </c>
      <c r="O397" s="32" t="s">
        <v>786</v>
      </c>
      <c r="P397" s="32" t="s">
        <v>2083</v>
      </c>
      <c r="Q397" s="32" t="s">
        <v>2157</v>
      </c>
      <c r="R397" s="0" t="str">
        <f aca="false">IF(H397="GEN","GM",H397)</f>
        <v>RS</v>
      </c>
    </row>
    <row r="398" customFormat="false" ht="15" hidden="false" customHeight="false" outlineLevel="0" collapsed="false">
      <c r="A398" s="0" t="s">
        <v>2793</v>
      </c>
      <c r="B398" s="0" t="s">
        <v>2794</v>
      </c>
      <c r="C398" s="0" t="s">
        <v>942</v>
      </c>
      <c r="D398" s="31" t="n">
        <v>35817</v>
      </c>
      <c r="E398" s="31" t="n">
        <v>45715</v>
      </c>
      <c r="F398" s="32" t="s">
        <v>2087</v>
      </c>
      <c r="G398" s="32" t="s">
        <v>2079</v>
      </c>
      <c r="H398" s="32" t="s">
        <v>776</v>
      </c>
      <c r="I398" s="31" t="n">
        <v>45719</v>
      </c>
      <c r="J398" s="32" t="s">
        <v>2160</v>
      </c>
      <c r="K398" s="0" t="n">
        <v>4</v>
      </c>
      <c r="L398" s="32" t="s">
        <v>2081</v>
      </c>
      <c r="N398" s="0" t="n">
        <v>4</v>
      </c>
      <c r="O398" s="32" t="s">
        <v>777</v>
      </c>
      <c r="P398" s="32" t="s">
        <v>2117</v>
      </c>
      <c r="Q398" s="32" t="s">
        <v>2096</v>
      </c>
      <c r="R398" s="0" t="str">
        <f aca="false">IF(H398="GEN","GM",H398)</f>
        <v>GS</v>
      </c>
    </row>
    <row r="399" customFormat="false" ht="15" hidden="false" customHeight="false" outlineLevel="0" collapsed="false">
      <c r="A399" s="0" t="s">
        <v>2795</v>
      </c>
      <c r="B399" s="0" t="s">
        <v>2439</v>
      </c>
      <c r="C399" s="0" t="s">
        <v>922</v>
      </c>
      <c r="D399" s="31" t="n">
        <v>28226</v>
      </c>
      <c r="E399" s="31" t="n">
        <v>45732</v>
      </c>
      <c r="F399" s="32" t="s">
        <v>2087</v>
      </c>
      <c r="G399" s="32" t="s">
        <v>2079</v>
      </c>
      <c r="H399" s="32" t="s">
        <v>810</v>
      </c>
      <c r="I399" s="31" t="n">
        <v>45737</v>
      </c>
      <c r="J399" s="32" t="s">
        <v>2080</v>
      </c>
      <c r="K399" s="0" t="n">
        <v>5</v>
      </c>
      <c r="L399" s="32" t="s">
        <v>2081</v>
      </c>
      <c r="M399" s="32" t="s">
        <v>2195</v>
      </c>
      <c r="N399" s="0" t="n">
        <v>5</v>
      </c>
      <c r="O399" s="32" t="s">
        <v>811</v>
      </c>
      <c r="P399" s="32" t="s">
        <v>2162</v>
      </c>
      <c r="Q399" s="32" t="s">
        <v>2112</v>
      </c>
      <c r="R399" s="0" t="str">
        <f aca="false">IF(H399="GEN","GM",H399)</f>
        <v>URO</v>
      </c>
    </row>
    <row r="400" customFormat="false" ht="15" hidden="false" customHeight="false" outlineLevel="0" collapsed="false">
      <c r="A400" s="0" t="s">
        <v>2796</v>
      </c>
      <c r="B400" s="0" t="s">
        <v>2797</v>
      </c>
      <c r="C400" s="0" t="s">
        <v>910</v>
      </c>
      <c r="D400" s="31" t="n">
        <v>24579</v>
      </c>
      <c r="E400" s="31" t="n">
        <v>45665</v>
      </c>
      <c r="F400" s="32" t="s">
        <v>2078</v>
      </c>
      <c r="G400" s="32" t="s">
        <v>2099</v>
      </c>
      <c r="H400" s="32" t="s">
        <v>766</v>
      </c>
      <c r="I400" s="31" t="n">
        <v>45669</v>
      </c>
      <c r="J400" s="32" t="s">
        <v>2080</v>
      </c>
      <c r="K400" s="0" t="n">
        <v>4</v>
      </c>
      <c r="L400" s="32" t="s">
        <v>2081</v>
      </c>
      <c r="M400" s="32" t="s">
        <v>2132</v>
      </c>
      <c r="N400" s="0" t="n">
        <v>4</v>
      </c>
      <c r="O400" s="32" t="s">
        <v>767</v>
      </c>
      <c r="P400" s="32" t="s">
        <v>2121</v>
      </c>
      <c r="Q400" s="32" t="s">
        <v>2138</v>
      </c>
      <c r="R400" s="0" t="str">
        <f aca="false">IF(H400="GEN","GM",H400)</f>
        <v>OR</v>
      </c>
    </row>
    <row r="401" customFormat="false" ht="15" hidden="false" customHeight="false" outlineLevel="0" collapsed="false">
      <c r="A401" s="0" t="s">
        <v>2798</v>
      </c>
      <c r="B401" s="0" t="s">
        <v>2645</v>
      </c>
      <c r="C401" s="0" t="s">
        <v>746</v>
      </c>
      <c r="D401" s="31" t="n">
        <v>26889</v>
      </c>
      <c r="E401" s="31" t="n">
        <v>45674</v>
      </c>
      <c r="F401" s="32" t="s">
        <v>2087</v>
      </c>
      <c r="G401" s="32" t="s">
        <v>2088</v>
      </c>
      <c r="H401" s="32" t="s">
        <v>793</v>
      </c>
      <c r="I401" s="31" t="n">
        <v>45680</v>
      </c>
      <c r="J401" s="32" t="s">
        <v>2080</v>
      </c>
      <c r="K401" s="0" t="n">
        <v>6</v>
      </c>
      <c r="L401" s="32" t="s">
        <v>2081</v>
      </c>
      <c r="M401" s="32" t="s">
        <v>2089</v>
      </c>
      <c r="N401" s="0" t="n">
        <v>6</v>
      </c>
      <c r="O401" s="32" t="s">
        <v>794</v>
      </c>
      <c r="P401" s="32" t="s">
        <v>2111</v>
      </c>
      <c r="Q401" s="32" t="s">
        <v>2241</v>
      </c>
      <c r="R401" s="0" t="str">
        <f aca="false">IF(H401="GEN","GM",H401)</f>
        <v>EM</v>
      </c>
    </row>
    <row r="402" customFormat="false" ht="15" hidden="false" customHeight="false" outlineLevel="0" collapsed="false">
      <c r="A402" s="0" t="s">
        <v>2799</v>
      </c>
      <c r="B402" s="0" t="s">
        <v>2800</v>
      </c>
      <c r="C402" s="0" t="s">
        <v>2206</v>
      </c>
      <c r="D402" s="31" t="n">
        <v>25324</v>
      </c>
      <c r="E402" s="31" t="n">
        <v>45662</v>
      </c>
      <c r="F402" s="32" t="s">
        <v>2087</v>
      </c>
      <c r="G402" s="32" t="s">
        <v>2099</v>
      </c>
      <c r="H402" s="32" t="s">
        <v>766</v>
      </c>
      <c r="I402" s="31" t="n">
        <v>45662</v>
      </c>
      <c r="J402" s="32" t="s">
        <v>2080</v>
      </c>
      <c r="K402" s="0" t="n">
        <v>0</v>
      </c>
      <c r="L402" s="32" t="s">
        <v>2106</v>
      </c>
      <c r="M402" s="32" t="s">
        <v>2189</v>
      </c>
      <c r="N402" s="0" t="n">
        <v>0</v>
      </c>
      <c r="O402" s="32" t="s">
        <v>767</v>
      </c>
      <c r="P402" s="32" t="s">
        <v>2142</v>
      </c>
      <c r="Q402" s="32" t="s">
        <v>2241</v>
      </c>
      <c r="R402" s="0" t="str">
        <f aca="false">IF(H402="GEN","GM",H402)</f>
        <v>OR</v>
      </c>
    </row>
    <row r="403" customFormat="false" ht="15" hidden="false" customHeight="false" outlineLevel="0" collapsed="false">
      <c r="A403" s="0" t="s">
        <v>2801</v>
      </c>
      <c r="B403" s="0" t="s">
        <v>2473</v>
      </c>
      <c r="C403" s="0" t="s">
        <v>914</v>
      </c>
      <c r="D403" s="31" t="n">
        <v>33624</v>
      </c>
      <c r="E403" s="31" t="n">
        <v>45625</v>
      </c>
      <c r="F403" s="32" t="s">
        <v>2078</v>
      </c>
      <c r="G403" s="32" t="s">
        <v>2104</v>
      </c>
      <c r="H403" s="32" t="s">
        <v>802</v>
      </c>
      <c r="I403" s="31" t="n">
        <v>45629</v>
      </c>
      <c r="J403" s="32" t="s">
        <v>2080</v>
      </c>
      <c r="K403" s="0" t="n">
        <v>4</v>
      </c>
      <c r="L403" s="32" t="s">
        <v>2081</v>
      </c>
      <c r="M403" s="32" t="s">
        <v>2152</v>
      </c>
      <c r="N403" s="0" t="n">
        <v>4</v>
      </c>
      <c r="O403" s="32" t="s">
        <v>803</v>
      </c>
      <c r="P403" s="32" t="s">
        <v>2083</v>
      </c>
      <c r="Q403" s="32" t="s">
        <v>2165</v>
      </c>
      <c r="R403" s="0" t="str">
        <f aca="false">IF(H403="GEN","GM",H403)</f>
        <v>GYN</v>
      </c>
    </row>
    <row r="404" customFormat="false" ht="15" hidden="false" customHeight="false" outlineLevel="0" collapsed="false">
      <c r="A404" s="0" t="s">
        <v>2802</v>
      </c>
      <c r="B404" s="0" t="s">
        <v>2803</v>
      </c>
      <c r="C404" s="0" t="s">
        <v>942</v>
      </c>
      <c r="D404" s="31" t="n">
        <v>19688</v>
      </c>
      <c r="E404" s="31" t="n">
        <v>45601</v>
      </c>
      <c r="F404" s="32" t="s">
        <v>2087</v>
      </c>
      <c r="G404" s="32" t="s">
        <v>2104</v>
      </c>
      <c r="H404" s="32" t="s">
        <v>802</v>
      </c>
      <c r="I404" s="31" t="n">
        <v>45604</v>
      </c>
      <c r="J404" s="32" t="s">
        <v>2160</v>
      </c>
      <c r="K404" s="0" t="n">
        <v>3</v>
      </c>
      <c r="L404" s="32" t="s">
        <v>2081</v>
      </c>
      <c r="M404" s="32" t="s">
        <v>2110</v>
      </c>
      <c r="N404" s="0" t="n">
        <v>3</v>
      </c>
      <c r="O404" s="32" t="s">
        <v>803</v>
      </c>
      <c r="P404" s="32" t="s">
        <v>2156</v>
      </c>
      <c r="Q404" s="32" t="s">
        <v>2190</v>
      </c>
      <c r="R404" s="0" t="str">
        <f aca="false">IF(H404="GEN","GM",H404)</f>
        <v>GYN</v>
      </c>
    </row>
    <row r="405" customFormat="false" ht="15" hidden="false" customHeight="false" outlineLevel="0" collapsed="false">
      <c r="A405" s="0" t="s">
        <v>2804</v>
      </c>
      <c r="B405" s="0" t="s">
        <v>2398</v>
      </c>
      <c r="C405" s="0" t="s">
        <v>997</v>
      </c>
      <c r="D405" s="31" t="n">
        <v>16622</v>
      </c>
      <c r="E405" s="31" t="n">
        <v>45706</v>
      </c>
      <c r="F405" s="32" t="s">
        <v>2160</v>
      </c>
      <c r="G405" s="32" t="s">
        <v>2099</v>
      </c>
      <c r="H405" s="32" t="s">
        <v>818</v>
      </c>
      <c r="I405" s="31" t="n">
        <v>45712</v>
      </c>
      <c r="J405" s="32" t="s">
        <v>2080</v>
      </c>
      <c r="K405" s="0" t="n">
        <v>6</v>
      </c>
      <c r="L405" s="32" t="s">
        <v>2081</v>
      </c>
      <c r="M405" s="32" t="s">
        <v>2227</v>
      </c>
      <c r="N405" s="0" t="n">
        <v>6</v>
      </c>
      <c r="P405" s="32" t="s">
        <v>2133</v>
      </c>
      <c r="Q405" s="32" t="s">
        <v>2107</v>
      </c>
      <c r="R405" s="0" t="str">
        <f aca="false">IF(H405="GEN","GM",H405)</f>
        <v>OPH</v>
      </c>
    </row>
    <row r="406" customFormat="false" ht="15" hidden="false" customHeight="false" outlineLevel="0" collapsed="false">
      <c r="A406" s="0" t="s">
        <v>2805</v>
      </c>
      <c r="B406" s="0" t="s">
        <v>2246</v>
      </c>
      <c r="C406" s="0" t="s">
        <v>906</v>
      </c>
      <c r="D406" s="31" t="n">
        <v>34055</v>
      </c>
      <c r="E406" s="31" t="n">
        <v>45584</v>
      </c>
      <c r="F406" s="32" t="s">
        <v>2087</v>
      </c>
      <c r="G406" s="32" t="s">
        <v>2099</v>
      </c>
      <c r="H406" s="32" t="s">
        <v>818</v>
      </c>
      <c r="I406" s="31" t="n">
        <v>45589</v>
      </c>
      <c r="J406" s="32" t="s">
        <v>2080</v>
      </c>
      <c r="K406" s="0" t="n">
        <v>5</v>
      </c>
      <c r="L406" s="32" t="s">
        <v>2081</v>
      </c>
      <c r="N406" s="0" t="n">
        <v>5</v>
      </c>
      <c r="O406" s="32" t="s">
        <v>819</v>
      </c>
      <c r="P406" s="32" t="s">
        <v>2162</v>
      </c>
      <c r="Q406" s="32" t="s">
        <v>2190</v>
      </c>
      <c r="R406" s="0" t="str">
        <f aca="false">IF(H406="GEN","GM",H406)</f>
        <v>OPH</v>
      </c>
    </row>
    <row r="407" customFormat="false" ht="15" hidden="false" customHeight="false" outlineLevel="0" collapsed="false">
      <c r="A407" s="0" t="s">
        <v>2806</v>
      </c>
      <c r="B407" s="0" t="s">
        <v>2807</v>
      </c>
      <c r="C407" s="0" t="s">
        <v>853</v>
      </c>
      <c r="D407" s="31" t="n">
        <v>32681</v>
      </c>
      <c r="E407" s="31" t="n">
        <v>45643</v>
      </c>
      <c r="F407" s="32" t="s">
        <v>2078</v>
      </c>
      <c r="G407" s="32" t="s">
        <v>2124</v>
      </c>
      <c r="H407" s="32" t="s">
        <v>785</v>
      </c>
      <c r="I407" s="31" t="n">
        <v>45645</v>
      </c>
      <c r="J407" s="32" t="s">
        <v>2080</v>
      </c>
      <c r="K407" s="0" t="n">
        <v>2</v>
      </c>
      <c r="M407" s="32" t="s">
        <v>2141</v>
      </c>
      <c r="N407" s="0" t="n">
        <v>2</v>
      </c>
      <c r="O407" s="32" t="s">
        <v>786</v>
      </c>
      <c r="P407" s="32" t="s">
        <v>2137</v>
      </c>
      <c r="Q407" s="32" t="s">
        <v>2157</v>
      </c>
      <c r="R407" s="0" t="str">
        <f aca="false">IF(H407="GEN","GM",H407)</f>
        <v>RS</v>
      </c>
    </row>
    <row r="408" customFormat="false" ht="15" hidden="false" customHeight="false" outlineLevel="0" collapsed="false">
      <c r="A408" s="0" t="s">
        <v>2808</v>
      </c>
      <c r="B408" s="0" t="s">
        <v>2669</v>
      </c>
      <c r="C408" s="0" t="s">
        <v>970</v>
      </c>
      <c r="D408" s="31" t="n">
        <v>35443</v>
      </c>
      <c r="E408" s="31" t="n">
        <v>45587</v>
      </c>
      <c r="F408" s="32" t="s">
        <v>2078</v>
      </c>
      <c r="G408" s="32" t="s">
        <v>2115</v>
      </c>
      <c r="H408" s="32" t="s">
        <v>758</v>
      </c>
      <c r="I408" s="31" t="n">
        <v>45588</v>
      </c>
      <c r="J408" s="32" t="s">
        <v>2080</v>
      </c>
      <c r="K408" s="0" t="n">
        <v>1</v>
      </c>
      <c r="L408" s="32" t="s">
        <v>2081</v>
      </c>
      <c r="M408" s="32" t="s">
        <v>2152</v>
      </c>
      <c r="N408" s="0" t="n">
        <v>1</v>
      </c>
      <c r="O408" s="32" t="s">
        <v>759</v>
      </c>
      <c r="P408" s="32" t="s">
        <v>2149</v>
      </c>
      <c r="Q408" s="32" t="s">
        <v>2170</v>
      </c>
      <c r="R408" s="0" t="str">
        <f aca="false">IF(H408="GEN","GM",H408)</f>
        <v>CS</v>
      </c>
    </row>
    <row r="409" customFormat="false" ht="15" hidden="false" customHeight="false" outlineLevel="0" collapsed="false">
      <c r="A409" s="0" t="s">
        <v>2809</v>
      </c>
      <c r="B409" s="0" t="s">
        <v>2606</v>
      </c>
      <c r="C409" s="0" t="s">
        <v>775</v>
      </c>
      <c r="D409" s="31" t="n">
        <v>36375</v>
      </c>
      <c r="E409" s="31" t="n">
        <v>45578</v>
      </c>
      <c r="F409" s="32" t="s">
        <v>2087</v>
      </c>
      <c r="G409" s="32" t="s">
        <v>2104</v>
      </c>
      <c r="H409" s="32" t="s">
        <v>802</v>
      </c>
      <c r="I409" s="31" t="n">
        <v>45580</v>
      </c>
      <c r="J409" s="32" t="s">
        <v>2080</v>
      </c>
      <c r="K409" s="0" t="n">
        <v>2</v>
      </c>
      <c r="L409" s="32" t="s">
        <v>2081</v>
      </c>
      <c r="M409" s="32" t="s">
        <v>2110</v>
      </c>
      <c r="N409" s="0" t="n">
        <v>2</v>
      </c>
      <c r="O409" s="32" t="s">
        <v>803</v>
      </c>
      <c r="P409" s="32" t="s">
        <v>2238</v>
      </c>
      <c r="Q409" s="32" t="s">
        <v>2170</v>
      </c>
      <c r="R409" s="0" t="str">
        <f aca="false">IF(H409="GEN","GM",H409)</f>
        <v>GYN</v>
      </c>
    </row>
    <row r="410" customFormat="false" ht="15" hidden="false" customHeight="false" outlineLevel="0" collapsed="false">
      <c r="A410" s="0" t="s">
        <v>2810</v>
      </c>
      <c r="B410" s="0" t="s">
        <v>2709</v>
      </c>
      <c r="C410" s="0" t="s">
        <v>882</v>
      </c>
      <c r="D410" s="31" t="n">
        <v>30326</v>
      </c>
      <c r="E410" s="31" t="n">
        <v>45679</v>
      </c>
      <c r="F410" s="32" t="s">
        <v>2078</v>
      </c>
      <c r="G410" s="32" t="s">
        <v>2088</v>
      </c>
      <c r="H410" s="32" t="s">
        <v>826</v>
      </c>
      <c r="I410" s="31" t="n">
        <v>45683</v>
      </c>
      <c r="J410" s="32" t="s">
        <v>2080</v>
      </c>
      <c r="K410" s="0" t="n">
        <v>4</v>
      </c>
      <c r="L410" s="32" t="s">
        <v>2106</v>
      </c>
      <c r="M410" s="32" t="s">
        <v>2255</v>
      </c>
      <c r="N410" s="0" t="n">
        <v>6</v>
      </c>
      <c r="O410" s="32" t="s">
        <v>827</v>
      </c>
      <c r="P410" s="32" t="s">
        <v>2175</v>
      </c>
      <c r="Q410" s="32" t="s">
        <v>2091</v>
      </c>
      <c r="R410" s="0" t="str">
        <f aca="false">IF(H410="GEN","GM",H410)</f>
        <v>RHE</v>
      </c>
    </row>
    <row r="411" customFormat="false" ht="15" hidden="false" customHeight="false" outlineLevel="0" collapsed="false">
      <c r="A411" s="0" t="s">
        <v>2811</v>
      </c>
      <c r="B411" s="0" t="s">
        <v>2812</v>
      </c>
      <c r="C411" s="0" t="s">
        <v>1013</v>
      </c>
      <c r="D411" s="31" t="n">
        <v>15740</v>
      </c>
      <c r="E411" s="31" t="n">
        <v>45628</v>
      </c>
      <c r="F411" s="32" t="s">
        <v>2078</v>
      </c>
      <c r="G411" s="32" t="s">
        <v>2088</v>
      </c>
      <c r="H411" s="32" t="s">
        <v>793</v>
      </c>
      <c r="I411" s="31" t="n">
        <v>45633</v>
      </c>
      <c r="J411" s="32" t="s">
        <v>2080</v>
      </c>
      <c r="K411" s="0" t="n">
        <v>5</v>
      </c>
      <c r="L411" s="32" t="s">
        <v>2081</v>
      </c>
      <c r="M411" s="32" t="s">
        <v>2189</v>
      </c>
      <c r="N411" s="0" t="n">
        <v>5</v>
      </c>
      <c r="O411" s="32" t="s">
        <v>794</v>
      </c>
      <c r="P411" s="32" t="s">
        <v>2101</v>
      </c>
      <c r="Q411" s="32" t="s">
        <v>2112</v>
      </c>
      <c r="R411" s="0" t="str">
        <f aca="false">IF(H411="GEN","GM",H411)</f>
        <v>EM</v>
      </c>
    </row>
    <row r="412" customFormat="false" ht="15" hidden="false" customHeight="false" outlineLevel="0" collapsed="false">
      <c r="A412" s="0" t="s">
        <v>2813</v>
      </c>
      <c r="B412" s="0" t="s">
        <v>2814</v>
      </c>
      <c r="C412" s="0" t="s">
        <v>946</v>
      </c>
      <c r="D412" s="31" t="n">
        <v>19351</v>
      </c>
      <c r="E412" s="31" t="n">
        <v>45736</v>
      </c>
      <c r="F412" s="32" t="s">
        <v>2078</v>
      </c>
      <c r="G412" s="32" t="s">
        <v>2099</v>
      </c>
      <c r="H412" s="32" t="s">
        <v>818</v>
      </c>
      <c r="I412" s="31" t="n">
        <v>45738</v>
      </c>
      <c r="J412" s="32" t="s">
        <v>2080</v>
      </c>
      <c r="K412" s="0" t="n">
        <v>2</v>
      </c>
      <c r="L412" s="32" t="s">
        <v>2081</v>
      </c>
      <c r="M412" s="32" t="s">
        <v>2100</v>
      </c>
      <c r="N412" s="0" t="n">
        <v>2</v>
      </c>
      <c r="O412" s="32" t="s">
        <v>819</v>
      </c>
      <c r="P412" s="32" t="s">
        <v>2121</v>
      </c>
      <c r="Q412" s="32" t="s">
        <v>2190</v>
      </c>
      <c r="R412" s="0" t="str">
        <f aca="false">IF(H412="GEN","GM",H412)</f>
        <v>OPH</v>
      </c>
    </row>
    <row r="413" customFormat="false" ht="15" hidden="false" customHeight="false" outlineLevel="0" collapsed="false">
      <c r="A413" s="0" t="s">
        <v>2815</v>
      </c>
      <c r="B413" s="0" t="s">
        <v>2816</v>
      </c>
      <c r="C413" s="0" t="s">
        <v>866</v>
      </c>
      <c r="D413" s="31" t="n">
        <v>18876</v>
      </c>
      <c r="E413" s="31" t="n">
        <v>45671</v>
      </c>
      <c r="F413" s="32" t="s">
        <v>2087</v>
      </c>
      <c r="G413" s="32" t="s">
        <v>2115</v>
      </c>
      <c r="H413" s="32" t="s">
        <v>758</v>
      </c>
      <c r="I413" s="31" t="n">
        <v>45678</v>
      </c>
      <c r="J413" s="32" t="s">
        <v>2080</v>
      </c>
      <c r="K413" s="0" t="n">
        <v>7</v>
      </c>
      <c r="L413" s="32" t="s">
        <v>2081</v>
      </c>
      <c r="M413" s="32" t="s">
        <v>2212</v>
      </c>
      <c r="N413" s="0" t="n">
        <v>7</v>
      </c>
      <c r="O413" s="32" t="s">
        <v>759</v>
      </c>
      <c r="P413" s="32" t="s">
        <v>2117</v>
      </c>
      <c r="Q413" s="32" t="s">
        <v>2107</v>
      </c>
      <c r="R413" s="0" t="str">
        <f aca="false">IF(H413="GEN","GM",H413)</f>
        <v>CS</v>
      </c>
    </row>
    <row r="414" customFormat="false" ht="15" hidden="false" customHeight="false" outlineLevel="0" collapsed="false">
      <c r="A414" s="0" t="s">
        <v>2817</v>
      </c>
      <c r="B414" s="0" t="s">
        <v>2818</v>
      </c>
      <c r="C414" s="0" t="s">
        <v>1005</v>
      </c>
      <c r="D414" s="31" t="n">
        <v>20199</v>
      </c>
      <c r="E414" s="31" t="n">
        <v>45587</v>
      </c>
      <c r="F414" s="32" t="s">
        <v>2087</v>
      </c>
      <c r="G414" s="32" t="s">
        <v>2088</v>
      </c>
      <c r="H414" s="32" t="s">
        <v>826</v>
      </c>
      <c r="I414" s="31" t="n">
        <v>45593</v>
      </c>
      <c r="J414" s="32" t="s">
        <v>2080</v>
      </c>
      <c r="K414" s="0" t="n">
        <v>6</v>
      </c>
      <c r="L414" s="32" t="s">
        <v>2081</v>
      </c>
      <c r="M414" s="32" t="s">
        <v>2152</v>
      </c>
      <c r="N414" s="0" t="n">
        <v>6</v>
      </c>
      <c r="O414" s="32" t="s">
        <v>827</v>
      </c>
      <c r="P414" s="32" t="s">
        <v>2142</v>
      </c>
      <c r="Q414" s="32" t="s">
        <v>2241</v>
      </c>
      <c r="R414" s="0" t="str">
        <f aca="false">IF(H414="GEN","GM",H414)</f>
        <v>RHE</v>
      </c>
    </row>
    <row r="415" customFormat="false" ht="15" hidden="false" customHeight="false" outlineLevel="0" collapsed="false">
      <c r="A415" s="0" t="s">
        <v>2819</v>
      </c>
      <c r="B415" s="0" t="s">
        <v>2820</v>
      </c>
      <c r="C415" s="0" t="s">
        <v>2206</v>
      </c>
      <c r="D415" s="31" t="n">
        <v>19217</v>
      </c>
      <c r="E415" s="31" t="n">
        <v>45582</v>
      </c>
      <c r="F415" s="32" t="s">
        <v>2078</v>
      </c>
      <c r="G415" s="32" t="s">
        <v>2088</v>
      </c>
      <c r="H415" s="32" t="s">
        <v>793</v>
      </c>
      <c r="I415" s="31" t="n">
        <v>45583</v>
      </c>
      <c r="J415" s="32" t="s">
        <v>2080</v>
      </c>
      <c r="K415" s="0" t="n">
        <v>1</v>
      </c>
      <c r="L415" s="32" t="s">
        <v>2081</v>
      </c>
      <c r="M415" s="32" t="s">
        <v>2212</v>
      </c>
      <c r="N415" s="0" t="n">
        <v>1</v>
      </c>
      <c r="O415" s="32" t="s">
        <v>794</v>
      </c>
      <c r="P415" s="32" t="s">
        <v>2162</v>
      </c>
      <c r="Q415" s="32" t="s">
        <v>2125</v>
      </c>
      <c r="R415" s="0" t="str">
        <f aca="false">IF(H415="GEN","GM",H415)</f>
        <v>EM</v>
      </c>
    </row>
    <row r="416" customFormat="false" ht="15" hidden="false" customHeight="false" outlineLevel="0" collapsed="false">
      <c r="A416" s="0" t="s">
        <v>2821</v>
      </c>
      <c r="B416" s="0" t="s">
        <v>2657</v>
      </c>
      <c r="C416" s="0" t="s">
        <v>890</v>
      </c>
      <c r="D416" s="31" t="n">
        <v>19338</v>
      </c>
      <c r="E416" s="31" t="n">
        <v>45684</v>
      </c>
      <c r="F416" s="32" t="s">
        <v>2078</v>
      </c>
      <c r="G416" s="32" t="s">
        <v>2099</v>
      </c>
      <c r="H416" s="32" t="s">
        <v>818</v>
      </c>
      <c r="I416" s="31" t="n">
        <v>45687</v>
      </c>
      <c r="J416" s="32" t="s">
        <v>2160</v>
      </c>
      <c r="K416" s="0" t="n">
        <v>3</v>
      </c>
      <c r="L416" s="32" t="s">
        <v>2081</v>
      </c>
      <c r="M416" s="32" t="s">
        <v>2100</v>
      </c>
      <c r="N416" s="0" t="n">
        <v>3</v>
      </c>
      <c r="O416" s="32" t="s">
        <v>819</v>
      </c>
      <c r="P416" s="32" t="s">
        <v>2133</v>
      </c>
      <c r="Q416" s="32" t="s">
        <v>2241</v>
      </c>
      <c r="R416" s="0" t="str">
        <f aca="false">IF(H416="GEN","GM",H416)</f>
        <v>OPH</v>
      </c>
    </row>
    <row r="417" customFormat="false" ht="15" hidden="false" customHeight="false" outlineLevel="0" collapsed="false">
      <c r="A417" s="0" t="s">
        <v>2822</v>
      </c>
      <c r="B417" s="0" t="s">
        <v>2823</v>
      </c>
      <c r="C417" s="0" t="s">
        <v>866</v>
      </c>
      <c r="D417" s="31" t="n">
        <v>24748</v>
      </c>
      <c r="E417" s="31" t="n">
        <v>45614</v>
      </c>
      <c r="F417" s="32" t="s">
        <v>2078</v>
      </c>
      <c r="G417" s="32" t="s">
        <v>2099</v>
      </c>
      <c r="H417" s="32" t="s">
        <v>818</v>
      </c>
      <c r="I417" s="31" t="n">
        <v>45618</v>
      </c>
      <c r="J417" s="32" t="s">
        <v>2160</v>
      </c>
      <c r="K417" s="0" t="n">
        <v>4</v>
      </c>
      <c r="L417" s="32" t="s">
        <v>2081</v>
      </c>
      <c r="M417" s="32" t="s">
        <v>2255</v>
      </c>
      <c r="N417" s="0" t="n">
        <v>4</v>
      </c>
      <c r="P417" s="32" t="s">
        <v>2137</v>
      </c>
      <c r="Q417" s="32" t="s">
        <v>2198</v>
      </c>
      <c r="R417" s="0" t="str">
        <f aca="false">IF(H417="GEN","GM",H417)</f>
        <v>OPH</v>
      </c>
    </row>
    <row r="418" customFormat="false" ht="15" hidden="false" customHeight="false" outlineLevel="0" collapsed="false">
      <c r="A418" s="0" t="s">
        <v>2824</v>
      </c>
      <c r="B418" s="0" t="s">
        <v>2329</v>
      </c>
      <c r="C418" s="0" t="s">
        <v>886</v>
      </c>
      <c r="D418" s="31" t="n">
        <v>18439</v>
      </c>
      <c r="E418" s="31" t="n">
        <v>45598</v>
      </c>
      <c r="F418" s="32" t="s">
        <v>2087</v>
      </c>
      <c r="G418" s="32" t="s">
        <v>2124</v>
      </c>
      <c r="H418" s="32" t="s">
        <v>785</v>
      </c>
      <c r="I418" s="31" t="n">
        <v>45604</v>
      </c>
      <c r="J418" s="32" t="s">
        <v>2080</v>
      </c>
      <c r="K418" s="0" t="n">
        <v>6</v>
      </c>
      <c r="M418" s="32" t="s">
        <v>2161</v>
      </c>
      <c r="N418" s="0" t="n">
        <v>6</v>
      </c>
      <c r="O418" s="32" t="s">
        <v>786</v>
      </c>
      <c r="P418" s="32" t="s">
        <v>2142</v>
      </c>
      <c r="Q418" s="32" t="s">
        <v>2153</v>
      </c>
      <c r="R418" s="0" t="str">
        <f aca="false">IF(H418="GEN","GM",H418)</f>
        <v>RS</v>
      </c>
    </row>
    <row r="419" customFormat="false" ht="15" hidden="false" customHeight="false" outlineLevel="0" collapsed="false">
      <c r="A419" s="0" t="s">
        <v>2825</v>
      </c>
      <c r="B419" s="0" t="s">
        <v>2826</v>
      </c>
      <c r="C419" s="0" t="s">
        <v>930</v>
      </c>
      <c r="D419" s="31" t="n">
        <v>38530</v>
      </c>
      <c r="E419" s="31" t="n">
        <v>45664</v>
      </c>
      <c r="F419" s="32" t="s">
        <v>2078</v>
      </c>
      <c r="G419" s="32" t="s">
        <v>2088</v>
      </c>
      <c r="H419" s="32" t="s">
        <v>826</v>
      </c>
      <c r="I419" s="31" t="n">
        <v>45665</v>
      </c>
      <c r="J419" s="32" t="s">
        <v>2080</v>
      </c>
      <c r="K419" s="0" t="n">
        <v>1</v>
      </c>
      <c r="L419" s="32" t="s">
        <v>2081</v>
      </c>
      <c r="M419" s="32" t="s">
        <v>2255</v>
      </c>
      <c r="N419" s="0" t="n">
        <v>1</v>
      </c>
      <c r="O419" s="32" t="s">
        <v>827</v>
      </c>
      <c r="P419" s="32" t="s">
        <v>2149</v>
      </c>
      <c r="Q419" s="32" t="s">
        <v>2198</v>
      </c>
      <c r="R419" s="0" t="str">
        <f aca="false">IF(H419="GEN","GM",H419)</f>
        <v>RHE</v>
      </c>
    </row>
    <row r="420" customFormat="false" ht="15" hidden="false" customHeight="false" outlineLevel="0" collapsed="false">
      <c r="A420" s="0" t="s">
        <v>2827</v>
      </c>
      <c r="B420" s="0" t="s">
        <v>2246</v>
      </c>
      <c r="C420" s="0" t="s">
        <v>746</v>
      </c>
      <c r="D420" s="31" t="n">
        <v>24056</v>
      </c>
      <c r="E420" s="31" t="n">
        <v>45586</v>
      </c>
      <c r="F420" s="32" t="s">
        <v>2078</v>
      </c>
      <c r="G420" s="32" t="s">
        <v>2104</v>
      </c>
      <c r="H420" s="32" t="s">
        <v>802</v>
      </c>
      <c r="I420" s="31" t="n">
        <v>45588</v>
      </c>
      <c r="J420" s="32" t="s">
        <v>2160</v>
      </c>
      <c r="K420" s="0" t="n">
        <v>2</v>
      </c>
      <c r="M420" s="32" t="s">
        <v>2089</v>
      </c>
      <c r="N420" s="0" t="n">
        <v>2</v>
      </c>
      <c r="O420" s="32" t="s">
        <v>803</v>
      </c>
      <c r="P420" s="32" t="s">
        <v>2137</v>
      </c>
      <c r="Q420" s="32" t="s">
        <v>2153</v>
      </c>
      <c r="R420" s="0" t="str">
        <f aca="false">IF(H420="GEN","GM",H420)</f>
        <v>GYN</v>
      </c>
    </row>
    <row r="421" customFormat="false" ht="15" hidden="false" customHeight="false" outlineLevel="0" collapsed="false">
      <c r="A421" s="0" t="s">
        <v>2828</v>
      </c>
      <c r="B421" s="0" t="s">
        <v>2282</v>
      </c>
      <c r="C421" s="0" t="s">
        <v>1414</v>
      </c>
      <c r="D421" s="31" t="n">
        <v>30914</v>
      </c>
      <c r="E421" s="31" t="n">
        <v>45662</v>
      </c>
      <c r="F421" s="32" t="s">
        <v>2078</v>
      </c>
      <c r="G421" s="32" t="s">
        <v>2115</v>
      </c>
      <c r="H421" s="32" t="s">
        <v>758</v>
      </c>
      <c r="I421" s="31" t="n">
        <v>45663</v>
      </c>
      <c r="J421" s="32" t="s">
        <v>2080</v>
      </c>
      <c r="K421" s="0" t="n">
        <v>1</v>
      </c>
      <c r="L421" s="32" t="s">
        <v>2081</v>
      </c>
      <c r="M421" s="32" t="s">
        <v>2141</v>
      </c>
      <c r="N421" s="0" t="n">
        <v>1</v>
      </c>
      <c r="O421" s="32" t="s">
        <v>759</v>
      </c>
      <c r="P421" s="32" t="s">
        <v>2095</v>
      </c>
      <c r="Q421" s="32" t="s">
        <v>2107</v>
      </c>
      <c r="R421" s="0" t="str">
        <f aca="false">IF(H421="GEN","GM",H421)</f>
        <v>CS</v>
      </c>
    </row>
    <row r="422" customFormat="false" ht="15" hidden="false" customHeight="false" outlineLevel="0" collapsed="false">
      <c r="A422" s="0" t="s">
        <v>2829</v>
      </c>
      <c r="B422" s="0" t="s">
        <v>2348</v>
      </c>
      <c r="C422" s="0" t="s">
        <v>993</v>
      </c>
      <c r="D422" s="31" t="n">
        <v>29019</v>
      </c>
      <c r="E422" s="31" t="n">
        <v>45631</v>
      </c>
      <c r="F422" s="32" t="s">
        <v>2078</v>
      </c>
      <c r="G422" s="32" t="s">
        <v>2079</v>
      </c>
      <c r="H422" s="32" t="s">
        <v>810</v>
      </c>
      <c r="I422" s="31" t="n">
        <v>45633</v>
      </c>
      <c r="J422" s="32" t="s">
        <v>2080</v>
      </c>
      <c r="K422" s="0" t="n">
        <v>2</v>
      </c>
      <c r="L422" s="32" t="s">
        <v>2081</v>
      </c>
      <c r="M422" s="32" t="s">
        <v>2089</v>
      </c>
      <c r="N422" s="0" t="n">
        <v>2</v>
      </c>
      <c r="O422" s="32" t="s">
        <v>811</v>
      </c>
      <c r="P422" s="32" t="s">
        <v>2133</v>
      </c>
      <c r="Q422" s="32" t="s">
        <v>2165</v>
      </c>
      <c r="R422" s="0" t="str">
        <f aca="false">IF(H422="GEN","GM",H422)</f>
        <v>URO</v>
      </c>
    </row>
    <row r="423" customFormat="false" ht="15" hidden="false" customHeight="false" outlineLevel="0" collapsed="false">
      <c r="A423" s="0" t="s">
        <v>2830</v>
      </c>
      <c r="B423" s="0" t="s">
        <v>2831</v>
      </c>
      <c r="C423" s="0" t="s">
        <v>837</v>
      </c>
      <c r="D423" s="31" t="n">
        <v>38361</v>
      </c>
      <c r="E423" s="31" t="n">
        <v>45677</v>
      </c>
      <c r="F423" s="32" t="s">
        <v>2078</v>
      </c>
      <c r="G423" s="32" t="s">
        <v>2079</v>
      </c>
      <c r="H423" s="32" t="s">
        <v>810</v>
      </c>
      <c r="I423" s="31" t="n">
        <v>45679</v>
      </c>
      <c r="J423" s="32" t="s">
        <v>2080</v>
      </c>
      <c r="K423" s="0" t="n">
        <v>2</v>
      </c>
      <c r="L423" s="32" t="s">
        <v>2106</v>
      </c>
      <c r="M423" s="32" t="s">
        <v>2207</v>
      </c>
      <c r="N423" s="0" t="n">
        <v>2</v>
      </c>
      <c r="O423" s="32" t="s">
        <v>811</v>
      </c>
      <c r="P423" s="32" t="s">
        <v>2137</v>
      </c>
      <c r="Q423" s="32" t="s">
        <v>2153</v>
      </c>
      <c r="R423" s="0" t="str">
        <f aca="false">IF(H423="GEN","GM",H423)</f>
        <v>URO</v>
      </c>
    </row>
    <row r="424" customFormat="false" ht="15" hidden="false" customHeight="false" outlineLevel="0" collapsed="false">
      <c r="A424" s="0" t="s">
        <v>2832</v>
      </c>
      <c r="B424" s="0" t="s">
        <v>2725</v>
      </c>
      <c r="C424" s="0" t="s">
        <v>825</v>
      </c>
      <c r="D424" s="31" t="n">
        <v>15746</v>
      </c>
      <c r="E424" s="31" t="n">
        <v>45611</v>
      </c>
      <c r="F424" s="32" t="s">
        <v>2087</v>
      </c>
      <c r="G424" s="32" t="s">
        <v>2079</v>
      </c>
      <c r="H424" s="32" t="s">
        <v>810</v>
      </c>
      <c r="I424" s="31" t="n">
        <v>45613</v>
      </c>
      <c r="J424" s="32" t="s">
        <v>2080</v>
      </c>
      <c r="K424" s="0" t="n">
        <v>2</v>
      </c>
      <c r="L424" s="32" t="s">
        <v>2106</v>
      </c>
      <c r="M424" s="32" t="s">
        <v>2283</v>
      </c>
      <c r="N424" s="0" t="n">
        <v>2</v>
      </c>
      <c r="O424" s="32" t="s">
        <v>811</v>
      </c>
      <c r="P424" s="32" t="s">
        <v>2101</v>
      </c>
      <c r="Q424" s="32" t="s">
        <v>2244</v>
      </c>
      <c r="R424" s="0" t="str">
        <f aca="false">IF(H424="GEN","GM",H424)</f>
        <v>URO</v>
      </c>
    </row>
    <row r="425" customFormat="false" ht="15" hidden="false" customHeight="false" outlineLevel="0" collapsed="false">
      <c r="A425" s="0" t="s">
        <v>2833</v>
      </c>
      <c r="B425" s="0" t="s">
        <v>2834</v>
      </c>
      <c r="C425" s="0" t="s">
        <v>985</v>
      </c>
      <c r="D425" s="31" t="n">
        <v>25788</v>
      </c>
      <c r="E425" s="31" t="n">
        <v>45583</v>
      </c>
      <c r="F425" s="32" t="s">
        <v>2087</v>
      </c>
      <c r="G425" s="32" t="s">
        <v>2099</v>
      </c>
      <c r="H425" s="32" t="s">
        <v>766</v>
      </c>
      <c r="I425" s="31" t="n">
        <v>45597</v>
      </c>
      <c r="J425" s="32" t="s">
        <v>2080</v>
      </c>
      <c r="K425" s="0" t="n">
        <v>14</v>
      </c>
      <c r="L425" s="32" t="s">
        <v>2081</v>
      </c>
      <c r="M425" s="32" t="s">
        <v>2136</v>
      </c>
      <c r="N425" s="0" t="n">
        <v>14</v>
      </c>
      <c r="O425" s="32" t="s">
        <v>767</v>
      </c>
      <c r="P425" s="32" t="s">
        <v>2222</v>
      </c>
      <c r="Q425" s="32" t="s">
        <v>2165</v>
      </c>
      <c r="R425" s="0" t="str">
        <f aca="false">IF(H425="GEN","GM",H425)</f>
        <v>OR</v>
      </c>
    </row>
    <row r="426" customFormat="false" ht="15" hidden="false" customHeight="false" outlineLevel="0" collapsed="false">
      <c r="A426" s="0" t="s">
        <v>2835</v>
      </c>
      <c r="B426" s="0" t="s">
        <v>2470</v>
      </c>
      <c r="C426" s="0" t="s">
        <v>922</v>
      </c>
      <c r="D426" s="31" t="n">
        <v>37443</v>
      </c>
      <c r="E426" s="31" t="n">
        <v>45642</v>
      </c>
      <c r="F426" s="32" t="s">
        <v>2087</v>
      </c>
      <c r="G426" s="32" t="s">
        <v>2079</v>
      </c>
      <c r="H426" s="32" t="s">
        <v>776</v>
      </c>
      <c r="I426" s="31" t="n">
        <v>45644</v>
      </c>
      <c r="J426" s="32" t="s">
        <v>2080</v>
      </c>
      <c r="K426" s="0" t="n">
        <v>2</v>
      </c>
      <c r="L426" s="32" t="s">
        <v>2081</v>
      </c>
      <c r="M426" s="32" t="s">
        <v>2110</v>
      </c>
      <c r="N426" s="0" t="n">
        <v>2</v>
      </c>
      <c r="O426" s="32" t="s">
        <v>777</v>
      </c>
      <c r="P426" s="32" t="s">
        <v>2095</v>
      </c>
      <c r="Q426" s="32" t="s">
        <v>2118</v>
      </c>
      <c r="R426" s="0" t="str">
        <f aca="false">IF(H426="GEN","GM",H426)</f>
        <v>GS</v>
      </c>
    </row>
    <row r="427" customFormat="false" ht="15" hidden="false" customHeight="false" outlineLevel="0" collapsed="false">
      <c r="A427" s="0" t="s">
        <v>2836</v>
      </c>
      <c r="B427" s="0" t="s">
        <v>2837</v>
      </c>
      <c r="C427" s="0" t="s">
        <v>910</v>
      </c>
      <c r="D427" s="31" t="n">
        <v>33374</v>
      </c>
      <c r="E427" s="31" t="n">
        <v>45672</v>
      </c>
      <c r="F427" s="32" t="s">
        <v>2078</v>
      </c>
      <c r="G427" s="32" t="s">
        <v>2088</v>
      </c>
      <c r="H427" s="32" t="s">
        <v>793</v>
      </c>
      <c r="I427" s="31" t="n">
        <v>45679</v>
      </c>
      <c r="J427" s="32" t="s">
        <v>2080</v>
      </c>
      <c r="K427" s="0" t="n">
        <v>7</v>
      </c>
      <c r="L427" s="32" t="s">
        <v>2081</v>
      </c>
      <c r="M427" s="32" t="s">
        <v>2255</v>
      </c>
      <c r="N427" s="0" t="n">
        <v>7</v>
      </c>
      <c r="O427" s="32" t="s">
        <v>794</v>
      </c>
      <c r="P427" s="32" t="s">
        <v>2142</v>
      </c>
      <c r="Q427" s="32" t="s">
        <v>2165</v>
      </c>
      <c r="R427" s="0" t="str">
        <f aca="false">IF(H427="GEN","GM",H427)</f>
        <v>EM</v>
      </c>
    </row>
    <row r="428" customFormat="false" ht="15" hidden="false" customHeight="false" outlineLevel="0" collapsed="false">
      <c r="A428" s="0" t="s">
        <v>2838</v>
      </c>
      <c r="B428" s="0" t="s">
        <v>2184</v>
      </c>
      <c r="C428" s="0" t="s">
        <v>817</v>
      </c>
      <c r="D428" s="31" t="n">
        <v>29379</v>
      </c>
      <c r="E428" s="31" t="n">
        <v>45635</v>
      </c>
      <c r="F428" s="32" t="s">
        <v>2078</v>
      </c>
      <c r="G428" s="32" t="s">
        <v>2088</v>
      </c>
      <c r="H428" s="32" t="s">
        <v>747</v>
      </c>
      <c r="I428" s="31" t="n">
        <v>45636</v>
      </c>
      <c r="J428" s="32" t="s">
        <v>2080</v>
      </c>
      <c r="K428" s="0" t="n">
        <v>1</v>
      </c>
      <c r="L428" s="32" t="s">
        <v>2081</v>
      </c>
      <c r="M428" s="32" t="s">
        <v>2212</v>
      </c>
      <c r="N428" s="0" t="n">
        <v>1</v>
      </c>
      <c r="O428" s="32" t="s">
        <v>748</v>
      </c>
      <c r="P428" s="32" t="s">
        <v>2222</v>
      </c>
      <c r="Q428" s="32" t="s">
        <v>2112</v>
      </c>
      <c r="R428" s="0" t="str">
        <f aca="false">IF(H428="GEN","GM",H428)</f>
        <v>GM</v>
      </c>
    </row>
    <row r="429" customFormat="false" ht="15" hidden="false" customHeight="false" outlineLevel="0" collapsed="false">
      <c r="A429" s="0" t="s">
        <v>2839</v>
      </c>
      <c r="B429" s="0" t="s">
        <v>2840</v>
      </c>
      <c r="C429" s="0" t="s">
        <v>1460</v>
      </c>
      <c r="D429" s="31" t="n">
        <v>14574</v>
      </c>
      <c r="E429" s="31" t="n">
        <v>45735</v>
      </c>
      <c r="F429" s="32" t="s">
        <v>2087</v>
      </c>
      <c r="G429" s="32" t="s">
        <v>2099</v>
      </c>
      <c r="H429" s="32" t="s">
        <v>766</v>
      </c>
      <c r="I429" s="31" t="n">
        <v>45741</v>
      </c>
      <c r="J429" s="32" t="s">
        <v>2080</v>
      </c>
      <c r="K429" s="0" t="n">
        <v>6</v>
      </c>
      <c r="L429" s="32" t="s">
        <v>2081</v>
      </c>
      <c r="M429" s="32" t="s">
        <v>2283</v>
      </c>
      <c r="N429" s="0" t="n">
        <v>6</v>
      </c>
      <c r="O429" s="32" t="s">
        <v>767</v>
      </c>
      <c r="P429" s="32" t="s">
        <v>2201</v>
      </c>
      <c r="Q429" s="32" t="s">
        <v>2170</v>
      </c>
      <c r="R429" s="0" t="str">
        <f aca="false">IF(H429="GEN","GM",H429)</f>
        <v>OR</v>
      </c>
    </row>
    <row r="430" customFormat="false" ht="15" hidden="false" customHeight="false" outlineLevel="0" collapsed="false">
      <c r="A430" s="0" t="s">
        <v>2841</v>
      </c>
      <c r="B430" s="0" t="s">
        <v>2683</v>
      </c>
      <c r="C430" s="0" t="s">
        <v>1013</v>
      </c>
      <c r="D430" s="31" t="n">
        <v>38634</v>
      </c>
      <c r="E430" s="31" t="n">
        <v>45689</v>
      </c>
      <c r="F430" s="32" t="s">
        <v>2160</v>
      </c>
      <c r="G430" s="32" t="s">
        <v>2115</v>
      </c>
      <c r="H430" s="32" t="s">
        <v>758</v>
      </c>
      <c r="I430" s="31" t="n">
        <v>45696</v>
      </c>
      <c r="J430" s="32" t="s">
        <v>2080</v>
      </c>
      <c r="K430" s="0" t="n">
        <v>7</v>
      </c>
      <c r="L430" s="32" t="s">
        <v>2081</v>
      </c>
      <c r="M430" s="32" t="s">
        <v>2212</v>
      </c>
      <c r="N430" s="0" t="n">
        <v>7</v>
      </c>
      <c r="O430" s="32" t="s">
        <v>759</v>
      </c>
      <c r="P430" s="32" t="s">
        <v>2213</v>
      </c>
      <c r="Q430" s="32" t="s">
        <v>2112</v>
      </c>
      <c r="R430" s="0" t="str">
        <f aca="false">IF(H430="GEN","GM",H430)</f>
        <v>CS</v>
      </c>
    </row>
    <row r="431" customFormat="false" ht="15" hidden="false" customHeight="false" outlineLevel="0" collapsed="false">
      <c r="A431" s="0" t="s">
        <v>2842</v>
      </c>
      <c r="B431" s="0" t="s">
        <v>2663</v>
      </c>
      <c r="C431" s="0" t="s">
        <v>958</v>
      </c>
      <c r="D431" s="31" t="n">
        <v>37337</v>
      </c>
      <c r="E431" s="31" t="n">
        <v>45628</v>
      </c>
      <c r="F431" s="32" t="s">
        <v>2087</v>
      </c>
      <c r="G431" s="32" t="s">
        <v>2124</v>
      </c>
      <c r="H431" s="32" t="s">
        <v>785</v>
      </c>
      <c r="L431" s="32" t="s">
        <v>2081</v>
      </c>
      <c r="M431" s="32" t="s">
        <v>2100</v>
      </c>
      <c r="O431" s="32" t="s">
        <v>786</v>
      </c>
      <c r="P431" s="32" t="s">
        <v>2133</v>
      </c>
      <c r="Q431" s="32" t="s">
        <v>2244</v>
      </c>
      <c r="R431" s="0" t="str">
        <f aca="false">IF(H431="GEN","GM",H431)</f>
        <v>RS</v>
      </c>
    </row>
    <row r="432" customFormat="false" ht="15" hidden="false" customHeight="false" outlineLevel="0" collapsed="false">
      <c r="A432" s="0" t="s">
        <v>2843</v>
      </c>
      <c r="B432" s="0" t="s">
        <v>2246</v>
      </c>
      <c r="C432" s="0" t="s">
        <v>866</v>
      </c>
      <c r="D432" s="31" t="n">
        <v>23109</v>
      </c>
      <c r="E432" s="31" t="n">
        <v>45668</v>
      </c>
      <c r="F432" s="32" t="s">
        <v>2087</v>
      </c>
      <c r="G432" s="32" t="s">
        <v>2099</v>
      </c>
      <c r="H432" s="32" t="s">
        <v>818</v>
      </c>
      <c r="I432" s="31" t="n">
        <v>45671</v>
      </c>
      <c r="J432" s="32" t="s">
        <v>2080</v>
      </c>
      <c r="K432" s="0" t="n">
        <v>3</v>
      </c>
      <c r="L432" s="32" t="s">
        <v>2081</v>
      </c>
      <c r="M432" s="32" t="s">
        <v>2255</v>
      </c>
      <c r="N432" s="0" t="n">
        <v>3</v>
      </c>
      <c r="O432" s="32" t="s">
        <v>819</v>
      </c>
      <c r="P432" s="32" t="s">
        <v>2182</v>
      </c>
      <c r="Q432" s="32" t="s">
        <v>2118</v>
      </c>
      <c r="R432" s="0" t="str">
        <f aca="false">IF(H432="GEN","GM",H432)</f>
        <v>OPH</v>
      </c>
    </row>
    <row r="433" customFormat="false" ht="15" hidden="false" customHeight="false" outlineLevel="0" collapsed="false">
      <c r="A433" s="0" t="s">
        <v>2844</v>
      </c>
      <c r="B433" s="0" t="s">
        <v>2205</v>
      </c>
      <c r="C433" s="0" t="s">
        <v>853</v>
      </c>
      <c r="D433" s="31" t="n">
        <v>27135</v>
      </c>
      <c r="E433" s="31" t="n">
        <v>45626</v>
      </c>
      <c r="F433" s="32" t="s">
        <v>2087</v>
      </c>
      <c r="G433" s="32" t="s">
        <v>2088</v>
      </c>
      <c r="H433" s="32" t="s">
        <v>826</v>
      </c>
      <c r="I433" s="31" t="n">
        <v>45629</v>
      </c>
      <c r="J433" s="32" t="s">
        <v>2080</v>
      </c>
      <c r="K433" s="0" t="n">
        <v>3</v>
      </c>
      <c r="L433" s="32" t="s">
        <v>2106</v>
      </c>
      <c r="M433" s="32" t="s">
        <v>2141</v>
      </c>
      <c r="N433" s="0" t="n">
        <v>3</v>
      </c>
      <c r="O433" s="32" t="s">
        <v>827</v>
      </c>
      <c r="P433" s="32" t="s">
        <v>2182</v>
      </c>
      <c r="Q433" s="32" t="s">
        <v>2241</v>
      </c>
      <c r="R433" s="0" t="str">
        <f aca="false">IF(H433="GEN","GM",H433)</f>
        <v>RHE</v>
      </c>
    </row>
    <row r="434" customFormat="false" ht="15" hidden="false" customHeight="false" outlineLevel="0" collapsed="false">
      <c r="A434" s="0" t="s">
        <v>2845</v>
      </c>
      <c r="B434" s="0" t="s">
        <v>2370</v>
      </c>
      <c r="C434" s="0" t="s">
        <v>870</v>
      </c>
      <c r="D434" s="31" t="n">
        <v>14992</v>
      </c>
      <c r="E434" s="31" t="n">
        <v>45657</v>
      </c>
      <c r="F434" s="32" t="s">
        <v>2078</v>
      </c>
      <c r="G434" s="32" t="s">
        <v>2088</v>
      </c>
      <c r="H434" s="32" t="s">
        <v>793</v>
      </c>
      <c r="I434" s="31" t="n">
        <v>45660</v>
      </c>
      <c r="J434" s="32" t="s">
        <v>2080</v>
      </c>
      <c r="K434" s="0" t="n">
        <v>3</v>
      </c>
      <c r="L434" s="32" t="s">
        <v>2106</v>
      </c>
      <c r="N434" s="0" t="n">
        <v>3</v>
      </c>
      <c r="O434" s="32" t="s">
        <v>794</v>
      </c>
      <c r="P434" s="32" t="s">
        <v>2101</v>
      </c>
      <c r="Q434" s="32" t="s">
        <v>2157</v>
      </c>
      <c r="R434" s="0" t="str">
        <f aca="false">IF(H434="GEN","GM",H434)</f>
        <v>EM</v>
      </c>
    </row>
    <row r="435" customFormat="false" ht="15" hidden="false" customHeight="false" outlineLevel="0" collapsed="false">
      <c r="A435" s="0" t="s">
        <v>2846</v>
      </c>
      <c r="B435" s="0" t="s">
        <v>2847</v>
      </c>
      <c r="C435" s="0" t="s">
        <v>1419</v>
      </c>
      <c r="D435" s="31" t="n">
        <v>16355</v>
      </c>
      <c r="E435" s="31" t="n">
        <v>45697</v>
      </c>
      <c r="F435" s="32" t="s">
        <v>2078</v>
      </c>
      <c r="G435" s="32" t="s">
        <v>2124</v>
      </c>
      <c r="H435" s="32" t="s">
        <v>785</v>
      </c>
      <c r="I435" s="31" t="n">
        <v>45698</v>
      </c>
      <c r="J435" s="32" t="s">
        <v>2080</v>
      </c>
      <c r="K435" s="0" t="n">
        <v>1</v>
      </c>
      <c r="L435" s="32" t="s">
        <v>2081</v>
      </c>
      <c r="M435" s="32" t="s">
        <v>2116</v>
      </c>
      <c r="N435" s="0" t="n">
        <v>1</v>
      </c>
      <c r="O435" s="32" t="s">
        <v>786</v>
      </c>
      <c r="P435" s="32" t="s">
        <v>2133</v>
      </c>
      <c r="Q435" s="32" t="s">
        <v>2153</v>
      </c>
      <c r="R435" s="0" t="str">
        <f aca="false">IF(H435="GEN","GM",H435)</f>
        <v>RS</v>
      </c>
    </row>
    <row r="436" customFormat="false" ht="15" hidden="false" customHeight="false" outlineLevel="0" collapsed="false">
      <c r="A436" s="0" t="s">
        <v>2848</v>
      </c>
      <c r="B436" s="0" t="s">
        <v>2604</v>
      </c>
      <c r="C436" s="0" t="s">
        <v>958</v>
      </c>
      <c r="D436" s="31" t="n">
        <v>22386</v>
      </c>
      <c r="E436" s="31" t="n">
        <v>45603</v>
      </c>
      <c r="F436" s="32" t="s">
        <v>2078</v>
      </c>
      <c r="G436" s="32" t="s">
        <v>2115</v>
      </c>
      <c r="H436" s="32" t="s">
        <v>758</v>
      </c>
      <c r="I436" s="31" t="n">
        <v>45604</v>
      </c>
      <c r="J436" s="32" t="s">
        <v>2080</v>
      </c>
      <c r="K436" s="0" t="n">
        <v>1</v>
      </c>
      <c r="L436" s="32" t="s">
        <v>2081</v>
      </c>
      <c r="M436" s="32" t="s">
        <v>2082</v>
      </c>
      <c r="N436" s="0" t="n">
        <v>1</v>
      </c>
      <c r="O436" s="32" t="s">
        <v>759</v>
      </c>
      <c r="P436" s="32" t="s">
        <v>2156</v>
      </c>
      <c r="Q436" s="32" t="s">
        <v>2112</v>
      </c>
      <c r="R436" s="0" t="str">
        <f aca="false">IF(H436="GEN","GM",H436)</f>
        <v>CS</v>
      </c>
    </row>
    <row r="437" customFormat="false" ht="15" hidden="false" customHeight="false" outlineLevel="0" collapsed="false">
      <c r="A437" s="0" t="s">
        <v>2849</v>
      </c>
      <c r="B437" s="0" t="s">
        <v>2850</v>
      </c>
      <c r="C437" s="0" t="s">
        <v>784</v>
      </c>
      <c r="D437" s="31" t="n">
        <v>29658</v>
      </c>
      <c r="E437" s="31" t="n">
        <v>45693</v>
      </c>
      <c r="F437" s="32" t="s">
        <v>2078</v>
      </c>
      <c r="G437" s="32" t="s">
        <v>2088</v>
      </c>
      <c r="H437" s="32" t="s">
        <v>747</v>
      </c>
      <c r="I437" s="31" t="n">
        <v>45695</v>
      </c>
      <c r="J437" s="32" t="s">
        <v>2160</v>
      </c>
      <c r="K437" s="0" t="n">
        <v>2</v>
      </c>
      <c r="L437" s="32" t="s">
        <v>2081</v>
      </c>
      <c r="M437" s="32" t="s">
        <v>2128</v>
      </c>
      <c r="N437" s="0" t="n">
        <v>2</v>
      </c>
      <c r="O437" s="32" t="s">
        <v>748</v>
      </c>
      <c r="P437" s="32" t="s">
        <v>2101</v>
      </c>
      <c r="Q437" s="32" t="s">
        <v>2138</v>
      </c>
      <c r="R437" s="0" t="str">
        <f aca="false">IF(H437="GEN","GM",H437)</f>
        <v>GM</v>
      </c>
    </row>
    <row r="438" customFormat="false" ht="15" hidden="false" customHeight="false" outlineLevel="0" collapsed="false">
      <c r="A438" s="0" t="s">
        <v>2851</v>
      </c>
      <c r="B438" s="0" t="s">
        <v>2575</v>
      </c>
      <c r="C438" s="0" t="s">
        <v>1393</v>
      </c>
      <c r="D438" s="31" t="n">
        <v>28186</v>
      </c>
      <c r="E438" s="31" t="n">
        <v>45672</v>
      </c>
      <c r="F438" s="32" t="s">
        <v>2087</v>
      </c>
      <c r="G438" s="32" t="s">
        <v>2124</v>
      </c>
      <c r="H438" s="32" t="s">
        <v>785</v>
      </c>
      <c r="L438" s="32" t="s">
        <v>2081</v>
      </c>
      <c r="M438" s="32" t="s">
        <v>2094</v>
      </c>
      <c r="O438" s="32" t="s">
        <v>786</v>
      </c>
      <c r="P438" s="32" t="s">
        <v>2111</v>
      </c>
      <c r="Q438" s="32" t="s">
        <v>2259</v>
      </c>
      <c r="R438" s="0" t="str">
        <f aca="false">IF(H438="GEN","GM",H438)</f>
        <v>RS</v>
      </c>
    </row>
    <row r="439" customFormat="false" ht="15" hidden="false" customHeight="false" outlineLevel="0" collapsed="false">
      <c r="A439" s="0" t="s">
        <v>2852</v>
      </c>
      <c r="B439" s="0" t="s">
        <v>2853</v>
      </c>
      <c r="C439" s="0" t="s">
        <v>866</v>
      </c>
      <c r="D439" s="31" t="n">
        <v>28451</v>
      </c>
      <c r="E439" s="31" t="n">
        <v>45722</v>
      </c>
      <c r="F439" s="32" t="s">
        <v>2087</v>
      </c>
      <c r="G439" s="32" t="s">
        <v>2104</v>
      </c>
      <c r="H439" s="32" t="s">
        <v>802</v>
      </c>
      <c r="I439" s="31" t="n">
        <v>45732</v>
      </c>
      <c r="J439" s="32" t="s">
        <v>2080</v>
      </c>
      <c r="K439" s="0" t="n">
        <v>10</v>
      </c>
      <c r="L439" s="32" t="s">
        <v>2081</v>
      </c>
      <c r="M439" s="32" t="s">
        <v>2136</v>
      </c>
      <c r="N439" s="0" t="n">
        <v>10</v>
      </c>
      <c r="O439" s="32" t="s">
        <v>803</v>
      </c>
      <c r="P439" s="32" t="s">
        <v>2083</v>
      </c>
      <c r="Q439" s="32" t="s">
        <v>2138</v>
      </c>
      <c r="R439" s="0" t="str">
        <f aca="false">IF(H439="GEN","GM",H439)</f>
        <v>GYN</v>
      </c>
    </row>
    <row r="440" customFormat="false" ht="15" hidden="false" customHeight="false" outlineLevel="0" collapsed="false">
      <c r="A440" s="0" t="s">
        <v>2854</v>
      </c>
      <c r="B440" s="0" t="s">
        <v>2784</v>
      </c>
      <c r="C440" s="0" t="s">
        <v>1009</v>
      </c>
      <c r="D440" s="31" t="n">
        <v>34626</v>
      </c>
      <c r="E440" s="31" t="n">
        <v>45732</v>
      </c>
      <c r="F440" s="32" t="s">
        <v>2078</v>
      </c>
      <c r="G440" s="32" t="s">
        <v>2088</v>
      </c>
      <c r="H440" s="32" t="s">
        <v>826</v>
      </c>
      <c r="I440" s="31" t="n">
        <v>45737</v>
      </c>
      <c r="J440" s="32" t="s">
        <v>2080</v>
      </c>
      <c r="K440" s="0" t="n">
        <v>5</v>
      </c>
      <c r="L440" s="32" t="s">
        <v>2081</v>
      </c>
      <c r="M440" s="32" t="s">
        <v>2132</v>
      </c>
      <c r="N440" s="0" t="n">
        <v>5</v>
      </c>
      <c r="O440" s="32" t="s">
        <v>827</v>
      </c>
      <c r="P440" s="32" t="s">
        <v>2182</v>
      </c>
      <c r="Q440" s="32" t="s">
        <v>2244</v>
      </c>
      <c r="R440" s="0" t="str">
        <f aca="false">IF(H440="GEN","GM",H440)</f>
        <v>RHE</v>
      </c>
    </row>
    <row r="441" customFormat="false" ht="15" hidden="false" customHeight="false" outlineLevel="0" collapsed="false">
      <c r="A441" s="0" t="s">
        <v>2855</v>
      </c>
      <c r="B441" s="0" t="s">
        <v>2468</v>
      </c>
      <c r="C441" s="0" t="s">
        <v>1009</v>
      </c>
      <c r="D441" s="31" t="n">
        <v>13786</v>
      </c>
      <c r="E441" s="31" t="n">
        <v>45693</v>
      </c>
      <c r="F441" s="32" t="s">
        <v>2160</v>
      </c>
      <c r="G441" s="32" t="s">
        <v>2124</v>
      </c>
      <c r="H441" s="32" t="s">
        <v>785</v>
      </c>
      <c r="I441" s="31" t="n">
        <v>45705</v>
      </c>
      <c r="J441" s="32" t="s">
        <v>2080</v>
      </c>
      <c r="K441" s="0" t="n">
        <v>12</v>
      </c>
      <c r="L441" s="32" t="s">
        <v>2081</v>
      </c>
      <c r="M441" s="32" t="s">
        <v>2152</v>
      </c>
      <c r="N441" s="0" t="n">
        <v>12</v>
      </c>
      <c r="O441" s="32" t="s">
        <v>786</v>
      </c>
      <c r="P441" s="32" t="s">
        <v>2111</v>
      </c>
      <c r="Q441" s="32" t="s">
        <v>2153</v>
      </c>
      <c r="R441" s="0" t="str">
        <f aca="false">IF(H441="GEN","GM",H441)</f>
        <v>RS</v>
      </c>
    </row>
    <row r="442" customFormat="false" ht="15" hidden="false" customHeight="false" outlineLevel="0" collapsed="false">
      <c r="A442" s="0" t="s">
        <v>2856</v>
      </c>
      <c r="B442" s="0" t="s">
        <v>2602</v>
      </c>
      <c r="C442" s="0" t="s">
        <v>841</v>
      </c>
      <c r="D442" s="31" t="n">
        <v>18986</v>
      </c>
      <c r="E442" s="31" t="n">
        <v>45618</v>
      </c>
      <c r="F442" s="32" t="s">
        <v>2078</v>
      </c>
      <c r="G442" s="32" t="s">
        <v>2124</v>
      </c>
      <c r="H442" s="32" t="s">
        <v>785</v>
      </c>
      <c r="I442" s="31" t="n">
        <v>45622</v>
      </c>
      <c r="J442" s="32" t="s">
        <v>2080</v>
      </c>
      <c r="K442" s="0" t="n">
        <v>4</v>
      </c>
      <c r="L442" s="32" t="s">
        <v>2106</v>
      </c>
      <c r="M442" s="32" t="s">
        <v>2082</v>
      </c>
      <c r="N442" s="0" t="n">
        <v>4</v>
      </c>
      <c r="O442" s="32" t="s">
        <v>786</v>
      </c>
      <c r="P442" s="32" t="s">
        <v>2111</v>
      </c>
      <c r="Q442" s="32" t="s">
        <v>2107</v>
      </c>
      <c r="R442" s="0" t="str">
        <f aca="false">IF(H442="GEN","GM",H442)</f>
        <v>RS</v>
      </c>
    </row>
    <row r="443" customFormat="false" ht="15" hidden="false" customHeight="false" outlineLevel="0" collapsed="false">
      <c r="A443" s="0" t="s">
        <v>2857</v>
      </c>
      <c r="B443" s="0" t="s">
        <v>2299</v>
      </c>
      <c r="C443" s="0" t="s">
        <v>882</v>
      </c>
      <c r="D443" s="31" t="n">
        <v>18121</v>
      </c>
      <c r="E443" s="31" t="n">
        <v>45723</v>
      </c>
      <c r="F443" s="32" t="s">
        <v>2078</v>
      </c>
      <c r="G443" s="32" t="s">
        <v>2099</v>
      </c>
      <c r="H443" s="32" t="s">
        <v>818</v>
      </c>
      <c r="I443" s="31" t="n">
        <v>45725</v>
      </c>
      <c r="J443" s="32" t="s">
        <v>2080</v>
      </c>
      <c r="K443" s="0" t="n">
        <v>2</v>
      </c>
      <c r="L443" s="32" t="s">
        <v>2081</v>
      </c>
      <c r="M443" s="32" t="s">
        <v>2161</v>
      </c>
      <c r="N443" s="0" t="n">
        <v>2</v>
      </c>
      <c r="O443" s="32" t="s">
        <v>819</v>
      </c>
      <c r="P443" s="32" t="s">
        <v>2238</v>
      </c>
      <c r="Q443" s="32" t="s">
        <v>2179</v>
      </c>
      <c r="R443" s="0" t="str">
        <f aca="false">IF(H443="GEN","GM",H443)</f>
        <v>OPH</v>
      </c>
    </row>
    <row r="444" customFormat="false" ht="15" hidden="false" customHeight="false" outlineLevel="0" collapsed="false">
      <c r="A444" s="0" t="s">
        <v>2858</v>
      </c>
      <c r="B444" s="0" t="s">
        <v>2859</v>
      </c>
      <c r="C444" s="0" t="s">
        <v>1426</v>
      </c>
      <c r="D444" s="31" t="n">
        <v>21787</v>
      </c>
      <c r="E444" s="31" t="n">
        <v>45669</v>
      </c>
      <c r="F444" s="32" t="s">
        <v>2087</v>
      </c>
      <c r="G444" s="32" t="s">
        <v>2104</v>
      </c>
      <c r="H444" s="32" t="s">
        <v>802</v>
      </c>
      <c r="I444" s="31" t="n">
        <v>45671</v>
      </c>
      <c r="J444" s="32" t="s">
        <v>2160</v>
      </c>
      <c r="K444" s="0" t="n">
        <v>2</v>
      </c>
      <c r="L444" s="32" t="s">
        <v>2081</v>
      </c>
      <c r="M444" s="32" t="s">
        <v>2100</v>
      </c>
      <c r="N444" s="0" t="n">
        <v>2</v>
      </c>
      <c r="O444" s="32" t="s">
        <v>803</v>
      </c>
      <c r="P444" s="32" t="s">
        <v>2149</v>
      </c>
      <c r="Q444" s="32" t="s">
        <v>2157</v>
      </c>
      <c r="R444" s="0" t="str">
        <f aca="false">IF(H444="GEN","GM",H444)</f>
        <v>GYN</v>
      </c>
    </row>
    <row r="445" customFormat="false" ht="15" hidden="false" customHeight="false" outlineLevel="0" collapsed="false">
      <c r="A445" s="0" t="s">
        <v>2860</v>
      </c>
      <c r="B445" s="0" t="s">
        <v>2378</v>
      </c>
      <c r="C445" s="0" t="s">
        <v>1025</v>
      </c>
      <c r="D445" s="31" t="n">
        <v>21569</v>
      </c>
      <c r="E445" s="31" t="n">
        <v>45567</v>
      </c>
      <c r="F445" s="32" t="s">
        <v>2078</v>
      </c>
      <c r="G445" s="32" t="s">
        <v>2088</v>
      </c>
      <c r="H445" s="32" t="s">
        <v>793</v>
      </c>
      <c r="I445" s="31" t="n">
        <v>45574</v>
      </c>
      <c r="J445" s="32" t="s">
        <v>2080</v>
      </c>
      <c r="K445" s="0" t="n">
        <v>7</v>
      </c>
      <c r="L445" s="32" t="s">
        <v>2081</v>
      </c>
      <c r="M445" s="32" t="s">
        <v>2152</v>
      </c>
      <c r="N445" s="0" t="n">
        <v>7</v>
      </c>
      <c r="O445" s="32" t="s">
        <v>794</v>
      </c>
      <c r="P445" s="32" t="s">
        <v>2083</v>
      </c>
      <c r="Q445" s="32" t="s">
        <v>2259</v>
      </c>
      <c r="R445" s="0" t="str">
        <f aca="false">IF(H445="GEN","GM",H445)</f>
        <v>EM</v>
      </c>
    </row>
    <row r="446" customFormat="false" ht="15" hidden="false" customHeight="false" outlineLevel="0" collapsed="false">
      <c r="A446" s="0" t="s">
        <v>2861</v>
      </c>
      <c r="B446" s="0" t="s">
        <v>2437</v>
      </c>
      <c r="C446" s="0" t="s">
        <v>918</v>
      </c>
      <c r="D446" s="31" t="n">
        <v>27299</v>
      </c>
      <c r="E446" s="31" t="n">
        <v>45601</v>
      </c>
      <c r="F446" s="32" t="s">
        <v>2078</v>
      </c>
      <c r="G446" s="32" t="s">
        <v>2115</v>
      </c>
      <c r="H446" s="32" t="s">
        <v>758</v>
      </c>
      <c r="I446" s="31" t="n">
        <v>45604</v>
      </c>
      <c r="J446" s="32" t="s">
        <v>2080</v>
      </c>
      <c r="K446" s="0" t="n">
        <v>3</v>
      </c>
      <c r="L446" s="32" t="s">
        <v>2081</v>
      </c>
      <c r="M446" s="32" t="s">
        <v>2195</v>
      </c>
      <c r="N446" s="0" t="n">
        <v>3</v>
      </c>
      <c r="O446" s="32" t="s">
        <v>759</v>
      </c>
      <c r="P446" s="32" t="s">
        <v>2111</v>
      </c>
      <c r="Q446" s="32" t="s">
        <v>2096</v>
      </c>
      <c r="R446" s="0" t="str">
        <f aca="false">IF(H446="GEN","GM",H446)</f>
        <v>CS</v>
      </c>
    </row>
    <row r="447" customFormat="false" ht="15" hidden="false" customHeight="false" outlineLevel="0" collapsed="false">
      <c r="A447" s="0" t="s">
        <v>2862</v>
      </c>
      <c r="B447" s="0" t="s">
        <v>2288</v>
      </c>
      <c r="C447" s="0" t="s">
        <v>841</v>
      </c>
      <c r="D447" s="31" t="n">
        <v>29621</v>
      </c>
      <c r="E447" s="31" t="n">
        <v>45620</v>
      </c>
      <c r="F447" s="32" t="s">
        <v>2160</v>
      </c>
      <c r="G447" s="32" t="s">
        <v>2088</v>
      </c>
      <c r="H447" s="32" t="s">
        <v>793</v>
      </c>
      <c r="I447" s="31" t="n">
        <v>45625</v>
      </c>
      <c r="J447" s="32" t="s">
        <v>2080</v>
      </c>
      <c r="K447" s="0" t="n">
        <v>5</v>
      </c>
      <c r="L447" s="32" t="s">
        <v>2106</v>
      </c>
      <c r="M447" s="32" t="s">
        <v>2128</v>
      </c>
      <c r="N447" s="0" t="n">
        <v>5</v>
      </c>
      <c r="O447" s="32" t="s">
        <v>794</v>
      </c>
      <c r="P447" s="32" t="s">
        <v>2156</v>
      </c>
      <c r="Q447" s="32" t="s">
        <v>2096</v>
      </c>
      <c r="R447" s="0" t="str">
        <f aca="false">IF(H447="GEN","GM",H447)</f>
        <v>EM</v>
      </c>
    </row>
    <row r="448" customFormat="false" ht="15" hidden="false" customHeight="false" outlineLevel="0" collapsed="false">
      <c r="A448" s="0" t="s">
        <v>2863</v>
      </c>
      <c r="B448" s="0" t="s">
        <v>2374</v>
      </c>
      <c r="C448" s="0" t="s">
        <v>792</v>
      </c>
      <c r="D448" s="31" t="n">
        <v>27213</v>
      </c>
      <c r="E448" s="31" t="n">
        <v>45567</v>
      </c>
      <c r="F448" s="32" t="s">
        <v>2087</v>
      </c>
      <c r="G448" s="32" t="s">
        <v>2115</v>
      </c>
      <c r="H448" s="32" t="s">
        <v>758</v>
      </c>
      <c r="I448" s="31" t="n">
        <v>45568</v>
      </c>
      <c r="J448" s="32" t="s">
        <v>2080</v>
      </c>
      <c r="K448" s="0" t="n">
        <v>1</v>
      </c>
      <c r="L448" s="32" t="s">
        <v>2081</v>
      </c>
      <c r="M448" s="32" t="s">
        <v>2286</v>
      </c>
      <c r="N448" s="0" t="n">
        <v>1</v>
      </c>
      <c r="O448" s="32" t="s">
        <v>759</v>
      </c>
      <c r="P448" s="32" t="s">
        <v>2101</v>
      </c>
      <c r="Q448" s="32" t="s">
        <v>2112</v>
      </c>
      <c r="R448" s="0" t="str">
        <f aca="false">IF(H448="GEN","GM",H448)</f>
        <v>CS</v>
      </c>
    </row>
    <row r="449" customFormat="false" ht="15" hidden="false" customHeight="false" outlineLevel="0" collapsed="false">
      <c r="A449" s="0" t="s">
        <v>2864</v>
      </c>
      <c r="B449" s="0" t="s">
        <v>2314</v>
      </c>
      <c r="C449" s="0" t="s">
        <v>902</v>
      </c>
      <c r="D449" s="31" t="n">
        <v>18711</v>
      </c>
      <c r="E449" s="31" t="n">
        <v>45699</v>
      </c>
      <c r="F449" s="32" t="s">
        <v>2160</v>
      </c>
      <c r="G449" s="32" t="s">
        <v>2099</v>
      </c>
      <c r="H449" s="32" t="s">
        <v>818</v>
      </c>
      <c r="I449" s="31" t="n">
        <v>45707</v>
      </c>
      <c r="J449" s="32" t="s">
        <v>2080</v>
      </c>
      <c r="K449" s="0" t="n">
        <v>8</v>
      </c>
      <c r="L449" s="32" t="s">
        <v>2081</v>
      </c>
      <c r="M449" s="32" t="s">
        <v>2116</v>
      </c>
      <c r="N449" s="0" t="n">
        <v>8</v>
      </c>
      <c r="O449" s="32" t="s">
        <v>819</v>
      </c>
      <c r="P449" s="32" t="s">
        <v>2201</v>
      </c>
      <c r="Q449" s="32" t="s">
        <v>2157</v>
      </c>
      <c r="R449" s="0" t="str">
        <f aca="false">IF(H449="GEN","GM",H449)</f>
        <v>OPH</v>
      </c>
    </row>
    <row r="450" customFormat="false" ht="15" hidden="false" customHeight="false" outlineLevel="0" collapsed="false">
      <c r="A450" s="0" t="s">
        <v>2865</v>
      </c>
      <c r="B450" s="0" t="s">
        <v>2570</v>
      </c>
      <c r="C450" s="0" t="s">
        <v>918</v>
      </c>
      <c r="D450" s="31" t="n">
        <v>18611</v>
      </c>
      <c r="E450" s="31" t="n">
        <v>45630</v>
      </c>
      <c r="F450" s="32" t="s">
        <v>2078</v>
      </c>
      <c r="G450" s="32" t="s">
        <v>2088</v>
      </c>
      <c r="H450" s="32" t="s">
        <v>747</v>
      </c>
      <c r="I450" s="31" t="n">
        <v>45633</v>
      </c>
      <c r="J450" s="32" t="s">
        <v>2080</v>
      </c>
      <c r="K450" s="0" t="n">
        <v>3</v>
      </c>
      <c r="L450" s="32" t="s">
        <v>2081</v>
      </c>
      <c r="M450" s="32" t="s">
        <v>2283</v>
      </c>
      <c r="N450" s="0" t="n">
        <v>3</v>
      </c>
      <c r="O450" s="32" t="s">
        <v>748</v>
      </c>
      <c r="P450" s="32" t="s">
        <v>2133</v>
      </c>
      <c r="Q450" s="32" t="s">
        <v>2118</v>
      </c>
      <c r="R450" s="0" t="str">
        <f aca="false">IF(H450="GEN","GM",H450)</f>
        <v>GM</v>
      </c>
    </row>
    <row r="451" customFormat="false" ht="15" hidden="false" customHeight="false" outlineLevel="0" collapsed="false">
      <c r="A451" s="0" t="s">
        <v>2866</v>
      </c>
      <c r="B451" s="0" t="s">
        <v>2444</v>
      </c>
      <c r="C451" s="0" t="s">
        <v>898</v>
      </c>
      <c r="D451" s="31" t="n">
        <v>18233</v>
      </c>
      <c r="E451" s="31" t="n">
        <v>45597</v>
      </c>
      <c r="F451" s="32" t="s">
        <v>2078</v>
      </c>
      <c r="G451" s="32" t="s">
        <v>2079</v>
      </c>
      <c r="H451" s="32" t="s">
        <v>810</v>
      </c>
      <c r="I451" s="31" t="n">
        <v>45602</v>
      </c>
      <c r="J451" s="32" t="s">
        <v>2080</v>
      </c>
      <c r="K451" s="0" t="n">
        <v>5</v>
      </c>
      <c r="L451" s="32" t="s">
        <v>2081</v>
      </c>
      <c r="M451" s="32" t="s">
        <v>2212</v>
      </c>
      <c r="N451" s="0" t="n">
        <v>5</v>
      </c>
      <c r="O451" s="32" t="s">
        <v>811</v>
      </c>
      <c r="P451" s="32" t="s">
        <v>2090</v>
      </c>
      <c r="Q451" s="32" t="s">
        <v>2241</v>
      </c>
      <c r="R451" s="0" t="str">
        <f aca="false">IF(H451="GEN","GM",H451)</f>
        <v>URO</v>
      </c>
    </row>
    <row r="452" customFormat="false" ht="15" hidden="false" customHeight="false" outlineLevel="0" collapsed="false">
      <c r="A452" s="0" t="s">
        <v>2867</v>
      </c>
      <c r="B452" s="0" t="s">
        <v>2444</v>
      </c>
      <c r="C452" s="0" t="s">
        <v>1017</v>
      </c>
      <c r="D452" s="31" t="n">
        <v>34395</v>
      </c>
      <c r="E452" s="31" t="n">
        <v>45639</v>
      </c>
      <c r="F452" s="32" t="s">
        <v>2087</v>
      </c>
      <c r="G452" s="32" t="s">
        <v>2099</v>
      </c>
      <c r="H452" s="32" t="s">
        <v>818</v>
      </c>
      <c r="I452" s="31" t="n">
        <v>45641</v>
      </c>
      <c r="J452" s="32" t="s">
        <v>2080</v>
      </c>
      <c r="K452" s="0" t="n">
        <v>2</v>
      </c>
      <c r="L452" s="32" t="s">
        <v>2081</v>
      </c>
      <c r="M452" s="32" t="s">
        <v>2136</v>
      </c>
      <c r="N452" s="0" t="n">
        <v>2</v>
      </c>
      <c r="O452" s="32" t="s">
        <v>819</v>
      </c>
      <c r="P452" s="32" t="s">
        <v>2213</v>
      </c>
      <c r="Q452" s="32" t="s">
        <v>2241</v>
      </c>
      <c r="R452" s="0" t="str">
        <f aca="false">IF(H452="GEN","GM",H452)</f>
        <v>OPH</v>
      </c>
    </row>
    <row r="453" customFormat="false" ht="15" hidden="false" customHeight="false" outlineLevel="0" collapsed="false">
      <c r="A453" s="0" t="s">
        <v>2868</v>
      </c>
      <c r="B453" s="0" t="s">
        <v>2620</v>
      </c>
      <c r="C453" s="0" t="s">
        <v>862</v>
      </c>
      <c r="D453" s="31" t="n">
        <v>13626</v>
      </c>
      <c r="E453" s="31" t="n">
        <v>45634</v>
      </c>
      <c r="F453" s="32" t="s">
        <v>2087</v>
      </c>
      <c r="G453" s="32" t="s">
        <v>2099</v>
      </c>
      <c r="H453" s="32" t="s">
        <v>818</v>
      </c>
      <c r="I453" s="31" t="n">
        <v>45640</v>
      </c>
      <c r="J453" s="32" t="s">
        <v>2080</v>
      </c>
      <c r="K453" s="0" t="n">
        <v>6</v>
      </c>
      <c r="L453" s="32" t="s">
        <v>2106</v>
      </c>
      <c r="M453" s="32" t="s">
        <v>2082</v>
      </c>
      <c r="N453" s="0" t="n">
        <v>6</v>
      </c>
      <c r="O453" s="32" t="s">
        <v>819</v>
      </c>
      <c r="P453" s="32" t="s">
        <v>2142</v>
      </c>
      <c r="Q453" s="32" t="s">
        <v>2084</v>
      </c>
      <c r="R453" s="0" t="str">
        <f aca="false">IF(H453="GEN","GM",H453)</f>
        <v>OPH</v>
      </c>
    </row>
    <row r="454" customFormat="false" ht="15" hidden="false" customHeight="false" outlineLevel="0" collapsed="false">
      <c r="A454" s="0" t="s">
        <v>2869</v>
      </c>
      <c r="B454" s="0" t="s">
        <v>2357</v>
      </c>
      <c r="C454" s="0" t="s">
        <v>2178</v>
      </c>
      <c r="D454" s="31" t="n">
        <v>37336</v>
      </c>
      <c r="E454" s="31" t="n">
        <v>45711</v>
      </c>
      <c r="F454" s="32" t="s">
        <v>2087</v>
      </c>
      <c r="G454" s="32" t="s">
        <v>2088</v>
      </c>
      <c r="H454" s="32" t="s">
        <v>747</v>
      </c>
      <c r="I454" s="31" t="n">
        <v>45714</v>
      </c>
      <c r="J454" s="32" t="s">
        <v>2080</v>
      </c>
      <c r="K454" s="0" t="n">
        <v>3</v>
      </c>
      <c r="L454" s="32" t="s">
        <v>2081</v>
      </c>
      <c r="M454" s="32" t="s">
        <v>2227</v>
      </c>
      <c r="N454" s="0" t="n">
        <v>3</v>
      </c>
      <c r="O454" s="32" t="s">
        <v>748</v>
      </c>
      <c r="P454" s="32" t="s">
        <v>2117</v>
      </c>
      <c r="Q454" s="32" t="s">
        <v>2112</v>
      </c>
      <c r="R454" s="0" t="str">
        <f aca="false">IF(H454="GEN","GM",H454)</f>
        <v>GM</v>
      </c>
    </row>
    <row r="455" customFormat="false" ht="15" hidden="false" customHeight="false" outlineLevel="0" collapsed="false">
      <c r="A455" s="0" t="s">
        <v>2870</v>
      </c>
      <c r="B455" s="0" t="s">
        <v>2725</v>
      </c>
      <c r="C455" s="0" t="s">
        <v>918</v>
      </c>
      <c r="D455" s="31" t="n">
        <v>27787</v>
      </c>
      <c r="E455" s="31" t="n">
        <v>45676</v>
      </c>
      <c r="F455" s="32" t="s">
        <v>2078</v>
      </c>
      <c r="G455" s="32" t="s">
        <v>2079</v>
      </c>
      <c r="H455" s="32" t="s">
        <v>776</v>
      </c>
      <c r="L455" s="32" t="s">
        <v>2081</v>
      </c>
      <c r="M455" s="32" t="s">
        <v>2255</v>
      </c>
      <c r="O455" s="32" t="s">
        <v>777</v>
      </c>
      <c r="P455" s="32" t="s">
        <v>2179</v>
      </c>
      <c r="Q455" s="32" t="s">
        <v>2170</v>
      </c>
      <c r="R455" s="0" t="str">
        <f aca="false">IF(H455="GEN","GM",H455)</f>
        <v>GS</v>
      </c>
    </row>
    <row r="456" customFormat="false" ht="15" hidden="false" customHeight="false" outlineLevel="0" collapsed="false">
      <c r="A456" s="0" t="s">
        <v>2871</v>
      </c>
      <c r="B456" s="0" t="s">
        <v>2237</v>
      </c>
      <c r="C456" s="0" t="s">
        <v>2148</v>
      </c>
      <c r="D456" s="31" t="n">
        <v>33577</v>
      </c>
      <c r="E456" s="31" t="n">
        <v>45716</v>
      </c>
      <c r="F456" s="32" t="s">
        <v>2078</v>
      </c>
      <c r="G456" s="32" t="s">
        <v>2088</v>
      </c>
      <c r="H456" s="32" t="s">
        <v>793</v>
      </c>
      <c r="I456" s="31" t="n">
        <v>45718</v>
      </c>
      <c r="J456" s="32" t="s">
        <v>2160</v>
      </c>
      <c r="K456" s="0" t="n">
        <v>2</v>
      </c>
      <c r="L456" s="32" t="s">
        <v>2081</v>
      </c>
      <c r="M456" s="32" t="s">
        <v>2189</v>
      </c>
      <c r="N456" s="0" t="n">
        <v>2</v>
      </c>
      <c r="O456" s="32" t="s">
        <v>794</v>
      </c>
      <c r="P456" s="32" t="s">
        <v>2156</v>
      </c>
      <c r="Q456" s="32" t="s">
        <v>2107</v>
      </c>
      <c r="R456" s="0" t="str">
        <f aca="false">IF(H456="GEN","GM",H456)</f>
        <v>EM</v>
      </c>
    </row>
    <row r="457" customFormat="false" ht="15" hidden="false" customHeight="false" outlineLevel="0" collapsed="false">
      <c r="A457" s="0" t="s">
        <v>2872</v>
      </c>
      <c r="B457" s="0" t="s">
        <v>2381</v>
      </c>
      <c r="C457" s="0" t="s">
        <v>746</v>
      </c>
      <c r="D457" s="31" t="n">
        <v>35546</v>
      </c>
      <c r="E457" s="31" t="n">
        <v>45713</v>
      </c>
      <c r="F457" s="32" t="s">
        <v>2078</v>
      </c>
      <c r="G457" s="32" t="s">
        <v>2115</v>
      </c>
      <c r="H457" s="32" t="s">
        <v>758</v>
      </c>
      <c r="I457" s="31" t="n">
        <v>45715</v>
      </c>
      <c r="J457" s="32" t="s">
        <v>2080</v>
      </c>
      <c r="K457" s="0" t="n">
        <v>2</v>
      </c>
      <c r="M457" s="32" t="s">
        <v>2128</v>
      </c>
      <c r="N457" s="0" t="n">
        <v>3</v>
      </c>
      <c r="O457" s="32" t="s">
        <v>759</v>
      </c>
      <c r="P457" s="32" t="s">
        <v>2162</v>
      </c>
      <c r="Q457" s="32" t="s">
        <v>2190</v>
      </c>
      <c r="R457" s="0" t="str">
        <f aca="false">IF(H457="GEN","GM",H457)</f>
        <v>CS</v>
      </c>
    </row>
    <row r="458" customFormat="false" ht="15" hidden="false" customHeight="false" outlineLevel="0" collapsed="false">
      <c r="A458" s="0" t="s">
        <v>2873</v>
      </c>
      <c r="B458" s="0" t="s">
        <v>2790</v>
      </c>
      <c r="C458" s="0" t="s">
        <v>894</v>
      </c>
      <c r="D458" s="31" t="n">
        <v>22376</v>
      </c>
      <c r="E458" s="31" t="n">
        <v>45596</v>
      </c>
      <c r="F458" s="32" t="s">
        <v>2078</v>
      </c>
      <c r="G458" s="32" t="s">
        <v>2079</v>
      </c>
      <c r="H458" s="32" t="s">
        <v>810</v>
      </c>
      <c r="I458" s="31" t="n">
        <v>45600</v>
      </c>
      <c r="J458" s="32" t="s">
        <v>2080</v>
      </c>
      <c r="K458" s="0" t="n">
        <v>4</v>
      </c>
      <c r="L458" s="32" t="s">
        <v>2081</v>
      </c>
      <c r="M458" s="32" t="s">
        <v>2207</v>
      </c>
      <c r="N458" s="0" t="n">
        <v>4</v>
      </c>
      <c r="O458" s="32" t="s">
        <v>811</v>
      </c>
      <c r="P458" s="32" t="s">
        <v>2111</v>
      </c>
      <c r="Q458" s="32" t="s">
        <v>2190</v>
      </c>
      <c r="R458" s="0" t="str">
        <f aca="false">IF(H458="GEN","GM",H458)</f>
        <v>URO</v>
      </c>
    </row>
    <row r="459" customFormat="false" ht="15" hidden="false" customHeight="false" outlineLevel="0" collapsed="false">
      <c r="A459" s="0" t="s">
        <v>2874</v>
      </c>
      <c r="B459" s="0" t="s">
        <v>2875</v>
      </c>
      <c r="C459" s="0" t="s">
        <v>845</v>
      </c>
      <c r="D459" s="31" t="n">
        <v>16503</v>
      </c>
      <c r="E459" s="31" t="n">
        <v>45634</v>
      </c>
      <c r="F459" s="32" t="s">
        <v>2078</v>
      </c>
      <c r="G459" s="32" t="s">
        <v>2104</v>
      </c>
      <c r="H459" s="32" t="s">
        <v>802</v>
      </c>
      <c r="I459" s="31" t="n">
        <v>45638</v>
      </c>
      <c r="J459" s="32" t="s">
        <v>2080</v>
      </c>
      <c r="K459" s="0" t="n">
        <v>4</v>
      </c>
      <c r="L459" s="32" t="s">
        <v>2081</v>
      </c>
      <c r="M459" s="32" t="s">
        <v>2136</v>
      </c>
      <c r="N459" s="0" t="n">
        <v>4</v>
      </c>
      <c r="O459" s="32" t="s">
        <v>803</v>
      </c>
      <c r="P459" s="32" t="s">
        <v>2117</v>
      </c>
      <c r="Q459" s="32" t="s">
        <v>2091</v>
      </c>
      <c r="R459" s="0" t="str">
        <f aca="false">IF(H459="GEN","GM",H459)</f>
        <v>GYN</v>
      </c>
    </row>
    <row r="460" customFormat="false" ht="15" hidden="false" customHeight="false" outlineLevel="0" collapsed="false">
      <c r="A460" s="0" t="s">
        <v>2876</v>
      </c>
      <c r="B460" s="0" t="s">
        <v>2164</v>
      </c>
      <c r="C460" s="0" t="s">
        <v>1021</v>
      </c>
      <c r="D460" s="31" t="n">
        <v>25728</v>
      </c>
      <c r="E460" s="31" t="n">
        <v>45685</v>
      </c>
      <c r="F460" s="32" t="s">
        <v>2087</v>
      </c>
      <c r="G460" s="32" t="s">
        <v>2088</v>
      </c>
      <c r="H460" s="32" t="s">
        <v>747</v>
      </c>
      <c r="I460" s="31" t="n">
        <v>45695</v>
      </c>
      <c r="J460" s="32" t="s">
        <v>2080</v>
      </c>
      <c r="K460" s="0" t="n">
        <v>10</v>
      </c>
      <c r="L460" s="32" t="s">
        <v>2081</v>
      </c>
      <c r="M460" s="32" t="s">
        <v>2100</v>
      </c>
      <c r="N460" s="0" t="n">
        <v>10</v>
      </c>
      <c r="O460" s="32" t="s">
        <v>748</v>
      </c>
      <c r="P460" s="32" t="s">
        <v>2095</v>
      </c>
      <c r="Q460" s="32" t="s">
        <v>2118</v>
      </c>
      <c r="R460" s="0" t="str">
        <f aca="false">IF(H460="GEN","GM",H460)</f>
        <v>GM</v>
      </c>
    </row>
    <row r="461" customFormat="false" ht="15" hidden="false" customHeight="false" outlineLevel="0" collapsed="false">
      <c r="A461" s="0" t="s">
        <v>2877</v>
      </c>
      <c r="B461" s="0" t="s">
        <v>2506</v>
      </c>
      <c r="C461" s="0" t="s">
        <v>914</v>
      </c>
      <c r="D461" s="31" t="n">
        <v>15247</v>
      </c>
      <c r="E461" s="31" t="n">
        <v>45589</v>
      </c>
      <c r="F461" s="32" t="s">
        <v>2087</v>
      </c>
      <c r="G461" s="32" t="s">
        <v>2099</v>
      </c>
      <c r="H461" s="32" t="s">
        <v>818</v>
      </c>
      <c r="I461" s="31" t="n">
        <v>45591</v>
      </c>
      <c r="J461" s="32" t="s">
        <v>2080</v>
      </c>
      <c r="K461" s="0" t="n">
        <v>2</v>
      </c>
      <c r="L461" s="32" t="s">
        <v>2081</v>
      </c>
      <c r="M461" s="32" t="s">
        <v>2286</v>
      </c>
      <c r="N461" s="0" t="n">
        <v>2</v>
      </c>
      <c r="O461" s="32" t="s">
        <v>819</v>
      </c>
      <c r="P461" s="32" t="s">
        <v>2117</v>
      </c>
      <c r="Q461" s="32" t="s">
        <v>2129</v>
      </c>
      <c r="R461" s="0" t="str">
        <f aca="false">IF(H461="GEN","GM",H461)</f>
        <v>OPH</v>
      </c>
    </row>
    <row r="462" customFormat="false" ht="15" hidden="false" customHeight="false" outlineLevel="0" collapsed="false">
      <c r="A462" s="0" t="s">
        <v>2878</v>
      </c>
      <c r="B462" s="0" t="s">
        <v>2333</v>
      </c>
      <c r="C462" s="0" t="s">
        <v>958</v>
      </c>
      <c r="D462" s="31" t="n">
        <v>34050</v>
      </c>
      <c r="E462" s="31" t="n">
        <v>45736</v>
      </c>
      <c r="F462" s="32" t="s">
        <v>2078</v>
      </c>
      <c r="G462" s="32" t="s">
        <v>2088</v>
      </c>
      <c r="H462" s="32" t="s">
        <v>1391</v>
      </c>
      <c r="I462" s="31" t="n">
        <v>45739</v>
      </c>
      <c r="J462" s="32" t="s">
        <v>2080</v>
      </c>
      <c r="K462" s="0" t="n">
        <v>3</v>
      </c>
      <c r="L462" s="32" t="s">
        <v>2106</v>
      </c>
      <c r="M462" s="32" t="s">
        <v>2100</v>
      </c>
      <c r="N462" s="0" t="n">
        <v>3</v>
      </c>
      <c r="O462" s="32" t="s">
        <v>748</v>
      </c>
      <c r="P462" s="32" t="s">
        <v>2121</v>
      </c>
      <c r="Q462" s="32" t="s">
        <v>2129</v>
      </c>
      <c r="R462" s="0" t="str">
        <f aca="false">IF(H462="GEN","GM",H462)</f>
        <v>GM</v>
      </c>
    </row>
    <row r="463" customFormat="false" ht="15" hidden="false" customHeight="false" outlineLevel="0" collapsed="false">
      <c r="A463" s="0" t="s">
        <v>2879</v>
      </c>
      <c r="B463" s="0" t="s">
        <v>2880</v>
      </c>
      <c r="C463" s="0" t="s">
        <v>775</v>
      </c>
      <c r="D463" s="31" t="n">
        <v>19886</v>
      </c>
      <c r="E463" s="31" t="n">
        <v>45632</v>
      </c>
      <c r="F463" s="32" t="s">
        <v>2078</v>
      </c>
      <c r="G463" s="32" t="s">
        <v>2099</v>
      </c>
      <c r="H463" s="32" t="s">
        <v>818</v>
      </c>
      <c r="I463" s="31" t="n">
        <v>45633</v>
      </c>
      <c r="J463" s="32" t="s">
        <v>2080</v>
      </c>
      <c r="K463" s="0" t="n">
        <v>1</v>
      </c>
      <c r="L463" s="32" t="s">
        <v>2081</v>
      </c>
      <c r="M463" s="32" t="s">
        <v>2195</v>
      </c>
      <c r="N463" s="0" t="n">
        <v>1</v>
      </c>
      <c r="O463" s="32" t="s">
        <v>819</v>
      </c>
      <c r="P463" s="32" t="s">
        <v>2179</v>
      </c>
      <c r="Q463" s="32" t="s">
        <v>2125</v>
      </c>
      <c r="R463" s="0" t="str">
        <f aca="false">IF(H463="GEN","GM",H463)</f>
        <v>OPH</v>
      </c>
    </row>
    <row r="464" customFormat="false" ht="15" hidden="false" customHeight="false" outlineLevel="0" collapsed="false">
      <c r="A464" s="0" t="s">
        <v>2881</v>
      </c>
      <c r="B464" s="0" t="s">
        <v>2636</v>
      </c>
      <c r="C464" s="0" t="s">
        <v>792</v>
      </c>
      <c r="D464" s="31" t="n">
        <v>14998</v>
      </c>
      <c r="E464" s="31" t="n">
        <v>45698</v>
      </c>
      <c r="F464" s="32" t="s">
        <v>2078</v>
      </c>
      <c r="G464" s="32" t="s">
        <v>2088</v>
      </c>
      <c r="H464" s="32" t="s">
        <v>793</v>
      </c>
      <c r="I464" s="31" t="n">
        <v>45700</v>
      </c>
      <c r="J464" s="32" t="s">
        <v>2080</v>
      </c>
      <c r="K464" s="0" t="n">
        <v>2</v>
      </c>
      <c r="L464" s="32" t="s">
        <v>2081</v>
      </c>
      <c r="M464" s="32" t="s">
        <v>2283</v>
      </c>
      <c r="N464" s="0" t="n">
        <v>2</v>
      </c>
      <c r="O464" s="32" t="s">
        <v>794</v>
      </c>
      <c r="P464" s="32" t="s">
        <v>2101</v>
      </c>
      <c r="Q464" s="32" t="s">
        <v>2112</v>
      </c>
      <c r="R464" s="0" t="str">
        <f aca="false">IF(H464="GEN","GM",H464)</f>
        <v>EM</v>
      </c>
    </row>
    <row r="465" customFormat="false" ht="15" hidden="false" customHeight="false" outlineLevel="0" collapsed="false">
      <c r="A465" s="0" t="s">
        <v>2882</v>
      </c>
      <c r="B465" s="0" t="s">
        <v>2797</v>
      </c>
      <c r="C465" s="0" t="s">
        <v>1402</v>
      </c>
      <c r="D465" s="31" t="n">
        <v>15164</v>
      </c>
      <c r="E465" s="31" t="n">
        <v>45570</v>
      </c>
      <c r="F465" s="32" t="s">
        <v>2078</v>
      </c>
      <c r="G465" s="32" t="s">
        <v>2088</v>
      </c>
      <c r="H465" s="32" t="s">
        <v>826</v>
      </c>
      <c r="I465" s="31" t="n">
        <v>45574</v>
      </c>
      <c r="J465" s="32" t="s">
        <v>2160</v>
      </c>
      <c r="K465" s="0" t="n">
        <v>4</v>
      </c>
      <c r="L465" s="32" t="s">
        <v>2081</v>
      </c>
      <c r="M465" s="32" t="s">
        <v>2227</v>
      </c>
      <c r="N465" s="0" t="n">
        <v>4</v>
      </c>
      <c r="O465" s="32" t="s">
        <v>827</v>
      </c>
      <c r="P465" s="32" t="s">
        <v>2222</v>
      </c>
      <c r="Q465" s="32" t="s">
        <v>2259</v>
      </c>
      <c r="R465" s="0" t="str">
        <f aca="false">IF(H465="GEN","GM",H465)</f>
        <v>RHE</v>
      </c>
    </row>
    <row r="466" customFormat="false" ht="15" hidden="false" customHeight="false" outlineLevel="0" collapsed="false">
      <c r="A466" s="0" t="s">
        <v>2883</v>
      </c>
      <c r="B466" s="0" t="s">
        <v>2186</v>
      </c>
      <c r="C466" s="0" t="s">
        <v>926</v>
      </c>
      <c r="D466" s="31" t="n">
        <v>21079</v>
      </c>
      <c r="E466" s="31" t="n">
        <v>45731</v>
      </c>
      <c r="F466" s="32" t="s">
        <v>2087</v>
      </c>
      <c r="G466" s="32" t="s">
        <v>2104</v>
      </c>
      <c r="H466" s="32" t="s">
        <v>802</v>
      </c>
      <c r="I466" s="31" t="n">
        <v>45732</v>
      </c>
      <c r="J466" s="32" t="s">
        <v>2080</v>
      </c>
      <c r="K466" s="0" t="n">
        <v>1</v>
      </c>
      <c r="L466" s="32" t="s">
        <v>2081</v>
      </c>
      <c r="M466" s="32" t="s">
        <v>2195</v>
      </c>
      <c r="N466" s="0" t="n">
        <v>1</v>
      </c>
      <c r="O466" s="32" t="s">
        <v>803</v>
      </c>
      <c r="P466" s="32" t="s">
        <v>2101</v>
      </c>
      <c r="Q466" s="32" t="s">
        <v>2138</v>
      </c>
      <c r="R466" s="0" t="str">
        <f aca="false">IF(H466="GEN","GM",H466)</f>
        <v>GYN</v>
      </c>
    </row>
    <row r="467" customFormat="false" ht="15" hidden="false" customHeight="false" outlineLevel="0" collapsed="false">
      <c r="A467" s="0" t="s">
        <v>2884</v>
      </c>
      <c r="B467" s="0" t="s">
        <v>2547</v>
      </c>
      <c r="C467" s="0" t="s">
        <v>1419</v>
      </c>
      <c r="D467" s="31" t="n">
        <v>32967</v>
      </c>
      <c r="E467" s="31" t="n">
        <v>45665</v>
      </c>
      <c r="F467" s="32" t="s">
        <v>2078</v>
      </c>
      <c r="G467" s="32" t="s">
        <v>2115</v>
      </c>
      <c r="H467" s="32" t="s">
        <v>758</v>
      </c>
      <c r="I467" s="31" t="n">
        <v>45667</v>
      </c>
      <c r="J467" s="32" t="s">
        <v>2080</v>
      </c>
      <c r="K467" s="0" t="n">
        <v>2</v>
      </c>
      <c r="L467" s="32" t="s">
        <v>2106</v>
      </c>
      <c r="M467" s="32" t="s">
        <v>2132</v>
      </c>
      <c r="N467" s="0" t="n">
        <v>2</v>
      </c>
      <c r="O467" s="32" t="s">
        <v>759</v>
      </c>
      <c r="P467" s="32" t="s">
        <v>2175</v>
      </c>
      <c r="Q467" s="32" t="s">
        <v>2125</v>
      </c>
      <c r="R467" s="0" t="str">
        <f aca="false">IF(H467="GEN","GM",H467)</f>
        <v>CS</v>
      </c>
    </row>
    <row r="468" customFormat="false" ht="15" hidden="false" customHeight="false" outlineLevel="0" collapsed="false">
      <c r="A468" s="0" t="s">
        <v>2885</v>
      </c>
      <c r="B468" s="0" t="s">
        <v>2340</v>
      </c>
      <c r="C468" s="0" t="s">
        <v>765</v>
      </c>
      <c r="D468" s="31" t="n">
        <v>16662</v>
      </c>
      <c r="E468" s="31" t="n">
        <v>45701</v>
      </c>
      <c r="F468" s="32" t="s">
        <v>2078</v>
      </c>
      <c r="G468" s="32" t="s">
        <v>2124</v>
      </c>
      <c r="H468" s="32" t="s">
        <v>785</v>
      </c>
      <c r="I468" s="31" t="n">
        <v>45704</v>
      </c>
      <c r="J468" s="32" t="s">
        <v>2080</v>
      </c>
      <c r="K468" s="0" t="n">
        <v>3</v>
      </c>
      <c r="L468" s="32" t="s">
        <v>2081</v>
      </c>
      <c r="M468" s="32" t="s">
        <v>2094</v>
      </c>
      <c r="N468" s="0" t="n">
        <v>3</v>
      </c>
      <c r="O468" s="32" t="s">
        <v>786</v>
      </c>
      <c r="P468" s="32" t="s">
        <v>2201</v>
      </c>
      <c r="Q468" s="32" t="s">
        <v>2129</v>
      </c>
      <c r="R468" s="0" t="str">
        <f aca="false">IF(H468="GEN","GM",H468)</f>
        <v>RS</v>
      </c>
    </row>
    <row r="469" customFormat="false" ht="15" hidden="false" customHeight="false" outlineLevel="0" collapsed="false">
      <c r="A469" s="0" t="s">
        <v>2886</v>
      </c>
      <c r="B469" s="0" t="s">
        <v>2823</v>
      </c>
      <c r="C469" s="0" t="s">
        <v>784</v>
      </c>
      <c r="D469" s="31" t="n">
        <v>26624</v>
      </c>
      <c r="E469" s="31" t="n">
        <v>45656</v>
      </c>
      <c r="F469" s="32" t="s">
        <v>2078</v>
      </c>
      <c r="G469" s="32" t="s">
        <v>2079</v>
      </c>
      <c r="H469" s="32" t="s">
        <v>776</v>
      </c>
      <c r="I469" s="31" t="n">
        <v>45657</v>
      </c>
      <c r="J469" s="32" t="s">
        <v>2160</v>
      </c>
      <c r="K469" s="0" t="n">
        <v>1</v>
      </c>
      <c r="L469" s="32" t="s">
        <v>2081</v>
      </c>
      <c r="M469" s="32" t="s">
        <v>2161</v>
      </c>
      <c r="N469" s="0" t="n">
        <v>1</v>
      </c>
      <c r="O469" s="32" t="s">
        <v>777</v>
      </c>
      <c r="P469" s="32" t="s">
        <v>2149</v>
      </c>
      <c r="Q469" s="32" t="s">
        <v>2259</v>
      </c>
      <c r="R469" s="0" t="str">
        <f aca="false">IF(H469="GEN","GM",H469)</f>
        <v>GS</v>
      </c>
    </row>
    <row r="470" customFormat="false" ht="15" hidden="false" customHeight="false" outlineLevel="0" collapsed="false">
      <c r="A470" s="0" t="s">
        <v>2887</v>
      </c>
      <c r="B470" s="0" t="s">
        <v>2606</v>
      </c>
      <c r="C470" s="0" t="s">
        <v>837</v>
      </c>
      <c r="D470" s="31" t="n">
        <v>22135</v>
      </c>
      <c r="E470" s="31" t="n">
        <v>45574</v>
      </c>
      <c r="F470" s="32" t="s">
        <v>2078</v>
      </c>
      <c r="G470" s="32" t="s">
        <v>2079</v>
      </c>
      <c r="H470" s="32" t="s">
        <v>776</v>
      </c>
      <c r="I470" s="31" t="n">
        <v>45578</v>
      </c>
      <c r="J470" s="32" t="s">
        <v>2080</v>
      </c>
      <c r="K470" s="0" t="n">
        <v>4</v>
      </c>
      <c r="L470" s="32" t="s">
        <v>2081</v>
      </c>
      <c r="M470" s="32" t="s">
        <v>2116</v>
      </c>
      <c r="N470" s="0" t="n">
        <v>4</v>
      </c>
      <c r="O470" s="32" t="s">
        <v>777</v>
      </c>
      <c r="P470" s="32" t="s">
        <v>2156</v>
      </c>
      <c r="R470" s="0" t="str">
        <f aca="false">IF(H470="GEN","GM",H470)</f>
        <v>GS</v>
      </c>
    </row>
    <row r="471" customFormat="false" ht="15" hidden="false" customHeight="false" outlineLevel="0" collapsed="false">
      <c r="A471" s="0" t="s">
        <v>2888</v>
      </c>
      <c r="B471" s="0" t="s">
        <v>2636</v>
      </c>
      <c r="C471" s="0" t="s">
        <v>775</v>
      </c>
      <c r="D471" s="31" t="n">
        <v>17709</v>
      </c>
      <c r="E471" s="31" t="n">
        <v>45662</v>
      </c>
      <c r="F471" s="32" t="s">
        <v>2078</v>
      </c>
      <c r="G471" s="32" t="s">
        <v>2088</v>
      </c>
      <c r="H471" s="32" t="s">
        <v>826</v>
      </c>
      <c r="I471" s="31" t="n">
        <v>45664</v>
      </c>
      <c r="J471" s="32" t="s">
        <v>2080</v>
      </c>
      <c r="K471" s="0" t="n">
        <v>2</v>
      </c>
      <c r="L471" s="32" t="s">
        <v>2081</v>
      </c>
      <c r="M471" s="32" t="s">
        <v>2161</v>
      </c>
      <c r="N471" s="0" t="n">
        <v>2</v>
      </c>
      <c r="P471" s="32" t="s">
        <v>2133</v>
      </c>
      <c r="Q471" s="32" t="s">
        <v>2165</v>
      </c>
      <c r="R471" s="0" t="str">
        <f aca="false">IF(H471="GEN","GM",H471)</f>
        <v>RHE</v>
      </c>
    </row>
    <row r="472" customFormat="false" ht="15" hidden="false" customHeight="false" outlineLevel="0" collapsed="false">
      <c r="A472" s="0" t="s">
        <v>2889</v>
      </c>
      <c r="B472" s="0" t="s">
        <v>2192</v>
      </c>
      <c r="C472" s="0" t="s">
        <v>950</v>
      </c>
      <c r="D472" s="31" t="n">
        <v>16130</v>
      </c>
      <c r="E472" s="31" t="n">
        <v>45701</v>
      </c>
      <c r="F472" s="32" t="s">
        <v>2087</v>
      </c>
      <c r="G472" s="32" t="s">
        <v>2099</v>
      </c>
      <c r="H472" s="32" t="s">
        <v>818</v>
      </c>
      <c r="I472" s="31" t="n">
        <v>45705</v>
      </c>
      <c r="J472" s="32" t="s">
        <v>2160</v>
      </c>
      <c r="K472" s="0" t="n">
        <v>4</v>
      </c>
      <c r="L472" s="32" t="s">
        <v>2081</v>
      </c>
      <c r="M472" s="32" t="s">
        <v>2116</v>
      </c>
      <c r="N472" s="0" t="n">
        <v>4</v>
      </c>
      <c r="O472" s="32" t="s">
        <v>819</v>
      </c>
      <c r="P472" s="32" t="s">
        <v>2090</v>
      </c>
      <c r="Q472" s="32" t="s">
        <v>2129</v>
      </c>
      <c r="R472" s="0" t="str">
        <f aca="false">IF(H472="GEN","GM",H472)</f>
        <v>OPH</v>
      </c>
    </row>
    <row r="473" customFormat="false" ht="15" hidden="false" customHeight="false" outlineLevel="0" collapsed="false">
      <c r="A473" s="0" t="s">
        <v>2890</v>
      </c>
      <c r="B473" s="0" t="s">
        <v>2728</v>
      </c>
      <c r="C473" s="0" t="s">
        <v>784</v>
      </c>
      <c r="D473" s="31" t="n">
        <v>26375</v>
      </c>
      <c r="E473" s="31" t="n">
        <v>45652</v>
      </c>
      <c r="F473" s="32" t="s">
        <v>2087</v>
      </c>
      <c r="G473" s="32" t="s">
        <v>2088</v>
      </c>
      <c r="H473" s="32" t="s">
        <v>793</v>
      </c>
      <c r="I473" s="31" t="n">
        <v>45654</v>
      </c>
      <c r="J473" s="32" t="s">
        <v>2105</v>
      </c>
      <c r="K473" s="0" t="n">
        <v>2</v>
      </c>
      <c r="L473" s="32" t="s">
        <v>2081</v>
      </c>
      <c r="M473" s="32" t="s">
        <v>2141</v>
      </c>
      <c r="N473" s="0" t="n">
        <v>2</v>
      </c>
      <c r="O473" s="32" t="s">
        <v>794</v>
      </c>
      <c r="P473" s="32" t="s">
        <v>2162</v>
      </c>
      <c r="Q473" s="32" t="s">
        <v>2244</v>
      </c>
      <c r="R473" s="0" t="str">
        <f aca="false">IF(H473="GEN","GM",H473)</f>
        <v>EM</v>
      </c>
    </row>
    <row r="474" customFormat="false" ht="15" hidden="false" customHeight="false" outlineLevel="0" collapsed="false">
      <c r="A474" s="0" t="s">
        <v>2891</v>
      </c>
      <c r="B474" s="0" t="s">
        <v>2834</v>
      </c>
      <c r="C474" s="0" t="s">
        <v>837</v>
      </c>
      <c r="D474" s="31" t="n">
        <v>14066</v>
      </c>
      <c r="E474" s="31" t="n">
        <v>45621</v>
      </c>
      <c r="F474" s="32" t="s">
        <v>2087</v>
      </c>
      <c r="G474" s="32" t="s">
        <v>2079</v>
      </c>
      <c r="H474" s="32" t="s">
        <v>776</v>
      </c>
      <c r="I474" s="31" t="n">
        <v>45623</v>
      </c>
      <c r="J474" s="32" t="s">
        <v>2080</v>
      </c>
      <c r="K474" s="0" t="n">
        <v>2</v>
      </c>
      <c r="L474" s="32" t="s">
        <v>2081</v>
      </c>
      <c r="M474" s="32" t="s">
        <v>2152</v>
      </c>
      <c r="N474" s="0" t="n">
        <v>2</v>
      </c>
      <c r="O474" s="32" t="s">
        <v>777</v>
      </c>
      <c r="P474" s="32" t="s">
        <v>2201</v>
      </c>
      <c r="Q474" s="32" t="s">
        <v>2198</v>
      </c>
      <c r="R474" s="0" t="str">
        <f aca="false">IF(H474="GEN","GM",H474)</f>
        <v>GS</v>
      </c>
    </row>
    <row r="475" customFormat="false" ht="15" hidden="false" customHeight="false" outlineLevel="0" collapsed="false">
      <c r="A475" s="0" t="s">
        <v>2892</v>
      </c>
      <c r="B475" s="0" t="s">
        <v>2712</v>
      </c>
      <c r="C475" s="0" t="s">
        <v>792</v>
      </c>
      <c r="D475" s="31" t="n">
        <v>17998</v>
      </c>
      <c r="E475" s="31" t="n">
        <v>45653</v>
      </c>
      <c r="F475" s="32" t="s">
        <v>2258</v>
      </c>
      <c r="G475" s="32" t="s">
        <v>2099</v>
      </c>
      <c r="H475" s="32" t="s">
        <v>818</v>
      </c>
      <c r="I475" s="31" t="n">
        <v>45656</v>
      </c>
      <c r="J475" s="32" t="s">
        <v>2080</v>
      </c>
      <c r="K475" s="0" t="n">
        <v>3</v>
      </c>
      <c r="L475" s="32" t="s">
        <v>2081</v>
      </c>
      <c r="M475" s="32" t="s">
        <v>2082</v>
      </c>
      <c r="N475" s="0" t="n">
        <v>3</v>
      </c>
      <c r="O475" s="32" t="s">
        <v>819</v>
      </c>
      <c r="P475" s="32" t="s">
        <v>2175</v>
      </c>
      <c r="R475" s="0" t="str">
        <f aca="false">IF(H475="GEN","GM",H475)</f>
        <v>OPH</v>
      </c>
    </row>
    <row r="476" customFormat="false" ht="15" hidden="false" customHeight="false" outlineLevel="0" collapsed="false">
      <c r="A476" s="0" t="s">
        <v>2893</v>
      </c>
      <c r="B476" s="0" t="s">
        <v>2894</v>
      </c>
      <c r="C476" s="0" t="s">
        <v>985</v>
      </c>
      <c r="D476" s="31" t="n">
        <v>15836</v>
      </c>
      <c r="E476" s="31" t="n">
        <v>45608</v>
      </c>
      <c r="F476" s="32" t="s">
        <v>2087</v>
      </c>
      <c r="G476" s="32" t="s">
        <v>2079</v>
      </c>
      <c r="H476" s="32" t="s">
        <v>810</v>
      </c>
      <c r="I476" s="31" t="n">
        <v>45611</v>
      </c>
      <c r="J476" s="32" t="s">
        <v>2307</v>
      </c>
      <c r="K476" s="0" t="n">
        <v>3</v>
      </c>
      <c r="L476" s="32" t="s">
        <v>2081</v>
      </c>
      <c r="M476" s="32" t="s">
        <v>2152</v>
      </c>
      <c r="N476" s="0" t="n">
        <v>3</v>
      </c>
      <c r="O476" s="32" t="s">
        <v>811</v>
      </c>
      <c r="P476" s="32" t="s">
        <v>2117</v>
      </c>
      <c r="Q476" s="32" t="s">
        <v>2129</v>
      </c>
      <c r="R476" s="0" t="str">
        <f aca="false">IF(H476="GEN","GM",H476)</f>
        <v>URO</v>
      </c>
    </row>
    <row r="477" customFormat="false" ht="15" hidden="false" customHeight="false" outlineLevel="0" collapsed="false">
      <c r="A477" s="0" t="s">
        <v>2895</v>
      </c>
      <c r="B477" s="0" t="s">
        <v>2261</v>
      </c>
      <c r="C477" s="0" t="s">
        <v>993</v>
      </c>
      <c r="D477" s="31" t="n">
        <v>24177</v>
      </c>
      <c r="E477" s="31" t="n">
        <v>45615</v>
      </c>
      <c r="F477" s="32" t="s">
        <v>2087</v>
      </c>
      <c r="G477" s="32" t="s">
        <v>2124</v>
      </c>
      <c r="H477" s="32" t="s">
        <v>785</v>
      </c>
      <c r="I477" s="31" t="n">
        <v>45626</v>
      </c>
      <c r="J477" s="32" t="s">
        <v>2160</v>
      </c>
      <c r="K477" s="0" t="n">
        <v>11</v>
      </c>
      <c r="L477" s="32" t="s">
        <v>2081</v>
      </c>
      <c r="M477" s="32" t="s">
        <v>2128</v>
      </c>
      <c r="N477" s="0" t="n">
        <v>11</v>
      </c>
      <c r="O477" s="32" t="s">
        <v>786</v>
      </c>
      <c r="P477" s="32" t="s">
        <v>2179</v>
      </c>
      <c r="R477" s="0" t="str">
        <f aca="false">IF(H477="GEN","GM",H477)</f>
        <v>RS</v>
      </c>
    </row>
    <row r="478" customFormat="false" ht="15" hidden="false" customHeight="false" outlineLevel="0" collapsed="false">
      <c r="A478" s="0" t="s">
        <v>2896</v>
      </c>
      <c r="B478" s="0" t="s">
        <v>2754</v>
      </c>
      <c r="C478" s="0" t="s">
        <v>997</v>
      </c>
      <c r="D478" s="31" t="n">
        <v>18500</v>
      </c>
      <c r="E478" s="31" t="n">
        <v>45709</v>
      </c>
      <c r="F478" s="32" t="s">
        <v>2078</v>
      </c>
      <c r="G478" s="32" t="s">
        <v>2079</v>
      </c>
      <c r="H478" s="32" t="s">
        <v>810</v>
      </c>
      <c r="I478" s="31" t="n">
        <v>45715</v>
      </c>
      <c r="J478" s="32" t="s">
        <v>2080</v>
      </c>
      <c r="K478" s="0" t="n">
        <v>6</v>
      </c>
      <c r="L478" s="32" t="s">
        <v>2081</v>
      </c>
      <c r="M478" s="32" t="s">
        <v>2110</v>
      </c>
      <c r="N478" s="0" t="n">
        <v>6</v>
      </c>
      <c r="O478" s="32" t="s">
        <v>811</v>
      </c>
      <c r="P478" s="32" t="s">
        <v>2156</v>
      </c>
      <c r="Q478" s="32" t="s">
        <v>2138</v>
      </c>
      <c r="R478" s="0" t="str">
        <f aca="false">IF(H478="GEN","GM",H478)</f>
        <v>URO</v>
      </c>
    </row>
    <row r="479" customFormat="false" ht="15" hidden="false" customHeight="false" outlineLevel="0" collapsed="false">
      <c r="A479" s="0" t="s">
        <v>2897</v>
      </c>
      <c r="B479" s="0" t="s">
        <v>2898</v>
      </c>
      <c r="C479" s="0" t="s">
        <v>1005</v>
      </c>
      <c r="D479" s="31" t="n">
        <v>18345</v>
      </c>
      <c r="E479" s="31" t="n">
        <v>45705</v>
      </c>
      <c r="F479" s="32" t="s">
        <v>2087</v>
      </c>
      <c r="G479" s="32" t="s">
        <v>2099</v>
      </c>
      <c r="H479" s="32" t="s">
        <v>766</v>
      </c>
      <c r="I479" s="31" t="n">
        <v>45710</v>
      </c>
      <c r="J479" s="32" t="s">
        <v>2160</v>
      </c>
      <c r="K479" s="0" t="n">
        <v>5</v>
      </c>
      <c r="L479" s="32" t="s">
        <v>2106</v>
      </c>
      <c r="M479" s="32" t="s">
        <v>2141</v>
      </c>
      <c r="N479" s="0" t="n">
        <v>5</v>
      </c>
      <c r="O479" s="32" t="s">
        <v>767</v>
      </c>
      <c r="P479" s="32" t="s">
        <v>2182</v>
      </c>
      <c r="Q479" s="32" t="s">
        <v>2259</v>
      </c>
      <c r="R479" s="0" t="str">
        <f aca="false">IF(H479="GEN","GM",H479)</f>
        <v>OR</v>
      </c>
    </row>
    <row r="480" customFormat="false" ht="15" hidden="false" customHeight="false" outlineLevel="0" collapsed="false">
      <c r="A480" s="0" t="s">
        <v>2899</v>
      </c>
      <c r="B480" s="0" t="s">
        <v>2900</v>
      </c>
      <c r="C480" s="0" t="s">
        <v>1419</v>
      </c>
      <c r="D480" s="31" t="n">
        <v>27678</v>
      </c>
      <c r="E480" s="31" t="n">
        <v>45668</v>
      </c>
      <c r="F480" s="32" t="s">
        <v>2160</v>
      </c>
      <c r="G480" s="32" t="s">
        <v>2124</v>
      </c>
      <c r="H480" s="32" t="s">
        <v>785</v>
      </c>
      <c r="I480" s="31" t="n">
        <v>45673</v>
      </c>
      <c r="J480" s="32" t="s">
        <v>2080</v>
      </c>
      <c r="K480" s="0" t="n">
        <v>5</v>
      </c>
      <c r="L480" s="32" t="s">
        <v>2106</v>
      </c>
      <c r="M480" s="32" t="s">
        <v>2100</v>
      </c>
      <c r="N480" s="0" t="n">
        <v>5</v>
      </c>
      <c r="O480" s="32" t="s">
        <v>786</v>
      </c>
      <c r="P480" s="32" t="s">
        <v>2111</v>
      </c>
      <c r="Q480" s="32" t="s">
        <v>2138</v>
      </c>
      <c r="R480" s="0" t="str">
        <f aca="false">IF(H480="GEN","GM",H480)</f>
        <v>RS</v>
      </c>
    </row>
    <row r="481" customFormat="false" ht="15" hidden="false" customHeight="false" outlineLevel="0" collapsed="false">
      <c r="A481" s="0" t="s">
        <v>2901</v>
      </c>
      <c r="B481" s="0" t="s">
        <v>2235</v>
      </c>
      <c r="C481" s="0" t="s">
        <v>817</v>
      </c>
      <c r="D481" s="31" t="n">
        <v>15399</v>
      </c>
      <c r="E481" s="31" t="n">
        <v>45722</v>
      </c>
      <c r="F481" s="32" t="s">
        <v>2160</v>
      </c>
      <c r="G481" s="32" t="s">
        <v>2079</v>
      </c>
      <c r="H481" s="32" t="s">
        <v>776</v>
      </c>
      <c r="I481" s="31" t="n">
        <v>45726</v>
      </c>
      <c r="J481" s="32" t="s">
        <v>2080</v>
      </c>
      <c r="K481" s="0" t="n">
        <v>4</v>
      </c>
      <c r="L481" s="32" t="s">
        <v>2081</v>
      </c>
      <c r="M481" s="32" t="s">
        <v>2161</v>
      </c>
      <c r="N481" s="0" t="n">
        <v>4</v>
      </c>
      <c r="O481" s="32" t="s">
        <v>777</v>
      </c>
      <c r="P481" s="32" t="s">
        <v>2083</v>
      </c>
      <c r="Q481" s="32" t="s">
        <v>2244</v>
      </c>
      <c r="R481" s="0" t="str">
        <f aca="false">IF(H481="GEN","GM",H481)</f>
        <v>GS</v>
      </c>
    </row>
    <row r="482" customFormat="false" ht="15" hidden="false" customHeight="false" outlineLevel="0" collapsed="false">
      <c r="A482" s="0" t="s">
        <v>2902</v>
      </c>
      <c r="B482" s="0" t="s">
        <v>2903</v>
      </c>
      <c r="C482" s="0" t="s">
        <v>894</v>
      </c>
      <c r="D482" s="31" t="n">
        <v>33556</v>
      </c>
      <c r="E482" s="31" t="n">
        <v>45678</v>
      </c>
      <c r="F482" s="32" t="s">
        <v>2087</v>
      </c>
      <c r="G482" s="32" t="s">
        <v>2124</v>
      </c>
      <c r="H482" s="32" t="s">
        <v>785</v>
      </c>
      <c r="I482" s="31" t="n">
        <v>45681</v>
      </c>
      <c r="J482" s="32" t="s">
        <v>2080</v>
      </c>
      <c r="K482" s="0" t="n">
        <v>3</v>
      </c>
      <c r="L482" s="32" t="s">
        <v>2081</v>
      </c>
      <c r="M482" s="32" t="s">
        <v>2161</v>
      </c>
      <c r="N482" s="0" t="n">
        <v>3</v>
      </c>
      <c r="O482" s="32" t="s">
        <v>786</v>
      </c>
      <c r="P482" s="32" t="s">
        <v>2111</v>
      </c>
      <c r="Q482" s="32" t="s">
        <v>2091</v>
      </c>
      <c r="R482" s="0" t="str">
        <f aca="false">IF(H482="GEN","GM",H482)</f>
        <v>RS</v>
      </c>
    </row>
    <row r="483" customFormat="false" ht="15" hidden="false" customHeight="false" outlineLevel="0" collapsed="false">
      <c r="A483" s="0" t="s">
        <v>2904</v>
      </c>
      <c r="B483" s="0" t="s">
        <v>2797</v>
      </c>
      <c r="C483" s="0" t="s">
        <v>1402</v>
      </c>
      <c r="D483" s="31" t="n">
        <v>30687</v>
      </c>
      <c r="E483" s="31" t="n">
        <v>45702</v>
      </c>
      <c r="F483" s="32" t="s">
        <v>2087</v>
      </c>
      <c r="G483" s="32" t="s">
        <v>2124</v>
      </c>
      <c r="H483" s="32" t="s">
        <v>785</v>
      </c>
      <c r="I483" s="31" t="n">
        <v>45704</v>
      </c>
      <c r="J483" s="32" t="s">
        <v>2080</v>
      </c>
      <c r="K483" s="0" t="n">
        <v>2</v>
      </c>
      <c r="L483" s="32" t="s">
        <v>2081</v>
      </c>
      <c r="M483" s="32" t="s">
        <v>2089</v>
      </c>
      <c r="N483" s="0" t="n">
        <v>2</v>
      </c>
      <c r="O483" s="32" t="s">
        <v>786</v>
      </c>
      <c r="P483" s="32" t="s">
        <v>2133</v>
      </c>
      <c r="Q483" s="32" t="s">
        <v>2259</v>
      </c>
      <c r="R483" s="0" t="str">
        <f aca="false">IF(H483="GEN","GM",H483)</f>
        <v>RS</v>
      </c>
    </row>
    <row r="484" customFormat="false" ht="15" hidden="false" customHeight="false" outlineLevel="0" collapsed="false">
      <c r="A484" s="0" t="s">
        <v>2905</v>
      </c>
      <c r="B484" s="0" t="s">
        <v>2489</v>
      </c>
      <c r="C484" s="0" t="s">
        <v>878</v>
      </c>
      <c r="D484" s="31" t="n">
        <v>17583</v>
      </c>
      <c r="E484" s="31" t="n">
        <v>45697</v>
      </c>
      <c r="F484" s="32" t="s">
        <v>2078</v>
      </c>
      <c r="G484" s="32" t="s">
        <v>2079</v>
      </c>
      <c r="H484" s="32" t="s">
        <v>776</v>
      </c>
      <c r="I484" s="31" t="n">
        <v>45705</v>
      </c>
      <c r="J484" s="32" t="s">
        <v>2080</v>
      </c>
      <c r="K484" s="0" t="n">
        <v>8</v>
      </c>
      <c r="L484" s="32" t="s">
        <v>2081</v>
      </c>
      <c r="M484" s="32" t="s">
        <v>2152</v>
      </c>
      <c r="N484" s="0" t="n">
        <v>8</v>
      </c>
      <c r="O484" s="32" t="s">
        <v>777</v>
      </c>
      <c r="P484" s="32" t="s">
        <v>2213</v>
      </c>
      <c r="Q484" s="32" t="s">
        <v>2112</v>
      </c>
      <c r="R484" s="0" t="str">
        <f aca="false">IF(H484="GEN","GM",H484)</f>
        <v>GS</v>
      </c>
    </row>
    <row r="485" customFormat="false" ht="15" hidden="false" customHeight="false" outlineLevel="0" collapsed="false">
      <c r="A485" s="0" t="s">
        <v>2906</v>
      </c>
      <c r="B485" s="0" t="s">
        <v>2907</v>
      </c>
      <c r="C485" s="0" t="s">
        <v>801</v>
      </c>
      <c r="D485" s="31" t="n">
        <v>19550</v>
      </c>
      <c r="E485" s="31" t="n">
        <v>45681</v>
      </c>
      <c r="F485" s="32" t="s">
        <v>2087</v>
      </c>
      <c r="G485" s="32" t="s">
        <v>2124</v>
      </c>
      <c r="H485" s="32" t="s">
        <v>785</v>
      </c>
      <c r="I485" s="31" t="n">
        <v>45683</v>
      </c>
      <c r="J485" s="32" t="s">
        <v>2080</v>
      </c>
      <c r="K485" s="0" t="n">
        <v>2</v>
      </c>
      <c r="L485" s="32" t="s">
        <v>2081</v>
      </c>
      <c r="M485" s="32" t="s">
        <v>2207</v>
      </c>
      <c r="N485" s="0" t="n">
        <v>2</v>
      </c>
      <c r="O485" s="32" t="s">
        <v>786</v>
      </c>
      <c r="P485" s="32" t="s">
        <v>2238</v>
      </c>
      <c r="Q485" s="32" t="s">
        <v>2138</v>
      </c>
      <c r="R485" s="0" t="str">
        <f aca="false">IF(H485="GEN","GM",H485)</f>
        <v>RS</v>
      </c>
    </row>
    <row r="486" customFormat="false" ht="15" hidden="false" customHeight="false" outlineLevel="0" collapsed="false">
      <c r="A486" s="0" t="s">
        <v>2908</v>
      </c>
      <c r="B486" s="0" t="s">
        <v>2909</v>
      </c>
      <c r="C486" s="0" t="s">
        <v>1426</v>
      </c>
      <c r="D486" s="31" t="n">
        <v>21237</v>
      </c>
      <c r="E486" s="31" t="n">
        <v>45691</v>
      </c>
      <c r="F486" s="32" t="s">
        <v>2078</v>
      </c>
      <c r="G486" s="32" t="s">
        <v>2104</v>
      </c>
      <c r="H486" s="32" t="s">
        <v>802</v>
      </c>
      <c r="I486" s="31" t="n">
        <v>45695</v>
      </c>
      <c r="J486" s="32" t="s">
        <v>2080</v>
      </c>
      <c r="K486" s="0" t="n">
        <v>4</v>
      </c>
      <c r="L486" s="32" t="s">
        <v>2081</v>
      </c>
      <c r="M486" s="32" t="s">
        <v>2116</v>
      </c>
      <c r="N486" s="0" t="n">
        <v>4</v>
      </c>
      <c r="O486" s="32" t="s">
        <v>803</v>
      </c>
      <c r="P486" s="32" t="s">
        <v>2083</v>
      </c>
      <c r="Q486" s="32" t="s">
        <v>2153</v>
      </c>
      <c r="R486" s="0" t="str">
        <f aca="false">IF(H486="GEN","GM",H486)</f>
        <v>GYN</v>
      </c>
    </row>
    <row r="487" customFormat="false" ht="15" hidden="false" customHeight="false" outlineLevel="0" collapsed="false">
      <c r="A487" s="0" t="s">
        <v>2910</v>
      </c>
      <c r="B487" s="0" t="s">
        <v>2391</v>
      </c>
      <c r="C487" s="0" t="s">
        <v>765</v>
      </c>
      <c r="D487" s="31" t="n">
        <v>36148</v>
      </c>
      <c r="E487" s="31" t="n">
        <v>45669</v>
      </c>
      <c r="F487" s="32" t="s">
        <v>2087</v>
      </c>
      <c r="G487" s="32" t="s">
        <v>2115</v>
      </c>
      <c r="H487" s="32" t="s">
        <v>758</v>
      </c>
      <c r="I487" s="31" t="n">
        <v>45677</v>
      </c>
      <c r="J487" s="32" t="s">
        <v>2080</v>
      </c>
      <c r="K487" s="0" t="n">
        <v>8</v>
      </c>
      <c r="M487" s="32" t="s">
        <v>2227</v>
      </c>
      <c r="N487" s="0" t="n">
        <v>8</v>
      </c>
      <c r="O487" s="32" t="s">
        <v>759</v>
      </c>
      <c r="P487" s="32" t="s">
        <v>2238</v>
      </c>
      <c r="Q487" s="32" t="s">
        <v>2190</v>
      </c>
      <c r="R487" s="0" t="str">
        <f aca="false">IF(H487="GEN","GM",H487)</f>
        <v>CS</v>
      </c>
    </row>
    <row r="488" customFormat="false" ht="15" hidden="false" customHeight="false" outlineLevel="0" collapsed="false">
      <c r="A488" s="0" t="s">
        <v>2911</v>
      </c>
      <c r="B488" s="0" t="s">
        <v>2831</v>
      </c>
      <c r="C488" s="0" t="s">
        <v>837</v>
      </c>
      <c r="D488" s="31" t="n">
        <v>31379</v>
      </c>
      <c r="E488" s="31" t="n">
        <v>45669</v>
      </c>
      <c r="F488" s="32" t="s">
        <v>2087</v>
      </c>
      <c r="G488" s="32" t="s">
        <v>2079</v>
      </c>
      <c r="H488" s="32" t="s">
        <v>810</v>
      </c>
      <c r="I488" s="31" t="n">
        <v>45673</v>
      </c>
      <c r="J488" s="32" t="s">
        <v>2160</v>
      </c>
      <c r="K488" s="0" t="n">
        <v>4</v>
      </c>
      <c r="L488" s="32" t="s">
        <v>2081</v>
      </c>
      <c r="M488" s="32" t="s">
        <v>2161</v>
      </c>
      <c r="N488" s="0" t="n">
        <v>4</v>
      </c>
      <c r="O488" s="32" t="s">
        <v>811</v>
      </c>
      <c r="P488" s="32" t="s">
        <v>2156</v>
      </c>
      <c r="Q488" s="32" t="s">
        <v>2112</v>
      </c>
      <c r="R488" s="0" t="str">
        <f aca="false">IF(H488="GEN","GM",H488)</f>
        <v>URO</v>
      </c>
    </row>
    <row r="489" customFormat="false" ht="15" hidden="false" customHeight="false" outlineLevel="0" collapsed="false">
      <c r="A489" s="0" t="s">
        <v>2912</v>
      </c>
      <c r="B489" s="0" t="s">
        <v>2913</v>
      </c>
      <c r="C489" s="0" t="s">
        <v>1410</v>
      </c>
      <c r="D489" s="31" t="n">
        <v>26204</v>
      </c>
      <c r="E489" s="31" t="n">
        <v>45624</v>
      </c>
      <c r="F489" s="32" t="s">
        <v>2078</v>
      </c>
      <c r="G489" s="32" t="s">
        <v>2088</v>
      </c>
      <c r="H489" s="32" t="s">
        <v>747</v>
      </c>
      <c r="I489" s="31" t="n">
        <v>45627</v>
      </c>
      <c r="J489" s="32" t="s">
        <v>2080</v>
      </c>
      <c r="K489" s="0" t="n">
        <v>3</v>
      </c>
      <c r="L489" s="32" t="s">
        <v>2081</v>
      </c>
      <c r="M489" s="32" t="s">
        <v>2094</v>
      </c>
      <c r="N489" s="0" t="n">
        <v>3</v>
      </c>
      <c r="O489" s="32" t="s">
        <v>748</v>
      </c>
      <c r="P489" s="32" t="s">
        <v>2117</v>
      </c>
      <c r="Q489" s="32" t="s">
        <v>2145</v>
      </c>
      <c r="R489" s="0" t="str">
        <f aca="false">IF(H489="GEN","GM",H489)</f>
        <v>GM</v>
      </c>
    </row>
    <row r="490" customFormat="false" ht="15" hidden="false" customHeight="false" outlineLevel="0" collapsed="false">
      <c r="A490" s="0" t="s">
        <v>2914</v>
      </c>
      <c r="B490" s="0" t="s">
        <v>2803</v>
      </c>
      <c r="C490" s="0" t="s">
        <v>1025</v>
      </c>
      <c r="D490" s="31" t="n">
        <v>38245</v>
      </c>
      <c r="E490" s="31" t="n">
        <v>45611</v>
      </c>
      <c r="F490" s="32" t="s">
        <v>2160</v>
      </c>
      <c r="G490" s="32" t="s">
        <v>2088</v>
      </c>
      <c r="H490" s="32" t="s">
        <v>747</v>
      </c>
      <c r="I490" s="31" t="n">
        <v>45614</v>
      </c>
      <c r="J490" s="32" t="s">
        <v>2080</v>
      </c>
      <c r="K490" s="0" t="n">
        <v>3</v>
      </c>
      <c r="L490" s="32" t="s">
        <v>2081</v>
      </c>
      <c r="M490" s="32" t="s">
        <v>2227</v>
      </c>
      <c r="N490" s="0" t="n">
        <v>3</v>
      </c>
      <c r="O490" s="32" t="s">
        <v>748</v>
      </c>
      <c r="P490" s="32" t="s">
        <v>2117</v>
      </c>
      <c r="Q490" s="32" t="s">
        <v>2179</v>
      </c>
      <c r="R490" s="0" t="str">
        <f aca="false">IF(H490="GEN","GM",H490)</f>
        <v>GM</v>
      </c>
    </row>
    <row r="491" customFormat="false" ht="15" hidden="false" customHeight="false" outlineLevel="0" collapsed="false">
      <c r="A491" s="0" t="s">
        <v>2915</v>
      </c>
      <c r="B491" s="0" t="s">
        <v>2423</v>
      </c>
      <c r="C491" s="0" t="s">
        <v>1426</v>
      </c>
      <c r="D491" s="31" t="n">
        <v>35994</v>
      </c>
      <c r="E491" s="31" t="n">
        <v>45605</v>
      </c>
      <c r="F491" s="32" t="s">
        <v>2078</v>
      </c>
      <c r="G491" s="32" t="s">
        <v>2104</v>
      </c>
      <c r="H491" s="32" t="s">
        <v>802</v>
      </c>
      <c r="I491" s="31" t="n">
        <v>45610</v>
      </c>
      <c r="J491" s="32" t="s">
        <v>2080</v>
      </c>
      <c r="K491" s="0" t="n">
        <v>5</v>
      </c>
      <c r="L491" s="32" t="s">
        <v>2081</v>
      </c>
      <c r="M491" s="32" t="s">
        <v>2227</v>
      </c>
      <c r="N491" s="0" t="n">
        <v>5</v>
      </c>
      <c r="O491" s="32" t="s">
        <v>803</v>
      </c>
      <c r="P491" s="32" t="s">
        <v>2090</v>
      </c>
      <c r="Q491" s="32" t="s">
        <v>2165</v>
      </c>
      <c r="R491" s="0" t="str">
        <f aca="false">IF(H491="GEN","GM",H491)</f>
        <v>GYN</v>
      </c>
    </row>
    <row r="492" customFormat="false" ht="15" hidden="false" customHeight="false" outlineLevel="0" collapsed="false">
      <c r="A492" s="0" t="s">
        <v>2916</v>
      </c>
      <c r="B492" s="0" t="s">
        <v>2917</v>
      </c>
      <c r="C492" s="0" t="s">
        <v>993</v>
      </c>
      <c r="D492" s="31" t="n">
        <v>30670</v>
      </c>
      <c r="E492" s="31" t="n">
        <v>45704</v>
      </c>
      <c r="F492" s="32" t="s">
        <v>2078</v>
      </c>
      <c r="G492" s="32" t="s">
        <v>2088</v>
      </c>
      <c r="H492" s="32" t="s">
        <v>1391</v>
      </c>
      <c r="I492" s="31" t="n">
        <v>45705</v>
      </c>
      <c r="J492" s="32" t="s">
        <v>2080</v>
      </c>
      <c r="K492" s="0" t="n">
        <v>1</v>
      </c>
      <c r="L492" s="32" t="s">
        <v>2081</v>
      </c>
      <c r="M492" s="32" t="s">
        <v>2161</v>
      </c>
      <c r="N492" s="0" t="n">
        <v>1</v>
      </c>
      <c r="O492" s="32" t="s">
        <v>748</v>
      </c>
      <c r="P492" s="32" t="s">
        <v>2090</v>
      </c>
      <c r="Q492" s="32" t="s">
        <v>2118</v>
      </c>
      <c r="R492" s="0" t="str">
        <f aca="false">IF(H492="GEN","GM",H492)</f>
        <v>GM</v>
      </c>
    </row>
    <row r="493" customFormat="false" ht="15" hidden="false" customHeight="false" outlineLevel="0" collapsed="false">
      <c r="A493" s="0" t="s">
        <v>2918</v>
      </c>
      <c r="B493" s="0" t="s">
        <v>2919</v>
      </c>
      <c r="C493" s="0" t="s">
        <v>906</v>
      </c>
      <c r="D493" s="31" t="n">
        <v>21812</v>
      </c>
      <c r="E493" s="31" t="n">
        <v>45613</v>
      </c>
      <c r="F493" s="32" t="s">
        <v>2087</v>
      </c>
      <c r="G493" s="32" t="s">
        <v>2115</v>
      </c>
      <c r="H493" s="32" t="s">
        <v>758</v>
      </c>
      <c r="I493" s="31" t="n">
        <v>45617</v>
      </c>
      <c r="J493" s="32" t="s">
        <v>2080</v>
      </c>
      <c r="K493" s="0" t="n">
        <v>4</v>
      </c>
      <c r="L493" s="32" t="s">
        <v>2081</v>
      </c>
      <c r="M493" s="32" t="s">
        <v>2128</v>
      </c>
      <c r="N493" s="0" t="n">
        <v>4</v>
      </c>
      <c r="O493" s="32" t="s">
        <v>759</v>
      </c>
      <c r="P493" s="32" t="s">
        <v>2090</v>
      </c>
      <c r="Q493" s="32" t="s">
        <v>2125</v>
      </c>
      <c r="R493" s="0" t="str">
        <f aca="false">IF(H493="GEN","GM",H493)</f>
        <v>CS</v>
      </c>
    </row>
    <row r="494" customFormat="false" ht="15" hidden="false" customHeight="false" outlineLevel="0" collapsed="false">
      <c r="A494" s="0" t="s">
        <v>2920</v>
      </c>
      <c r="B494" s="0" t="s">
        <v>2921</v>
      </c>
      <c r="C494" s="0" t="s">
        <v>1414</v>
      </c>
      <c r="D494" s="31" t="n">
        <v>17799</v>
      </c>
      <c r="E494" s="31" t="n">
        <v>45709</v>
      </c>
      <c r="F494" s="32" t="s">
        <v>2078</v>
      </c>
      <c r="G494" s="32" t="s">
        <v>2079</v>
      </c>
      <c r="H494" s="32" t="s">
        <v>810</v>
      </c>
      <c r="I494" s="31" t="n">
        <v>45711</v>
      </c>
      <c r="J494" s="32" t="s">
        <v>2080</v>
      </c>
      <c r="K494" s="0" t="n">
        <v>2</v>
      </c>
      <c r="M494" s="32" t="s">
        <v>2161</v>
      </c>
      <c r="N494" s="0" t="n">
        <v>2</v>
      </c>
      <c r="O494" s="32" t="s">
        <v>811</v>
      </c>
      <c r="P494" s="32" t="s">
        <v>2222</v>
      </c>
      <c r="Q494" s="32" t="s">
        <v>2112</v>
      </c>
      <c r="R494" s="0" t="str">
        <f aca="false">IF(H494="GEN","GM",H494)</f>
        <v>URO</v>
      </c>
    </row>
    <row r="495" customFormat="false" ht="15" hidden="false" customHeight="false" outlineLevel="0" collapsed="false">
      <c r="A495" s="0" t="s">
        <v>2922</v>
      </c>
      <c r="B495" s="0" t="s">
        <v>2923</v>
      </c>
      <c r="C495" s="0" t="s">
        <v>1398</v>
      </c>
      <c r="D495" s="31" t="n">
        <v>20461</v>
      </c>
      <c r="E495" s="31" t="n">
        <v>45659</v>
      </c>
      <c r="F495" s="32" t="s">
        <v>2087</v>
      </c>
      <c r="G495" s="32" t="s">
        <v>2124</v>
      </c>
      <c r="H495" s="32" t="s">
        <v>785</v>
      </c>
      <c r="I495" s="31" t="n">
        <v>45661</v>
      </c>
      <c r="J495" s="32" t="s">
        <v>2080</v>
      </c>
      <c r="K495" s="0" t="n">
        <v>2</v>
      </c>
      <c r="L495" s="32" t="s">
        <v>2081</v>
      </c>
      <c r="M495" s="32" t="s">
        <v>2089</v>
      </c>
      <c r="N495" s="0" t="n">
        <v>2</v>
      </c>
      <c r="O495" s="32" t="s">
        <v>786</v>
      </c>
      <c r="P495" s="32" t="s">
        <v>2137</v>
      </c>
      <c r="Q495" s="32" t="s">
        <v>2145</v>
      </c>
      <c r="R495" s="0" t="str">
        <f aca="false">IF(H495="GEN","GM",H495)</f>
        <v>RS</v>
      </c>
    </row>
    <row r="496" customFormat="false" ht="15" hidden="false" customHeight="false" outlineLevel="0" collapsed="false">
      <c r="A496" s="0" t="s">
        <v>2924</v>
      </c>
      <c r="B496" s="0" t="s">
        <v>2437</v>
      </c>
      <c r="C496" s="0" t="s">
        <v>792</v>
      </c>
      <c r="D496" s="31" t="n">
        <v>13797</v>
      </c>
      <c r="E496" s="31" t="n">
        <v>45588</v>
      </c>
      <c r="F496" s="32" t="s">
        <v>2160</v>
      </c>
      <c r="G496" s="32" t="s">
        <v>2115</v>
      </c>
      <c r="H496" s="32" t="s">
        <v>758</v>
      </c>
      <c r="I496" s="31" t="n">
        <v>45589</v>
      </c>
      <c r="J496" s="32" t="s">
        <v>2080</v>
      </c>
      <c r="K496" s="0" t="n">
        <v>1</v>
      </c>
      <c r="L496" s="32" t="s">
        <v>2081</v>
      </c>
      <c r="M496" s="32" t="s">
        <v>2110</v>
      </c>
      <c r="N496" s="0" t="n">
        <v>1</v>
      </c>
      <c r="O496" s="32" t="s">
        <v>759</v>
      </c>
      <c r="P496" s="32" t="s">
        <v>2111</v>
      </c>
      <c r="Q496" s="32" t="s">
        <v>2084</v>
      </c>
      <c r="R496" s="0" t="str">
        <f aca="false">IF(H496="GEN","GM",H496)</f>
        <v>CS</v>
      </c>
    </row>
    <row r="497" customFormat="false" ht="15" hidden="false" customHeight="false" outlineLevel="0" collapsed="false">
      <c r="A497" s="0" t="s">
        <v>2925</v>
      </c>
      <c r="B497" s="0" t="s">
        <v>2812</v>
      </c>
      <c r="C497" s="0" t="s">
        <v>970</v>
      </c>
      <c r="D497" s="31" t="n">
        <v>31476</v>
      </c>
      <c r="E497" s="31" t="n">
        <v>45715</v>
      </c>
      <c r="F497" s="32" t="s">
        <v>2087</v>
      </c>
      <c r="G497" s="32" t="s">
        <v>2104</v>
      </c>
      <c r="H497" s="32" t="s">
        <v>802</v>
      </c>
      <c r="I497" s="31" t="n">
        <v>45719</v>
      </c>
      <c r="J497" s="32" t="s">
        <v>2080</v>
      </c>
      <c r="K497" s="0" t="n">
        <v>4</v>
      </c>
      <c r="L497" s="32" t="s">
        <v>2081</v>
      </c>
      <c r="M497" s="32" t="s">
        <v>2189</v>
      </c>
      <c r="N497" s="0" t="n">
        <v>4</v>
      </c>
      <c r="O497" s="32" t="s">
        <v>803</v>
      </c>
      <c r="P497" s="32" t="s">
        <v>2083</v>
      </c>
      <c r="Q497" s="32" t="s">
        <v>2112</v>
      </c>
      <c r="R497" s="0" t="str">
        <f aca="false">IF(H497="GEN","GM",H497)</f>
        <v>GYN</v>
      </c>
    </row>
    <row r="498" customFormat="false" ht="15" hidden="false" customHeight="false" outlineLevel="0" collapsed="false">
      <c r="A498" s="0" t="s">
        <v>2926</v>
      </c>
      <c r="B498" s="0" t="s">
        <v>2086</v>
      </c>
      <c r="C498" s="0" t="s">
        <v>938</v>
      </c>
      <c r="D498" s="31" t="n">
        <v>21068</v>
      </c>
      <c r="E498" s="31" t="n">
        <v>45675</v>
      </c>
      <c r="F498" s="32" t="s">
        <v>2078</v>
      </c>
      <c r="G498" s="32" t="s">
        <v>2115</v>
      </c>
      <c r="H498" s="32" t="s">
        <v>758</v>
      </c>
      <c r="L498" s="32" t="s">
        <v>2106</v>
      </c>
      <c r="M498" s="32" t="s">
        <v>2110</v>
      </c>
      <c r="O498" s="32" t="s">
        <v>759</v>
      </c>
      <c r="P498" s="32" t="s">
        <v>2142</v>
      </c>
      <c r="Q498" s="32" t="s">
        <v>2165</v>
      </c>
      <c r="R498" s="0" t="str">
        <f aca="false">IF(H498="GEN","GM",H498)</f>
        <v>CS</v>
      </c>
    </row>
    <row r="499" customFormat="false" ht="15" hidden="false" customHeight="false" outlineLevel="0" collapsed="false">
      <c r="A499" s="0" t="s">
        <v>2927</v>
      </c>
      <c r="B499" s="0" t="s">
        <v>2928</v>
      </c>
      <c r="C499" s="0" t="s">
        <v>914</v>
      </c>
      <c r="D499" s="31" t="n">
        <v>18959</v>
      </c>
      <c r="E499" s="31" t="n">
        <v>45653</v>
      </c>
      <c r="F499" s="32" t="s">
        <v>2087</v>
      </c>
      <c r="G499" s="32" t="s">
        <v>2088</v>
      </c>
      <c r="H499" s="32" t="s">
        <v>793</v>
      </c>
      <c r="I499" s="31" t="n">
        <v>45657</v>
      </c>
      <c r="J499" s="32" t="s">
        <v>2080</v>
      </c>
      <c r="K499" s="0" t="n">
        <v>4</v>
      </c>
      <c r="L499" s="32" t="s">
        <v>2081</v>
      </c>
      <c r="M499" s="32" t="s">
        <v>2161</v>
      </c>
      <c r="N499" s="0" t="n">
        <v>4</v>
      </c>
      <c r="P499" s="32" t="s">
        <v>2095</v>
      </c>
      <c r="Q499" s="32" t="s">
        <v>2198</v>
      </c>
      <c r="R499" s="0" t="str">
        <f aca="false">IF(H499="GEN","GM",H499)</f>
        <v>EM</v>
      </c>
    </row>
    <row r="500" customFormat="false" ht="15" hidden="false" customHeight="false" outlineLevel="0" collapsed="false">
      <c r="A500" s="0" t="s">
        <v>2929</v>
      </c>
      <c r="B500" s="0" t="s">
        <v>2859</v>
      </c>
      <c r="C500" s="0" t="s">
        <v>906</v>
      </c>
      <c r="D500" s="31" t="n">
        <v>32741</v>
      </c>
      <c r="E500" s="31" t="n">
        <v>45659</v>
      </c>
      <c r="F500" s="32" t="s">
        <v>2087</v>
      </c>
      <c r="G500" s="32" t="s">
        <v>2104</v>
      </c>
      <c r="H500" s="32" t="s">
        <v>802</v>
      </c>
      <c r="I500" s="31" t="n">
        <v>45666</v>
      </c>
      <c r="J500" s="32" t="s">
        <v>2307</v>
      </c>
      <c r="K500" s="0" t="n">
        <v>7</v>
      </c>
      <c r="L500" s="32" t="s">
        <v>2081</v>
      </c>
      <c r="M500" s="32" t="s">
        <v>2152</v>
      </c>
      <c r="N500" s="0" t="n">
        <v>7</v>
      </c>
      <c r="P500" s="32" t="s">
        <v>2121</v>
      </c>
      <c r="Q500" s="32" t="s">
        <v>2118</v>
      </c>
      <c r="R500" s="0" t="str">
        <f aca="false">IF(H500="GEN","GM",H500)</f>
        <v>GYN</v>
      </c>
    </row>
    <row r="501" customFormat="false" ht="15" hidden="false" customHeight="false" outlineLevel="0" collapsed="false">
      <c r="A501" s="0" t="s">
        <v>2930</v>
      </c>
      <c r="B501" s="0" t="s">
        <v>2524</v>
      </c>
      <c r="C501" s="0" t="s">
        <v>746</v>
      </c>
      <c r="D501" s="31" t="n">
        <v>27305</v>
      </c>
      <c r="E501" s="31" t="n">
        <v>45691</v>
      </c>
      <c r="F501" s="32" t="s">
        <v>2078</v>
      </c>
      <c r="G501" s="32" t="s">
        <v>2115</v>
      </c>
      <c r="H501" s="32" t="s">
        <v>758</v>
      </c>
      <c r="I501" s="31" t="n">
        <v>45692</v>
      </c>
      <c r="J501" s="32" t="s">
        <v>2080</v>
      </c>
      <c r="K501" s="0" t="n">
        <v>1</v>
      </c>
      <c r="L501" s="32" t="s">
        <v>2081</v>
      </c>
      <c r="M501" s="32" t="s">
        <v>2207</v>
      </c>
      <c r="N501" s="0" t="n">
        <v>1</v>
      </c>
      <c r="O501" s="32" t="s">
        <v>759</v>
      </c>
      <c r="P501" s="32" t="s">
        <v>2137</v>
      </c>
      <c r="Q501" s="32" t="s">
        <v>2129</v>
      </c>
      <c r="R501" s="0" t="str">
        <f aca="false">IF(H501="GEN","GM",H501)</f>
        <v>CS</v>
      </c>
    </row>
    <row r="502" customFormat="false" ht="15" hidden="false" customHeight="false" outlineLevel="0" collapsed="false">
      <c r="A502" s="0" t="s">
        <v>2931</v>
      </c>
      <c r="B502" s="0" t="s">
        <v>2361</v>
      </c>
      <c r="C502" s="0" t="s">
        <v>930</v>
      </c>
      <c r="D502" s="31" t="n">
        <v>35137</v>
      </c>
      <c r="E502" s="31" t="n">
        <v>45682</v>
      </c>
      <c r="F502" s="32" t="s">
        <v>2078</v>
      </c>
      <c r="G502" s="32" t="s">
        <v>2088</v>
      </c>
      <c r="H502" s="32" t="s">
        <v>747</v>
      </c>
      <c r="I502" s="31" t="n">
        <v>45684</v>
      </c>
      <c r="J502" s="32" t="s">
        <v>2080</v>
      </c>
      <c r="K502" s="0" t="n">
        <v>2</v>
      </c>
      <c r="L502" s="32" t="s">
        <v>2081</v>
      </c>
      <c r="M502" s="32" t="s">
        <v>2207</v>
      </c>
      <c r="N502" s="0" t="n">
        <v>2</v>
      </c>
      <c r="O502" s="32" t="s">
        <v>748</v>
      </c>
      <c r="P502" s="32" t="s">
        <v>2162</v>
      </c>
      <c r="Q502" s="32" t="s">
        <v>2170</v>
      </c>
      <c r="R502" s="0" t="str">
        <f aca="false">IF(H502="GEN","GM",H502)</f>
        <v>GM</v>
      </c>
    </row>
    <row r="503" customFormat="false" ht="15" hidden="false" customHeight="false" outlineLevel="0" collapsed="false">
      <c r="A503" s="0" t="s">
        <v>2932</v>
      </c>
      <c r="B503" s="0" t="s">
        <v>2716</v>
      </c>
      <c r="C503" s="0" t="s">
        <v>886</v>
      </c>
      <c r="D503" s="31" t="n">
        <v>14037</v>
      </c>
      <c r="E503" s="31" t="n">
        <v>45671</v>
      </c>
      <c r="F503" s="32" t="s">
        <v>2078</v>
      </c>
      <c r="G503" s="32" t="s">
        <v>2088</v>
      </c>
      <c r="H503" s="32" t="s">
        <v>826</v>
      </c>
      <c r="I503" s="31" t="n">
        <v>45676</v>
      </c>
      <c r="J503" s="32" t="s">
        <v>2080</v>
      </c>
      <c r="K503" s="0" t="n">
        <v>5</v>
      </c>
      <c r="L503" s="32" t="s">
        <v>2081</v>
      </c>
      <c r="M503" s="32" t="s">
        <v>2132</v>
      </c>
      <c r="N503" s="0" t="n">
        <v>5</v>
      </c>
      <c r="O503" s="32" t="s">
        <v>827</v>
      </c>
      <c r="P503" s="32" t="s">
        <v>2083</v>
      </c>
      <c r="Q503" s="32" t="s">
        <v>2165</v>
      </c>
      <c r="R503" s="0" t="str">
        <f aca="false">IF(H503="GEN","GM",H503)</f>
        <v>RHE</v>
      </c>
    </row>
    <row r="504" customFormat="false" ht="15" hidden="false" customHeight="false" outlineLevel="0" collapsed="false">
      <c r="A504" s="0" t="s">
        <v>2933</v>
      </c>
      <c r="B504" s="0" t="s">
        <v>2220</v>
      </c>
      <c r="C504" s="0" t="s">
        <v>898</v>
      </c>
      <c r="D504" s="31" t="n">
        <v>27647</v>
      </c>
      <c r="E504" s="31" t="n">
        <v>45622</v>
      </c>
      <c r="F504" s="32" t="s">
        <v>2078</v>
      </c>
      <c r="G504" s="32" t="s">
        <v>2079</v>
      </c>
      <c r="H504" s="32" t="s">
        <v>810</v>
      </c>
      <c r="I504" s="31" t="n">
        <v>45623</v>
      </c>
      <c r="J504" s="32" t="s">
        <v>2080</v>
      </c>
      <c r="K504" s="0" t="n">
        <v>1</v>
      </c>
      <c r="L504" s="32" t="s">
        <v>2081</v>
      </c>
      <c r="M504" s="32" t="s">
        <v>2082</v>
      </c>
      <c r="N504" s="0" t="n">
        <v>1</v>
      </c>
      <c r="O504" s="32" t="s">
        <v>811</v>
      </c>
      <c r="P504" s="32" t="s">
        <v>2149</v>
      </c>
      <c r="Q504" s="32" t="s">
        <v>2198</v>
      </c>
      <c r="R504" s="0" t="str">
        <f aca="false">IF(H504="GEN","GM",H504)</f>
        <v>URO</v>
      </c>
    </row>
    <row r="505" customFormat="false" ht="15" hidden="false" customHeight="false" outlineLevel="0" collapsed="false">
      <c r="A505" s="0" t="s">
        <v>2934</v>
      </c>
      <c r="B505" s="0" t="s">
        <v>2935</v>
      </c>
      <c r="C505" s="0" t="s">
        <v>2178</v>
      </c>
      <c r="D505" s="31" t="n">
        <v>21035</v>
      </c>
      <c r="E505" s="31" t="n">
        <v>45693</v>
      </c>
      <c r="F505" s="32" t="s">
        <v>2078</v>
      </c>
      <c r="G505" s="32" t="s">
        <v>2088</v>
      </c>
      <c r="H505" s="32" t="s">
        <v>826</v>
      </c>
      <c r="I505" s="31" t="n">
        <v>45697</v>
      </c>
      <c r="J505" s="32" t="s">
        <v>2080</v>
      </c>
      <c r="K505" s="0" t="n">
        <v>4</v>
      </c>
      <c r="L505" s="32" t="s">
        <v>2081</v>
      </c>
      <c r="M505" s="32" t="s">
        <v>2141</v>
      </c>
      <c r="N505" s="0" t="n">
        <v>4</v>
      </c>
      <c r="O505" s="32" t="s">
        <v>827</v>
      </c>
      <c r="P505" s="32" t="s">
        <v>2121</v>
      </c>
      <c r="Q505" s="32" t="s">
        <v>2118</v>
      </c>
      <c r="R505" s="0" t="str">
        <f aca="false">IF(H505="GEN","GM",H505)</f>
        <v>RHE</v>
      </c>
    </row>
    <row r="506" customFormat="false" ht="15" hidden="false" customHeight="false" outlineLevel="0" collapsed="false">
      <c r="A506" s="0" t="s">
        <v>2936</v>
      </c>
      <c r="B506" s="0" t="s">
        <v>2135</v>
      </c>
      <c r="C506" s="0" t="s">
        <v>2148</v>
      </c>
      <c r="D506" s="31" t="n">
        <v>21611</v>
      </c>
      <c r="E506" s="31" t="n">
        <v>45685</v>
      </c>
      <c r="F506" s="32" t="s">
        <v>2087</v>
      </c>
      <c r="G506" s="32" t="s">
        <v>2088</v>
      </c>
      <c r="H506" s="32" t="s">
        <v>826</v>
      </c>
      <c r="I506" s="31" t="n">
        <v>45689</v>
      </c>
      <c r="J506" s="32" t="s">
        <v>2080</v>
      </c>
      <c r="K506" s="0" t="n">
        <v>4</v>
      </c>
      <c r="L506" s="32" t="s">
        <v>2081</v>
      </c>
      <c r="M506" s="32" t="s">
        <v>2207</v>
      </c>
      <c r="N506" s="0" t="n">
        <v>4</v>
      </c>
      <c r="O506" s="32" t="s">
        <v>827</v>
      </c>
      <c r="P506" s="32" t="s">
        <v>2156</v>
      </c>
      <c r="Q506" s="32" t="s">
        <v>2157</v>
      </c>
      <c r="R506" s="0" t="str">
        <f aca="false">IF(H506="GEN","GM",H506)</f>
        <v>RHE</v>
      </c>
    </row>
    <row r="507" customFormat="false" ht="15" hidden="false" customHeight="false" outlineLevel="0" collapsed="false">
      <c r="A507" s="0" t="s">
        <v>2937</v>
      </c>
      <c r="B507" s="0" t="s">
        <v>2556</v>
      </c>
      <c r="C507" s="0" t="s">
        <v>792</v>
      </c>
      <c r="D507" s="31" t="n">
        <v>21924</v>
      </c>
      <c r="E507" s="31" t="n">
        <v>45712</v>
      </c>
      <c r="F507" s="32" t="s">
        <v>2160</v>
      </c>
      <c r="G507" s="32" t="s">
        <v>2104</v>
      </c>
      <c r="H507" s="32" t="s">
        <v>802</v>
      </c>
      <c r="I507" s="31" t="n">
        <v>45716</v>
      </c>
      <c r="J507" s="32" t="s">
        <v>2160</v>
      </c>
      <c r="K507" s="0" t="n">
        <v>4</v>
      </c>
      <c r="L507" s="32" t="s">
        <v>2081</v>
      </c>
      <c r="M507" s="32" t="s">
        <v>2110</v>
      </c>
      <c r="N507" s="0" t="n">
        <v>4</v>
      </c>
      <c r="O507" s="32" t="s">
        <v>803</v>
      </c>
      <c r="P507" s="32" t="s">
        <v>2101</v>
      </c>
      <c r="Q507" s="32" t="s">
        <v>2112</v>
      </c>
      <c r="R507" s="0" t="str">
        <f aca="false">IF(H507="GEN","GM",H507)</f>
        <v>GYN</v>
      </c>
    </row>
    <row r="508" customFormat="false" ht="15" hidden="false" customHeight="false" outlineLevel="0" collapsed="false">
      <c r="A508" s="0" t="s">
        <v>2938</v>
      </c>
      <c r="B508" s="0" t="s">
        <v>2498</v>
      </c>
      <c r="C508" s="0" t="s">
        <v>1398</v>
      </c>
      <c r="D508" s="31" t="n">
        <v>25900</v>
      </c>
      <c r="E508" s="31" t="n">
        <v>45686</v>
      </c>
      <c r="F508" s="32" t="s">
        <v>2087</v>
      </c>
      <c r="G508" s="32" t="s">
        <v>2079</v>
      </c>
      <c r="H508" s="32" t="s">
        <v>776</v>
      </c>
      <c r="I508" s="31" t="n">
        <v>45687</v>
      </c>
      <c r="J508" s="32" t="s">
        <v>2080</v>
      </c>
      <c r="K508" s="0" t="n">
        <v>1</v>
      </c>
      <c r="L508" s="32" t="s">
        <v>2081</v>
      </c>
      <c r="M508" s="32" t="s">
        <v>2207</v>
      </c>
      <c r="N508" s="0" t="n">
        <v>1</v>
      </c>
      <c r="O508" s="32" t="s">
        <v>777</v>
      </c>
      <c r="P508" s="32" t="s">
        <v>2149</v>
      </c>
      <c r="Q508" s="32" t="s">
        <v>2153</v>
      </c>
      <c r="R508" s="0" t="str">
        <f aca="false">IF(H508="GEN","GM",H508)</f>
        <v>GS</v>
      </c>
    </row>
    <row r="509" customFormat="false" ht="15" hidden="false" customHeight="false" outlineLevel="0" collapsed="false">
      <c r="A509" s="0" t="s">
        <v>2939</v>
      </c>
      <c r="B509" s="0" t="s">
        <v>2434</v>
      </c>
      <c r="C509" s="0" t="s">
        <v>837</v>
      </c>
      <c r="D509" s="31" t="n">
        <v>17942</v>
      </c>
      <c r="E509" s="31" t="n">
        <v>45574</v>
      </c>
      <c r="F509" s="32" t="s">
        <v>2078</v>
      </c>
      <c r="G509" s="32" t="s">
        <v>2099</v>
      </c>
      <c r="H509" s="32" t="s">
        <v>766</v>
      </c>
      <c r="I509" s="31" t="n">
        <v>45576</v>
      </c>
      <c r="J509" s="32" t="s">
        <v>2160</v>
      </c>
      <c r="K509" s="0" t="n">
        <v>2</v>
      </c>
      <c r="L509" s="32" t="s">
        <v>2081</v>
      </c>
      <c r="M509" s="32" t="s">
        <v>2283</v>
      </c>
      <c r="N509" s="0" t="n">
        <v>2</v>
      </c>
      <c r="O509" s="32" t="s">
        <v>767</v>
      </c>
      <c r="P509" s="32" t="s">
        <v>2162</v>
      </c>
      <c r="Q509" s="32" t="s">
        <v>2153</v>
      </c>
      <c r="R509" s="0" t="str">
        <f aca="false">IF(H509="GEN","GM",H509)</f>
        <v>OR</v>
      </c>
    </row>
    <row r="510" customFormat="false" ht="15" hidden="false" customHeight="false" outlineLevel="0" collapsed="false">
      <c r="A510" s="0" t="s">
        <v>2940</v>
      </c>
      <c r="C510" s="0" t="s">
        <v>882</v>
      </c>
      <c r="D510" s="31" t="n">
        <v>34295</v>
      </c>
      <c r="E510" s="31" t="n">
        <v>45571</v>
      </c>
      <c r="F510" s="32" t="s">
        <v>2087</v>
      </c>
      <c r="G510" s="32" t="s">
        <v>2124</v>
      </c>
      <c r="H510" s="32" t="s">
        <v>785</v>
      </c>
      <c r="I510" s="31" t="n">
        <v>45578</v>
      </c>
      <c r="J510" s="32" t="s">
        <v>2080</v>
      </c>
      <c r="K510" s="0" t="n">
        <v>7</v>
      </c>
      <c r="L510" s="32" t="s">
        <v>2081</v>
      </c>
      <c r="M510" s="32" t="s">
        <v>2195</v>
      </c>
      <c r="N510" s="0" t="n">
        <v>7</v>
      </c>
      <c r="O510" s="32" t="s">
        <v>786</v>
      </c>
      <c r="P510" s="32" t="s">
        <v>2111</v>
      </c>
      <c r="Q510" s="32" t="s">
        <v>2112</v>
      </c>
      <c r="R510" s="0" t="str">
        <f aca="false">IF(H510="GEN","GM",H510)</f>
        <v>RS</v>
      </c>
    </row>
    <row r="511" customFormat="false" ht="15" hidden="false" customHeight="false" outlineLevel="0" collapsed="false">
      <c r="A511" s="0" t="s">
        <v>2941</v>
      </c>
      <c r="B511" s="0" t="s">
        <v>2367</v>
      </c>
      <c r="C511" s="0" t="s">
        <v>989</v>
      </c>
      <c r="D511" s="31" t="n">
        <v>16064</v>
      </c>
      <c r="E511" s="31" t="n">
        <v>45715</v>
      </c>
      <c r="F511" s="32" t="s">
        <v>2087</v>
      </c>
      <c r="G511" s="32" t="s">
        <v>2088</v>
      </c>
      <c r="H511" s="32" t="s">
        <v>826</v>
      </c>
      <c r="L511" s="32" t="s">
        <v>2081</v>
      </c>
      <c r="M511" s="32" t="s">
        <v>2189</v>
      </c>
      <c r="O511" s="32" t="s">
        <v>827</v>
      </c>
      <c r="P511" s="32" t="s">
        <v>2162</v>
      </c>
      <c r="Q511" s="32" t="s">
        <v>2153</v>
      </c>
      <c r="R511" s="0" t="str">
        <f aca="false">IF(H511="GEN","GM",H511)</f>
        <v>RHE</v>
      </c>
    </row>
    <row r="512" customFormat="false" ht="15" hidden="false" customHeight="false" outlineLevel="0" collapsed="false">
      <c r="A512" s="0" t="s">
        <v>2942</v>
      </c>
      <c r="B512" s="0" t="s">
        <v>2746</v>
      </c>
      <c r="C512" s="0" t="s">
        <v>950</v>
      </c>
      <c r="D512" s="31" t="n">
        <v>18746</v>
      </c>
      <c r="E512" s="31" t="n">
        <v>45579</v>
      </c>
      <c r="F512" s="32" t="s">
        <v>2078</v>
      </c>
      <c r="G512" s="32" t="s">
        <v>2099</v>
      </c>
      <c r="H512" s="32" t="s">
        <v>766</v>
      </c>
      <c r="I512" s="31" t="n">
        <v>45581</v>
      </c>
      <c r="J512" s="32" t="s">
        <v>2080</v>
      </c>
      <c r="K512" s="0" t="n">
        <v>2</v>
      </c>
      <c r="L512" s="32" t="s">
        <v>2106</v>
      </c>
      <c r="M512" s="32" t="s">
        <v>2286</v>
      </c>
      <c r="N512" s="0" t="n">
        <v>2</v>
      </c>
      <c r="O512" s="32" t="s">
        <v>767</v>
      </c>
      <c r="P512" s="32" t="s">
        <v>2095</v>
      </c>
      <c r="Q512" s="32" t="s">
        <v>2138</v>
      </c>
      <c r="R512" s="0" t="str">
        <f aca="false">IF(H512="GEN","GM",H512)</f>
        <v>OR</v>
      </c>
    </row>
    <row r="513" customFormat="false" ht="15" hidden="false" customHeight="false" outlineLevel="0" collapsed="false">
      <c r="A513" s="0" t="s">
        <v>2943</v>
      </c>
      <c r="B513" s="0" t="s">
        <v>2707</v>
      </c>
      <c r="C513" s="0" t="s">
        <v>845</v>
      </c>
      <c r="D513" s="31" t="n">
        <v>28650</v>
      </c>
      <c r="E513" s="31" t="n">
        <v>45629</v>
      </c>
      <c r="F513" s="32" t="s">
        <v>2160</v>
      </c>
      <c r="G513" s="32" t="s">
        <v>2088</v>
      </c>
      <c r="H513" s="32" t="s">
        <v>747</v>
      </c>
      <c r="L513" s="32" t="s">
        <v>2081</v>
      </c>
      <c r="M513" s="32" t="s">
        <v>2128</v>
      </c>
      <c r="O513" s="32" t="s">
        <v>748</v>
      </c>
      <c r="P513" s="32" t="s">
        <v>2149</v>
      </c>
      <c r="Q513" s="32" t="s">
        <v>2165</v>
      </c>
      <c r="R513" s="0" t="str">
        <f aca="false">IF(H513="GEN","GM",H513)</f>
        <v>GM</v>
      </c>
    </row>
    <row r="514" customFormat="false" ht="15" hidden="false" customHeight="false" outlineLevel="0" collapsed="false">
      <c r="A514" s="0" t="s">
        <v>2944</v>
      </c>
      <c r="B514" s="0" t="s">
        <v>2205</v>
      </c>
      <c r="C514" s="0" t="s">
        <v>1021</v>
      </c>
      <c r="D514" s="31" t="n">
        <v>29016</v>
      </c>
      <c r="E514" s="31" t="n">
        <v>45601</v>
      </c>
      <c r="F514" s="32" t="s">
        <v>2078</v>
      </c>
      <c r="G514" s="32" t="s">
        <v>2079</v>
      </c>
      <c r="H514" s="32" t="s">
        <v>776</v>
      </c>
      <c r="I514" s="31" t="n">
        <v>45606</v>
      </c>
      <c r="J514" s="32" t="s">
        <v>2080</v>
      </c>
      <c r="K514" s="0" t="n">
        <v>5</v>
      </c>
      <c r="L514" s="32" t="s">
        <v>2081</v>
      </c>
      <c r="M514" s="32" t="s">
        <v>2141</v>
      </c>
      <c r="N514" s="0" t="n">
        <v>5</v>
      </c>
      <c r="O514" s="32" t="s">
        <v>777</v>
      </c>
      <c r="P514" s="32" t="s">
        <v>2182</v>
      </c>
      <c r="Q514" s="32" t="s">
        <v>2091</v>
      </c>
      <c r="R514" s="0" t="str">
        <f aca="false">IF(H514="GEN","GM",H514)</f>
        <v>GS</v>
      </c>
    </row>
    <row r="515" customFormat="false" ht="15" hidden="false" customHeight="false" outlineLevel="0" collapsed="false">
      <c r="A515" s="0" t="s">
        <v>2945</v>
      </c>
      <c r="B515" s="0" t="s">
        <v>2279</v>
      </c>
      <c r="C515" s="0" t="s">
        <v>1393</v>
      </c>
      <c r="D515" s="31" t="n">
        <v>20287</v>
      </c>
      <c r="E515" s="31" t="n">
        <v>45680</v>
      </c>
      <c r="F515" s="32" t="s">
        <v>2078</v>
      </c>
      <c r="G515" s="32" t="s">
        <v>2115</v>
      </c>
      <c r="H515" s="32" t="s">
        <v>758</v>
      </c>
      <c r="I515" s="31" t="n">
        <v>45681</v>
      </c>
      <c r="J515" s="32" t="s">
        <v>2080</v>
      </c>
      <c r="K515" s="0" t="n">
        <v>1</v>
      </c>
      <c r="L515" s="32" t="s">
        <v>2081</v>
      </c>
      <c r="M515" s="32" t="s">
        <v>2082</v>
      </c>
      <c r="N515" s="0" t="n">
        <v>1</v>
      </c>
      <c r="O515" s="32" t="s">
        <v>759</v>
      </c>
      <c r="P515" s="32" t="s">
        <v>2149</v>
      </c>
      <c r="Q515" s="32" t="s">
        <v>2107</v>
      </c>
      <c r="R515" s="0" t="str">
        <f aca="false">IF(H515="GEN","GM",H515)</f>
        <v>CS</v>
      </c>
    </row>
    <row r="516" customFormat="false" ht="15" hidden="false" customHeight="false" outlineLevel="0" collapsed="false">
      <c r="A516" s="0" t="s">
        <v>2946</v>
      </c>
      <c r="B516" s="0" t="s">
        <v>2159</v>
      </c>
      <c r="C516" s="0" t="s">
        <v>981</v>
      </c>
      <c r="D516" s="31" t="n">
        <v>37392</v>
      </c>
      <c r="E516" s="31" t="n">
        <v>45570</v>
      </c>
      <c r="F516" s="32" t="s">
        <v>2078</v>
      </c>
      <c r="G516" s="32" t="s">
        <v>2099</v>
      </c>
      <c r="H516" s="32" t="s">
        <v>766</v>
      </c>
      <c r="I516" s="31" t="n">
        <v>45573</v>
      </c>
      <c r="J516" s="32" t="s">
        <v>2080</v>
      </c>
      <c r="K516" s="0" t="n">
        <v>3</v>
      </c>
      <c r="L516" s="32" t="s">
        <v>2081</v>
      </c>
      <c r="M516" s="32" t="s">
        <v>2082</v>
      </c>
      <c r="N516" s="0" t="n">
        <v>3</v>
      </c>
      <c r="O516" s="32" t="s">
        <v>767</v>
      </c>
      <c r="P516" s="32" t="s">
        <v>2083</v>
      </c>
      <c r="Q516" s="32" t="s">
        <v>2170</v>
      </c>
      <c r="R516" s="0" t="str">
        <f aca="false">IF(H516="GEN","GM",H516)</f>
        <v>OR</v>
      </c>
    </row>
    <row r="517" customFormat="false" ht="15" hidden="false" customHeight="false" outlineLevel="0" collapsed="false">
      <c r="A517" s="0" t="s">
        <v>2947</v>
      </c>
      <c r="B517" s="0" t="s">
        <v>2434</v>
      </c>
      <c r="C517" s="0" t="s">
        <v>1001</v>
      </c>
      <c r="D517" s="31" t="n">
        <v>20310</v>
      </c>
      <c r="E517" s="31" t="n">
        <v>45700</v>
      </c>
      <c r="F517" s="32" t="s">
        <v>2087</v>
      </c>
      <c r="G517" s="32" t="s">
        <v>2099</v>
      </c>
      <c r="H517" s="32" t="s">
        <v>766</v>
      </c>
      <c r="I517" s="31" t="n">
        <v>45702</v>
      </c>
      <c r="J517" s="32" t="s">
        <v>2080</v>
      </c>
      <c r="K517" s="0" t="n">
        <v>2</v>
      </c>
      <c r="L517" s="32" t="s">
        <v>2081</v>
      </c>
      <c r="M517" s="32" t="s">
        <v>2128</v>
      </c>
      <c r="N517" s="0" t="n">
        <v>1</v>
      </c>
      <c r="O517" s="32" t="s">
        <v>767</v>
      </c>
      <c r="P517" s="32" t="s">
        <v>2121</v>
      </c>
      <c r="Q517" s="32" t="s">
        <v>2244</v>
      </c>
      <c r="R517" s="0" t="str">
        <f aca="false">IF(H517="GEN","GM",H517)</f>
        <v>OR</v>
      </c>
    </row>
    <row r="518" customFormat="false" ht="15" hidden="false" customHeight="false" outlineLevel="0" collapsed="false">
      <c r="A518" s="0" t="s">
        <v>2948</v>
      </c>
      <c r="B518" s="0" t="s">
        <v>2949</v>
      </c>
      <c r="C518" s="0" t="s">
        <v>784</v>
      </c>
      <c r="D518" s="31" t="n">
        <v>13870</v>
      </c>
      <c r="E518" s="31" t="n">
        <v>45727</v>
      </c>
      <c r="F518" s="32" t="s">
        <v>2078</v>
      </c>
      <c r="G518" s="32" t="s">
        <v>2099</v>
      </c>
      <c r="H518" s="32" t="s">
        <v>818</v>
      </c>
      <c r="I518" s="31" t="n">
        <v>45730</v>
      </c>
      <c r="J518" s="32" t="s">
        <v>2080</v>
      </c>
      <c r="K518" s="0" t="n">
        <v>3</v>
      </c>
      <c r="L518" s="32" t="s">
        <v>2081</v>
      </c>
      <c r="M518" s="32" t="s">
        <v>2283</v>
      </c>
      <c r="N518" s="0" t="n">
        <v>3</v>
      </c>
      <c r="O518" s="32" t="s">
        <v>819</v>
      </c>
      <c r="P518" s="32" t="s">
        <v>2142</v>
      </c>
      <c r="Q518" s="32" t="s">
        <v>2198</v>
      </c>
      <c r="R518" s="0" t="str">
        <f aca="false">IF(H518="GEN","GM",H518)</f>
        <v>OPH</v>
      </c>
    </row>
    <row r="519" customFormat="false" ht="15" hidden="false" customHeight="false" outlineLevel="0" collapsed="false">
      <c r="A519" s="0" t="s">
        <v>2950</v>
      </c>
      <c r="B519" s="0" t="s">
        <v>2434</v>
      </c>
      <c r="C519" s="0" t="s">
        <v>1419</v>
      </c>
      <c r="D519" s="31" t="n">
        <v>36107</v>
      </c>
      <c r="E519" s="31" t="n">
        <v>45708</v>
      </c>
      <c r="F519" s="32" t="s">
        <v>2087</v>
      </c>
      <c r="G519" s="32" t="s">
        <v>2115</v>
      </c>
      <c r="H519" s="32" t="s">
        <v>758</v>
      </c>
      <c r="I519" s="31" t="n">
        <v>45714</v>
      </c>
      <c r="J519" s="32" t="s">
        <v>2105</v>
      </c>
      <c r="K519" s="0" t="n">
        <v>6</v>
      </c>
      <c r="L519" s="32" t="s">
        <v>2081</v>
      </c>
      <c r="M519" s="32" t="s">
        <v>2132</v>
      </c>
      <c r="N519" s="0" t="n">
        <v>6</v>
      </c>
      <c r="O519" s="32" t="s">
        <v>759</v>
      </c>
      <c r="P519" s="32" t="s">
        <v>2101</v>
      </c>
      <c r="Q519" s="32" t="s">
        <v>2125</v>
      </c>
      <c r="R519" s="0" t="str">
        <f aca="false">IF(H519="GEN","GM",H519)</f>
        <v>CS</v>
      </c>
    </row>
    <row r="520" customFormat="false" ht="15" hidden="false" customHeight="false" outlineLevel="0" collapsed="false">
      <c r="A520" s="0" t="s">
        <v>2951</v>
      </c>
      <c r="B520" s="0" t="s">
        <v>2952</v>
      </c>
      <c r="C520" s="0" t="s">
        <v>942</v>
      </c>
      <c r="D520" s="31" t="n">
        <v>18186</v>
      </c>
      <c r="E520" s="31" t="n">
        <v>45735</v>
      </c>
      <c r="F520" s="32" t="s">
        <v>2087</v>
      </c>
      <c r="G520" s="32" t="s">
        <v>2124</v>
      </c>
      <c r="H520" s="32" t="s">
        <v>785</v>
      </c>
      <c r="I520" s="31" t="n">
        <v>45737</v>
      </c>
      <c r="J520" s="32" t="s">
        <v>2080</v>
      </c>
      <c r="K520" s="0" t="n">
        <v>2</v>
      </c>
      <c r="L520" s="32" t="s">
        <v>2081</v>
      </c>
      <c r="M520" s="32" t="s">
        <v>2141</v>
      </c>
      <c r="N520" s="0" t="n">
        <v>2</v>
      </c>
      <c r="O520" s="32" t="s">
        <v>786</v>
      </c>
      <c r="P520" s="32" t="s">
        <v>2213</v>
      </c>
      <c r="Q520" s="32" t="s">
        <v>2259</v>
      </c>
      <c r="R520" s="0" t="str">
        <f aca="false">IF(H520="GEN","GM",H520)</f>
        <v>RS</v>
      </c>
    </row>
    <row r="521" customFormat="false" ht="15" hidden="false" customHeight="false" outlineLevel="0" collapsed="false">
      <c r="A521" s="0" t="s">
        <v>2953</v>
      </c>
      <c r="B521" s="0" t="s">
        <v>2954</v>
      </c>
      <c r="C521" s="0" t="s">
        <v>914</v>
      </c>
      <c r="D521" s="31" t="n">
        <v>30278</v>
      </c>
      <c r="E521" s="31" t="n">
        <v>45594</v>
      </c>
      <c r="F521" s="32" t="s">
        <v>2087</v>
      </c>
      <c r="G521" s="32" t="s">
        <v>2088</v>
      </c>
      <c r="H521" s="32" t="s">
        <v>826</v>
      </c>
      <c r="I521" s="31" t="n">
        <v>45595</v>
      </c>
      <c r="J521" s="32" t="s">
        <v>2160</v>
      </c>
      <c r="K521" s="0" t="n">
        <v>1</v>
      </c>
      <c r="L521" s="32" t="s">
        <v>2081</v>
      </c>
      <c r="M521" s="32" t="s">
        <v>2286</v>
      </c>
      <c r="N521" s="0" t="n">
        <v>1</v>
      </c>
      <c r="O521" s="32" t="s">
        <v>827</v>
      </c>
      <c r="P521" s="32" t="s">
        <v>2133</v>
      </c>
      <c r="Q521" s="32" t="s">
        <v>2084</v>
      </c>
      <c r="R521" s="0" t="str">
        <f aca="false">IF(H521="GEN","GM",H521)</f>
        <v>RHE</v>
      </c>
    </row>
    <row r="522" customFormat="false" ht="15" hidden="false" customHeight="false" outlineLevel="0" collapsed="false">
      <c r="A522" s="0" t="s">
        <v>2955</v>
      </c>
      <c r="B522" s="0" t="s">
        <v>2807</v>
      </c>
      <c r="C522" s="0" t="s">
        <v>977</v>
      </c>
      <c r="D522" s="31" t="n">
        <v>37158</v>
      </c>
      <c r="E522" s="31" t="n">
        <v>45704</v>
      </c>
      <c r="F522" s="32" t="s">
        <v>2087</v>
      </c>
      <c r="G522" s="32" t="s">
        <v>2099</v>
      </c>
      <c r="H522" s="32" t="s">
        <v>818</v>
      </c>
      <c r="I522" s="31" t="n">
        <v>45706</v>
      </c>
      <c r="J522" s="32" t="s">
        <v>2080</v>
      </c>
      <c r="K522" s="0" t="n">
        <v>2</v>
      </c>
      <c r="L522" s="32" t="s">
        <v>2081</v>
      </c>
      <c r="M522" s="32" t="s">
        <v>2227</v>
      </c>
      <c r="N522" s="0" t="n">
        <v>2</v>
      </c>
      <c r="O522" s="32" t="s">
        <v>819</v>
      </c>
      <c r="P522" s="32" t="s">
        <v>2142</v>
      </c>
      <c r="Q522" s="32" t="s">
        <v>2198</v>
      </c>
      <c r="R522" s="0" t="str">
        <f aca="false">IF(H522="GEN","GM",H522)</f>
        <v>OPH</v>
      </c>
    </row>
    <row r="523" customFormat="false" ht="15" hidden="false" customHeight="false" outlineLevel="0" collapsed="false">
      <c r="A523" s="0" t="s">
        <v>2956</v>
      </c>
      <c r="B523" s="0" t="s">
        <v>2723</v>
      </c>
      <c r="C523" s="0" t="s">
        <v>1460</v>
      </c>
      <c r="D523" s="31" t="n">
        <v>36126</v>
      </c>
      <c r="E523" s="31" t="n">
        <v>45684</v>
      </c>
      <c r="F523" s="32" t="s">
        <v>2087</v>
      </c>
      <c r="G523" s="32" t="s">
        <v>2104</v>
      </c>
      <c r="H523" s="32" t="s">
        <v>802</v>
      </c>
      <c r="I523" s="31" t="n">
        <v>45690</v>
      </c>
      <c r="J523" s="32" t="s">
        <v>2080</v>
      </c>
      <c r="K523" s="0" t="n">
        <v>6</v>
      </c>
      <c r="L523" s="32" t="s">
        <v>2106</v>
      </c>
      <c r="M523" s="32" t="s">
        <v>2082</v>
      </c>
      <c r="N523" s="0" t="n">
        <v>6</v>
      </c>
      <c r="O523" s="32" t="s">
        <v>803</v>
      </c>
      <c r="P523" s="32" t="s">
        <v>2238</v>
      </c>
      <c r="Q523" s="32" t="s">
        <v>2112</v>
      </c>
      <c r="R523" s="0" t="str">
        <f aca="false">IF(H523="GEN","GM",H523)</f>
        <v>GYN</v>
      </c>
    </row>
    <row r="524" customFormat="false" ht="15" hidden="false" customHeight="false" outlineLevel="0" collapsed="false">
      <c r="A524" s="0" t="s">
        <v>2957</v>
      </c>
      <c r="B524" s="0" t="s">
        <v>2958</v>
      </c>
      <c r="C524" s="0" t="s">
        <v>918</v>
      </c>
      <c r="D524" s="31" t="n">
        <v>21042</v>
      </c>
      <c r="E524" s="31" t="n">
        <v>45593</v>
      </c>
      <c r="F524" s="32" t="s">
        <v>2087</v>
      </c>
      <c r="G524" s="32" t="s">
        <v>2079</v>
      </c>
      <c r="H524" s="32" t="s">
        <v>776</v>
      </c>
      <c r="I524" s="31" t="n">
        <v>45599</v>
      </c>
      <c r="J524" s="32" t="s">
        <v>2160</v>
      </c>
      <c r="K524" s="0" t="n">
        <v>6</v>
      </c>
      <c r="L524" s="32" t="s">
        <v>2106</v>
      </c>
      <c r="M524" s="32" t="s">
        <v>2255</v>
      </c>
      <c r="N524" s="0" t="n">
        <v>6</v>
      </c>
      <c r="O524" s="32" t="s">
        <v>777</v>
      </c>
      <c r="P524" s="32" t="s">
        <v>2142</v>
      </c>
      <c r="Q524" s="32" t="s">
        <v>2198</v>
      </c>
      <c r="R524" s="0" t="str">
        <f aca="false">IF(H524="GEN","GM",H524)</f>
        <v>GS</v>
      </c>
    </row>
    <row r="525" customFormat="false" ht="15" hidden="false" customHeight="false" outlineLevel="0" collapsed="false">
      <c r="A525" s="0" t="s">
        <v>2959</v>
      </c>
      <c r="B525" s="0" t="s">
        <v>2396</v>
      </c>
      <c r="C525" s="0" t="s">
        <v>1013</v>
      </c>
      <c r="D525" s="31" t="n">
        <v>14015</v>
      </c>
      <c r="E525" s="31" t="n">
        <v>45602</v>
      </c>
      <c r="F525" s="32" t="s">
        <v>2087</v>
      </c>
      <c r="G525" s="32" t="s">
        <v>2099</v>
      </c>
      <c r="H525" s="32" t="s">
        <v>766</v>
      </c>
      <c r="I525" s="31" t="n">
        <v>45604</v>
      </c>
      <c r="J525" s="32" t="s">
        <v>2080</v>
      </c>
      <c r="K525" s="0" t="n">
        <v>2</v>
      </c>
      <c r="L525" s="32" t="s">
        <v>2106</v>
      </c>
      <c r="M525" s="32" t="s">
        <v>2132</v>
      </c>
      <c r="N525" s="0" t="n">
        <v>2</v>
      </c>
      <c r="O525" s="32" t="s">
        <v>767</v>
      </c>
      <c r="P525" s="32" t="s">
        <v>2133</v>
      </c>
      <c r="Q525" s="32" t="s">
        <v>2091</v>
      </c>
      <c r="R525" s="0" t="str">
        <f aca="false">IF(H525="GEN","GM",H525)</f>
        <v>OR</v>
      </c>
    </row>
    <row r="526" customFormat="false" ht="15" hidden="false" customHeight="false" outlineLevel="0" collapsed="false">
      <c r="A526" s="0" t="s">
        <v>2960</v>
      </c>
      <c r="B526" s="0" t="s">
        <v>2538</v>
      </c>
      <c r="C526" s="0" t="s">
        <v>862</v>
      </c>
      <c r="D526" s="31" t="n">
        <v>25035</v>
      </c>
      <c r="E526" s="31" t="n">
        <v>45674</v>
      </c>
      <c r="F526" s="32" t="s">
        <v>2078</v>
      </c>
      <c r="G526" s="32" t="s">
        <v>2099</v>
      </c>
      <c r="H526" s="32" t="s">
        <v>818</v>
      </c>
      <c r="I526" s="31" t="n">
        <v>45674</v>
      </c>
      <c r="J526" s="32" t="s">
        <v>2080</v>
      </c>
      <c r="K526" s="0" t="n">
        <v>0</v>
      </c>
      <c r="L526" s="32" t="s">
        <v>2081</v>
      </c>
      <c r="M526" s="32" t="s">
        <v>2161</v>
      </c>
      <c r="N526" s="0" t="n">
        <v>0</v>
      </c>
      <c r="O526" s="32" t="s">
        <v>819</v>
      </c>
      <c r="P526" s="32" t="s">
        <v>2101</v>
      </c>
      <c r="Q526" s="32" t="s">
        <v>2170</v>
      </c>
      <c r="R526" s="0" t="str">
        <f aca="false">IF(H526="GEN","GM",H526)</f>
        <v>OPH</v>
      </c>
    </row>
    <row r="527" customFormat="false" ht="15" hidden="false" customHeight="false" outlineLevel="0" collapsed="false">
      <c r="A527" s="0" t="s">
        <v>2961</v>
      </c>
      <c r="B527" s="0" t="s">
        <v>2962</v>
      </c>
      <c r="C527" s="0" t="s">
        <v>1005</v>
      </c>
      <c r="D527" s="31" t="n">
        <v>12941</v>
      </c>
      <c r="E527" s="31" t="n">
        <v>45668</v>
      </c>
      <c r="F527" s="32" t="s">
        <v>2160</v>
      </c>
      <c r="G527" s="32" t="s">
        <v>2124</v>
      </c>
      <c r="H527" s="32" t="s">
        <v>785</v>
      </c>
      <c r="I527" s="31" t="n">
        <v>45672</v>
      </c>
      <c r="J527" s="32" t="s">
        <v>2080</v>
      </c>
      <c r="K527" s="0" t="n">
        <v>4</v>
      </c>
      <c r="L527" s="32" t="s">
        <v>2081</v>
      </c>
      <c r="M527" s="32" t="s">
        <v>2082</v>
      </c>
      <c r="N527" s="0" t="n">
        <v>4</v>
      </c>
      <c r="O527" s="32" t="s">
        <v>786</v>
      </c>
      <c r="P527" s="32" t="s">
        <v>2179</v>
      </c>
      <c r="Q527" s="32" t="s">
        <v>2170</v>
      </c>
      <c r="R527" s="0" t="str">
        <f aca="false">IF(H527="GEN","GM",H527)</f>
        <v>RS</v>
      </c>
    </row>
    <row r="528" customFormat="false" ht="15" hidden="false" customHeight="false" outlineLevel="0" collapsed="false">
      <c r="A528" s="0" t="s">
        <v>2963</v>
      </c>
      <c r="B528" s="0" t="s">
        <v>2413</v>
      </c>
      <c r="C528" s="0" t="s">
        <v>1001</v>
      </c>
      <c r="D528" s="31" t="n">
        <v>15943</v>
      </c>
      <c r="E528" s="31" t="n">
        <v>45632</v>
      </c>
      <c r="F528" s="32" t="s">
        <v>2087</v>
      </c>
      <c r="G528" s="32" t="s">
        <v>2115</v>
      </c>
      <c r="H528" s="32" t="s">
        <v>758</v>
      </c>
      <c r="I528" s="31" t="n">
        <v>45636</v>
      </c>
      <c r="J528" s="32" t="s">
        <v>2080</v>
      </c>
      <c r="K528" s="0" t="n">
        <v>4</v>
      </c>
      <c r="M528" s="32" t="s">
        <v>2152</v>
      </c>
      <c r="N528" s="0" t="n">
        <v>4</v>
      </c>
      <c r="O528" s="32" t="s">
        <v>759</v>
      </c>
      <c r="P528" s="32" t="s">
        <v>2213</v>
      </c>
      <c r="Q528" s="32" t="s">
        <v>2179</v>
      </c>
      <c r="R528" s="0" t="str">
        <f aca="false">IF(H528="GEN","GM",H528)</f>
        <v>CS</v>
      </c>
    </row>
    <row r="529" customFormat="false" ht="15" hidden="false" customHeight="false" outlineLevel="0" collapsed="false">
      <c r="A529" s="0" t="s">
        <v>2964</v>
      </c>
      <c r="B529" s="0" t="s">
        <v>2965</v>
      </c>
      <c r="C529" s="0" t="s">
        <v>906</v>
      </c>
      <c r="D529" s="31" t="n">
        <v>28039</v>
      </c>
      <c r="E529" s="31" t="n">
        <v>45724</v>
      </c>
      <c r="F529" s="32" t="s">
        <v>2087</v>
      </c>
      <c r="G529" s="32" t="s">
        <v>2099</v>
      </c>
      <c r="H529" s="32" t="s">
        <v>818</v>
      </c>
      <c r="I529" s="31" t="n">
        <v>45731</v>
      </c>
      <c r="J529" s="32" t="s">
        <v>2080</v>
      </c>
      <c r="K529" s="0" t="n">
        <v>7</v>
      </c>
      <c r="L529" s="32" t="s">
        <v>2081</v>
      </c>
      <c r="M529" s="32" t="s">
        <v>2286</v>
      </c>
      <c r="N529" s="0" t="n">
        <v>7</v>
      </c>
      <c r="O529" s="32" t="s">
        <v>819</v>
      </c>
      <c r="P529" s="32" t="s">
        <v>2095</v>
      </c>
      <c r="Q529" s="32" t="s">
        <v>2084</v>
      </c>
      <c r="R529" s="0" t="str">
        <f aca="false">IF(H529="GEN","GM",H529)</f>
        <v>OPH</v>
      </c>
    </row>
    <row r="530" customFormat="false" ht="15" hidden="false" customHeight="false" outlineLevel="0" collapsed="false">
      <c r="A530" s="0" t="s">
        <v>2966</v>
      </c>
      <c r="B530" s="0" t="s">
        <v>2567</v>
      </c>
      <c r="C530" s="0" t="s">
        <v>862</v>
      </c>
      <c r="D530" s="31" t="n">
        <v>21213</v>
      </c>
      <c r="E530" s="31" t="n">
        <v>45595</v>
      </c>
      <c r="F530" s="32" t="s">
        <v>2087</v>
      </c>
      <c r="G530" s="32" t="s">
        <v>2104</v>
      </c>
      <c r="H530" s="32" t="s">
        <v>802</v>
      </c>
      <c r="I530" s="31" t="n">
        <v>45596</v>
      </c>
      <c r="J530" s="32" t="s">
        <v>2080</v>
      </c>
      <c r="K530" s="0" t="n">
        <v>1</v>
      </c>
      <c r="L530" s="32" t="s">
        <v>2081</v>
      </c>
      <c r="M530" s="32" t="s">
        <v>2094</v>
      </c>
      <c r="N530" s="0" t="n">
        <v>1</v>
      </c>
      <c r="O530" s="32" t="s">
        <v>803</v>
      </c>
      <c r="P530" s="32" t="s">
        <v>2201</v>
      </c>
      <c r="Q530" s="32" t="s">
        <v>2259</v>
      </c>
      <c r="R530" s="0" t="str">
        <f aca="false">IF(H530="GEN","GM",H530)</f>
        <v>GYN</v>
      </c>
    </row>
    <row r="531" customFormat="false" ht="15" hidden="false" customHeight="false" outlineLevel="0" collapsed="false">
      <c r="A531" s="0" t="s">
        <v>2967</v>
      </c>
      <c r="B531" s="0" t="s">
        <v>2354</v>
      </c>
      <c r="C531" s="0" t="s">
        <v>989</v>
      </c>
      <c r="D531" s="31" t="n">
        <v>35432</v>
      </c>
      <c r="E531" s="31" t="n">
        <v>45701</v>
      </c>
      <c r="F531" s="32" t="s">
        <v>2078</v>
      </c>
      <c r="G531" s="32" t="s">
        <v>2088</v>
      </c>
      <c r="H531" s="32" t="s">
        <v>826</v>
      </c>
      <c r="I531" s="31" t="n">
        <v>45709</v>
      </c>
      <c r="J531" s="32" t="s">
        <v>2160</v>
      </c>
      <c r="K531" s="0" t="n">
        <v>8</v>
      </c>
      <c r="L531" s="32" t="s">
        <v>2081</v>
      </c>
      <c r="M531" s="32" t="s">
        <v>2161</v>
      </c>
      <c r="N531" s="0" t="n">
        <v>8</v>
      </c>
      <c r="O531" s="32" t="s">
        <v>827</v>
      </c>
      <c r="P531" s="32" t="s">
        <v>2137</v>
      </c>
      <c r="Q531" s="32" t="s">
        <v>2153</v>
      </c>
      <c r="R531" s="0" t="str">
        <f aca="false">IF(H531="GEN","GM",H531)</f>
        <v>RHE</v>
      </c>
    </row>
    <row r="532" customFormat="false" ht="15" hidden="false" customHeight="false" outlineLevel="0" collapsed="false">
      <c r="A532" s="0" t="s">
        <v>2968</v>
      </c>
      <c r="B532" s="0" t="s">
        <v>2969</v>
      </c>
      <c r="C532" s="0" t="s">
        <v>950</v>
      </c>
      <c r="D532" s="31" t="n">
        <v>27603</v>
      </c>
      <c r="E532" s="31" t="n">
        <v>45681</v>
      </c>
      <c r="F532" s="32" t="s">
        <v>2078</v>
      </c>
      <c r="G532" s="32" t="s">
        <v>2088</v>
      </c>
      <c r="H532" s="32" t="s">
        <v>793</v>
      </c>
      <c r="I532" s="31" t="n">
        <v>45685</v>
      </c>
      <c r="J532" s="32" t="s">
        <v>2080</v>
      </c>
      <c r="K532" s="0" t="n">
        <v>4</v>
      </c>
      <c r="M532" s="32" t="s">
        <v>2212</v>
      </c>
      <c r="N532" s="0" t="n">
        <v>4</v>
      </c>
      <c r="O532" s="32" t="s">
        <v>794</v>
      </c>
      <c r="P532" s="32" t="s">
        <v>2133</v>
      </c>
      <c r="Q532" s="32" t="s">
        <v>2157</v>
      </c>
      <c r="R532" s="0" t="str">
        <f aca="false">IF(H532="GEN","GM",H532)</f>
        <v>EM</v>
      </c>
    </row>
    <row r="533" customFormat="false" ht="15" hidden="false" customHeight="false" outlineLevel="0" collapsed="false">
      <c r="A533" s="0" t="s">
        <v>2970</v>
      </c>
      <c r="B533" s="0" t="s">
        <v>2535</v>
      </c>
      <c r="C533" s="0" t="s">
        <v>966</v>
      </c>
      <c r="D533" s="31" t="n">
        <v>26302</v>
      </c>
      <c r="E533" s="31" t="n">
        <v>45568</v>
      </c>
      <c r="F533" s="32" t="s">
        <v>2078</v>
      </c>
      <c r="G533" s="32" t="s">
        <v>2088</v>
      </c>
      <c r="H533" s="32" t="s">
        <v>826</v>
      </c>
      <c r="I533" s="31" t="n">
        <v>45571</v>
      </c>
      <c r="J533" s="32" t="s">
        <v>2080</v>
      </c>
      <c r="K533" s="0" t="n">
        <v>3</v>
      </c>
      <c r="L533" s="32" t="s">
        <v>2081</v>
      </c>
      <c r="M533" s="32" t="s">
        <v>2100</v>
      </c>
      <c r="N533" s="0" t="n">
        <v>3</v>
      </c>
      <c r="O533" s="32" t="s">
        <v>827</v>
      </c>
      <c r="P533" s="32" t="s">
        <v>2137</v>
      </c>
      <c r="Q533" s="32" t="s">
        <v>2096</v>
      </c>
      <c r="R533" s="0" t="str">
        <f aca="false">IF(H533="GEN","GM",H533)</f>
        <v>RHE</v>
      </c>
    </row>
    <row r="534" customFormat="false" ht="15" hidden="false" customHeight="false" outlineLevel="0" collapsed="false">
      <c r="A534" s="0" t="s">
        <v>2971</v>
      </c>
      <c r="B534" s="0" t="s">
        <v>2235</v>
      </c>
      <c r="C534" s="0" t="s">
        <v>775</v>
      </c>
      <c r="D534" s="31" t="n">
        <v>17569</v>
      </c>
      <c r="E534" s="31" t="n">
        <v>45694</v>
      </c>
      <c r="F534" s="32" t="s">
        <v>2078</v>
      </c>
      <c r="G534" s="32" t="s">
        <v>2115</v>
      </c>
      <c r="H534" s="32" t="s">
        <v>758</v>
      </c>
      <c r="I534" s="31" t="n">
        <v>45698</v>
      </c>
      <c r="J534" s="32" t="s">
        <v>2080</v>
      </c>
      <c r="K534" s="0" t="n">
        <v>4</v>
      </c>
      <c r="L534" s="32" t="s">
        <v>2081</v>
      </c>
      <c r="M534" s="32" t="s">
        <v>2128</v>
      </c>
      <c r="N534" s="0" t="n">
        <v>4</v>
      </c>
      <c r="O534" s="32" t="s">
        <v>759</v>
      </c>
      <c r="P534" s="32" t="s">
        <v>2133</v>
      </c>
      <c r="Q534" s="32" t="s">
        <v>2241</v>
      </c>
      <c r="R534" s="0" t="str">
        <f aca="false">IF(H534="GEN","GM",H534)</f>
        <v>CS</v>
      </c>
    </row>
    <row r="535" customFormat="false" ht="15" hidden="false" customHeight="false" outlineLevel="0" collapsed="false">
      <c r="A535" s="0" t="s">
        <v>2972</v>
      </c>
      <c r="B535" s="0" t="s">
        <v>2788</v>
      </c>
      <c r="C535" s="0" t="s">
        <v>882</v>
      </c>
      <c r="D535" s="31" t="n">
        <v>29459</v>
      </c>
      <c r="E535" s="31" t="n">
        <v>45633</v>
      </c>
      <c r="F535" s="32" t="s">
        <v>2087</v>
      </c>
      <c r="G535" s="32" t="s">
        <v>2099</v>
      </c>
      <c r="H535" s="32" t="s">
        <v>766</v>
      </c>
      <c r="I535" s="31" t="n">
        <v>45641</v>
      </c>
      <c r="J535" s="32" t="s">
        <v>2080</v>
      </c>
      <c r="K535" s="0" t="n">
        <v>8</v>
      </c>
      <c r="L535" s="32" t="s">
        <v>2081</v>
      </c>
      <c r="M535" s="32" t="s">
        <v>2100</v>
      </c>
      <c r="N535" s="0" t="n">
        <v>8</v>
      </c>
      <c r="O535" s="32" t="s">
        <v>767</v>
      </c>
      <c r="P535" s="32" t="s">
        <v>2182</v>
      </c>
      <c r="Q535" s="32" t="s">
        <v>2165</v>
      </c>
      <c r="R535" s="0" t="str">
        <f aca="false">IF(H535="GEN","GM",H535)</f>
        <v>OR</v>
      </c>
    </row>
    <row r="536" customFormat="false" ht="15" hidden="false" customHeight="false" outlineLevel="0" collapsed="false">
      <c r="A536" s="0" t="s">
        <v>2973</v>
      </c>
      <c r="B536" s="0" t="s">
        <v>2974</v>
      </c>
      <c r="C536" s="0" t="s">
        <v>801</v>
      </c>
      <c r="D536" s="31" t="n">
        <v>34589</v>
      </c>
      <c r="E536" s="31" t="n">
        <v>45610</v>
      </c>
      <c r="F536" s="32" t="s">
        <v>2160</v>
      </c>
      <c r="G536" s="32" t="s">
        <v>2088</v>
      </c>
      <c r="H536" s="32" t="s">
        <v>793</v>
      </c>
      <c r="I536" s="31" t="n">
        <v>45614</v>
      </c>
      <c r="J536" s="32" t="s">
        <v>2080</v>
      </c>
      <c r="K536" s="0" t="n">
        <v>4</v>
      </c>
      <c r="L536" s="32" t="s">
        <v>2081</v>
      </c>
      <c r="M536" s="32" t="s">
        <v>2283</v>
      </c>
      <c r="N536" s="0" t="n">
        <v>5</v>
      </c>
      <c r="O536" s="32" t="s">
        <v>794</v>
      </c>
      <c r="P536" s="32" t="s">
        <v>2213</v>
      </c>
      <c r="Q536" s="32" t="s">
        <v>2096</v>
      </c>
      <c r="R536" s="0" t="str">
        <f aca="false">IF(H536="GEN","GM",H536)</f>
        <v>EM</v>
      </c>
    </row>
    <row r="537" customFormat="false" ht="15" hidden="false" customHeight="false" outlineLevel="0" collapsed="false">
      <c r="A537" s="0" t="s">
        <v>2975</v>
      </c>
      <c r="B537" s="0" t="s">
        <v>2391</v>
      </c>
      <c r="C537" s="0" t="s">
        <v>866</v>
      </c>
      <c r="D537" s="31" t="n">
        <v>21950</v>
      </c>
      <c r="E537" s="31" t="n">
        <v>45691</v>
      </c>
      <c r="F537" s="32" t="s">
        <v>2078</v>
      </c>
      <c r="G537" s="32" t="s">
        <v>2079</v>
      </c>
      <c r="H537" s="32" t="s">
        <v>810</v>
      </c>
      <c r="I537" s="31" t="n">
        <v>45694</v>
      </c>
      <c r="J537" s="32" t="s">
        <v>2080</v>
      </c>
      <c r="K537" s="0" t="n">
        <v>3</v>
      </c>
      <c r="L537" s="32" t="s">
        <v>2081</v>
      </c>
      <c r="M537" s="32" t="s">
        <v>2207</v>
      </c>
      <c r="N537" s="0" t="n">
        <v>3</v>
      </c>
      <c r="O537" s="32" t="s">
        <v>811</v>
      </c>
      <c r="P537" s="32" t="s">
        <v>2111</v>
      </c>
      <c r="Q537" s="32" t="s">
        <v>2170</v>
      </c>
      <c r="R537" s="0" t="str">
        <f aca="false">IF(H537="GEN","GM",H537)</f>
        <v>URO</v>
      </c>
    </row>
    <row r="538" customFormat="false" ht="15" hidden="false" customHeight="false" outlineLevel="0" collapsed="false">
      <c r="A538" s="0" t="s">
        <v>2976</v>
      </c>
      <c r="B538" s="0" t="s">
        <v>2977</v>
      </c>
      <c r="C538" s="0" t="s">
        <v>825</v>
      </c>
      <c r="D538" s="31" t="n">
        <v>34873</v>
      </c>
      <c r="E538" s="31" t="n">
        <v>45629</v>
      </c>
      <c r="F538" s="32" t="s">
        <v>2078</v>
      </c>
      <c r="G538" s="32" t="s">
        <v>2115</v>
      </c>
      <c r="H538" s="32" t="s">
        <v>758</v>
      </c>
      <c r="I538" s="31" t="n">
        <v>45633</v>
      </c>
      <c r="J538" s="32" t="s">
        <v>2080</v>
      </c>
      <c r="K538" s="0" t="n">
        <v>4</v>
      </c>
      <c r="L538" s="32" t="s">
        <v>2081</v>
      </c>
      <c r="M538" s="32" t="s">
        <v>2110</v>
      </c>
      <c r="N538" s="0" t="n">
        <v>4</v>
      </c>
      <c r="O538" s="32" t="s">
        <v>759</v>
      </c>
      <c r="P538" s="32" t="s">
        <v>2090</v>
      </c>
      <c r="Q538" s="32" t="s">
        <v>2125</v>
      </c>
      <c r="R538" s="0" t="str">
        <f aca="false">IF(H538="GEN","GM",H538)</f>
        <v>CS</v>
      </c>
    </row>
    <row r="539" customFormat="false" ht="15" hidden="false" customHeight="false" outlineLevel="0" collapsed="false">
      <c r="A539" s="0" t="s">
        <v>2978</v>
      </c>
      <c r="C539" s="0" t="s">
        <v>845</v>
      </c>
      <c r="D539" s="31" t="n">
        <v>36579</v>
      </c>
      <c r="E539" s="31" t="n">
        <v>45654</v>
      </c>
      <c r="F539" s="32" t="s">
        <v>2087</v>
      </c>
      <c r="G539" s="32" t="s">
        <v>2099</v>
      </c>
      <c r="H539" s="32" t="s">
        <v>818</v>
      </c>
      <c r="I539" s="31" t="n">
        <v>45668</v>
      </c>
      <c r="J539" s="32" t="s">
        <v>2080</v>
      </c>
      <c r="K539" s="0" t="n">
        <v>14</v>
      </c>
      <c r="L539" s="32" t="s">
        <v>2081</v>
      </c>
      <c r="M539" s="32" t="s">
        <v>2212</v>
      </c>
      <c r="N539" s="0" t="n">
        <v>14</v>
      </c>
      <c r="O539" s="32" t="s">
        <v>819</v>
      </c>
      <c r="P539" s="32" t="s">
        <v>2137</v>
      </c>
      <c r="Q539" s="32" t="s">
        <v>2198</v>
      </c>
      <c r="R539" s="0" t="str">
        <f aca="false">IF(H539="GEN","GM",H539)</f>
        <v>OPH</v>
      </c>
    </row>
    <row r="540" customFormat="false" ht="15" hidden="false" customHeight="false" outlineLevel="0" collapsed="false">
      <c r="A540" s="0" t="s">
        <v>2979</v>
      </c>
      <c r="B540" s="0" t="s">
        <v>2246</v>
      </c>
      <c r="C540" s="0" t="s">
        <v>757</v>
      </c>
      <c r="D540" s="31" t="n">
        <v>27871</v>
      </c>
      <c r="E540" s="31" t="n">
        <v>45703</v>
      </c>
      <c r="F540" s="32" t="s">
        <v>2087</v>
      </c>
      <c r="G540" s="32" t="s">
        <v>2099</v>
      </c>
      <c r="H540" s="32" t="s">
        <v>818</v>
      </c>
      <c r="I540" s="31" t="n">
        <v>45709</v>
      </c>
      <c r="J540" s="32" t="s">
        <v>2080</v>
      </c>
      <c r="K540" s="0" t="n">
        <v>6</v>
      </c>
      <c r="L540" s="32" t="s">
        <v>2081</v>
      </c>
      <c r="M540" s="32" t="s">
        <v>2283</v>
      </c>
      <c r="N540" s="0" t="n">
        <v>6</v>
      </c>
      <c r="O540" s="32" t="s">
        <v>819</v>
      </c>
      <c r="P540" s="32" t="s">
        <v>2083</v>
      </c>
      <c r="Q540" s="32" t="s">
        <v>2241</v>
      </c>
      <c r="R540" s="0" t="str">
        <f aca="false">IF(H540="GEN","GM",H540)</f>
        <v>OPH</v>
      </c>
    </row>
    <row r="541" customFormat="false" ht="15" hidden="false" customHeight="false" outlineLevel="0" collapsed="false">
      <c r="A541" s="0" t="s">
        <v>2980</v>
      </c>
      <c r="B541" s="0" t="s">
        <v>2645</v>
      </c>
      <c r="C541" s="0" t="s">
        <v>1025</v>
      </c>
      <c r="D541" s="31" t="n">
        <v>19127</v>
      </c>
      <c r="E541" s="31" t="n">
        <v>45630</v>
      </c>
      <c r="F541" s="32" t="s">
        <v>2078</v>
      </c>
      <c r="G541" s="32" t="s">
        <v>2088</v>
      </c>
      <c r="H541" s="32" t="s">
        <v>826</v>
      </c>
      <c r="I541" s="31" t="n">
        <v>45631</v>
      </c>
      <c r="J541" s="32" t="s">
        <v>2080</v>
      </c>
      <c r="K541" s="0" t="n">
        <v>1</v>
      </c>
      <c r="L541" s="32" t="s">
        <v>2081</v>
      </c>
      <c r="M541" s="32" t="s">
        <v>2110</v>
      </c>
      <c r="N541" s="0" t="n">
        <v>1</v>
      </c>
      <c r="O541" s="32" t="s">
        <v>827</v>
      </c>
      <c r="P541" s="32" t="s">
        <v>2156</v>
      </c>
      <c r="Q541" s="32" t="s">
        <v>2241</v>
      </c>
      <c r="R541" s="0" t="str">
        <f aca="false">IF(H541="GEN","GM",H541)</f>
        <v>RHE</v>
      </c>
    </row>
    <row r="542" customFormat="false" ht="15" hidden="false" customHeight="false" outlineLevel="0" collapsed="false">
      <c r="A542" s="0" t="s">
        <v>2981</v>
      </c>
      <c r="B542" s="0" t="s">
        <v>2982</v>
      </c>
      <c r="C542" s="0" t="s">
        <v>898</v>
      </c>
      <c r="D542" s="31" t="n">
        <v>21091</v>
      </c>
      <c r="E542" s="31" t="n">
        <v>45595</v>
      </c>
      <c r="F542" s="32" t="s">
        <v>2087</v>
      </c>
      <c r="G542" s="32" t="s">
        <v>2079</v>
      </c>
      <c r="H542" s="32" t="s">
        <v>776</v>
      </c>
      <c r="I542" s="31" t="n">
        <v>45595</v>
      </c>
      <c r="J542" s="32" t="s">
        <v>2080</v>
      </c>
      <c r="K542" s="0" t="n">
        <v>0</v>
      </c>
      <c r="L542" s="32" t="s">
        <v>2081</v>
      </c>
      <c r="M542" s="32" t="s">
        <v>2116</v>
      </c>
      <c r="N542" s="0" t="n">
        <v>0</v>
      </c>
      <c r="O542" s="32" t="s">
        <v>777</v>
      </c>
      <c r="P542" s="32" t="s">
        <v>2117</v>
      </c>
      <c r="Q542" s="32" t="s">
        <v>2091</v>
      </c>
      <c r="R542" s="0" t="str">
        <f aca="false">IF(H542="GEN","GM",H542)</f>
        <v>GS</v>
      </c>
    </row>
    <row r="543" customFormat="false" ht="15" hidden="false" customHeight="false" outlineLevel="0" collapsed="false">
      <c r="A543" s="0" t="s">
        <v>2983</v>
      </c>
      <c r="B543" s="0" t="s">
        <v>2984</v>
      </c>
      <c r="C543" s="0" t="s">
        <v>757</v>
      </c>
      <c r="D543" s="31" t="n">
        <v>38410</v>
      </c>
      <c r="E543" s="31" t="n">
        <v>45626</v>
      </c>
      <c r="F543" s="32" t="s">
        <v>2078</v>
      </c>
      <c r="G543" s="32" t="s">
        <v>2115</v>
      </c>
      <c r="H543" s="32" t="s">
        <v>758</v>
      </c>
      <c r="I543" s="31" t="n">
        <v>45631</v>
      </c>
      <c r="J543" s="32" t="s">
        <v>2080</v>
      </c>
      <c r="K543" s="0" t="n">
        <v>5</v>
      </c>
      <c r="L543" s="32" t="s">
        <v>2081</v>
      </c>
      <c r="M543" s="32" t="s">
        <v>2152</v>
      </c>
      <c r="N543" s="0" t="n">
        <v>5</v>
      </c>
      <c r="O543" s="32" t="s">
        <v>759</v>
      </c>
      <c r="P543" s="32" t="s">
        <v>2162</v>
      </c>
      <c r="Q543" s="32" t="s">
        <v>2125</v>
      </c>
      <c r="R543" s="0" t="str">
        <f aca="false">IF(H543="GEN","GM",H543)</f>
        <v>CS</v>
      </c>
    </row>
    <row r="544" customFormat="false" ht="15" hidden="false" customHeight="false" outlineLevel="0" collapsed="false">
      <c r="A544" s="0" t="s">
        <v>2985</v>
      </c>
      <c r="B544" s="0" t="s">
        <v>2986</v>
      </c>
      <c r="C544" s="0" t="s">
        <v>841</v>
      </c>
      <c r="D544" s="31" t="n">
        <v>14252</v>
      </c>
      <c r="E544" s="31" t="n">
        <v>45637</v>
      </c>
      <c r="F544" s="32" t="s">
        <v>2087</v>
      </c>
      <c r="G544" s="32" t="s">
        <v>2104</v>
      </c>
      <c r="H544" s="32" t="s">
        <v>802</v>
      </c>
      <c r="I544" s="31" t="n">
        <v>45648</v>
      </c>
      <c r="J544" s="32" t="s">
        <v>2080</v>
      </c>
      <c r="K544" s="0" t="n">
        <v>11</v>
      </c>
      <c r="L544" s="32" t="s">
        <v>2081</v>
      </c>
      <c r="M544" s="32" t="s">
        <v>2227</v>
      </c>
      <c r="N544" s="0" t="n">
        <v>11</v>
      </c>
      <c r="Q544" s="32" t="s">
        <v>2179</v>
      </c>
      <c r="R544" s="0" t="str">
        <f aca="false">IF(H544="GEN","GM",H544)</f>
        <v>GYN</v>
      </c>
    </row>
    <row r="545" customFormat="false" ht="15" hidden="false" customHeight="false" outlineLevel="0" collapsed="false">
      <c r="A545" s="0" t="s">
        <v>2987</v>
      </c>
      <c r="B545" s="0" t="s">
        <v>2774</v>
      </c>
      <c r="C545" s="0" t="s">
        <v>837</v>
      </c>
      <c r="D545" s="31" t="n">
        <v>17163</v>
      </c>
      <c r="E545" s="31" t="n">
        <v>45723</v>
      </c>
      <c r="F545" s="32" t="s">
        <v>2087</v>
      </c>
      <c r="G545" s="32" t="s">
        <v>2088</v>
      </c>
      <c r="H545" s="32" t="s">
        <v>747</v>
      </c>
      <c r="I545" s="31" t="n">
        <v>45730</v>
      </c>
      <c r="J545" s="32" t="s">
        <v>2080</v>
      </c>
      <c r="K545" s="0" t="n">
        <v>7</v>
      </c>
      <c r="L545" s="32" t="s">
        <v>2081</v>
      </c>
      <c r="M545" s="32" t="s">
        <v>2255</v>
      </c>
      <c r="N545" s="0" t="n">
        <v>7</v>
      </c>
      <c r="O545" s="32" t="s">
        <v>748</v>
      </c>
      <c r="P545" s="32" t="s">
        <v>2142</v>
      </c>
      <c r="Q545" s="32" t="s">
        <v>2091</v>
      </c>
      <c r="R545" s="0" t="str">
        <f aca="false">IF(H545="GEN","GM",H545)</f>
        <v>GM</v>
      </c>
    </row>
    <row r="546" customFormat="false" ht="15" hidden="false" customHeight="false" outlineLevel="0" collapsed="false">
      <c r="A546" s="0" t="s">
        <v>2988</v>
      </c>
      <c r="B546" s="0" t="s">
        <v>2989</v>
      </c>
      <c r="C546" s="0" t="s">
        <v>1001</v>
      </c>
      <c r="D546" s="31" t="n">
        <v>20290</v>
      </c>
      <c r="E546" s="31" t="n">
        <v>45728</v>
      </c>
      <c r="F546" s="32" t="s">
        <v>2087</v>
      </c>
      <c r="G546" s="32" t="s">
        <v>2104</v>
      </c>
      <c r="H546" s="32" t="s">
        <v>802</v>
      </c>
      <c r="I546" s="31" t="n">
        <v>45732</v>
      </c>
      <c r="J546" s="32" t="s">
        <v>2080</v>
      </c>
      <c r="K546" s="0" t="n">
        <v>4</v>
      </c>
      <c r="L546" s="32" t="s">
        <v>2081</v>
      </c>
      <c r="M546" s="32" t="s">
        <v>2207</v>
      </c>
      <c r="N546" s="0" t="n">
        <v>4</v>
      </c>
      <c r="O546" s="32" t="s">
        <v>803</v>
      </c>
      <c r="P546" s="32" t="s">
        <v>2238</v>
      </c>
      <c r="Q546" s="32" t="s">
        <v>2112</v>
      </c>
      <c r="R546" s="0" t="str">
        <f aca="false">IF(H546="GEN","GM",H546)</f>
        <v>GYN</v>
      </c>
    </row>
    <row r="547" customFormat="false" ht="15" hidden="false" customHeight="false" outlineLevel="0" collapsed="false">
      <c r="A547" s="0" t="s">
        <v>2990</v>
      </c>
      <c r="B547" s="0" t="s">
        <v>2991</v>
      </c>
      <c r="C547" s="0" t="s">
        <v>857</v>
      </c>
      <c r="D547" s="31" t="n">
        <v>13551</v>
      </c>
      <c r="E547" s="31" t="n">
        <v>45699</v>
      </c>
      <c r="F547" s="32" t="s">
        <v>2078</v>
      </c>
      <c r="G547" s="32" t="s">
        <v>2088</v>
      </c>
      <c r="H547" s="32" t="s">
        <v>793</v>
      </c>
      <c r="I547" s="31" t="n">
        <v>45702</v>
      </c>
      <c r="J547" s="32" t="s">
        <v>2080</v>
      </c>
      <c r="K547" s="0" t="n">
        <v>3</v>
      </c>
      <c r="M547" s="32" t="s">
        <v>2128</v>
      </c>
      <c r="N547" s="0" t="n">
        <v>3</v>
      </c>
      <c r="O547" s="32" t="s">
        <v>794</v>
      </c>
      <c r="P547" s="32" t="s">
        <v>2201</v>
      </c>
      <c r="Q547" s="32" t="s">
        <v>2179</v>
      </c>
      <c r="R547" s="0" t="str">
        <f aca="false">IF(H547="GEN","GM",H547)</f>
        <v>EM</v>
      </c>
    </row>
    <row r="548" customFormat="false" ht="15" hidden="false" customHeight="false" outlineLevel="0" collapsed="false">
      <c r="A548" s="0" t="s">
        <v>2992</v>
      </c>
      <c r="B548" s="0" t="s">
        <v>2993</v>
      </c>
      <c r="C548" s="0" t="s">
        <v>1029</v>
      </c>
      <c r="D548" s="31" t="n">
        <v>35652</v>
      </c>
      <c r="E548" s="31" t="n">
        <v>45585</v>
      </c>
      <c r="F548" s="32" t="s">
        <v>2087</v>
      </c>
      <c r="G548" s="32" t="s">
        <v>2124</v>
      </c>
      <c r="H548" s="32" t="s">
        <v>785</v>
      </c>
      <c r="I548" s="31" t="n">
        <v>45586</v>
      </c>
      <c r="J548" s="32" t="s">
        <v>2080</v>
      </c>
      <c r="K548" s="0" t="n">
        <v>1</v>
      </c>
      <c r="L548" s="32" t="s">
        <v>2081</v>
      </c>
      <c r="M548" s="32" t="s">
        <v>2207</v>
      </c>
      <c r="N548" s="0" t="n">
        <v>1</v>
      </c>
      <c r="O548" s="32" t="s">
        <v>786</v>
      </c>
      <c r="P548" s="32" t="s">
        <v>2117</v>
      </c>
      <c r="Q548" s="32" t="s">
        <v>2241</v>
      </c>
      <c r="R548" s="0" t="str">
        <f aca="false">IF(H548="GEN","GM",H548)</f>
        <v>RS</v>
      </c>
    </row>
    <row r="549" customFormat="false" ht="15" hidden="false" customHeight="false" outlineLevel="0" collapsed="false">
      <c r="A549" s="0" t="s">
        <v>2994</v>
      </c>
      <c r="B549" s="0" t="s">
        <v>2995</v>
      </c>
      <c r="C549" s="0" t="s">
        <v>926</v>
      </c>
      <c r="D549" s="31" t="n">
        <v>29711</v>
      </c>
      <c r="E549" s="31" t="n">
        <v>45577</v>
      </c>
      <c r="F549" s="32" t="s">
        <v>2078</v>
      </c>
      <c r="G549" s="32" t="s">
        <v>2124</v>
      </c>
      <c r="H549" s="32" t="s">
        <v>785</v>
      </c>
      <c r="I549" s="31" t="n">
        <v>45579</v>
      </c>
      <c r="J549" s="32" t="s">
        <v>2080</v>
      </c>
      <c r="K549" s="0" t="n">
        <v>2</v>
      </c>
      <c r="L549" s="32" t="s">
        <v>2081</v>
      </c>
      <c r="M549" s="32" t="s">
        <v>2141</v>
      </c>
      <c r="N549" s="0" t="n">
        <v>2</v>
      </c>
      <c r="O549" s="32" t="s">
        <v>786</v>
      </c>
      <c r="P549" s="32" t="s">
        <v>2179</v>
      </c>
      <c r="Q549" s="32" t="s">
        <v>2179</v>
      </c>
      <c r="R549" s="0" t="str">
        <f aca="false">IF(H549="GEN","GM",H549)</f>
        <v>RS</v>
      </c>
    </row>
    <row r="550" customFormat="false" ht="15" hidden="false" customHeight="false" outlineLevel="0" collapsed="false">
      <c r="A550" s="0" t="s">
        <v>2996</v>
      </c>
      <c r="B550" s="0" t="s">
        <v>2304</v>
      </c>
      <c r="C550" s="0" t="s">
        <v>1005</v>
      </c>
      <c r="D550" s="31" t="n">
        <v>25583</v>
      </c>
      <c r="E550" s="31" t="n">
        <v>45611</v>
      </c>
      <c r="F550" s="32" t="s">
        <v>2078</v>
      </c>
      <c r="G550" s="32" t="s">
        <v>2124</v>
      </c>
      <c r="H550" s="32" t="s">
        <v>785</v>
      </c>
      <c r="I550" s="31" t="n">
        <v>45613</v>
      </c>
      <c r="J550" s="32" t="s">
        <v>2160</v>
      </c>
      <c r="K550" s="0" t="n">
        <v>2</v>
      </c>
      <c r="L550" s="32" t="s">
        <v>2081</v>
      </c>
      <c r="M550" s="32" t="s">
        <v>2116</v>
      </c>
      <c r="N550" s="0" t="n">
        <v>2</v>
      </c>
      <c r="O550" s="32" t="s">
        <v>786</v>
      </c>
      <c r="P550" s="32" t="s">
        <v>2213</v>
      </c>
      <c r="Q550" s="32" t="s">
        <v>2129</v>
      </c>
      <c r="R550" s="0" t="str">
        <f aca="false">IF(H550="GEN","GM",H550)</f>
        <v>RS</v>
      </c>
    </row>
    <row r="551" customFormat="false" ht="15" hidden="false" customHeight="false" outlineLevel="0" collapsed="false">
      <c r="A551" s="0" t="s">
        <v>2997</v>
      </c>
      <c r="B551" s="0" t="s">
        <v>2235</v>
      </c>
      <c r="C551" s="0" t="s">
        <v>1410</v>
      </c>
      <c r="D551" s="31" t="n">
        <v>29967</v>
      </c>
      <c r="E551" s="31" t="n">
        <v>45581</v>
      </c>
      <c r="F551" s="32" t="s">
        <v>2078</v>
      </c>
      <c r="G551" s="32" t="s">
        <v>2099</v>
      </c>
      <c r="H551" s="32" t="s">
        <v>818</v>
      </c>
      <c r="I551" s="31" t="n">
        <v>45582</v>
      </c>
      <c r="J551" s="32" t="s">
        <v>2080</v>
      </c>
      <c r="K551" s="0" t="n">
        <v>1</v>
      </c>
      <c r="L551" s="32" t="s">
        <v>2081</v>
      </c>
      <c r="M551" s="32" t="s">
        <v>2207</v>
      </c>
      <c r="N551" s="0" t="n">
        <v>1</v>
      </c>
      <c r="O551" s="32" t="s">
        <v>819</v>
      </c>
      <c r="P551" s="32" t="s">
        <v>2179</v>
      </c>
      <c r="Q551" s="32" t="s">
        <v>2165</v>
      </c>
      <c r="R551" s="0" t="str">
        <f aca="false">IF(H551="GEN","GM",H551)</f>
        <v>OPH</v>
      </c>
    </row>
    <row r="552" customFormat="false" ht="15" hidden="false" customHeight="false" outlineLevel="0" collapsed="false">
      <c r="A552" s="0" t="s">
        <v>2998</v>
      </c>
      <c r="B552" s="0" t="s">
        <v>2135</v>
      </c>
      <c r="C552" s="0" t="s">
        <v>2225</v>
      </c>
      <c r="D552" s="31" t="n">
        <v>19086</v>
      </c>
      <c r="E552" s="31" t="n">
        <v>45567</v>
      </c>
      <c r="F552" s="32" t="s">
        <v>2078</v>
      </c>
      <c r="G552" s="32" t="s">
        <v>2104</v>
      </c>
      <c r="H552" s="32" t="s">
        <v>802</v>
      </c>
      <c r="I552" s="31" t="n">
        <v>45574</v>
      </c>
      <c r="J552" s="32" t="s">
        <v>2105</v>
      </c>
      <c r="K552" s="0" t="n">
        <v>7</v>
      </c>
      <c r="L552" s="32" t="s">
        <v>2081</v>
      </c>
      <c r="M552" s="32" t="s">
        <v>2195</v>
      </c>
      <c r="N552" s="0" t="n">
        <v>7</v>
      </c>
      <c r="O552" s="32" t="s">
        <v>803</v>
      </c>
      <c r="P552" s="32" t="s">
        <v>2201</v>
      </c>
      <c r="Q552" s="32" t="s">
        <v>2112</v>
      </c>
      <c r="R552" s="0" t="str">
        <f aca="false">IF(H552="GEN","GM",H552)</f>
        <v>GYN</v>
      </c>
    </row>
    <row r="553" customFormat="false" ht="15" hidden="false" customHeight="false" outlineLevel="0" collapsed="false">
      <c r="A553" s="0" t="s">
        <v>2999</v>
      </c>
      <c r="B553" s="0" t="s">
        <v>3000</v>
      </c>
      <c r="C553" s="0" t="s">
        <v>1005</v>
      </c>
      <c r="D553" s="31" t="n">
        <v>28934</v>
      </c>
      <c r="E553" s="31" t="n">
        <v>45725</v>
      </c>
      <c r="F553" s="32" t="s">
        <v>2078</v>
      </c>
      <c r="G553" s="32" t="s">
        <v>2115</v>
      </c>
      <c r="H553" s="32" t="s">
        <v>758</v>
      </c>
      <c r="I553" s="31" t="n">
        <v>45729</v>
      </c>
      <c r="J553" s="32" t="s">
        <v>2080</v>
      </c>
      <c r="K553" s="0" t="n">
        <v>4</v>
      </c>
      <c r="L553" s="32" t="s">
        <v>2081</v>
      </c>
      <c r="M553" s="32" t="s">
        <v>2286</v>
      </c>
      <c r="N553" s="0" t="n">
        <v>5</v>
      </c>
      <c r="O553" s="32" t="s">
        <v>759</v>
      </c>
      <c r="P553" s="32" t="s">
        <v>2179</v>
      </c>
      <c r="Q553" s="32" t="s">
        <v>2118</v>
      </c>
      <c r="R553" s="0" t="str">
        <f aca="false">IF(H553="GEN","GM",H553)</f>
        <v>CS</v>
      </c>
    </row>
    <row r="554" customFormat="false" ht="15" hidden="false" customHeight="false" outlineLevel="0" collapsed="false">
      <c r="A554" s="0" t="s">
        <v>3001</v>
      </c>
      <c r="B554" s="0" t="s">
        <v>2446</v>
      </c>
      <c r="C554" s="0" t="s">
        <v>886</v>
      </c>
      <c r="D554" s="31" t="n">
        <v>15928</v>
      </c>
      <c r="E554" s="31" t="n">
        <v>45627</v>
      </c>
      <c r="F554" s="32" t="s">
        <v>2078</v>
      </c>
      <c r="G554" s="32" t="s">
        <v>2088</v>
      </c>
      <c r="H554" s="32" t="s">
        <v>793</v>
      </c>
      <c r="I554" s="31" t="n">
        <v>45629</v>
      </c>
      <c r="J554" s="32" t="s">
        <v>2080</v>
      </c>
      <c r="K554" s="0" t="n">
        <v>2</v>
      </c>
      <c r="L554" s="32" t="s">
        <v>2081</v>
      </c>
      <c r="M554" s="32" t="s">
        <v>2128</v>
      </c>
      <c r="N554" s="0" t="n">
        <v>2</v>
      </c>
      <c r="O554" s="32" t="s">
        <v>794</v>
      </c>
      <c r="P554" s="32" t="s">
        <v>2213</v>
      </c>
      <c r="Q554" s="32" t="s">
        <v>2096</v>
      </c>
      <c r="R554" s="0" t="str">
        <f aca="false">IF(H554="GEN","GM",H554)</f>
        <v>EM</v>
      </c>
    </row>
    <row r="555" customFormat="false" ht="15" hidden="false" customHeight="false" outlineLevel="0" collapsed="false">
      <c r="A555" s="0" t="s">
        <v>3002</v>
      </c>
      <c r="B555" s="0" t="s">
        <v>3003</v>
      </c>
      <c r="C555" s="0" t="s">
        <v>954</v>
      </c>
      <c r="D555" s="31" t="n">
        <v>23584</v>
      </c>
      <c r="E555" s="31" t="n">
        <v>45579</v>
      </c>
      <c r="F555" s="32" t="s">
        <v>2087</v>
      </c>
      <c r="G555" s="32" t="s">
        <v>2099</v>
      </c>
      <c r="H555" s="32" t="s">
        <v>766</v>
      </c>
      <c r="I555" s="31" t="n">
        <v>45582</v>
      </c>
      <c r="J555" s="32" t="s">
        <v>2080</v>
      </c>
      <c r="K555" s="0" t="n">
        <v>3</v>
      </c>
      <c r="L555" s="32" t="s">
        <v>2081</v>
      </c>
      <c r="M555" s="32" t="s">
        <v>2089</v>
      </c>
      <c r="N555" s="0" t="n">
        <v>3</v>
      </c>
      <c r="O555" s="32" t="s">
        <v>767</v>
      </c>
      <c r="P555" s="32" t="s">
        <v>2111</v>
      </c>
      <c r="Q555" s="32" t="s">
        <v>2198</v>
      </c>
      <c r="R555" s="0" t="str">
        <f aca="false">IF(H555="GEN","GM",H555)</f>
        <v>OR</v>
      </c>
    </row>
    <row r="556" customFormat="false" ht="15" hidden="false" customHeight="false" outlineLevel="0" collapsed="false">
      <c r="A556" s="0" t="s">
        <v>3004</v>
      </c>
      <c r="B556" s="0" t="s">
        <v>3005</v>
      </c>
      <c r="C556" s="0" t="s">
        <v>845</v>
      </c>
      <c r="D556" s="31" t="n">
        <v>14844</v>
      </c>
      <c r="E556" s="31" t="n">
        <v>45587</v>
      </c>
      <c r="F556" s="32" t="s">
        <v>2087</v>
      </c>
      <c r="G556" s="32" t="s">
        <v>2088</v>
      </c>
      <c r="H556" s="32" t="s">
        <v>826</v>
      </c>
      <c r="I556" s="31" t="n">
        <v>45602</v>
      </c>
      <c r="J556" s="32" t="s">
        <v>2080</v>
      </c>
      <c r="K556" s="0" t="n">
        <v>15</v>
      </c>
      <c r="L556" s="32" t="s">
        <v>2081</v>
      </c>
      <c r="M556" s="32" t="s">
        <v>2136</v>
      </c>
      <c r="N556" s="0" t="n">
        <v>15</v>
      </c>
      <c r="O556" s="32" t="s">
        <v>827</v>
      </c>
      <c r="P556" s="32" t="s">
        <v>2179</v>
      </c>
      <c r="R556" s="0" t="str">
        <f aca="false">IF(H556="GEN","GM",H556)</f>
        <v>RHE</v>
      </c>
    </row>
    <row r="557" customFormat="false" ht="15" hidden="false" customHeight="false" outlineLevel="0" collapsed="false">
      <c r="A557" s="0" t="s">
        <v>3006</v>
      </c>
      <c r="B557" s="0" t="s">
        <v>2205</v>
      </c>
      <c r="C557" s="0" t="s">
        <v>910</v>
      </c>
      <c r="D557" s="31" t="n">
        <v>27537</v>
      </c>
      <c r="E557" s="31" t="n">
        <v>45646</v>
      </c>
      <c r="F557" s="32" t="s">
        <v>2087</v>
      </c>
      <c r="G557" s="32" t="s">
        <v>2115</v>
      </c>
      <c r="H557" s="32" t="s">
        <v>758</v>
      </c>
      <c r="I557" s="31" t="n">
        <v>45652</v>
      </c>
      <c r="J557" s="32" t="s">
        <v>2368</v>
      </c>
      <c r="K557" s="0" t="n">
        <v>6</v>
      </c>
      <c r="L557" s="32" t="s">
        <v>2081</v>
      </c>
      <c r="M557" s="32" t="s">
        <v>2094</v>
      </c>
      <c r="N557" s="0" t="n">
        <v>6</v>
      </c>
      <c r="O557" s="32" t="s">
        <v>759</v>
      </c>
      <c r="P557" s="32" t="s">
        <v>2162</v>
      </c>
      <c r="Q557" s="32" t="s">
        <v>2190</v>
      </c>
      <c r="R557" s="0" t="str">
        <f aca="false">IF(H557="GEN","GM",H557)</f>
        <v>CS</v>
      </c>
    </row>
    <row r="558" customFormat="false" ht="15" hidden="false" customHeight="false" outlineLevel="0" collapsed="false">
      <c r="A558" s="0" t="s">
        <v>3007</v>
      </c>
      <c r="B558" s="0" t="s">
        <v>3008</v>
      </c>
      <c r="C558" s="0" t="s">
        <v>926</v>
      </c>
      <c r="D558" s="31" t="n">
        <v>33562</v>
      </c>
      <c r="E558" s="31" t="n">
        <v>45614</v>
      </c>
      <c r="F558" s="32" t="s">
        <v>2078</v>
      </c>
      <c r="G558" s="32" t="s">
        <v>2088</v>
      </c>
      <c r="H558" s="32" t="s">
        <v>747</v>
      </c>
      <c r="I558" s="31" t="n">
        <v>45619</v>
      </c>
      <c r="J558" s="32" t="s">
        <v>2160</v>
      </c>
      <c r="K558" s="0" t="n">
        <v>5</v>
      </c>
      <c r="L558" s="32" t="s">
        <v>2106</v>
      </c>
      <c r="M558" s="32" t="s">
        <v>2286</v>
      </c>
      <c r="N558" s="0" t="n">
        <v>5</v>
      </c>
      <c r="O558" s="32" t="s">
        <v>748</v>
      </c>
      <c r="P558" s="32" t="s">
        <v>2133</v>
      </c>
      <c r="Q558" s="32" t="s">
        <v>2096</v>
      </c>
      <c r="R558" s="0" t="str">
        <f aca="false">IF(H558="GEN","GM",H558)</f>
        <v>GM</v>
      </c>
    </row>
    <row r="559" customFormat="false" ht="15" hidden="false" customHeight="false" outlineLevel="0" collapsed="false">
      <c r="A559" s="0" t="s">
        <v>3009</v>
      </c>
      <c r="B559" s="0" t="s">
        <v>3010</v>
      </c>
      <c r="C559" s="0" t="s">
        <v>757</v>
      </c>
      <c r="D559" s="31" t="n">
        <v>22634</v>
      </c>
      <c r="E559" s="31" t="n">
        <v>45675</v>
      </c>
      <c r="F559" s="32" t="s">
        <v>2078</v>
      </c>
      <c r="G559" s="32" t="s">
        <v>2099</v>
      </c>
      <c r="H559" s="32" t="s">
        <v>766</v>
      </c>
      <c r="I559" s="31" t="n">
        <v>45675</v>
      </c>
      <c r="J559" s="32" t="s">
        <v>2080</v>
      </c>
      <c r="K559" s="0" t="n">
        <v>0</v>
      </c>
      <c r="L559" s="32" t="s">
        <v>2081</v>
      </c>
      <c r="M559" s="32" t="s">
        <v>2094</v>
      </c>
      <c r="N559" s="0" t="n">
        <v>0</v>
      </c>
      <c r="O559" s="32" t="s">
        <v>767</v>
      </c>
      <c r="P559" s="32" t="s">
        <v>2117</v>
      </c>
      <c r="Q559" s="32" t="s">
        <v>2198</v>
      </c>
      <c r="R559" s="0" t="str">
        <f aca="false">IF(H559="GEN","GM",H559)</f>
        <v>OR</v>
      </c>
    </row>
    <row r="560" customFormat="false" ht="15" hidden="false" customHeight="false" outlineLevel="0" collapsed="false">
      <c r="A560" s="0" t="s">
        <v>3011</v>
      </c>
      <c r="B560" s="0" t="s">
        <v>2103</v>
      </c>
      <c r="C560" s="0" t="s">
        <v>918</v>
      </c>
      <c r="D560" s="31" t="n">
        <v>30274</v>
      </c>
      <c r="E560" s="31" t="n">
        <v>45690</v>
      </c>
      <c r="F560" s="32" t="s">
        <v>2078</v>
      </c>
      <c r="G560" s="32" t="s">
        <v>2104</v>
      </c>
      <c r="H560" s="32" t="s">
        <v>802</v>
      </c>
      <c r="I560" s="31" t="n">
        <v>45693</v>
      </c>
      <c r="J560" s="32" t="s">
        <v>2080</v>
      </c>
      <c r="K560" s="0" t="n">
        <v>3</v>
      </c>
      <c r="L560" s="32" t="s">
        <v>2106</v>
      </c>
      <c r="M560" s="32" t="s">
        <v>2136</v>
      </c>
      <c r="N560" s="0" t="n">
        <v>3</v>
      </c>
      <c r="O560" s="32" t="s">
        <v>803</v>
      </c>
      <c r="P560" s="32" t="s">
        <v>2179</v>
      </c>
      <c r="Q560" s="32" t="s">
        <v>2107</v>
      </c>
      <c r="R560" s="0" t="str">
        <f aca="false">IF(H560="GEN","GM",H560)</f>
        <v>GYN</v>
      </c>
    </row>
    <row r="561" customFormat="false" ht="15" hidden="false" customHeight="false" outlineLevel="0" collapsed="false">
      <c r="A561" s="0" t="s">
        <v>3012</v>
      </c>
      <c r="B561" s="0" t="s">
        <v>2506</v>
      </c>
      <c r="C561" s="0" t="s">
        <v>902</v>
      </c>
      <c r="D561" s="31" t="n">
        <v>21851</v>
      </c>
      <c r="E561" s="31" t="n">
        <v>45666</v>
      </c>
      <c r="F561" s="32" t="s">
        <v>2078</v>
      </c>
      <c r="G561" s="32" t="s">
        <v>2088</v>
      </c>
      <c r="H561" s="32" t="s">
        <v>793</v>
      </c>
      <c r="I561" s="31" t="n">
        <v>45668</v>
      </c>
      <c r="J561" s="32" t="s">
        <v>2080</v>
      </c>
      <c r="K561" s="0" t="n">
        <v>2</v>
      </c>
      <c r="L561" s="32" t="s">
        <v>2081</v>
      </c>
      <c r="M561" s="32" t="s">
        <v>2089</v>
      </c>
      <c r="N561" s="0" t="n">
        <v>2</v>
      </c>
      <c r="O561" s="32" t="s">
        <v>794</v>
      </c>
      <c r="P561" s="32" t="s">
        <v>2083</v>
      </c>
      <c r="Q561" s="32" t="s">
        <v>2084</v>
      </c>
      <c r="R561" s="0" t="str">
        <f aca="false">IF(H561="GEN","GM",H561)</f>
        <v>EM</v>
      </c>
    </row>
    <row r="562" customFormat="false" ht="15" hidden="false" customHeight="false" outlineLevel="0" collapsed="false">
      <c r="A562" s="0" t="s">
        <v>3013</v>
      </c>
      <c r="B562" s="0" t="s">
        <v>3014</v>
      </c>
      <c r="C562" s="0" t="s">
        <v>1426</v>
      </c>
      <c r="D562" s="31" t="n">
        <v>24550</v>
      </c>
      <c r="E562" s="31" t="n">
        <v>45622</v>
      </c>
      <c r="F562" s="32" t="s">
        <v>2078</v>
      </c>
      <c r="G562" s="32" t="s">
        <v>2088</v>
      </c>
      <c r="H562" s="32" t="s">
        <v>826</v>
      </c>
      <c r="I562" s="31" t="n">
        <v>45624</v>
      </c>
      <c r="J562" s="32" t="s">
        <v>2080</v>
      </c>
      <c r="K562" s="0" t="n">
        <v>2</v>
      </c>
      <c r="L562" s="32" t="s">
        <v>2081</v>
      </c>
      <c r="M562" s="32" t="s">
        <v>2212</v>
      </c>
      <c r="N562" s="0" t="n">
        <v>2</v>
      </c>
      <c r="O562" s="32" t="s">
        <v>827</v>
      </c>
      <c r="P562" s="32" t="s">
        <v>2156</v>
      </c>
      <c r="Q562" s="32" t="s">
        <v>2091</v>
      </c>
      <c r="R562" s="0" t="str">
        <f aca="false">IF(H562="GEN","GM",H562)</f>
        <v>RHE</v>
      </c>
    </row>
    <row r="563" customFormat="false" ht="15" hidden="false" customHeight="false" outlineLevel="0" collapsed="false">
      <c r="A563" s="0" t="s">
        <v>3015</v>
      </c>
      <c r="B563" s="0" t="s">
        <v>2683</v>
      </c>
      <c r="C563" s="0" t="s">
        <v>849</v>
      </c>
      <c r="D563" s="31" t="n">
        <v>16996</v>
      </c>
      <c r="E563" s="31" t="n">
        <v>45651</v>
      </c>
      <c r="F563" s="32" t="s">
        <v>2078</v>
      </c>
      <c r="G563" s="32" t="s">
        <v>2088</v>
      </c>
      <c r="H563" s="32" t="s">
        <v>826</v>
      </c>
      <c r="I563" s="31" t="n">
        <v>45658</v>
      </c>
      <c r="J563" s="32" t="s">
        <v>2080</v>
      </c>
      <c r="K563" s="0" t="n">
        <v>7</v>
      </c>
      <c r="L563" s="32" t="s">
        <v>2081</v>
      </c>
      <c r="M563" s="32" t="s">
        <v>2207</v>
      </c>
      <c r="N563" s="0" t="n">
        <v>7</v>
      </c>
      <c r="O563" s="32" t="s">
        <v>827</v>
      </c>
      <c r="P563" s="32" t="s">
        <v>2095</v>
      </c>
      <c r="Q563" s="32" t="s">
        <v>2112</v>
      </c>
      <c r="R563" s="0" t="str">
        <f aca="false">IF(H563="GEN","GM",H563)</f>
        <v>RHE</v>
      </c>
    </row>
    <row r="564" customFormat="false" ht="15" hidden="false" customHeight="false" outlineLevel="0" collapsed="false">
      <c r="A564" s="0" t="s">
        <v>3016</v>
      </c>
      <c r="B564" s="0" t="s">
        <v>2659</v>
      </c>
      <c r="C564" s="0" t="s">
        <v>914</v>
      </c>
      <c r="D564" s="31" t="n">
        <v>32473</v>
      </c>
      <c r="E564" s="31" t="n">
        <v>45613</v>
      </c>
      <c r="F564" s="32" t="s">
        <v>2087</v>
      </c>
      <c r="G564" s="32" t="s">
        <v>2099</v>
      </c>
      <c r="H564" s="32" t="s">
        <v>766</v>
      </c>
      <c r="I564" s="31" t="n">
        <v>45614</v>
      </c>
      <c r="J564" s="32" t="s">
        <v>2080</v>
      </c>
      <c r="K564" s="0" t="n">
        <v>-2</v>
      </c>
      <c r="L564" s="32" t="s">
        <v>2081</v>
      </c>
      <c r="M564" s="32" t="s">
        <v>2132</v>
      </c>
      <c r="N564" s="0" t="n">
        <v>-2</v>
      </c>
      <c r="O564" s="32" t="s">
        <v>767</v>
      </c>
      <c r="P564" s="32" t="s">
        <v>2156</v>
      </c>
      <c r="Q564" s="32" t="s">
        <v>2138</v>
      </c>
      <c r="R564" s="0" t="str">
        <f aca="false">IF(H564="GEN","GM",H564)</f>
        <v>OR</v>
      </c>
    </row>
    <row r="565" customFormat="false" ht="15" hidden="false" customHeight="false" outlineLevel="0" collapsed="false">
      <c r="A565" s="0" t="s">
        <v>3017</v>
      </c>
      <c r="B565" s="0" t="s">
        <v>3018</v>
      </c>
      <c r="C565" s="0" t="s">
        <v>878</v>
      </c>
      <c r="D565" s="31" t="n">
        <v>15874</v>
      </c>
      <c r="E565" s="31" t="n">
        <v>45594</v>
      </c>
      <c r="F565" s="32" t="s">
        <v>2087</v>
      </c>
      <c r="G565" s="32" t="s">
        <v>2088</v>
      </c>
      <c r="H565" s="32" t="s">
        <v>747</v>
      </c>
      <c r="I565" s="31" t="n">
        <v>45598</v>
      </c>
      <c r="J565" s="32" t="s">
        <v>2080</v>
      </c>
      <c r="K565" s="0" t="n">
        <v>4</v>
      </c>
      <c r="L565" s="32" t="s">
        <v>2081</v>
      </c>
      <c r="M565" s="32" t="s">
        <v>2100</v>
      </c>
      <c r="N565" s="0" t="n">
        <v>4</v>
      </c>
      <c r="O565" s="32" t="s">
        <v>748</v>
      </c>
      <c r="P565" s="32" t="s">
        <v>2121</v>
      </c>
      <c r="Q565" s="32" t="s">
        <v>2157</v>
      </c>
      <c r="R565" s="0" t="str">
        <f aca="false">IF(H565="GEN","GM",H565)</f>
        <v>GM</v>
      </c>
    </row>
    <row r="566" customFormat="false" ht="15" hidden="false" customHeight="false" outlineLevel="0" collapsed="false">
      <c r="A566" s="0" t="s">
        <v>3019</v>
      </c>
      <c r="B566" s="0" t="s">
        <v>3010</v>
      </c>
      <c r="C566" s="0" t="s">
        <v>966</v>
      </c>
      <c r="D566" s="31" t="n">
        <v>23972</v>
      </c>
      <c r="E566" s="31" t="n">
        <v>45605</v>
      </c>
      <c r="F566" s="32" t="s">
        <v>2087</v>
      </c>
      <c r="G566" s="32" t="s">
        <v>2115</v>
      </c>
      <c r="H566" s="32" t="s">
        <v>758</v>
      </c>
      <c r="I566" s="31" t="n">
        <v>45609</v>
      </c>
      <c r="J566" s="32" t="s">
        <v>2160</v>
      </c>
      <c r="K566" s="0" t="n">
        <v>4</v>
      </c>
      <c r="L566" s="32" t="s">
        <v>2106</v>
      </c>
      <c r="M566" s="32" t="s">
        <v>2116</v>
      </c>
      <c r="N566" s="0" t="n">
        <v>4</v>
      </c>
      <c r="O566" s="32" t="s">
        <v>759</v>
      </c>
      <c r="Q566" s="32" t="s">
        <v>2190</v>
      </c>
      <c r="R566" s="0" t="str">
        <f aca="false">IF(H566="GEN","GM",H566)</f>
        <v>CS</v>
      </c>
    </row>
    <row r="567" customFormat="false" ht="15" hidden="false" customHeight="false" outlineLevel="0" collapsed="false">
      <c r="A567" s="0" t="s">
        <v>3020</v>
      </c>
      <c r="B567" s="0" t="s">
        <v>2419</v>
      </c>
      <c r="C567" s="0" t="s">
        <v>1426</v>
      </c>
      <c r="D567" s="31" t="n">
        <v>18959</v>
      </c>
      <c r="E567" s="31" t="n">
        <v>45637</v>
      </c>
      <c r="F567" s="32" t="s">
        <v>2160</v>
      </c>
      <c r="G567" s="32" t="s">
        <v>2099</v>
      </c>
      <c r="H567" s="32" t="s">
        <v>766</v>
      </c>
      <c r="I567" s="31" t="n">
        <v>45642</v>
      </c>
      <c r="J567" s="32" t="s">
        <v>2080</v>
      </c>
      <c r="K567" s="0" t="n">
        <v>5</v>
      </c>
      <c r="L567" s="32" t="s">
        <v>2081</v>
      </c>
      <c r="M567" s="32" t="s">
        <v>2212</v>
      </c>
      <c r="N567" s="0" t="n">
        <v>5</v>
      </c>
      <c r="O567" s="32" t="s">
        <v>767</v>
      </c>
      <c r="P567" s="32" t="s">
        <v>2162</v>
      </c>
      <c r="Q567" s="32" t="s">
        <v>2138</v>
      </c>
      <c r="R567" s="0" t="str">
        <f aca="false">IF(H567="GEN","GM",H567)</f>
        <v>OR</v>
      </c>
    </row>
    <row r="568" customFormat="false" ht="15" hidden="false" customHeight="false" outlineLevel="0" collapsed="false">
      <c r="A568" s="0" t="s">
        <v>3021</v>
      </c>
      <c r="B568" s="0" t="s">
        <v>2402</v>
      </c>
      <c r="C568" s="0" t="s">
        <v>784</v>
      </c>
      <c r="D568" s="31" t="n">
        <v>22290</v>
      </c>
      <c r="E568" s="31" t="n">
        <v>45657</v>
      </c>
      <c r="F568" s="32" t="s">
        <v>2087</v>
      </c>
      <c r="G568" s="32" t="s">
        <v>2099</v>
      </c>
      <c r="H568" s="32" t="s">
        <v>766</v>
      </c>
      <c r="I568" s="31" t="n">
        <v>45665</v>
      </c>
      <c r="J568" s="32" t="s">
        <v>2080</v>
      </c>
      <c r="K568" s="0" t="n">
        <v>8</v>
      </c>
      <c r="L568" s="32" t="s">
        <v>2081</v>
      </c>
      <c r="M568" s="32" t="s">
        <v>2094</v>
      </c>
      <c r="N568" s="0" t="n">
        <v>8</v>
      </c>
      <c r="O568" s="32" t="s">
        <v>767</v>
      </c>
      <c r="P568" s="32" t="s">
        <v>2182</v>
      </c>
      <c r="R568" s="0" t="str">
        <f aca="false">IF(H568="GEN","GM",H568)</f>
        <v>OR</v>
      </c>
    </row>
    <row r="569" customFormat="false" ht="15" hidden="false" customHeight="false" outlineLevel="0" collapsed="false">
      <c r="A569" s="0" t="s">
        <v>3022</v>
      </c>
      <c r="B569" s="0" t="s">
        <v>3023</v>
      </c>
      <c r="C569" s="0" t="s">
        <v>970</v>
      </c>
      <c r="D569" s="31" t="n">
        <v>23604</v>
      </c>
      <c r="E569" s="31" t="n">
        <v>45584</v>
      </c>
      <c r="F569" s="32" t="s">
        <v>2087</v>
      </c>
      <c r="G569" s="32" t="s">
        <v>2088</v>
      </c>
      <c r="H569" s="32" t="s">
        <v>826</v>
      </c>
      <c r="I569" s="31" t="n">
        <v>45589</v>
      </c>
      <c r="J569" s="32" t="s">
        <v>2080</v>
      </c>
      <c r="K569" s="0" t="n">
        <v>5</v>
      </c>
      <c r="L569" s="32" t="s">
        <v>2106</v>
      </c>
      <c r="M569" s="32" t="s">
        <v>2161</v>
      </c>
      <c r="N569" s="0" t="n">
        <v>5</v>
      </c>
      <c r="O569" s="32" t="s">
        <v>827</v>
      </c>
      <c r="P569" s="32" t="s">
        <v>2101</v>
      </c>
      <c r="Q569" s="32" t="s">
        <v>2112</v>
      </c>
      <c r="R569" s="0" t="str">
        <f aca="false">IF(H569="GEN","GM",H569)</f>
        <v>RHE</v>
      </c>
    </row>
    <row r="570" customFormat="false" ht="15" hidden="false" customHeight="false" outlineLevel="0" collapsed="false">
      <c r="A570" s="0" t="s">
        <v>3024</v>
      </c>
      <c r="B570" s="0" t="s">
        <v>2131</v>
      </c>
      <c r="C570" s="0" t="s">
        <v>926</v>
      </c>
      <c r="D570" s="31" t="n">
        <v>24459</v>
      </c>
      <c r="E570" s="31" t="n">
        <v>45617</v>
      </c>
      <c r="F570" s="32" t="s">
        <v>2087</v>
      </c>
      <c r="G570" s="32" t="s">
        <v>2099</v>
      </c>
      <c r="H570" s="32" t="s">
        <v>766</v>
      </c>
      <c r="I570" s="31" t="n">
        <v>45628</v>
      </c>
      <c r="J570" s="32" t="s">
        <v>2080</v>
      </c>
      <c r="K570" s="0" t="n">
        <v>11</v>
      </c>
      <c r="L570" s="32" t="s">
        <v>2081</v>
      </c>
      <c r="M570" s="32" t="s">
        <v>2227</v>
      </c>
      <c r="N570" s="0" t="n">
        <v>11</v>
      </c>
      <c r="O570" s="32" t="s">
        <v>767</v>
      </c>
      <c r="P570" s="32" t="s">
        <v>2179</v>
      </c>
      <c r="Q570" s="32" t="s">
        <v>2157</v>
      </c>
      <c r="R570" s="0" t="str">
        <f aca="false">IF(H570="GEN","GM",H570)</f>
        <v>OR</v>
      </c>
    </row>
    <row r="571" customFormat="false" ht="15" hidden="false" customHeight="false" outlineLevel="0" collapsed="false">
      <c r="A571" s="0" t="s">
        <v>3025</v>
      </c>
      <c r="B571" s="0" t="s">
        <v>2630</v>
      </c>
      <c r="C571" s="0" t="s">
        <v>1460</v>
      </c>
      <c r="D571" s="31" t="n">
        <v>31210</v>
      </c>
      <c r="E571" s="31" t="n">
        <v>45676</v>
      </c>
      <c r="F571" s="32" t="s">
        <v>2078</v>
      </c>
      <c r="G571" s="32" t="s">
        <v>2124</v>
      </c>
      <c r="H571" s="32" t="s">
        <v>785</v>
      </c>
      <c r="I571" s="31" t="n">
        <v>45678</v>
      </c>
      <c r="J571" s="32" t="s">
        <v>2080</v>
      </c>
      <c r="K571" s="0" t="n">
        <v>2</v>
      </c>
      <c r="L571" s="32" t="s">
        <v>2081</v>
      </c>
      <c r="M571" s="32" t="s">
        <v>2207</v>
      </c>
      <c r="N571" s="0" t="n">
        <v>2</v>
      </c>
      <c r="O571" s="32" t="s">
        <v>786</v>
      </c>
      <c r="P571" s="32" t="s">
        <v>2201</v>
      </c>
      <c r="Q571" s="32" t="s">
        <v>2190</v>
      </c>
      <c r="R571" s="0" t="str">
        <f aca="false">IF(H571="GEN","GM",H571)</f>
        <v>RS</v>
      </c>
    </row>
    <row r="572" customFormat="false" ht="15" hidden="false" customHeight="false" outlineLevel="0" collapsed="false">
      <c r="A572" s="0" t="s">
        <v>3026</v>
      </c>
      <c r="B572" s="0" t="s">
        <v>2209</v>
      </c>
      <c r="C572" s="0" t="s">
        <v>942</v>
      </c>
      <c r="D572" s="31" t="n">
        <v>19486</v>
      </c>
      <c r="E572" s="31" t="n">
        <v>45648</v>
      </c>
      <c r="F572" s="32" t="s">
        <v>2087</v>
      </c>
      <c r="G572" s="32" t="s">
        <v>2088</v>
      </c>
      <c r="H572" s="32" t="s">
        <v>793</v>
      </c>
      <c r="I572" s="31" t="n">
        <v>45651</v>
      </c>
      <c r="J572" s="32" t="s">
        <v>2160</v>
      </c>
      <c r="K572" s="0" t="n">
        <v>3</v>
      </c>
      <c r="L572" s="32" t="s">
        <v>2081</v>
      </c>
      <c r="M572" s="32" t="s">
        <v>2161</v>
      </c>
      <c r="N572" s="0" t="n">
        <v>3</v>
      </c>
      <c r="O572" s="32" t="s">
        <v>794</v>
      </c>
      <c r="P572" s="32" t="s">
        <v>2117</v>
      </c>
      <c r="Q572" s="32" t="s">
        <v>2153</v>
      </c>
      <c r="R572" s="0" t="str">
        <f aca="false">IF(H572="GEN","GM",H572)</f>
        <v>EM</v>
      </c>
    </row>
    <row r="573" customFormat="false" ht="15" hidden="false" customHeight="false" outlineLevel="0" collapsed="false">
      <c r="A573" s="0" t="s">
        <v>3027</v>
      </c>
      <c r="B573" s="0" t="s">
        <v>2086</v>
      </c>
      <c r="C573" s="0" t="s">
        <v>833</v>
      </c>
      <c r="D573" s="31" t="n">
        <v>30444</v>
      </c>
      <c r="E573" s="31" t="n">
        <v>45638</v>
      </c>
      <c r="F573" s="32" t="s">
        <v>2078</v>
      </c>
      <c r="G573" s="32" t="s">
        <v>2079</v>
      </c>
      <c r="H573" s="32" t="s">
        <v>776</v>
      </c>
      <c r="I573" s="31" t="n">
        <v>45644</v>
      </c>
      <c r="J573" s="32" t="s">
        <v>2080</v>
      </c>
      <c r="K573" s="0" t="n">
        <v>6</v>
      </c>
      <c r="L573" s="32" t="s">
        <v>2081</v>
      </c>
      <c r="M573" s="32" t="s">
        <v>2283</v>
      </c>
      <c r="N573" s="0" t="n">
        <v>6</v>
      </c>
      <c r="O573" s="32" t="s">
        <v>777</v>
      </c>
      <c r="P573" s="32" t="s">
        <v>2090</v>
      </c>
      <c r="Q573" s="32" t="s">
        <v>2179</v>
      </c>
      <c r="R573" s="0" t="str">
        <f aca="false">IF(H573="GEN","GM",H573)</f>
        <v>GS</v>
      </c>
    </row>
    <row r="574" customFormat="false" ht="15" hidden="false" customHeight="false" outlineLevel="0" collapsed="false">
      <c r="A574" s="0" t="s">
        <v>3028</v>
      </c>
      <c r="B574" s="0" t="s">
        <v>2763</v>
      </c>
      <c r="C574" s="0" t="s">
        <v>1390</v>
      </c>
      <c r="D574" s="31" t="n">
        <v>31424</v>
      </c>
      <c r="E574" s="31" t="n">
        <v>45710</v>
      </c>
      <c r="F574" s="32" t="s">
        <v>2160</v>
      </c>
      <c r="G574" s="32" t="s">
        <v>2079</v>
      </c>
      <c r="H574" s="32" t="s">
        <v>810</v>
      </c>
      <c r="I574" s="31" t="n">
        <v>45716</v>
      </c>
      <c r="J574" s="32" t="s">
        <v>2080</v>
      </c>
      <c r="K574" s="0" t="n">
        <v>6</v>
      </c>
      <c r="L574" s="32" t="s">
        <v>2081</v>
      </c>
      <c r="M574" s="32" t="s">
        <v>2094</v>
      </c>
      <c r="N574" s="0" t="n">
        <v>6</v>
      </c>
      <c r="O574" s="32" t="s">
        <v>811</v>
      </c>
      <c r="P574" s="32" t="s">
        <v>2175</v>
      </c>
      <c r="Q574" s="32" t="s">
        <v>2107</v>
      </c>
      <c r="R574" s="0" t="str">
        <f aca="false">IF(H574="GEN","GM",H574)</f>
        <v>URO</v>
      </c>
    </row>
    <row r="575" customFormat="false" ht="15" hidden="false" customHeight="false" outlineLevel="0" collapsed="false">
      <c r="A575" s="0" t="s">
        <v>3029</v>
      </c>
      <c r="B575" s="0" t="s">
        <v>2299</v>
      </c>
      <c r="C575" s="0" t="s">
        <v>997</v>
      </c>
      <c r="D575" s="31" t="n">
        <v>31036</v>
      </c>
      <c r="E575" s="31" t="n">
        <v>45586</v>
      </c>
      <c r="F575" s="32" t="s">
        <v>2087</v>
      </c>
      <c r="G575" s="32" t="s">
        <v>2104</v>
      </c>
      <c r="H575" s="32" t="s">
        <v>802</v>
      </c>
      <c r="I575" s="31" t="n">
        <v>45588</v>
      </c>
      <c r="J575" s="32" t="s">
        <v>2368</v>
      </c>
      <c r="K575" s="0" t="n">
        <v>2</v>
      </c>
      <c r="L575" s="32" t="s">
        <v>2081</v>
      </c>
      <c r="M575" s="32" t="s">
        <v>2116</v>
      </c>
      <c r="N575" s="0" t="n">
        <v>2</v>
      </c>
      <c r="O575" s="32" t="s">
        <v>803</v>
      </c>
      <c r="P575" s="32" t="s">
        <v>2083</v>
      </c>
      <c r="Q575" s="32" t="s">
        <v>2190</v>
      </c>
      <c r="R575" s="0" t="str">
        <f aca="false">IF(H575="GEN","GM",H575)</f>
        <v>GYN</v>
      </c>
    </row>
    <row r="576" customFormat="false" ht="15" hidden="false" customHeight="false" outlineLevel="0" collapsed="false">
      <c r="A576" s="0" t="s">
        <v>3030</v>
      </c>
      <c r="B576" s="0" t="s">
        <v>3031</v>
      </c>
      <c r="C576" s="0" t="s">
        <v>2178</v>
      </c>
      <c r="D576" s="31" t="n">
        <v>30507</v>
      </c>
      <c r="E576" s="31" t="n">
        <v>45636</v>
      </c>
      <c r="F576" s="32" t="s">
        <v>2087</v>
      </c>
      <c r="G576" s="32" t="s">
        <v>2079</v>
      </c>
      <c r="H576" s="32" t="s">
        <v>776</v>
      </c>
      <c r="I576" s="31" t="n">
        <v>45638</v>
      </c>
      <c r="J576" s="32" t="s">
        <v>2105</v>
      </c>
      <c r="K576" s="0" t="n">
        <v>2</v>
      </c>
      <c r="L576" s="32" t="s">
        <v>2081</v>
      </c>
      <c r="M576" s="32" t="s">
        <v>2189</v>
      </c>
      <c r="N576" s="0" t="n">
        <v>2</v>
      </c>
      <c r="O576" s="32" t="s">
        <v>777</v>
      </c>
      <c r="P576" s="32" t="s">
        <v>2095</v>
      </c>
      <c r="Q576" s="32" t="s">
        <v>2170</v>
      </c>
      <c r="R576" s="0" t="str">
        <f aca="false">IF(H576="GEN","GM",H576)</f>
        <v>GS</v>
      </c>
    </row>
    <row r="577" customFormat="false" ht="15" hidden="false" customHeight="false" outlineLevel="0" collapsed="false">
      <c r="A577" s="0" t="s">
        <v>3032</v>
      </c>
      <c r="B577" s="0" t="s">
        <v>2337</v>
      </c>
      <c r="C577" s="0" t="s">
        <v>946</v>
      </c>
      <c r="D577" s="31" t="n">
        <v>27521</v>
      </c>
      <c r="E577" s="31" t="n">
        <v>45592</v>
      </c>
      <c r="F577" s="32" t="s">
        <v>2087</v>
      </c>
      <c r="G577" s="32" t="s">
        <v>2079</v>
      </c>
      <c r="H577" s="32" t="s">
        <v>776</v>
      </c>
      <c r="I577" s="31" t="n">
        <v>45604</v>
      </c>
      <c r="J577" s="32" t="s">
        <v>2080</v>
      </c>
      <c r="K577" s="0" t="n">
        <v>12</v>
      </c>
      <c r="L577" s="32" t="s">
        <v>2081</v>
      </c>
      <c r="M577" s="32" t="s">
        <v>2110</v>
      </c>
      <c r="N577" s="0" t="n">
        <v>12</v>
      </c>
      <c r="O577" s="32" t="s">
        <v>777</v>
      </c>
      <c r="P577" s="32" t="s">
        <v>2238</v>
      </c>
      <c r="Q577" s="32" t="s">
        <v>2165</v>
      </c>
      <c r="R577" s="0" t="str">
        <f aca="false">IF(H577="GEN","GM",H577)</f>
        <v>GS</v>
      </c>
    </row>
    <row r="578" customFormat="false" ht="15" hidden="false" customHeight="false" outlineLevel="0" collapsed="false">
      <c r="A578" s="0" t="s">
        <v>3033</v>
      </c>
      <c r="B578" s="0" t="s">
        <v>2812</v>
      </c>
      <c r="C578" s="0" t="s">
        <v>934</v>
      </c>
      <c r="D578" s="31" t="n">
        <v>27460</v>
      </c>
      <c r="E578" s="31" t="n">
        <v>45695</v>
      </c>
      <c r="F578" s="32" t="s">
        <v>2078</v>
      </c>
      <c r="G578" s="32" t="s">
        <v>2124</v>
      </c>
      <c r="H578" s="32" t="s">
        <v>785</v>
      </c>
      <c r="I578" s="31" t="n">
        <v>45699</v>
      </c>
      <c r="J578" s="32" t="s">
        <v>2080</v>
      </c>
      <c r="K578" s="0" t="n">
        <v>4</v>
      </c>
      <c r="L578" s="32" t="s">
        <v>2081</v>
      </c>
      <c r="M578" s="32" t="s">
        <v>2141</v>
      </c>
      <c r="N578" s="0" t="n">
        <v>4</v>
      </c>
      <c r="O578" s="32" t="s">
        <v>786</v>
      </c>
      <c r="P578" s="32" t="s">
        <v>2182</v>
      </c>
      <c r="Q578" s="32" t="s">
        <v>2125</v>
      </c>
      <c r="R578" s="0" t="str">
        <f aca="false">IF(H578="GEN","GM",H578)</f>
        <v>RS</v>
      </c>
    </row>
    <row r="579" customFormat="false" ht="15" hidden="false" customHeight="false" outlineLevel="0" collapsed="false">
      <c r="A579" s="0" t="s">
        <v>3034</v>
      </c>
      <c r="B579" s="0" t="s">
        <v>2372</v>
      </c>
      <c r="C579" s="0" t="s">
        <v>1033</v>
      </c>
      <c r="D579" s="31" t="n">
        <v>33682</v>
      </c>
      <c r="E579" s="31" t="n">
        <v>45594</v>
      </c>
      <c r="F579" s="32" t="s">
        <v>2078</v>
      </c>
      <c r="G579" s="32" t="s">
        <v>2104</v>
      </c>
      <c r="H579" s="32" t="s">
        <v>802</v>
      </c>
      <c r="I579" s="31" t="n">
        <v>45596</v>
      </c>
      <c r="J579" s="32" t="s">
        <v>2160</v>
      </c>
      <c r="K579" s="0" t="n">
        <v>2</v>
      </c>
      <c r="L579" s="32" t="s">
        <v>2081</v>
      </c>
      <c r="M579" s="32" t="s">
        <v>2141</v>
      </c>
      <c r="N579" s="0" t="n">
        <v>2</v>
      </c>
      <c r="O579" s="32" t="s">
        <v>803</v>
      </c>
      <c r="P579" s="32" t="s">
        <v>2175</v>
      </c>
      <c r="Q579" s="32" t="s">
        <v>2125</v>
      </c>
      <c r="R579" s="0" t="str">
        <f aca="false">IF(H579="GEN","GM",H579)</f>
        <v>GYN</v>
      </c>
    </row>
    <row r="580" customFormat="false" ht="15" hidden="false" customHeight="false" outlineLevel="0" collapsed="false">
      <c r="A580" s="0" t="s">
        <v>3009</v>
      </c>
      <c r="B580" s="0" t="s">
        <v>3010</v>
      </c>
      <c r="C580" s="0" t="s">
        <v>757</v>
      </c>
      <c r="D580" s="31" t="n">
        <v>22634</v>
      </c>
      <c r="E580" s="31" t="n">
        <v>45675</v>
      </c>
      <c r="F580" s="32" t="s">
        <v>2078</v>
      </c>
      <c r="G580" s="32" t="s">
        <v>3035</v>
      </c>
      <c r="H580" s="32" t="s">
        <v>766</v>
      </c>
      <c r="I580" s="31" t="n">
        <v>45675</v>
      </c>
      <c r="J580" s="32" t="s">
        <v>2080</v>
      </c>
      <c r="K580" s="0" t="n">
        <v>0</v>
      </c>
      <c r="L580" s="32" t="s">
        <v>2081</v>
      </c>
      <c r="M580" s="32" t="s">
        <v>2094</v>
      </c>
      <c r="N580" s="0" t="n">
        <v>0</v>
      </c>
      <c r="O580" s="32" t="s">
        <v>767</v>
      </c>
      <c r="P580" s="32" t="s">
        <v>2117</v>
      </c>
      <c r="Q580" s="32" t="s">
        <v>2198</v>
      </c>
      <c r="R580" s="0" t="str">
        <f aca="false">IF(H580="GEN","GM",H580)</f>
        <v>OR</v>
      </c>
    </row>
    <row r="581" customFormat="false" ht="15" hidden="false" customHeight="false" outlineLevel="0" collapsed="false">
      <c r="A581" s="0" t="s">
        <v>3036</v>
      </c>
      <c r="B581" s="0" t="s">
        <v>2451</v>
      </c>
      <c r="C581" s="0" t="s">
        <v>870</v>
      </c>
      <c r="D581" s="31" t="n">
        <v>35375</v>
      </c>
      <c r="E581" s="31" t="n">
        <v>45596</v>
      </c>
      <c r="F581" s="32" t="s">
        <v>2087</v>
      </c>
      <c r="G581" s="32" t="s">
        <v>2079</v>
      </c>
      <c r="H581" s="32" t="s">
        <v>810</v>
      </c>
      <c r="I581" s="31" t="n">
        <v>45599</v>
      </c>
      <c r="J581" s="32" t="s">
        <v>2080</v>
      </c>
      <c r="K581" s="0" t="n">
        <v>3</v>
      </c>
      <c r="L581" s="32" t="s">
        <v>2081</v>
      </c>
      <c r="M581" s="32" t="s">
        <v>2286</v>
      </c>
      <c r="N581" s="0" t="n">
        <v>3</v>
      </c>
      <c r="O581" s="32" t="s">
        <v>811</v>
      </c>
      <c r="P581" s="32" t="s">
        <v>2101</v>
      </c>
      <c r="Q581" s="32" t="s">
        <v>2244</v>
      </c>
      <c r="R581" s="0" t="str">
        <f aca="false">IF(H581="GEN","GM",H581)</f>
        <v>URO</v>
      </c>
    </row>
    <row r="582" customFormat="false" ht="15" hidden="false" customHeight="false" outlineLevel="0" collapsed="false">
      <c r="A582" s="0" t="s">
        <v>3037</v>
      </c>
      <c r="B582" s="0" t="s">
        <v>2367</v>
      </c>
      <c r="C582" s="0" t="s">
        <v>870</v>
      </c>
      <c r="D582" s="31" t="n">
        <v>37078</v>
      </c>
      <c r="E582" s="31" t="n">
        <v>45629</v>
      </c>
      <c r="F582" s="32" t="s">
        <v>2087</v>
      </c>
      <c r="G582" s="32" t="s">
        <v>2088</v>
      </c>
      <c r="H582" s="32" t="s">
        <v>826</v>
      </c>
      <c r="I582" s="31" t="n">
        <v>45632</v>
      </c>
      <c r="J582" s="32" t="s">
        <v>2080</v>
      </c>
      <c r="K582" s="0" t="n">
        <v>3</v>
      </c>
      <c r="L582" s="32" t="s">
        <v>2081</v>
      </c>
      <c r="M582" s="32" t="s">
        <v>2136</v>
      </c>
      <c r="N582" s="0" t="n">
        <v>3</v>
      </c>
      <c r="O582" s="32" t="s">
        <v>827</v>
      </c>
      <c r="P582" s="32" t="s">
        <v>2117</v>
      </c>
      <c r="Q582" s="32" t="s">
        <v>2170</v>
      </c>
      <c r="R582" s="0" t="str">
        <f aca="false">IF(H582="GEN","GM",H582)</f>
        <v>RHE</v>
      </c>
    </row>
    <row r="583" customFormat="false" ht="15" hidden="false" customHeight="false" outlineLevel="0" collapsed="false">
      <c r="A583" s="0" t="s">
        <v>3038</v>
      </c>
      <c r="B583" s="0" t="s">
        <v>2159</v>
      </c>
      <c r="C583" s="0" t="s">
        <v>981</v>
      </c>
      <c r="D583" s="31" t="n">
        <v>35056</v>
      </c>
      <c r="E583" s="31" t="n">
        <v>45675</v>
      </c>
      <c r="F583" s="32" t="s">
        <v>2087</v>
      </c>
      <c r="G583" s="32" t="s">
        <v>2088</v>
      </c>
      <c r="H583" s="32" t="s">
        <v>793</v>
      </c>
      <c r="I583" s="31" t="n">
        <v>45676</v>
      </c>
      <c r="J583" s="32" t="s">
        <v>2080</v>
      </c>
      <c r="K583" s="0" t="n">
        <v>1</v>
      </c>
      <c r="L583" s="32" t="s">
        <v>2081</v>
      </c>
      <c r="M583" s="32" t="s">
        <v>2100</v>
      </c>
      <c r="N583" s="0" t="n">
        <v>1</v>
      </c>
      <c r="O583" s="32" t="s">
        <v>794</v>
      </c>
      <c r="P583" s="32" t="s">
        <v>2121</v>
      </c>
      <c r="Q583" s="32" t="s">
        <v>2145</v>
      </c>
      <c r="R583" s="0" t="str">
        <f aca="false">IF(H583="GEN","GM",H583)</f>
        <v>EM</v>
      </c>
    </row>
    <row r="584" customFormat="false" ht="15" hidden="false" customHeight="false" outlineLevel="0" collapsed="false">
      <c r="A584" s="0" t="s">
        <v>3039</v>
      </c>
      <c r="B584" s="0" t="s">
        <v>2114</v>
      </c>
      <c r="C584" s="0" t="s">
        <v>841</v>
      </c>
      <c r="D584" s="31" t="n">
        <v>13366</v>
      </c>
      <c r="E584" s="31" t="n">
        <v>45709</v>
      </c>
      <c r="F584" s="32" t="s">
        <v>2078</v>
      </c>
      <c r="G584" s="32" t="s">
        <v>2099</v>
      </c>
      <c r="H584" s="32" t="s">
        <v>818</v>
      </c>
      <c r="I584" s="31" t="n">
        <v>45712</v>
      </c>
      <c r="J584" s="32" t="s">
        <v>2160</v>
      </c>
      <c r="K584" s="0" t="n">
        <v>3</v>
      </c>
      <c r="L584" s="32" t="s">
        <v>2081</v>
      </c>
      <c r="M584" s="32" t="s">
        <v>2189</v>
      </c>
      <c r="N584" s="0" t="n">
        <v>3</v>
      </c>
      <c r="O584" s="32" t="s">
        <v>819</v>
      </c>
      <c r="P584" s="32" t="s">
        <v>2137</v>
      </c>
      <c r="Q584" s="32" t="s">
        <v>2170</v>
      </c>
      <c r="R584" s="0" t="str">
        <f aca="false">IF(H584="GEN","GM",H584)</f>
        <v>OPH</v>
      </c>
    </row>
    <row r="585" customFormat="false" ht="15" hidden="false" customHeight="false" outlineLevel="0" collapsed="false">
      <c r="A585" s="0" t="s">
        <v>3040</v>
      </c>
      <c r="B585" s="0" t="s">
        <v>2194</v>
      </c>
      <c r="C585" s="0" t="s">
        <v>902</v>
      </c>
      <c r="D585" s="31" t="n">
        <v>19789</v>
      </c>
      <c r="E585" s="31" t="n">
        <v>45654</v>
      </c>
      <c r="F585" s="32" t="s">
        <v>2087</v>
      </c>
      <c r="G585" s="32" t="s">
        <v>2088</v>
      </c>
      <c r="H585" s="32" t="s">
        <v>826</v>
      </c>
      <c r="I585" s="31" t="n">
        <v>45658</v>
      </c>
      <c r="J585" s="32" t="s">
        <v>2080</v>
      </c>
      <c r="K585" s="0" t="n">
        <v>4</v>
      </c>
      <c r="L585" s="32" t="s">
        <v>2081</v>
      </c>
      <c r="M585" s="32" t="s">
        <v>2212</v>
      </c>
      <c r="N585" s="0" t="n">
        <v>4</v>
      </c>
      <c r="O585" s="32" t="s">
        <v>827</v>
      </c>
      <c r="P585" s="32" t="s">
        <v>2133</v>
      </c>
      <c r="Q585" s="32" t="s">
        <v>2190</v>
      </c>
      <c r="R585" s="0" t="str">
        <f aca="false">IF(H585="GEN","GM",H585)</f>
        <v>RHE</v>
      </c>
    </row>
    <row r="586" customFormat="false" ht="15" hidden="false" customHeight="false" outlineLevel="0" collapsed="false">
      <c r="A586" s="0" t="s">
        <v>3041</v>
      </c>
      <c r="B586" s="0" t="s">
        <v>2853</v>
      </c>
      <c r="C586" s="0" t="s">
        <v>985</v>
      </c>
      <c r="D586" s="31" t="n">
        <v>15165</v>
      </c>
      <c r="E586" s="31" t="n">
        <v>45702</v>
      </c>
      <c r="F586" s="32" t="s">
        <v>2087</v>
      </c>
      <c r="G586" s="32" t="s">
        <v>2079</v>
      </c>
      <c r="H586" s="32" t="s">
        <v>776</v>
      </c>
      <c r="I586" s="31" t="n">
        <v>45703</v>
      </c>
      <c r="J586" s="32" t="s">
        <v>2080</v>
      </c>
      <c r="K586" s="0" t="n">
        <v>1</v>
      </c>
      <c r="L586" s="32" t="s">
        <v>2081</v>
      </c>
      <c r="M586" s="32" t="s">
        <v>2195</v>
      </c>
      <c r="N586" s="0" t="n">
        <v>1</v>
      </c>
      <c r="O586" s="32" t="s">
        <v>777</v>
      </c>
      <c r="P586" s="32" t="s">
        <v>2156</v>
      </c>
      <c r="Q586" s="32" t="s">
        <v>2125</v>
      </c>
      <c r="R586" s="0" t="str">
        <f aca="false">IF(H586="GEN","GM",H586)</f>
        <v>GS</v>
      </c>
    </row>
    <row r="587" customFormat="false" ht="15" hidden="false" customHeight="false" outlineLevel="0" collapsed="false">
      <c r="A587" s="0" t="s">
        <v>3042</v>
      </c>
      <c r="B587" s="0" t="s">
        <v>3043</v>
      </c>
      <c r="C587" s="0" t="s">
        <v>993</v>
      </c>
      <c r="D587" s="31" t="n">
        <v>21023</v>
      </c>
      <c r="E587" s="31" t="n">
        <v>45687</v>
      </c>
      <c r="F587" s="32" t="s">
        <v>2078</v>
      </c>
      <c r="G587" s="32" t="s">
        <v>2104</v>
      </c>
      <c r="H587" s="32" t="s">
        <v>802</v>
      </c>
      <c r="I587" s="31" t="n">
        <v>45690</v>
      </c>
      <c r="J587" s="32" t="s">
        <v>2080</v>
      </c>
      <c r="K587" s="0" t="n">
        <v>3</v>
      </c>
      <c r="L587" s="32" t="s">
        <v>2106</v>
      </c>
      <c r="M587" s="32" t="s">
        <v>2286</v>
      </c>
      <c r="N587" s="0" t="n">
        <v>3</v>
      </c>
      <c r="O587" s="32" t="s">
        <v>803</v>
      </c>
      <c r="P587" s="32" t="s">
        <v>2182</v>
      </c>
      <c r="Q587" s="32" t="s">
        <v>2084</v>
      </c>
      <c r="R587" s="0" t="str">
        <f aca="false">IF(H587="GEN","GM",H587)</f>
        <v>GYN</v>
      </c>
    </row>
    <row r="588" customFormat="false" ht="15" hidden="false" customHeight="false" outlineLevel="0" collapsed="false">
      <c r="A588" s="0" t="s">
        <v>3044</v>
      </c>
      <c r="B588" s="0" t="s">
        <v>2304</v>
      </c>
      <c r="C588" s="0" t="s">
        <v>962</v>
      </c>
      <c r="D588" s="31" t="n">
        <v>32629</v>
      </c>
      <c r="E588" s="31" t="n">
        <v>45648</v>
      </c>
      <c r="F588" s="32" t="s">
        <v>2087</v>
      </c>
      <c r="G588" s="32" t="s">
        <v>2104</v>
      </c>
      <c r="H588" s="32" t="s">
        <v>802</v>
      </c>
      <c r="I588" s="31" t="n">
        <v>45652</v>
      </c>
      <c r="J588" s="32" t="s">
        <v>2080</v>
      </c>
      <c r="K588" s="0" t="n">
        <v>4</v>
      </c>
      <c r="M588" s="32" t="s">
        <v>2207</v>
      </c>
      <c r="N588" s="0" t="n">
        <v>4</v>
      </c>
      <c r="O588" s="32" t="s">
        <v>803</v>
      </c>
      <c r="P588" s="32" t="s">
        <v>2238</v>
      </c>
      <c r="Q588" s="32" t="s">
        <v>2198</v>
      </c>
      <c r="R588" s="0" t="str">
        <f aca="false">IF(H588="GEN","GM",H588)</f>
        <v>GYN</v>
      </c>
    </row>
    <row r="589" customFormat="false" ht="15" hidden="false" customHeight="false" outlineLevel="0" collapsed="false">
      <c r="A589" s="0" t="s">
        <v>3045</v>
      </c>
      <c r="B589" s="0" t="s">
        <v>2462</v>
      </c>
      <c r="C589" s="0" t="s">
        <v>837</v>
      </c>
      <c r="D589" s="31" t="n">
        <v>19847</v>
      </c>
      <c r="E589" s="31" t="n">
        <v>45684</v>
      </c>
      <c r="F589" s="32" t="s">
        <v>2087</v>
      </c>
      <c r="G589" s="32" t="s">
        <v>2104</v>
      </c>
      <c r="H589" s="32" t="s">
        <v>802</v>
      </c>
      <c r="I589" s="31" t="n">
        <v>45688</v>
      </c>
      <c r="J589" s="32" t="s">
        <v>2080</v>
      </c>
      <c r="K589" s="0" t="n">
        <v>4</v>
      </c>
      <c r="L589" s="32" t="s">
        <v>2081</v>
      </c>
      <c r="M589" s="32" t="s">
        <v>2286</v>
      </c>
      <c r="N589" s="0" t="n">
        <v>4</v>
      </c>
      <c r="O589" s="32" t="s">
        <v>803</v>
      </c>
      <c r="P589" s="32" t="s">
        <v>2101</v>
      </c>
      <c r="Q589" s="32" t="s">
        <v>2118</v>
      </c>
      <c r="R589" s="0" t="str">
        <f aca="false">IF(H589="GEN","GM",H589)</f>
        <v>GYN</v>
      </c>
    </row>
    <row r="590" customFormat="false" ht="15" hidden="false" customHeight="false" outlineLevel="0" collapsed="false">
      <c r="A590" s="0" t="s">
        <v>3046</v>
      </c>
      <c r="B590" s="0" t="s">
        <v>3014</v>
      </c>
      <c r="C590" s="0" t="s">
        <v>966</v>
      </c>
      <c r="D590" s="31" t="n">
        <v>37519</v>
      </c>
      <c r="E590" s="31" t="n">
        <v>45645</v>
      </c>
      <c r="F590" s="32" t="s">
        <v>2087</v>
      </c>
      <c r="G590" s="32" t="s">
        <v>2079</v>
      </c>
      <c r="H590" s="32" t="s">
        <v>776</v>
      </c>
      <c r="I590" s="31" t="n">
        <v>45647</v>
      </c>
      <c r="J590" s="32" t="s">
        <v>2080</v>
      </c>
      <c r="K590" s="0" t="n">
        <v>2</v>
      </c>
      <c r="L590" s="32" t="s">
        <v>2081</v>
      </c>
      <c r="M590" s="32" t="s">
        <v>2094</v>
      </c>
      <c r="N590" s="0" t="n">
        <v>2</v>
      </c>
      <c r="O590" s="32" t="s">
        <v>777</v>
      </c>
      <c r="P590" s="32" t="s">
        <v>2121</v>
      </c>
      <c r="Q590" s="32" t="s">
        <v>2118</v>
      </c>
      <c r="R590" s="0" t="str">
        <f aca="false">IF(H590="GEN","GM",H590)</f>
        <v>GS</v>
      </c>
    </row>
    <row r="591" customFormat="false" ht="15" hidden="false" customHeight="false" outlineLevel="0" collapsed="false">
      <c r="A591" s="0" t="s">
        <v>3047</v>
      </c>
      <c r="B591" s="0" t="s">
        <v>2451</v>
      </c>
      <c r="C591" s="0" t="s">
        <v>970</v>
      </c>
      <c r="D591" s="31" t="n">
        <v>35620</v>
      </c>
      <c r="E591" s="31" t="n">
        <v>45567</v>
      </c>
      <c r="F591" s="32" t="s">
        <v>2160</v>
      </c>
      <c r="G591" s="32" t="s">
        <v>2079</v>
      </c>
      <c r="H591" s="32" t="s">
        <v>810</v>
      </c>
      <c r="L591" s="32" t="s">
        <v>2081</v>
      </c>
      <c r="M591" s="32" t="s">
        <v>2195</v>
      </c>
      <c r="O591" s="32" t="s">
        <v>811</v>
      </c>
      <c r="P591" s="32" t="s">
        <v>2156</v>
      </c>
      <c r="Q591" s="32" t="s">
        <v>2153</v>
      </c>
      <c r="R591" s="0" t="str">
        <f aca="false">IF(H591="GEN","GM",H591)</f>
        <v>URO</v>
      </c>
    </row>
    <row r="592" customFormat="false" ht="15" hidden="false" customHeight="false" outlineLevel="0" collapsed="false">
      <c r="A592" s="0" t="s">
        <v>3048</v>
      </c>
      <c r="B592" s="0" t="s">
        <v>2581</v>
      </c>
      <c r="C592" s="0" t="s">
        <v>950</v>
      </c>
      <c r="D592" s="31" t="n">
        <v>17010</v>
      </c>
      <c r="E592" s="31" t="n">
        <v>45650</v>
      </c>
      <c r="F592" s="32" t="s">
        <v>2078</v>
      </c>
      <c r="G592" s="32" t="s">
        <v>2104</v>
      </c>
      <c r="H592" s="32" t="s">
        <v>802</v>
      </c>
      <c r="I592" s="31" t="n">
        <v>45650</v>
      </c>
      <c r="J592" s="32" t="s">
        <v>2080</v>
      </c>
      <c r="K592" s="0" t="n">
        <v>0</v>
      </c>
      <c r="L592" s="32" t="s">
        <v>2081</v>
      </c>
      <c r="M592" s="32" t="s">
        <v>2161</v>
      </c>
      <c r="N592" s="0" t="n">
        <v>0</v>
      </c>
      <c r="O592" s="32" t="s">
        <v>803</v>
      </c>
      <c r="P592" s="32" t="s">
        <v>2101</v>
      </c>
      <c r="Q592" s="32" t="s">
        <v>2129</v>
      </c>
      <c r="R592" s="0" t="str">
        <f aca="false">IF(H592="GEN","GM",H592)</f>
        <v>GYN</v>
      </c>
    </row>
    <row r="593" customFormat="false" ht="15" hidden="false" customHeight="false" outlineLevel="0" collapsed="false">
      <c r="A593" s="0" t="s">
        <v>3049</v>
      </c>
      <c r="B593" s="0" t="s">
        <v>2269</v>
      </c>
      <c r="C593" s="0" t="s">
        <v>977</v>
      </c>
      <c r="D593" s="31" t="n">
        <v>19290</v>
      </c>
      <c r="E593" s="31" t="n">
        <v>45611</v>
      </c>
      <c r="F593" s="32" t="s">
        <v>2078</v>
      </c>
      <c r="G593" s="32" t="s">
        <v>2088</v>
      </c>
      <c r="H593" s="32" t="s">
        <v>747</v>
      </c>
      <c r="I593" s="31" t="n">
        <v>45613</v>
      </c>
      <c r="J593" s="32" t="s">
        <v>2080</v>
      </c>
      <c r="K593" s="0" t="n">
        <v>2</v>
      </c>
      <c r="L593" s="32" t="s">
        <v>2106</v>
      </c>
      <c r="M593" s="32" t="s">
        <v>2195</v>
      </c>
      <c r="N593" s="0" t="n">
        <v>2</v>
      </c>
      <c r="O593" s="32" t="s">
        <v>748</v>
      </c>
      <c r="P593" s="32" t="s">
        <v>2117</v>
      </c>
      <c r="Q593" s="32" t="s">
        <v>2091</v>
      </c>
      <c r="R593" s="0" t="str">
        <f aca="false">IF(H593="GEN","GM",H593)</f>
        <v>GM</v>
      </c>
    </row>
    <row r="594" customFormat="false" ht="15" hidden="false" customHeight="false" outlineLevel="0" collapsed="false">
      <c r="A594" s="0" t="s">
        <v>3050</v>
      </c>
      <c r="B594" s="0" t="s">
        <v>2502</v>
      </c>
      <c r="C594" s="0" t="s">
        <v>938</v>
      </c>
      <c r="D594" s="31" t="n">
        <v>32095</v>
      </c>
      <c r="E594" s="31" t="n">
        <v>45640</v>
      </c>
      <c r="F594" s="32" t="s">
        <v>2078</v>
      </c>
      <c r="G594" s="32" t="s">
        <v>2124</v>
      </c>
      <c r="H594" s="32" t="s">
        <v>785</v>
      </c>
      <c r="I594" s="31" t="n">
        <v>45644</v>
      </c>
      <c r="J594" s="32" t="s">
        <v>2080</v>
      </c>
      <c r="K594" s="0" t="n">
        <v>4</v>
      </c>
      <c r="L594" s="32" t="s">
        <v>2081</v>
      </c>
      <c r="M594" s="32" t="s">
        <v>2161</v>
      </c>
      <c r="N594" s="0" t="n">
        <v>4</v>
      </c>
      <c r="O594" s="32" t="s">
        <v>786</v>
      </c>
      <c r="P594" s="32" t="s">
        <v>2213</v>
      </c>
      <c r="Q594" s="32" t="s">
        <v>2084</v>
      </c>
      <c r="R594" s="0" t="str">
        <f aca="false">IF(H594="GEN","GM",H594)</f>
        <v>RS</v>
      </c>
    </row>
    <row r="595" customFormat="false" ht="15" hidden="false" customHeight="false" outlineLevel="0" collapsed="false">
      <c r="A595" s="0" t="s">
        <v>3051</v>
      </c>
      <c r="B595" s="0" t="s">
        <v>2299</v>
      </c>
      <c r="C595" s="0" t="s">
        <v>1005</v>
      </c>
      <c r="D595" s="31" t="n">
        <v>24854</v>
      </c>
      <c r="E595" s="31" t="n">
        <v>45650</v>
      </c>
      <c r="F595" s="32" t="s">
        <v>2087</v>
      </c>
      <c r="G595" s="32" t="s">
        <v>2099</v>
      </c>
      <c r="H595" s="32" t="s">
        <v>766</v>
      </c>
      <c r="I595" s="31" t="n">
        <v>45654</v>
      </c>
      <c r="J595" s="32" t="s">
        <v>2080</v>
      </c>
      <c r="K595" s="0" t="n">
        <v>4</v>
      </c>
      <c r="L595" s="32" t="s">
        <v>2081</v>
      </c>
      <c r="M595" s="32" t="s">
        <v>2128</v>
      </c>
      <c r="N595" s="0" t="n">
        <v>4</v>
      </c>
      <c r="O595" s="32" t="s">
        <v>767</v>
      </c>
      <c r="P595" s="32" t="s">
        <v>2213</v>
      </c>
      <c r="Q595" s="32" t="s">
        <v>2259</v>
      </c>
      <c r="R595" s="0" t="str">
        <f aca="false">IF(H595="GEN","GM",H595)</f>
        <v>OR</v>
      </c>
    </row>
    <row r="596" customFormat="false" ht="15" hidden="false" customHeight="false" outlineLevel="0" collapsed="false">
      <c r="A596" s="0" t="s">
        <v>3052</v>
      </c>
      <c r="C596" s="0" t="s">
        <v>2178</v>
      </c>
      <c r="D596" s="31" t="n">
        <v>33665</v>
      </c>
      <c r="E596" s="31" t="n">
        <v>45655</v>
      </c>
      <c r="F596" s="32" t="s">
        <v>2087</v>
      </c>
      <c r="G596" s="32" t="s">
        <v>2088</v>
      </c>
      <c r="H596" s="32" t="s">
        <v>747</v>
      </c>
      <c r="I596" s="31" t="n">
        <v>45657</v>
      </c>
      <c r="J596" s="32" t="s">
        <v>2080</v>
      </c>
      <c r="K596" s="0" t="n">
        <v>2</v>
      </c>
      <c r="L596" s="32" t="s">
        <v>2081</v>
      </c>
      <c r="M596" s="32" t="s">
        <v>2283</v>
      </c>
      <c r="N596" s="0" t="n">
        <v>2</v>
      </c>
      <c r="O596" s="32" t="s">
        <v>748</v>
      </c>
      <c r="P596" s="32" t="s">
        <v>2095</v>
      </c>
      <c r="Q596" s="32" t="s">
        <v>2153</v>
      </c>
      <c r="R596" s="0" t="str">
        <f aca="false">IF(H596="GEN","GM",H596)</f>
        <v>GM</v>
      </c>
    </row>
    <row r="597" customFormat="false" ht="15" hidden="false" customHeight="false" outlineLevel="0" collapsed="false">
      <c r="A597" s="0" t="s">
        <v>3053</v>
      </c>
      <c r="B597" s="0" t="s">
        <v>2649</v>
      </c>
      <c r="C597" s="0" t="s">
        <v>906</v>
      </c>
      <c r="D597" s="31" t="n">
        <v>14981</v>
      </c>
      <c r="E597" s="31" t="n">
        <v>45651</v>
      </c>
      <c r="F597" s="32" t="s">
        <v>2087</v>
      </c>
      <c r="G597" s="32" t="s">
        <v>2115</v>
      </c>
      <c r="H597" s="32" t="s">
        <v>758</v>
      </c>
      <c r="I597" s="31" t="n">
        <v>45659</v>
      </c>
      <c r="J597" s="32" t="s">
        <v>2080</v>
      </c>
      <c r="K597" s="0" t="n">
        <v>8</v>
      </c>
      <c r="L597" s="32" t="s">
        <v>2081</v>
      </c>
      <c r="M597" s="32" t="s">
        <v>2152</v>
      </c>
      <c r="N597" s="0" t="n">
        <v>8</v>
      </c>
      <c r="O597" s="32" t="s">
        <v>759</v>
      </c>
      <c r="P597" s="32" t="s">
        <v>2238</v>
      </c>
      <c r="Q597" s="32" t="s">
        <v>2112</v>
      </c>
      <c r="R597" s="0" t="str">
        <f aca="false">IF(H597="GEN","GM",H597)</f>
        <v>CS</v>
      </c>
    </row>
    <row r="598" customFormat="false" ht="15" hidden="false" customHeight="false" outlineLevel="0" collapsed="false">
      <c r="A598" s="0" t="s">
        <v>3054</v>
      </c>
      <c r="B598" s="0" t="s">
        <v>2917</v>
      </c>
      <c r="C598" s="0" t="s">
        <v>2148</v>
      </c>
      <c r="D598" s="31" t="n">
        <v>26763</v>
      </c>
      <c r="E598" s="31" t="n">
        <v>45660</v>
      </c>
      <c r="F598" s="32" t="s">
        <v>2087</v>
      </c>
      <c r="G598" s="32" t="s">
        <v>2115</v>
      </c>
      <c r="H598" s="32" t="s">
        <v>758</v>
      </c>
      <c r="I598" s="31" t="n">
        <v>45661</v>
      </c>
      <c r="J598" s="32" t="s">
        <v>2080</v>
      </c>
      <c r="K598" s="0" t="n">
        <v>1</v>
      </c>
      <c r="L598" s="32" t="s">
        <v>2106</v>
      </c>
      <c r="M598" s="32" t="s">
        <v>2195</v>
      </c>
      <c r="N598" s="0" t="n">
        <v>1</v>
      </c>
      <c r="O598" s="32" t="s">
        <v>759</v>
      </c>
      <c r="P598" s="32" t="s">
        <v>2101</v>
      </c>
      <c r="Q598" s="32" t="s">
        <v>2084</v>
      </c>
      <c r="R598" s="0" t="str">
        <f aca="false">IF(H598="GEN","GM",H598)</f>
        <v>CS</v>
      </c>
    </row>
    <row r="599" customFormat="false" ht="15" hidden="false" customHeight="false" outlineLevel="0" collapsed="false">
      <c r="A599" s="0" t="s">
        <v>3055</v>
      </c>
      <c r="C599" s="0" t="s">
        <v>910</v>
      </c>
      <c r="D599" s="31" t="n">
        <v>33957</v>
      </c>
      <c r="E599" s="31" t="n">
        <v>45573</v>
      </c>
      <c r="F599" s="32" t="s">
        <v>2078</v>
      </c>
      <c r="G599" s="32" t="s">
        <v>2104</v>
      </c>
      <c r="H599" s="32" t="s">
        <v>802</v>
      </c>
      <c r="I599" s="31" t="n">
        <v>45573</v>
      </c>
      <c r="J599" s="32" t="s">
        <v>2080</v>
      </c>
      <c r="K599" s="0" t="n">
        <v>0</v>
      </c>
      <c r="L599" s="32" t="s">
        <v>2081</v>
      </c>
      <c r="M599" s="32" t="s">
        <v>2283</v>
      </c>
      <c r="N599" s="0" t="n">
        <v>0</v>
      </c>
      <c r="O599" s="32" t="s">
        <v>803</v>
      </c>
      <c r="P599" s="32" t="s">
        <v>2201</v>
      </c>
      <c r="Q599" s="32" t="s">
        <v>2179</v>
      </c>
      <c r="R599" s="0" t="str">
        <f aca="false">IF(H599="GEN","GM",H599)</f>
        <v>GYN</v>
      </c>
    </row>
    <row r="600" customFormat="false" ht="15" hidden="false" customHeight="false" outlineLevel="0" collapsed="false">
      <c r="A600" s="0" t="s">
        <v>3056</v>
      </c>
      <c r="B600" s="0" t="s">
        <v>3057</v>
      </c>
      <c r="C600" s="0" t="s">
        <v>817</v>
      </c>
      <c r="D600" s="31" t="n">
        <v>34461</v>
      </c>
      <c r="E600" s="31" t="n">
        <v>45659</v>
      </c>
      <c r="F600" s="32" t="s">
        <v>2160</v>
      </c>
      <c r="G600" s="32" t="s">
        <v>2088</v>
      </c>
      <c r="H600" s="32" t="s">
        <v>793</v>
      </c>
      <c r="I600" s="31" t="n">
        <v>45669</v>
      </c>
      <c r="J600" s="32" t="s">
        <v>2080</v>
      </c>
      <c r="K600" s="0" t="n">
        <v>10</v>
      </c>
      <c r="L600" s="32" t="s">
        <v>2081</v>
      </c>
      <c r="M600" s="32" t="s">
        <v>2207</v>
      </c>
      <c r="N600" s="0" t="n">
        <v>10</v>
      </c>
      <c r="O600" s="32" t="s">
        <v>794</v>
      </c>
      <c r="P600" s="32" t="s">
        <v>2201</v>
      </c>
      <c r="Q600" s="32" t="s">
        <v>2145</v>
      </c>
      <c r="R600" s="0" t="str">
        <f aca="false">IF(H600="GEN","GM",H600)</f>
        <v>EM</v>
      </c>
    </row>
    <row r="601" customFormat="false" ht="15" hidden="false" customHeight="false" outlineLevel="0" collapsed="false">
      <c r="A601" s="0" t="s">
        <v>3058</v>
      </c>
      <c r="B601" s="0" t="s">
        <v>2480</v>
      </c>
      <c r="C601" s="0" t="s">
        <v>765</v>
      </c>
      <c r="D601" s="31" t="n">
        <v>19158</v>
      </c>
      <c r="E601" s="31" t="n">
        <v>45685</v>
      </c>
      <c r="F601" s="32" t="s">
        <v>2087</v>
      </c>
      <c r="G601" s="32" t="s">
        <v>2088</v>
      </c>
      <c r="H601" s="32" t="s">
        <v>747</v>
      </c>
      <c r="I601" s="31" t="n">
        <v>45688</v>
      </c>
      <c r="J601" s="32" t="s">
        <v>2307</v>
      </c>
      <c r="K601" s="0" t="n">
        <v>3</v>
      </c>
      <c r="L601" s="32" t="s">
        <v>2081</v>
      </c>
      <c r="M601" s="32" t="s">
        <v>2100</v>
      </c>
      <c r="N601" s="0" t="n">
        <v>3</v>
      </c>
      <c r="O601" s="32" t="s">
        <v>748</v>
      </c>
      <c r="P601" s="32" t="s">
        <v>2175</v>
      </c>
      <c r="Q601" s="32" t="s">
        <v>2125</v>
      </c>
      <c r="R601" s="0" t="str">
        <f aca="false">IF(H601="GEN","GM",H601)</f>
        <v>GM</v>
      </c>
    </row>
    <row r="602" customFormat="false" ht="15" hidden="false" customHeight="false" outlineLevel="0" collapsed="false">
      <c r="A602" s="0" t="s">
        <v>3059</v>
      </c>
      <c r="B602" s="0" t="s">
        <v>3060</v>
      </c>
      <c r="C602" s="0" t="s">
        <v>985</v>
      </c>
      <c r="D602" s="31" t="n">
        <v>22284</v>
      </c>
      <c r="E602" s="31" t="n">
        <v>45690</v>
      </c>
      <c r="F602" s="32" t="s">
        <v>2087</v>
      </c>
      <c r="G602" s="32" t="s">
        <v>2088</v>
      </c>
      <c r="H602" s="32" t="s">
        <v>826</v>
      </c>
      <c r="I602" s="31" t="n">
        <v>45692</v>
      </c>
      <c r="J602" s="32" t="s">
        <v>2307</v>
      </c>
      <c r="K602" s="0" t="n">
        <v>2</v>
      </c>
      <c r="L602" s="32" t="s">
        <v>2081</v>
      </c>
      <c r="M602" s="32" t="s">
        <v>2128</v>
      </c>
      <c r="N602" s="0" t="n">
        <v>2</v>
      </c>
      <c r="O602" s="32" t="s">
        <v>827</v>
      </c>
      <c r="P602" s="32" t="s">
        <v>2111</v>
      </c>
      <c r="Q602" s="32" t="s">
        <v>2179</v>
      </c>
      <c r="R602" s="0" t="str">
        <f aca="false">IF(H602="GEN","GM",H602)</f>
        <v>RHE</v>
      </c>
    </row>
    <row r="603" customFormat="false" ht="15" hidden="false" customHeight="false" outlineLevel="0" collapsed="false">
      <c r="A603" s="0" t="s">
        <v>3061</v>
      </c>
      <c r="B603" s="0" t="s">
        <v>2316</v>
      </c>
      <c r="C603" s="0" t="s">
        <v>942</v>
      </c>
      <c r="D603" s="31" t="n">
        <v>15129</v>
      </c>
      <c r="E603" s="31" t="n">
        <v>45705</v>
      </c>
      <c r="F603" s="32" t="s">
        <v>2078</v>
      </c>
      <c r="G603" s="32" t="s">
        <v>2104</v>
      </c>
      <c r="H603" s="32" t="s">
        <v>802</v>
      </c>
      <c r="I603" s="31" t="n">
        <v>45707</v>
      </c>
      <c r="J603" s="32" t="s">
        <v>2160</v>
      </c>
      <c r="K603" s="0" t="n">
        <v>2</v>
      </c>
      <c r="L603" s="32" t="s">
        <v>2081</v>
      </c>
      <c r="M603" s="32" t="s">
        <v>2161</v>
      </c>
      <c r="N603" s="0" t="n">
        <v>2</v>
      </c>
      <c r="O603" s="32" t="s">
        <v>803</v>
      </c>
      <c r="P603" s="32" t="s">
        <v>2101</v>
      </c>
      <c r="Q603" s="32" t="s">
        <v>2084</v>
      </c>
      <c r="R603" s="0" t="str">
        <f aca="false">IF(H603="GEN","GM",H603)</f>
        <v>GYN</v>
      </c>
    </row>
    <row r="604" customFormat="false" ht="15" hidden="false" customHeight="false" outlineLevel="0" collapsed="false">
      <c r="A604" s="0" t="s">
        <v>3062</v>
      </c>
      <c r="B604" s="0" t="s">
        <v>2350</v>
      </c>
      <c r="C604" s="0" t="s">
        <v>1021</v>
      </c>
      <c r="D604" s="31" t="n">
        <v>20044</v>
      </c>
      <c r="E604" s="31" t="n">
        <v>45576</v>
      </c>
      <c r="F604" s="32" t="s">
        <v>2087</v>
      </c>
      <c r="G604" s="32" t="s">
        <v>2115</v>
      </c>
      <c r="H604" s="32" t="s">
        <v>758</v>
      </c>
      <c r="I604" s="31" t="n">
        <v>45583</v>
      </c>
      <c r="J604" s="32" t="s">
        <v>2080</v>
      </c>
      <c r="K604" s="0" t="n">
        <v>7</v>
      </c>
      <c r="L604" s="32" t="s">
        <v>2081</v>
      </c>
      <c r="M604" s="32" t="s">
        <v>2132</v>
      </c>
      <c r="N604" s="0" t="n">
        <v>7</v>
      </c>
      <c r="O604" s="32" t="s">
        <v>759</v>
      </c>
      <c r="P604" s="32" t="s">
        <v>2162</v>
      </c>
      <c r="Q604" s="32" t="s">
        <v>2129</v>
      </c>
      <c r="R604" s="0" t="str">
        <f aca="false">IF(H604="GEN","GM",H604)</f>
        <v>CS</v>
      </c>
    </row>
    <row r="605" customFormat="false" ht="15" hidden="false" customHeight="false" outlineLevel="0" collapsed="false">
      <c r="A605" s="0" t="s">
        <v>3063</v>
      </c>
      <c r="B605" s="0" t="s">
        <v>2677</v>
      </c>
      <c r="C605" s="0" t="s">
        <v>857</v>
      </c>
      <c r="D605" s="31" t="n">
        <v>16470</v>
      </c>
      <c r="E605" s="31" t="n">
        <v>45707</v>
      </c>
      <c r="F605" s="32" t="s">
        <v>2078</v>
      </c>
      <c r="G605" s="32" t="s">
        <v>2099</v>
      </c>
      <c r="H605" s="32" t="s">
        <v>818</v>
      </c>
      <c r="I605" s="31" t="n">
        <v>45709</v>
      </c>
      <c r="J605" s="32" t="s">
        <v>2080</v>
      </c>
      <c r="K605" s="0" t="n">
        <v>2</v>
      </c>
      <c r="L605" s="32" t="s">
        <v>2106</v>
      </c>
      <c r="M605" s="32" t="s">
        <v>2195</v>
      </c>
      <c r="N605" s="0" t="n">
        <v>2</v>
      </c>
      <c r="O605" s="32" t="s">
        <v>819</v>
      </c>
      <c r="P605" s="32" t="s">
        <v>2090</v>
      </c>
      <c r="Q605" s="32" t="s">
        <v>2198</v>
      </c>
      <c r="R605" s="0" t="str">
        <f aca="false">IF(H605="GEN","GM",H605)</f>
        <v>OPH</v>
      </c>
    </row>
    <row r="606" customFormat="false" ht="15" hidden="false" customHeight="false" outlineLevel="0" collapsed="false">
      <c r="A606" s="0" t="s">
        <v>3064</v>
      </c>
      <c r="B606" s="0" t="s">
        <v>2120</v>
      </c>
      <c r="C606" s="0" t="s">
        <v>922</v>
      </c>
      <c r="D606" s="31" t="n">
        <v>29300</v>
      </c>
      <c r="E606" s="31" t="n">
        <v>45602</v>
      </c>
      <c r="F606" s="32" t="s">
        <v>2078</v>
      </c>
      <c r="G606" s="32" t="s">
        <v>2115</v>
      </c>
      <c r="H606" s="32" t="s">
        <v>758</v>
      </c>
      <c r="I606" s="31" t="n">
        <v>45607</v>
      </c>
      <c r="J606" s="32" t="s">
        <v>2080</v>
      </c>
      <c r="K606" s="0" t="n">
        <v>5</v>
      </c>
      <c r="M606" s="32" t="s">
        <v>2110</v>
      </c>
      <c r="N606" s="0" t="n">
        <v>5</v>
      </c>
      <c r="O606" s="32" t="s">
        <v>759</v>
      </c>
      <c r="P606" s="32" t="s">
        <v>2133</v>
      </c>
      <c r="Q606" s="32" t="s">
        <v>2190</v>
      </c>
      <c r="R606" s="0" t="str">
        <f aca="false">IF(H606="GEN","GM",H606)</f>
        <v>CS</v>
      </c>
    </row>
    <row r="607" customFormat="false" ht="15" hidden="false" customHeight="false" outlineLevel="0" collapsed="false">
      <c r="A607" s="0" t="s">
        <v>3065</v>
      </c>
      <c r="B607" s="0" t="s">
        <v>3066</v>
      </c>
      <c r="C607" s="0" t="s">
        <v>989</v>
      </c>
      <c r="D607" s="31" t="n">
        <v>21664</v>
      </c>
      <c r="E607" s="31" t="n">
        <v>45679</v>
      </c>
      <c r="F607" s="32" t="s">
        <v>2087</v>
      </c>
      <c r="G607" s="32" t="s">
        <v>2079</v>
      </c>
      <c r="H607" s="32" t="s">
        <v>776</v>
      </c>
      <c r="I607" s="31" t="n">
        <v>45687</v>
      </c>
      <c r="J607" s="32" t="s">
        <v>2160</v>
      </c>
      <c r="K607" s="0" t="n">
        <v>8</v>
      </c>
      <c r="L607" s="32" t="s">
        <v>2106</v>
      </c>
      <c r="M607" s="32" t="s">
        <v>2207</v>
      </c>
      <c r="N607" s="0" t="n">
        <v>9</v>
      </c>
      <c r="O607" s="32" t="s">
        <v>777</v>
      </c>
      <c r="P607" s="32" t="s">
        <v>2117</v>
      </c>
      <c r="Q607" s="32" t="s">
        <v>2157</v>
      </c>
      <c r="R607" s="0" t="str">
        <f aca="false">IF(H607="GEN","GM",H607)</f>
        <v>GS</v>
      </c>
    </row>
    <row r="608" customFormat="false" ht="15" hidden="false" customHeight="false" outlineLevel="0" collapsed="false">
      <c r="A608" s="0" t="s">
        <v>3067</v>
      </c>
      <c r="B608" s="0" t="s">
        <v>2653</v>
      </c>
      <c r="C608" s="0" t="s">
        <v>954</v>
      </c>
      <c r="D608" s="31" t="n">
        <v>21869</v>
      </c>
      <c r="E608" s="31" t="n">
        <v>45606</v>
      </c>
      <c r="F608" s="32" t="s">
        <v>2087</v>
      </c>
      <c r="G608" s="32" t="s">
        <v>2104</v>
      </c>
      <c r="H608" s="32" t="s">
        <v>802</v>
      </c>
      <c r="I608" s="31" t="n">
        <v>45617</v>
      </c>
      <c r="J608" s="32" t="s">
        <v>2080</v>
      </c>
      <c r="K608" s="0" t="n">
        <v>11</v>
      </c>
      <c r="L608" s="32" t="s">
        <v>2081</v>
      </c>
      <c r="M608" s="32" t="s">
        <v>2212</v>
      </c>
      <c r="N608" s="0" t="n">
        <v>11</v>
      </c>
      <c r="O608" s="32" t="s">
        <v>803</v>
      </c>
      <c r="P608" s="32" t="s">
        <v>2111</v>
      </c>
      <c r="Q608" s="32" t="s">
        <v>2153</v>
      </c>
      <c r="R608" s="0" t="str">
        <f aca="false">IF(H608="GEN","GM",H608)</f>
        <v>GYN</v>
      </c>
    </row>
    <row r="609" customFormat="false" ht="15" hidden="false" customHeight="false" outlineLevel="0" collapsed="false">
      <c r="A609" s="0" t="s">
        <v>3068</v>
      </c>
      <c r="B609" s="0" t="s">
        <v>2441</v>
      </c>
      <c r="C609" s="0" t="s">
        <v>862</v>
      </c>
      <c r="D609" s="31" t="n">
        <v>14196</v>
      </c>
      <c r="E609" s="31" t="n">
        <v>45671</v>
      </c>
      <c r="F609" s="32" t="s">
        <v>2087</v>
      </c>
      <c r="G609" s="32" t="s">
        <v>2124</v>
      </c>
      <c r="H609" s="32" t="s">
        <v>785</v>
      </c>
      <c r="I609" s="31" t="n">
        <v>45673</v>
      </c>
      <c r="J609" s="32" t="s">
        <v>2160</v>
      </c>
      <c r="K609" s="0" t="n">
        <v>2</v>
      </c>
      <c r="L609" s="32" t="s">
        <v>2081</v>
      </c>
      <c r="M609" s="32" t="s">
        <v>2110</v>
      </c>
      <c r="N609" s="0" t="n">
        <v>2</v>
      </c>
      <c r="O609" s="32" t="s">
        <v>786</v>
      </c>
      <c r="P609" s="32" t="s">
        <v>2101</v>
      </c>
      <c r="Q609" s="32" t="s">
        <v>2198</v>
      </c>
      <c r="R609" s="0" t="str">
        <f aca="false">IF(H609="GEN","GM",H609)</f>
        <v>RS</v>
      </c>
    </row>
    <row r="610" customFormat="false" ht="15" hidden="false" customHeight="false" outlineLevel="0" collapsed="false">
      <c r="A610" s="0" t="s">
        <v>3069</v>
      </c>
      <c r="B610" s="0" t="s">
        <v>3070</v>
      </c>
      <c r="C610" s="0" t="s">
        <v>1017</v>
      </c>
      <c r="D610" s="31" t="n">
        <v>30358</v>
      </c>
      <c r="E610" s="31" t="n">
        <v>45593</v>
      </c>
      <c r="F610" s="32" t="s">
        <v>2087</v>
      </c>
      <c r="G610" s="32" t="s">
        <v>2099</v>
      </c>
      <c r="H610" s="32" t="s">
        <v>818</v>
      </c>
      <c r="I610" s="31" t="n">
        <v>45595</v>
      </c>
      <c r="J610" s="32" t="s">
        <v>2080</v>
      </c>
      <c r="K610" s="0" t="n">
        <v>2</v>
      </c>
      <c r="L610" s="32" t="s">
        <v>2081</v>
      </c>
      <c r="M610" s="32" t="s">
        <v>2286</v>
      </c>
      <c r="N610" s="0" t="n">
        <v>2</v>
      </c>
      <c r="O610" s="32" t="s">
        <v>819</v>
      </c>
      <c r="P610" s="32" t="s">
        <v>2201</v>
      </c>
      <c r="Q610" s="32" t="s">
        <v>2259</v>
      </c>
      <c r="R610" s="0" t="str">
        <f aca="false">IF(H610="GEN","GM",H610)</f>
        <v>OPH</v>
      </c>
    </row>
    <row r="611" customFormat="false" ht="15" hidden="false" customHeight="false" outlineLevel="0" collapsed="false">
      <c r="A611" s="0" t="s">
        <v>3071</v>
      </c>
      <c r="B611" s="0" t="s">
        <v>2712</v>
      </c>
      <c r="C611" s="0" t="s">
        <v>942</v>
      </c>
      <c r="D611" s="31" t="n">
        <v>36834</v>
      </c>
      <c r="E611" s="31" t="n">
        <v>45668</v>
      </c>
      <c r="F611" s="32" t="s">
        <v>2087</v>
      </c>
      <c r="G611" s="32" t="s">
        <v>2099</v>
      </c>
      <c r="H611" s="32" t="s">
        <v>818</v>
      </c>
      <c r="L611" s="32" t="s">
        <v>2081</v>
      </c>
      <c r="M611" s="32" t="s">
        <v>2152</v>
      </c>
      <c r="O611" s="32" t="s">
        <v>819</v>
      </c>
      <c r="P611" s="32" t="s">
        <v>2156</v>
      </c>
      <c r="Q611" s="32" t="s">
        <v>2244</v>
      </c>
      <c r="R611" s="0" t="str">
        <f aca="false">IF(H611="GEN","GM",H611)</f>
        <v>OPH</v>
      </c>
    </row>
    <row r="612" customFormat="false" ht="15" hidden="false" customHeight="false" outlineLevel="0" collapsed="false">
      <c r="A612" s="0" t="s">
        <v>3072</v>
      </c>
      <c r="B612" s="0" t="s">
        <v>3073</v>
      </c>
      <c r="C612" s="0" t="s">
        <v>746</v>
      </c>
      <c r="D612" s="31" t="n">
        <v>14798</v>
      </c>
      <c r="E612" s="31" t="n">
        <v>45646</v>
      </c>
      <c r="F612" s="32" t="s">
        <v>2087</v>
      </c>
      <c r="G612" s="32" t="s">
        <v>2079</v>
      </c>
      <c r="H612" s="32" t="s">
        <v>810</v>
      </c>
      <c r="I612" s="31" t="n">
        <v>45650</v>
      </c>
      <c r="J612" s="32" t="s">
        <v>2080</v>
      </c>
      <c r="K612" s="0" t="n">
        <v>4</v>
      </c>
      <c r="L612" s="32" t="s">
        <v>2081</v>
      </c>
      <c r="M612" s="32" t="s">
        <v>2255</v>
      </c>
      <c r="N612" s="0" t="n">
        <v>4</v>
      </c>
      <c r="O612" s="32" t="s">
        <v>811</v>
      </c>
      <c r="P612" s="32" t="s">
        <v>2162</v>
      </c>
      <c r="Q612" s="32" t="s">
        <v>2096</v>
      </c>
      <c r="R612" s="0" t="str">
        <f aca="false">IF(H612="GEN","GM",H612)</f>
        <v>URO</v>
      </c>
    </row>
    <row r="613" customFormat="false" ht="15" hidden="false" customHeight="false" outlineLevel="0" collapsed="false">
      <c r="A613" s="0" t="s">
        <v>3074</v>
      </c>
      <c r="B613" s="0" t="s">
        <v>2538</v>
      </c>
      <c r="C613" s="0" t="s">
        <v>866</v>
      </c>
      <c r="D613" s="31" t="n">
        <v>20858</v>
      </c>
      <c r="E613" s="31" t="n">
        <v>45630</v>
      </c>
      <c r="F613" s="32" t="s">
        <v>2078</v>
      </c>
      <c r="G613" s="32" t="s">
        <v>2115</v>
      </c>
      <c r="H613" s="32" t="s">
        <v>758</v>
      </c>
      <c r="I613" s="31" t="n">
        <v>45633</v>
      </c>
      <c r="J613" s="32" t="s">
        <v>2080</v>
      </c>
      <c r="K613" s="0" t="n">
        <v>3</v>
      </c>
      <c r="L613" s="32" t="s">
        <v>2081</v>
      </c>
      <c r="M613" s="32" t="s">
        <v>2286</v>
      </c>
      <c r="N613" s="0" t="n">
        <v>3</v>
      </c>
      <c r="O613" s="32" t="s">
        <v>759</v>
      </c>
      <c r="P613" s="32" t="s">
        <v>2117</v>
      </c>
      <c r="Q613" s="32" t="s">
        <v>2129</v>
      </c>
      <c r="R613" s="0" t="str">
        <f aca="false">IF(H613="GEN","GM",H613)</f>
        <v>CS</v>
      </c>
    </row>
    <row r="614" customFormat="false" ht="15" hidden="false" customHeight="false" outlineLevel="0" collapsed="false">
      <c r="A614" s="0" t="s">
        <v>3075</v>
      </c>
      <c r="B614" s="0" t="s">
        <v>2297</v>
      </c>
      <c r="C614" s="0" t="s">
        <v>934</v>
      </c>
      <c r="D614" s="31" t="n">
        <v>37308</v>
      </c>
      <c r="E614" s="31" t="n">
        <v>45622</v>
      </c>
      <c r="F614" s="32" t="s">
        <v>2078</v>
      </c>
      <c r="G614" s="32" t="s">
        <v>2115</v>
      </c>
      <c r="H614" s="32" t="s">
        <v>758</v>
      </c>
      <c r="I614" s="31" t="n">
        <v>45627</v>
      </c>
      <c r="J614" s="32" t="s">
        <v>2080</v>
      </c>
      <c r="K614" s="0" t="n">
        <v>-1</v>
      </c>
      <c r="L614" s="32" t="s">
        <v>2081</v>
      </c>
      <c r="M614" s="32" t="s">
        <v>2094</v>
      </c>
      <c r="N614" s="0" t="n">
        <v>-1</v>
      </c>
      <c r="O614" s="32" t="s">
        <v>759</v>
      </c>
      <c r="P614" s="32" t="s">
        <v>2133</v>
      </c>
      <c r="R614" s="0" t="str">
        <f aca="false">IF(H614="GEN","GM",H614)</f>
        <v>CS</v>
      </c>
    </row>
    <row r="615" customFormat="false" ht="15" hidden="false" customHeight="false" outlineLevel="0" collapsed="false">
      <c r="A615" s="0" t="s">
        <v>3076</v>
      </c>
      <c r="B615" s="0" t="s">
        <v>3077</v>
      </c>
      <c r="C615" s="0" t="s">
        <v>882</v>
      </c>
      <c r="D615" s="31" t="n">
        <v>25310</v>
      </c>
      <c r="E615" s="31" t="n">
        <v>45672</v>
      </c>
      <c r="F615" s="32" t="s">
        <v>2585</v>
      </c>
      <c r="G615" s="32" t="s">
        <v>2088</v>
      </c>
      <c r="H615" s="32" t="s">
        <v>793</v>
      </c>
      <c r="I615" s="31" t="n">
        <v>45679</v>
      </c>
      <c r="J615" s="32" t="s">
        <v>2080</v>
      </c>
      <c r="K615" s="0" t="n">
        <v>7</v>
      </c>
      <c r="L615" s="32" t="s">
        <v>2081</v>
      </c>
      <c r="M615" s="32" t="s">
        <v>2136</v>
      </c>
      <c r="N615" s="0" t="n">
        <v>7</v>
      </c>
      <c r="O615" s="32" t="s">
        <v>794</v>
      </c>
      <c r="P615" s="32" t="s">
        <v>2090</v>
      </c>
      <c r="Q615" s="32" t="s">
        <v>2107</v>
      </c>
      <c r="R615" s="0" t="str">
        <f aca="false">IF(H615="GEN","GM",H615)</f>
        <v>EM</v>
      </c>
    </row>
    <row r="616" customFormat="false" ht="15" hidden="false" customHeight="false" outlineLevel="0" collapsed="false">
      <c r="A616" s="0" t="s">
        <v>3078</v>
      </c>
      <c r="B616" s="0" t="s">
        <v>2271</v>
      </c>
      <c r="C616" s="0" t="s">
        <v>993</v>
      </c>
      <c r="D616" s="31" t="n">
        <v>22398</v>
      </c>
      <c r="E616" s="31" t="n">
        <v>45704</v>
      </c>
      <c r="F616" s="32" t="s">
        <v>2087</v>
      </c>
      <c r="G616" s="32" t="s">
        <v>2088</v>
      </c>
      <c r="H616" s="32" t="s">
        <v>793</v>
      </c>
      <c r="I616" s="31" t="n">
        <v>45713</v>
      </c>
      <c r="J616" s="32" t="s">
        <v>2080</v>
      </c>
      <c r="K616" s="0" t="n">
        <v>9</v>
      </c>
      <c r="L616" s="32" t="s">
        <v>2081</v>
      </c>
      <c r="M616" s="32" t="s">
        <v>2286</v>
      </c>
      <c r="N616" s="0" t="n">
        <v>9</v>
      </c>
      <c r="O616" s="32" t="s">
        <v>794</v>
      </c>
      <c r="P616" s="32" t="s">
        <v>2222</v>
      </c>
      <c r="Q616" s="32" t="s">
        <v>2190</v>
      </c>
      <c r="R616" s="0" t="str">
        <f aca="false">IF(H616="GEN","GM",H616)</f>
        <v>EM</v>
      </c>
    </row>
    <row r="617" customFormat="false" ht="15" hidden="false" customHeight="false" outlineLevel="0" collapsed="false">
      <c r="A617" s="0" t="s">
        <v>3079</v>
      </c>
      <c r="B617" s="0" t="s">
        <v>3018</v>
      </c>
      <c r="C617" s="0" t="s">
        <v>1410</v>
      </c>
      <c r="D617" s="31" t="n">
        <v>36868</v>
      </c>
      <c r="E617" s="31" t="n">
        <v>45688</v>
      </c>
      <c r="F617" s="32" t="s">
        <v>2078</v>
      </c>
      <c r="G617" s="32" t="s">
        <v>2088</v>
      </c>
      <c r="H617" s="32" t="s">
        <v>826</v>
      </c>
      <c r="I617" s="31" t="n">
        <v>45690</v>
      </c>
      <c r="J617" s="32" t="s">
        <v>2080</v>
      </c>
      <c r="K617" s="0" t="n">
        <v>2</v>
      </c>
      <c r="L617" s="32" t="s">
        <v>2081</v>
      </c>
      <c r="M617" s="32" t="s">
        <v>2212</v>
      </c>
      <c r="N617" s="0" t="n">
        <v>2</v>
      </c>
      <c r="O617" s="32" t="s">
        <v>827</v>
      </c>
      <c r="P617" s="32" t="s">
        <v>2101</v>
      </c>
      <c r="Q617" s="32" t="s">
        <v>2138</v>
      </c>
      <c r="R617" s="0" t="str">
        <f aca="false">IF(H617="GEN","GM",H617)</f>
        <v>RHE</v>
      </c>
    </row>
    <row r="618" customFormat="false" ht="15" hidden="false" customHeight="false" outlineLevel="0" collapsed="false">
      <c r="A618" s="0" t="s">
        <v>3080</v>
      </c>
      <c r="B618" s="0" t="s">
        <v>2514</v>
      </c>
      <c r="C618" s="0" t="s">
        <v>930</v>
      </c>
      <c r="D618" s="31" t="n">
        <v>24158</v>
      </c>
      <c r="E618" s="31" t="n">
        <v>45594</v>
      </c>
      <c r="F618" s="32" t="s">
        <v>2078</v>
      </c>
      <c r="G618" s="32" t="s">
        <v>2104</v>
      </c>
      <c r="H618" s="32" t="s">
        <v>802</v>
      </c>
      <c r="I618" s="31" t="n">
        <v>45596</v>
      </c>
      <c r="J618" s="32" t="s">
        <v>2080</v>
      </c>
      <c r="K618" s="0" t="n">
        <v>2</v>
      </c>
      <c r="L618" s="32" t="s">
        <v>2081</v>
      </c>
      <c r="M618" s="32" t="s">
        <v>2141</v>
      </c>
      <c r="N618" s="0" t="n">
        <v>2</v>
      </c>
      <c r="O618" s="32" t="s">
        <v>803</v>
      </c>
      <c r="P618" s="32" t="s">
        <v>2201</v>
      </c>
      <c r="Q618" s="32" t="s">
        <v>2157</v>
      </c>
      <c r="R618" s="0" t="str">
        <f aca="false">IF(H618="GEN","GM",H618)</f>
        <v>GYN</v>
      </c>
    </row>
    <row r="619" customFormat="false" ht="15" hidden="false" customHeight="false" outlineLevel="0" collapsed="false">
      <c r="A619" s="0" t="s">
        <v>3081</v>
      </c>
      <c r="B619" s="0" t="s">
        <v>2301</v>
      </c>
      <c r="C619" s="0" t="s">
        <v>993</v>
      </c>
      <c r="D619" s="31" t="n">
        <v>20756</v>
      </c>
      <c r="E619" s="31" t="n">
        <v>45723</v>
      </c>
      <c r="F619" s="32" t="s">
        <v>2078</v>
      </c>
      <c r="G619" s="32" t="s">
        <v>2099</v>
      </c>
      <c r="H619" s="32" t="s">
        <v>766</v>
      </c>
      <c r="I619" s="31" t="n">
        <v>45726</v>
      </c>
      <c r="J619" s="32" t="s">
        <v>2080</v>
      </c>
      <c r="K619" s="0" t="n">
        <v>3</v>
      </c>
      <c r="L619" s="32" t="s">
        <v>2081</v>
      </c>
      <c r="M619" s="32" t="s">
        <v>2195</v>
      </c>
      <c r="N619" s="0" t="n">
        <v>3</v>
      </c>
      <c r="O619" s="32" t="s">
        <v>767</v>
      </c>
      <c r="Q619" s="32" t="s">
        <v>2198</v>
      </c>
      <c r="R619" s="0" t="str">
        <f aca="false">IF(H619="GEN","GM",H619)</f>
        <v>OR</v>
      </c>
    </row>
    <row r="620" customFormat="false" ht="15" hidden="false" customHeight="false" outlineLevel="0" collapsed="false">
      <c r="A620" s="0" t="s">
        <v>3082</v>
      </c>
      <c r="B620" s="0" t="s">
        <v>2794</v>
      </c>
      <c r="C620" s="0" t="s">
        <v>1005</v>
      </c>
      <c r="D620" s="31" t="n">
        <v>32791</v>
      </c>
      <c r="E620" s="31" t="n">
        <v>45566</v>
      </c>
      <c r="F620" s="32" t="s">
        <v>2078</v>
      </c>
      <c r="G620" s="32" t="s">
        <v>2088</v>
      </c>
      <c r="H620" s="32" t="s">
        <v>826</v>
      </c>
      <c r="I620" s="31" t="n">
        <v>45569</v>
      </c>
      <c r="J620" s="32" t="s">
        <v>2080</v>
      </c>
      <c r="K620" s="0" t="n">
        <v>3</v>
      </c>
      <c r="L620" s="32" t="s">
        <v>2081</v>
      </c>
      <c r="M620" s="32" t="s">
        <v>2286</v>
      </c>
      <c r="N620" s="0" t="n">
        <v>3</v>
      </c>
      <c r="O620" s="32" t="s">
        <v>827</v>
      </c>
      <c r="P620" s="32" t="s">
        <v>2162</v>
      </c>
      <c r="Q620" s="32" t="s">
        <v>2198</v>
      </c>
      <c r="R620" s="0" t="str">
        <f aca="false">IF(H620="GEN","GM",H620)</f>
        <v>RHE</v>
      </c>
    </row>
    <row r="621" customFormat="false" ht="15" hidden="false" customHeight="false" outlineLevel="0" collapsed="false">
      <c r="A621" s="0" t="s">
        <v>3083</v>
      </c>
      <c r="B621" s="0" t="s">
        <v>3084</v>
      </c>
      <c r="C621" s="0" t="s">
        <v>918</v>
      </c>
      <c r="D621" s="31" t="n">
        <v>26162</v>
      </c>
      <c r="E621" s="31" t="n">
        <v>45663</v>
      </c>
      <c r="F621" s="32" t="s">
        <v>2087</v>
      </c>
      <c r="G621" s="32" t="s">
        <v>2088</v>
      </c>
      <c r="H621" s="32" t="s">
        <v>826</v>
      </c>
      <c r="I621" s="31" t="n">
        <v>45666</v>
      </c>
      <c r="J621" s="32" t="s">
        <v>2368</v>
      </c>
      <c r="K621" s="0" t="n">
        <v>3</v>
      </c>
      <c r="L621" s="32" t="s">
        <v>2081</v>
      </c>
      <c r="M621" s="32" t="s">
        <v>2141</v>
      </c>
      <c r="N621" s="0" t="n">
        <v>3</v>
      </c>
      <c r="O621" s="32" t="s">
        <v>827</v>
      </c>
      <c r="P621" s="32" t="s">
        <v>2101</v>
      </c>
      <c r="Q621" s="32" t="s">
        <v>2259</v>
      </c>
      <c r="R621" s="0" t="str">
        <f aca="false">IF(H621="GEN","GM",H621)</f>
        <v>RHE</v>
      </c>
    </row>
    <row r="622" customFormat="false" ht="15" hidden="false" customHeight="false" outlineLevel="0" collapsed="false">
      <c r="A622" s="0" t="s">
        <v>3085</v>
      </c>
      <c r="B622" s="0" t="s">
        <v>2329</v>
      </c>
      <c r="C622" s="0" t="s">
        <v>1029</v>
      </c>
      <c r="D622" s="31" t="n">
        <v>14805</v>
      </c>
      <c r="E622" s="31" t="n">
        <v>45630</v>
      </c>
      <c r="F622" s="32" t="s">
        <v>2078</v>
      </c>
      <c r="G622" s="32" t="s">
        <v>2088</v>
      </c>
      <c r="H622" s="32" t="s">
        <v>1391</v>
      </c>
      <c r="I622" s="31" t="n">
        <v>45632</v>
      </c>
      <c r="J622" s="32" t="s">
        <v>2080</v>
      </c>
      <c r="K622" s="0" t="n">
        <v>2</v>
      </c>
      <c r="L622" s="32" t="s">
        <v>2081</v>
      </c>
      <c r="M622" s="32" t="s">
        <v>2195</v>
      </c>
      <c r="N622" s="0" t="n">
        <v>2</v>
      </c>
      <c r="O622" s="32" t="s">
        <v>748</v>
      </c>
      <c r="P622" s="32" t="s">
        <v>2156</v>
      </c>
      <c r="Q622" s="32" t="s">
        <v>2091</v>
      </c>
      <c r="R622" s="0" t="str">
        <f aca="false">IF(H622="GEN","GM",H622)</f>
        <v>GM</v>
      </c>
    </row>
    <row r="623" customFormat="false" ht="15" hidden="false" customHeight="false" outlineLevel="0" collapsed="false">
      <c r="A623" s="0" t="s">
        <v>3086</v>
      </c>
      <c r="B623" s="0" t="s">
        <v>2492</v>
      </c>
      <c r="C623" s="0" t="s">
        <v>845</v>
      </c>
      <c r="D623" s="31" t="n">
        <v>38517</v>
      </c>
      <c r="E623" s="31" t="n">
        <v>45660</v>
      </c>
      <c r="F623" s="32" t="s">
        <v>2160</v>
      </c>
      <c r="G623" s="32" t="s">
        <v>2099</v>
      </c>
      <c r="H623" s="32" t="s">
        <v>766</v>
      </c>
      <c r="I623" s="31" t="n">
        <v>45669</v>
      </c>
      <c r="J623" s="32" t="s">
        <v>2080</v>
      </c>
      <c r="K623" s="0" t="n">
        <v>9</v>
      </c>
      <c r="L623" s="32" t="s">
        <v>2081</v>
      </c>
      <c r="M623" s="32" t="s">
        <v>2161</v>
      </c>
      <c r="N623" s="0" t="n">
        <v>9</v>
      </c>
      <c r="O623" s="32" t="s">
        <v>767</v>
      </c>
      <c r="P623" s="32" t="s">
        <v>2162</v>
      </c>
      <c r="Q623" s="32" t="s">
        <v>2138</v>
      </c>
      <c r="R623" s="0" t="str">
        <f aca="false">IF(H623="GEN","GM",H623)</f>
        <v>OR</v>
      </c>
    </row>
    <row r="624" customFormat="false" ht="15" hidden="false" customHeight="false" outlineLevel="0" collapsed="false">
      <c r="A624" s="0" t="s">
        <v>3087</v>
      </c>
      <c r="B624" s="0" t="s">
        <v>2483</v>
      </c>
      <c r="C624" s="0" t="s">
        <v>2206</v>
      </c>
      <c r="D624" s="31" t="n">
        <v>25118</v>
      </c>
      <c r="E624" s="31" t="n">
        <v>45694</v>
      </c>
      <c r="F624" s="32" t="s">
        <v>2087</v>
      </c>
      <c r="G624" s="32" t="s">
        <v>2124</v>
      </c>
      <c r="H624" s="32" t="s">
        <v>785</v>
      </c>
      <c r="I624" s="31" t="n">
        <v>45700</v>
      </c>
      <c r="J624" s="32" t="s">
        <v>2080</v>
      </c>
      <c r="K624" s="0" t="n">
        <v>6</v>
      </c>
      <c r="L624" s="32" t="s">
        <v>2081</v>
      </c>
      <c r="M624" s="32" t="s">
        <v>2089</v>
      </c>
      <c r="N624" s="0" t="n">
        <v>6</v>
      </c>
      <c r="O624" s="32" t="s">
        <v>786</v>
      </c>
      <c r="P624" s="32" t="s">
        <v>2121</v>
      </c>
      <c r="Q624" s="32" t="s">
        <v>2244</v>
      </c>
      <c r="R624" s="0" t="str">
        <f aca="false">IF(H624="GEN","GM",H624)</f>
        <v>RS</v>
      </c>
    </row>
    <row r="625" customFormat="false" ht="15" hidden="false" customHeight="false" outlineLevel="0" collapsed="false">
      <c r="A625" s="0" t="s">
        <v>3088</v>
      </c>
      <c r="B625" s="0" t="s">
        <v>2949</v>
      </c>
      <c r="C625" s="0" t="s">
        <v>857</v>
      </c>
      <c r="D625" s="31" t="n">
        <v>14808</v>
      </c>
      <c r="E625" s="31" t="n">
        <v>45661</v>
      </c>
      <c r="F625" s="32" t="s">
        <v>2078</v>
      </c>
      <c r="G625" s="32" t="s">
        <v>2104</v>
      </c>
      <c r="H625" s="32" t="s">
        <v>802</v>
      </c>
      <c r="I625" s="31" t="n">
        <v>45662</v>
      </c>
      <c r="J625" s="32" t="s">
        <v>2080</v>
      </c>
      <c r="K625" s="0" t="n">
        <v>1</v>
      </c>
      <c r="L625" s="32" t="s">
        <v>2081</v>
      </c>
      <c r="M625" s="32" t="s">
        <v>2110</v>
      </c>
      <c r="N625" s="0" t="n">
        <v>1</v>
      </c>
      <c r="O625" s="32" t="s">
        <v>803</v>
      </c>
      <c r="P625" s="32" t="s">
        <v>2182</v>
      </c>
      <c r="Q625" s="32" t="s">
        <v>2190</v>
      </c>
      <c r="R625" s="0" t="str">
        <f aca="false">IF(H625="GEN","GM",H625)</f>
        <v>GYN</v>
      </c>
    </row>
    <row r="626" customFormat="false" ht="15" hidden="false" customHeight="false" outlineLevel="0" collapsed="false">
      <c r="A626" s="0" t="s">
        <v>3089</v>
      </c>
      <c r="B626" s="0" t="s">
        <v>3090</v>
      </c>
      <c r="C626" s="0" t="s">
        <v>962</v>
      </c>
      <c r="D626" s="31" t="n">
        <v>23853</v>
      </c>
      <c r="E626" s="31" t="n">
        <v>45665</v>
      </c>
      <c r="F626" s="32" t="s">
        <v>2087</v>
      </c>
      <c r="G626" s="32" t="s">
        <v>2124</v>
      </c>
      <c r="H626" s="32" t="s">
        <v>785</v>
      </c>
      <c r="I626" s="31" t="n">
        <v>45668</v>
      </c>
      <c r="J626" s="32" t="s">
        <v>2080</v>
      </c>
      <c r="K626" s="0" t="n">
        <v>3</v>
      </c>
      <c r="L626" s="32" t="s">
        <v>2081</v>
      </c>
      <c r="M626" s="32" t="s">
        <v>2152</v>
      </c>
      <c r="N626" s="0" t="n">
        <v>3</v>
      </c>
      <c r="O626" s="32" t="s">
        <v>786</v>
      </c>
      <c r="P626" s="32" t="s">
        <v>2111</v>
      </c>
      <c r="Q626" s="32" t="s">
        <v>2241</v>
      </c>
      <c r="R626" s="0" t="str">
        <f aca="false">IF(H626="GEN","GM",H626)</f>
        <v>RS</v>
      </c>
    </row>
    <row r="627" customFormat="false" ht="15" hidden="false" customHeight="false" outlineLevel="0" collapsed="false">
      <c r="A627" s="0" t="s">
        <v>3091</v>
      </c>
      <c r="B627" s="0" t="s">
        <v>2340</v>
      </c>
      <c r="C627" s="0" t="s">
        <v>970</v>
      </c>
      <c r="D627" s="31" t="n">
        <v>22683</v>
      </c>
      <c r="E627" s="31" t="n">
        <v>45589</v>
      </c>
      <c r="F627" s="32" t="s">
        <v>2087</v>
      </c>
      <c r="G627" s="32" t="s">
        <v>2088</v>
      </c>
      <c r="H627" s="32" t="s">
        <v>747</v>
      </c>
      <c r="I627" s="31" t="n">
        <v>45599</v>
      </c>
      <c r="J627" s="32" t="s">
        <v>2080</v>
      </c>
      <c r="K627" s="0" t="n">
        <v>10</v>
      </c>
      <c r="L627" s="32" t="s">
        <v>2081</v>
      </c>
      <c r="M627" s="32" t="s">
        <v>2189</v>
      </c>
      <c r="N627" s="0" t="n">
        <v>10</v>
      </c>
      <c r="O627" s="32" t="s">
        <v>748</v>
      </c>
      <c r="P627" s="32" t="s">
        <v>2156</v>
      </c>
      <c r="Q627" s="32" t="s">
        <v>2107</v>
      </c>
      <c r="R627" s="0" t="str">
        <f aca="false">IF(H627="GEN","GM",H627)</f>
        <v>GM</v>
      </c>
    </row>
    <row r="628" customFormat="false" ht="15" hidden="false" customHeight="false" outlineLevel="0" collapsed="false">
      <c r="A628" s="0" t="s">
        <v>3092</v>
      </c>
      <c r="B628" s="0" t="s">
        <v>2250</v>
      </c>
      <c r="C628" s="0" t="s">
        <v>2148</v>
      </c>
      <c r="D628" s="31" t="n">
        <v>27825</v>
      </c>
      <c r="E628" s="31" t="n">
        <v>45591</v>
      </c>
      <c r="F628" s="32" t="s">
        <v>2087</v>
      </c>
      <c r="G628" s="32" t="s">
        <v>2088</v>
      </c>
      <c r="H628" s="32" t="s">
        <v>793</v>
      </c>
      <c r="I628" s="31" t="n">
        <v>45594</v>
      </c>
      <c r="J628" s="32" t="s">
        <v>2080</v>
      </c>
      <c r="K628" s="0" t="n">
        <v>3</v>
      </c>
      <c r="L628" s="32" t="s">
        <v>2106</v>
      </c>
      <c r="M628" s="32" t="s">
        <v>2283</v>
      </c>
      <c r="N628" s="0" t="n">
        <v>3</v>
      </c>
      <c r="O628" s="32" t="s">
        <v>794</v>
      </c>
      <c r="P628" s="32" t="s">
        <v>2117</v>
      </c>
      <c r="Q628" s="32" t="s">
        <v>2179</v>
      </c>
      <c r="R628" s="0" t="str">
        <f aca="false">IF(H628="GEN","GM",H628)</f>
        <v>EM</v>
      </c>
    </row>
    <row r="629" customFormat="false" ht="15" hidden="false" customHeight="false" outlineLevel="0" collapsed="false">
      <c r="A629" s="0" t="s">
        <v>3093</v>
      </c>
      <c r="B629" s="0" t="s">
        <v>3094</v>
      </c>
      <c r="C629" s="0" t="s">
        <v>981</v>
      </c>
      <c r="D629" s="31" t="n">
        <v>22822</v>
      </c>
      <c r="E629" s="31" t="n">
        <v>45641</v>
      </c>
      <c r="F629" s="32" t="s">
        <v>2078</v>
      </c>
      <c r="G629" s="32" t="s">
        <v>2099</v>
      </c>
      <c r="H629" s="32" t="s">
        <v>818</v>
      </c>
      <c r="I629" s="31" t="n">
        <v>45642</v>
      </c>
      <c r="J629" s="32" t="s">
        <v>2080</v>
      </c>
      <c r="K629" s="0" t="n">
        <v>1</v>
      </c>
      <c r="L629" s="32" t="s">
        <v>2081</v>
      </c>
      <c r="M629" s="32" t="s">
        <v>2161</v>
      </c>
      <c r="N629" s="0" t="n">
        <v>1</v>
      </c>
      <c r="O629" s="32" t="s">
        <v>819</v>
      </c>
      <c r="P629" s="32" t="s">
        <v>2083</v>
      </c>
      <c r="Q629" s="32" t="s">
        <v>2107</v>
      </c>
      <c r="R629" s="0" t="str">
        <f aca="false">IF(H629="GEN","GM",H629)</f>
        <v>OPH</v>
      </c>
    </row>
    <row r="630" customFormat="false" ht="15" hidden="false" customHeight="false" outlineLevel="0" collapsed="false">
      <c r="A630" s="0" t="s">
        <v>3095</v>
      </c>
      <c r="B630" s="0" t="s">
        <v>2567</v>
      </c>
      <c r="C630" s="0" t="s">
        <v>1419</v>
      </c>
      <c r="D630" s="31" t="n">
        <v>22830</v>
      </c>
      <c r="E630" s="31" t="n">
        <v>45675</v>
      </c>
      <c r="F630" s="32" t="s">
        <v>2087</v>
      </c>
      <c r="G630" s="32" t="s">
        <v>2099</v>
      </c>
      <c r="H630" s="32" t="s">
        <v>818</v>
      </c>
      <c r="I630" s="31" t="n">
        <v>45685</v>
      </c>
      <c r="J630" s="32" t="s">
        <v>2160</v>
      </c>
      <c r="K630" s="0" t="n">
        <v>10</v>
      </c>
      <c r="L630" s="32" t="s">
        <v>2081</v>
      </c>
      <c r="M630" s="32" t="s">
        <v>2089</v>
      </c>
      <c r="N630" s="0" t="n">
        <v>12</v>
      </c>
      <c r="O630" s="32" t="s">
        <v>819</v>
      </c>
      <c r="P630" s="32" t="s">
        <v>2182</v>
      </c>
      <c r="Q630" s="32" t="s">
        <v>2190</v>
      </c>
      <c r="R630" s="0" t="str">
        <f aca="false">IF(H630="GEN","GM",H630)</f>
        <v>OPH</v>
      </c>
    </row>
    <row r="631" customFormat="false" ht="15" hidden="false" customHeight="false" outlineLevel="0" collapsed="false">
      <c r="A631" s="0" t="s">
        <v>3096</v>
      </c>
      <c r="B631" s="0" t="s">
        <v>2372</v>
      </c>
      <c r="C631" s="0" t="s">
        <v>950</v>
      </c>
      <c r="D631" s="31" t="n">
        <v>31955</v>
      </c>
      <c r="E631" s="31" t="n">
        <v>45578</v>
      </c>
      <c r="F631" s="32" t="s">
        <v>2087</v>
      </c>
      <c r="G631" s="32" t="s">
        <v>2079</v>
      </c>
      <c r="H631" s="32" t="s">
        <v>810</v>
      </c>
      <c r="I631" s="31" t="n">
        <v>45579</v>
      </c>
      <c r="J631" s="32" t="s">
        <v>2080</v>
      </c>
      <c r="K631" s="0" t="n">
        <v>1</v>
      </c>
      <c r="L631" s="32" t="s">
        <v>2081</v>
      </c>
      <c r="M631" s="32" t="s">
        <v>2136</v>
      </c>
      <c r="N631" s="0" t="n">
        <v>1</v>
      </c>
      <c r="O631" s="32" t="s">
        <v>811</v>
      </c>
      <c r="P631" s="32" t="s">
        <v>2101</v>
      </c>
      <c r="Q631" s="32" t="s">
        <v>2112</v>
      </c>
      <c r="R631" s="0" t="str">
        <f aca="false">IF(H631="GEN","GM",H631)</f>
        <v>URO</v>
      </c>
    </row>
    <row r="632" customFormat="false" ht="15" hidden="false" customHeight="false" outlineLevel="0" collapsed="false">
      <c r="A632" s="0" t="s">
        <v>3097</v>
      </c>
      <c r="B632" s="0" t="s">
        <v>2604</v>
      </c>
      <c r="C632" s="0" t="s">
        <v>906</v>
      </c>
      <c r="D632" s="31" t="n">
        <v>22467</v>
      </c>
      <c r="E632" s="31" t="n">
        <v>45579</v>
      </c>
      <c r="F632" s="32" t="s">
        <v>2087</v>
      </c>
      <c r="G632" s="32" t="s">
        <v>2104</v>
      </c>
      <c r="H632" s="32" t="s">
        <v>802</v>
      </c>
      <c r="I632" s="31" t="n">
        <v>45584</v>
      </c>
      <c r="J632" s="32" t="s">
        <v>2080</v>
      </c>
      <c r="K632" s="0" t="n">
        <v>5</v>
      </c>
      <c r="L632" s="32" t="s">
        <v>2081</v>
      </c>
      <c r="M632" s="32" t="s">
        <v>2152</v>
      </c>
      <c r="N632" s="0" t="n">
        <v>5</v>
      </c>
      <c r="O632" s="32" t="s">
        <v>803</v>
      </c>
      <c r="P632" s="32" t="s">
        <v>2083</v>
      </c>
      <c r="Q632" s="32" t="s">
        <v>2190</v>
      </c>
      <c r="R632" s="0" t="str">
        <f aca="false">IF(H632="GEN","GM",H632)</f>
        <v>GYN</v>
      </c>
    </row>
    <row r="633" customFormat="false" ht="15" hidden="false" customHeight="false" outlineLevel="0" collapsed="false">
      <c r="A633" s="0" t="s">
        <v>3098</v>
      </c>
      <c r="B633" s="0" t="s">
        <v>3099</v>
      </c>
      <c r="C633" s="0" t="s">
        <v>1453</v>
      </c>
      <c r="D633" s="31" t="n">
        <v>26425</v>
      </c>
      <c r="E633" s="31" t="n">
        <v>45723</v>
      </c>
      <c r="F633" s="32" t="s">
        <v>2087</v>
      </c>
      <c r="G633" s="32" t="s">
        <v>2099</v>
      </c>
      <c r="H633" s="32" t="s">
        <v>818</v>
      </c>
      <c r="I633" s="31" t="n">
        <v>45729</v>
      </c>
      <c r="J633" s="32" t="s">
        <v>2080</v>
      </c>
      <c r="K633" s="0" t="n">
        <v>6</v>
      </c>
      <c r="L633" s="32" t="s">
        <v>2081</v>
      </c>
      <c r="M633" s="32" t="s">
        <v>2212</v>
      </c>
      <c r="N633" s="0" t="n">
        <v>6</v>
      </c>
      <c r="O633" s="32" t="s">
        <v>819</v>
      </c>
      <c r="P633" s="32" t="s">
        <v>2201</v>
      </c>
      <c r="Q633" s="32" t="s">
        <v>2145</v>
      </c>
      <c r="R633" s="0" t="str">
        <f aca="false">IF(H633="GEN","GM",H633)</f>
        <v>OPH</v>
      </c>
    </row>
    <row r="634" customFormat="false" ht="15" hidden="false" customHeight="false" outlineLevel="0" collapsed="false">
      <c r="A634" s="0" t="s">
        <v>3100</v>
      </c>
      <c r="B634" s="0" t="s">
        <v>2524</v>
      </c>
      <c r="C634" s="0" t="s">
        <v>825</v>
      </c>
      <c r="D634" s="31" t="n">
        <v>33591</v>
      </c>
      <c r="E634" s="31" t="n">
        <v>45704</v>
      </c>
      <c r="F634" s="32" t="s">
        <v>2087</v>
      </c>
      <c r="G634" s="32" t="s">
        <v>2115</v>
      </c>
      <c r="H634" s="32" t="s">
        <v>758</v>
      </c>
      <c r="I634" s="31" t="n">
        <v>45706</v>
      </c>
      <c r="J634" s="32" t="s">
        <v>2160</v>
      </c>
      <c r="K634" s="0" t="n">
        <v>2</v>
      </c>
      <c r="L634" s="32" t="s">
        <v>2081</v>
      </c>
      <c r="M634" s="32" t="s">
        <v>2189</v>
      </c>
      <c r="N634" s="0" t="n">
        <v>2</v>
      </c>
      <c r="O634" s="32" t="s">
        <v>759</v>
      </c>
      <c r="P634" s="32" t="s">
        <v>2121</v>
      </c>
      <c r="Q634" s="32" t="s">
        <v>2084</v>
      </c>
      <c r="R634" s="0" t="str">
        <f aca="false">IF(H634="GEN","GM",H634)</f>
        <v>CS</v>
      </c>
    </row>
    <row r="635" customFormat="false" ht="15" hidden="false" customHeight="false" outlineLevel="0" collapsed="false">
      <c r="A635" s="0" t="s">
        <v>3101</v>
      </c>
      <c r="B635" s="0" t="s">
        <v>2831</v>
      </c>
      <c r="C635" s="0" t="s">
        <v>1453</v>
      </c>
      <c r="D635" s="31" t="n">
        <v>31294</v>
      </c>
      <c r="E635" s="31" t="n">
        <v>45703</v>
      </c>
      <c r="F635" s="32" t="s">
        <v>2078</v>
      </c>
      <c r="G635" s="32" t="s">
        <v>2088</v>
      </c>
      <c r="H635" s="32" t="s">
        <v>747</v>
      </c>
      <c r="I635" s="31" t="n">
        <v>45704</v>
      </c>
      <c r="J635" s="32" t="s">
        <v>2105</v>
      </c>
      <c r="K635" s="0" t="n">
        <v>1</v>
      </c>
      <c r="L635" s="32" t="s">
        <v>2081</v>
      </c>
      <c r="M635" s="32" t="s">
        <v>2141</v>
      </c>
      <c r="N635" s="0" t="n">
        <v>1</v>
      </c>
      <c r="O635" s="32" t="s">
        <v>748</v>
      </c>
      <c r="P635" s="32" t="s">
        <v>2117</v>
      </c>
      <c r="Q635" s="32" t="s">
        <v>2112</v>
      </c>
      <c r="R635" s="0" t="str">
        <f aca="false">IF(H635="GEN","GM",H635)</f>
        <v>GM</v>
      </c>
    </row>
    <row r="636" customFormat="false" ht="15" hidden="false" customHeight="false" outlineLevel="0" collapsed="false">
      <c r="A636" s="0" t="s">
        <v>3102</v>
      </c>
      <c r="B636" s="0" t="s">
        <v>2252</v>
      </c>
      <c r="C636" s="0" t="s">
        <v>2178</v>
      </c>
      <c r="D636" s="31" t="n">
        <v>15138</v>
      </c>
      <c r="E636" s="31" t="n">
        <v>45661</v>
      </c>
      <c r="F636" s="32" t="s">
        <v>2078</v>
      </c>
      <c r="G636" s="32" t="s">
        <v>2104</v>
      </c>
      <c r="H636" s="32" t="s">
        <v>802</v>
      </c>
      <c r="I636" s="31" t="n">
        <v>45662</v>
      </c>
      <c r="J636" s="32" t="s">
        <v>2080</v>
      </c>
      <c r="K636" s="0" t="n">
        <v>1</v>
      </c>
      <c r="L636" s="32" t="s">
        <v>2081</v>
      </c>
      <c r="M636" s="32" t="s">
        <v>2094</v>
      </c>
      <c r="N636" s="0" t="n">
        <v>1</v>
      </c>
      <c r="O636" s="32" t="s">
        <v>803</v>
      </c>
      <c r="P636" s="32" t="s">
        <v>2133</v>
      </c>
      <c r="Q636" s="32" t="s">
        <v>2138</v>
      </c>
      <c r="R636" s="0" t="str">
        <f aca="false">IF(H636="GEN","GM",H636)</f>
        <v>GYN</v>
      </c>
    </row>
    <row r="637" customFormat="false" ht="15" hidden="false" customHeight="false" outlineLevel="0" collapsed="false">
      <c r="A637" s="0" t="s">
        <v>3103</v>
      </c>
      <c r="B637" s="0" t="s">
        <v>2174</v>
      </c>
      <c r="C637" s="0" t="s">
        <v>833</v>
      </c>
      <c r="D637" s="31" t="n">
        <v>13268</v>
      </c>
      <c r="E637" s="31" t="n">
        <v>45655</v>
      </c>
      <c r="F637" s="32" t="s">
        <v>2087</v>
      </c>
      <c r="G637" s="32" t="s">
        <v>2124</v>
      </c>
      <c r="H637" s="32" t="s">
        <v>785</v>
      </c>
      <c r="I637" s="31" t="n">
        <v>45657</v>
      </c>
      <c r="J637" s="32" t="s">
        <v>2080</v>
      </c>
      <c r="K637" s="0" t="n">
        <v>2</v>
      </c>
      <c r="L637" s="32" t="s">
        <v>2081</v>
      </c>
      <c r="M637" s="32" t="s">
        <v>2283</v>
      </c>
      <c r="N637" s="0" t="n">
        <v>2</v>
      </c>
      <c r="O637" s="32" t="s">
        <v>786</v>
      </c>
      <c r="P637" s="32" t="s">
        <v>2179</v>
      </c>
      <c r="Q637" s="32" t="s">
        <v>2118</v>
      </c>
      <c r="R637" s="0" t="str">
        <f aca="false">IF(H637="GEN","GM",H637)</f>
        <v>RS</v>
      </c>
    </row>
    <row r="638" customFormat="false" ht="15" hidden="false" customHeight="false" outlineLevel="0" collapsed="false">
      <c r="A638" s="0" t="s">
        <v>3104</v>
      </c>
      <c r="B638" s="0" t="s">
        <v>3105</v>
      </c>
      <c r="C638" s="0" t="s">
        <v>966</v>
      </c>
      <c r="D638" s="31" t="n">
        <v>37475</v>
      </c>
      <c r="E638" s="31" t="n">
        <v>45696</v>
      </c>
      <c r="F638" s="32" t="s">
        <v>2078</v>
      </c>
      <c r="G638" s="32" t="s">
        <v>2079</v>
      </c>
      <c r="H638" s="32" t="s">
        <v>810</v>
      </c>
      <c r="I638" s="31" t="n">
        <v>45700</v>
      </c>
      <c r="J638" s="32" t="s">
        <v>2080</v>
      </c>
      <c r="K638" s="0" t="n">
        <v>4</v>
      </c>
      <c r="M638" s="32" t="s">
        <v>2094</v>
      </c>
      <c r="N638" s="0" t="n">
        <v>4</v>
      </c>
      <c r="O638" s="32" t="s">
        <v>811</v>
      </c>
      <c r="P638" s="32" t="s">
        <v>2182</v>
      </c>
      <c r="Q638" s="32" t="s">
        <v>2179</v>
      </c>
      <c r="R638" s="0" t="str">
        <f aca="false">IF(H638="GEN","GM",H638)</f>
        <v>URO</v>
      </c>
    </row>
    <row r="639" customFormat="false" ht="15" hidden="false" customHeight="false" outlineLevel="0" collapsed="false">
      <c r="A639" s="0" t="s">
        <v>3106</v>
      </c>
      <c r="B639" s="0" t="s">
        <v>2405</v>
      </c>
      <c r="C639" s="0" t="s">
        <v>837</v>
      </c>
      <c r="D639" s="31" t="n">
        <v>28333</v>
      </c>
      <c r="E639" s="31" t="n">
        <v>45595</v>
      </c>
      <c r="F639" s="32" t="s">
        <v>2078</v>
      </c>
      <c r="G639" s="32" t="s">
        <v>2088</v>
      </c>
      <c r="H639" s="32" t="s">
        <v>826</v>
      </c>
      <c r="I639" s="31" t="n">
        <v>45596</v>
      </c>
      <c r="J639" s="32" t="s">
        <v>2080</v>
      </c>
      <c r="K639" s="0" t="n">
        <v>1</v>
      </c>
      <c r="L639" s="32" t="s">
        <v>2081</v>
      </c>
      <c r="M639" s="32" t="s">
        <v>2136</v>
      </c>
      <c r="N639" s="0" t="n">
        <v>0</v>
      </c>
      <c r="O639" s="32" t="s">
        <v>827</v>
      </c>
      <c r="P639" s="32" t="s">
        <v>2156</v>
      </c>
      <c r="Q639" s="32" t="s">
        <v>2198</v>
      </c>
      <c r="R639" s="0" t="str">
        <f aca="false">IF(H639="GEN","GM",H639)</f>
        <v>RHE</v>
      </c>
    </row>
    <row r="640" customFormat="false" ht="15" hidden="false" customHeight="false" outlineLevel="0" collapsed="false">
      <c r="A640" s="0" t="s">
        <v>3107</v>
      </c>
      <c r="B640" s="0" t="s">
        <v>2177</v>
      </c>
      <c r="C640" s="0" t="s">
        <v>966</v>
      </c>
      <c r="D640" s="31" t="n">
        <v>24233</v>
      </c>
      <c r="E640" s="31" t="n">
        <v>45585</v>
      </c>
      <c r="F640" s="32" t="s">
        <v>2087</v>
      </c>
      <c r="G640" s="32" t="s">
        <v>2115</v>
      </c>
      <c r="H640" s="32" t="s">
        <v>758</v>
      </c>
      <c r="I640" s="31" t="n">
        <v>45586</v>
      </c>
      <c r="J640" s="32" t="s">
        <v>2080</v>
      </c>
      <c r="K640" s="0" t="n">
        <v>1</v>
      </c>
      <c r="L640" s="32" t="s">
        <v>2081</v>
      </c>
      <c r="M640" s="32" t="s">
        <v>2195</v>
      </c>
      <c r="N640" s="0" t="n">
        <v>1</v>
      </c>
      <c r="O640" s="32" t="s">
        <v>759</v>
      </c>
      <c r="P640" s="32" t="s">
        <v>2213</v>
      </c>
      <c r="Q640" s="32" t="s">
        <v>2244</v>
      </c>
      <c r="R640" s="0" t="str">
        <f aca="false">IF(H640="GEN","GM",H640)</f>
        <v>CS</v>
      </c>
    </row>
    <row r="641" customFormat="false" ht="15" hidden="false" customHeight="false" outlineLevel="0" collapsed="false">
      <c r="A641" s="0" t="s">
        <v>3108</v>
      </c>
      <c r="B641" s="0" t="s">
        <v>2739</v>
      </c>
      <c r="C641" s="0" t="s">
        <v>2206</v>
      </c>
      <c r="D641" s="31" t="n">
        <v>37991</v>
      </c>
      <c r="E641" s="31" t="n">
        <v>45696</v>
      </c>
      <c r="F641" s="32" t="s">
        <v>2087</v>
      </c>
      <c r="G641" s="32" t="s">
        <v>2079</v>
      </c>
      <c r="H641" s="32" t="s">
        <v>810</v>
      </c>
      <c r="I641" s="31" t="n">
        <v>45704</v>
      </c>
      <c r="J641" s="32" t="s">
        <v>2080</v>
      </c>
      <c r="K641" s="0" t="n">
        <v>8</v>
      </c>
      <c r="L641" s="32" t="s">
        <v>2081</v>
      </c>
      <c r="M641" s="32" t="s">
        <v>2141</v>
      </c>
      <c r="N641" s="0" t="n">
        <v>8</v>
      </c>
      <c r="O641" s="32" t="s">
        <v>811</v>
      </c>
      <c r="P641" s="32" t="s">
        <v>2095</v>
      </c>
      <c r="Q641" s="32" t="s">
        <v>2244</v>
      </c>
      <c r="R641" s="0" t="str">
        <f aca="false">IF(H641="GEN","GM",H641)</f>
        <v>URO</v>
      </c>
    </row>
    <row r="642" customFormat="false" ht="15" hidden="false" customHeight="false" outlineLevel="0" collapsed="false">
      <c r="A642" s="0" t="s">
        <v>3109</v>
      </c>
      <c r="B642" s="0" t="s">
        <v>2496</v>
      </c>
      <c r="C642" s="0" t="s">
        <v>746</v>
      </c>
      <c r="D642" s="31" t="n">
        <v>20896</v>
      </c>
      <c r="E642" s="31" t="n">
        <v>45647</v>
      </c>
      <c r="F642" s="32" t="s">
        <v>2087</v>
      </c>
      <c r="G642" s="32" t="s">
        <v>2099</v>
      </c>
      <c r="H642" s="32" t="s">
        <v>818</v>
      </c>
      <c r="I642" s="31" t="n">
        <v>45653</v>
      </c>
      <c r="J642" s="32" t="s">
        <v>2080</v>
      </c>
      <c r="K642" s="0" t="n">
        <v>6</v>
      </c>
      <c r="L642" s="32" t="s">
        <v>2081</v>
      </c>
      <c r="M642" s="32" t="s">
        <v>2082</v>
      </c>
      <c r="N642" s="0" t="n">
        <v>6</v>
      </c>
      <c r="O642" s="32" t="s">
        <v>819</v>
      </c>
      <c r="P642" s="32" t="s">
        <v>2162</v>
      </c>
      <c r="Q642" s="32" t="s">
        <v>2138</v>
      </c>
      <c r="R642" s="0" t="str">
        <f aca="false">IF(H642="GEN","GM",H642)</f>
        <v>OPH</v>
      </c>
    </row>
    <row r="643" customFormat="false" ht="15" hidden="false" customHeight="false" outlineLevel="0" collapsed="false">
      <c r="A643" s="0" t="s">
        <v>3110</v>
      </c>
      <c r="B643" s="0" t="s">
        <v>2363</v>
      </c>
      <c r="C643" s="0" t="s">
        <v>853</v>
      </c>
      <c r="D643" s="31" t="n">
        <v>17741</v>
      </c>
      <c r="E643" s="31" t="n">
        <v>45699</v>
      </c>
      <c r="F643" s="32" t="s">
        <v>2087</v>
      </c>
      <c r="G643" s="32" t="s">
        <v>2088</v>
      </c>
      <c r="H643" s="32" t="s">
        <v>747</v>
      </c>
      <c r="I643" s="31" t="n">
        <v>45708</v>
      </c>
      <c r="J643" s="32" t="s">
        <v>2080</v>
      </c>
      <c r="K643" s="0" t="n">
        <v>9</v>
      </c>
      <c r="L643" s="32" t="s">
        <v>2081</v>
      </c>
      <c r="M643" s="32" t="s">
        <v>2195</v>
      </c>
      <c r="N643" s="0" t="n">
        <v>9</v>
      </c>
      <c r="O643" s="32" t="s">
        <v>748</v>
      </c>
      <c r="P643" s="32" t="s">
        <v>2149</v>
      </c>
      <c r="Q643" s="32" t="s">
        <v>2138</v>
      </c>
      <c r="R643" s="0" t="str">
        <f aca="false">IF(H643="GEN","GM",H643)</f>
        <v>GM</v>
      </c>
    </row>
    <row r="644" customFormat="false" ht="15" hidden="false" customHeight="false" outlineLevel="0" collapsed="false">
      <c r="A644" s="0" t="s">
        <v>3111</v>
      </c>
      <c r="B644" s="0" t="s">
        <v>3112</v>
      </c>
      <c r="C644" s="0" t="s">
        <v>757</v>
      </c>
      <c r="D644" s="31" t="n">
        <v>18056</v>
      </c>
      <c r="E644" s="31" t="n">
        <v>45633</v>
      </c>
      <c r="F644" s="32" t="s">
        <v>2087</v>
      </c>
      <c r="G644" s="32" t="s">
        <v>2088</v>
      </c>
      <c r="H644" s="32" t="s">
        <v>747</v>
      </c>
      <c r="I644" s="31" t="n">
        <v>45640</v>
      </c>
      <c r="J644" s="32" t="s">
        <v>2080</v>
      </c>
      <c r="K644" s="0" t="n">
        <v>7</v>
      </c>
      <c r="L644" s="32" t="s">
        <v>2106</v>
      </c>
      <c r="M644" s="32" t="s">
        <v>2212</v>
      </c>
      <c r="N644" s="0" t="n">
        <v>7</v>
      </c>
      <c r="O644" s="32" t="s">
        <v>748</v>
      </c>
      <c r="P644" s="32" t="s">
        <v>2201</v>
      </c>
      <c r="Q644" s="32" t="s">
        <v>2138</v>
      </c>
      <c r="R644" s="0" t="str">
        <f aca="false">IF(H644="GEN","GM",H644)</f>
        <v>GM</v>
      </c>
    </row>
    <row r="645" customFormat="false" ht="15" hidden="false" customHeight="false" outlineLevel="0" collapsed="false">
      <c r="A645" s="0" t="s">
        <v>3113</v>
      </c>
      <c r="B645" s="0" t="s">
        <v>2995</v>
      </c>
      <c r="C645" s="0" t="s">
        <v>1390</v>
      </c>
      <c r="D645" s="31" t="n">
        <v>25253</v>
      </c>
      <c r="E645" s="31" t="n">
        <v>45581</v>
      </c>
      <c r="F645" s="32" t="s">
        <v>2078</v>
      </c>
      <c r="G645" s="32" t="s">
        <v>2079</v>
      </c>
      <c r="H645" s="32" t="s">
        <v>776</v>
      </c>
      <c r="I645" s="31" t="n">
        <v>45584</v>
      </c>
      <c r="J645" s="32" t="s">
        <v>2307</v>
      </c>
      <c r="K645" s="0" t="n">
        <v>3</v>
      </c>
      <c r="L645" s="32" t="s">
        <v>2081</v>
      </c>
      <c r="M645" s="32" t="s">
        <v>2152</v>
      </c>
      <c r="N645" s="0" t="n">
        <v>3</v>
      </c>
      <c r="O645" s="32" t="s">
        <v>777</v>
      </c>
      <c r="P645" s="32" t="s">
        <v>2133</v>
      </c>
      <c r="Q645" s="32" t="s">
        <v>2084</v>
      </c>
      <c r="R645" s="0" t="str">
        <f aca="false">IF(H645="GEN","GM",H645)</f>
        <v>GS</v>
      </c>
    </row>
    <row r="646" customFormat="false" ht="15" hidden="false" customHeight="false" outlineLevel="0" collapsed="false">
      <c r="A646" s="0" t="s">
        <v>3114</v>
      </c>
      <c r="B646" s="0" t="s">
        <v>3003</v>
      </c>
      <c r="C646" s="0" t="s">
        <v>985</v>
      </c>
      <c r="D646" s="31" t="n">
        <v>16676</v>
      </c>
      <c r="E646" s="31" t="n">
        <v>45731</v>
      </c>
      <c r="F646" s="32" t="s">
        <v>2078</v>
      </c>
      <c r="G646" s="32" t="s">
        <v>2124</v>
      </c>
      <c r="H646" s="32" t="s">
        <v>785</v>
      </c>
      <c r="I646" s="31" t="n">
        <v>45734</v>
      </c>
      <c r="J646" s="32" t="s">
        <v>2080</v>
      </c>
      <c r="K646" s="0" t="n">
        <v>3</v>
      </c>
      <c r="L646" s="32" t="s">
        <v>2081</v>
      </c>
      <c r="M646" s="32" t="s">
        <v>2227</v>
      </c>
      <c r="N646" s="0" t="n">
        <v>3</v>
      </c>
      <c r="O646" s="32" t="s">
        <v>786</v>
      </c>
      <c r="P646" s="32" t="s">
        <v>2137</v>
      </c>
      <c r="Q646" s="32" t="s">
        <v>2138</v>
      </c>
      <c r="R646" s="0" t="str">
        <f aca="false">IF(H646="GEN","GM",H646)</f>
        <v>RS</v>
      </c>
    </row>
    <row r="647" customFormat="false" ht="15" hidden="false" customHeight="false" outlineLevel="0" collapsed="false">
      <c r="A647" s="0" t="s">
        <v>3115</v>
      </c>
      <c r="B647" s="0" t="s">
        <v>2977</v>
      </c>
      <c r="C647" s="0" t="s">
        <v>809</v>
      </c>
      <c r="D647" s="31" t="n">
        <v>19726</v>
      </c>
      <c r="E647" s="31" t="n">
        <v>45658</v>
      </c>
      <c r="F647" s="32" t="s">
        <v>2087</v>
      </c>
      <c r="G647" s="32" t="s">
        <v>2104</v>
      </c>
      <c r="H647" s="32" t="s">
        <v>802</v>
      </c>
      <c r="I647" s="31" t="n">
        <v>45660</v>
      </c>
      <c r="J647" s="32" t="s">
        <v>2080</v>
      </c>
      <c r="K647" s="0" t="n">
        <v>2</v>
      </c>
      <c r="M647" s="32" t="s">
        <v>2132</v>
      </c>
      <c r="N647" s="0" t="n">
        <v>2</v>
      </c>
      <c r="O647" s="32" t="s">
        <v>803</v>
      </c>
      <c r="P647" s="32" t="s">
        <v>2095</v>
      </c>
      <c r="Q647" s="32" t="s">
        <v>2138</v>
      </c>
      <c r="R647" s="0" t="str">
        <f aca="false">IF(H647="GEN","GM",H647)</f>
        <v>GYN</v>
      </c>
    </row>
    <row r="648" customFormat="false" ht="15" hidden="false" customHeight="false" outlineLevel="0" collapsed="false">
      <c r="A648" s="0" t="s">
        <v>3116</v>
      </c>
      <c r="B648" s="0" t="s">
        <v>2209</v>
      </c>
      <c r="C648" s="0" t="s">
        <v>890</v>
      </c>
      <c r="D648" s="31" t="n">
        <v>14564</v>
      </c>
      <c r="E648" s="31" t="n">
        <v>45576</v>
      </c>
      <c r="F648" s="32" t="s">
        <v>2078</v>
      </c>
      <c r="G648" s="32" t="s">
        <v>2079</v>
      </c>
      <c r="H648" s="32" t="s">
        <v>776</v>
      </c>
      <c r="I648" s="31" t="n">
        <v>45580</v>
      </c>
      <c r="J648" s="32" t="s">
        <v>2080</v>
      </c>
      <c r="K648" s="0" t="n">
        <v>4</v>
      </c>
      <c r="L648" s="32" t="s">
        <v>2081</v>
      </c>
      <c r="M648" s="32" t="s">
        <v>2189</v>
      </c>
      <c r="N648" s="0" t="n">
        <v>4</v>
      </c>
      <c r="O648" s="32" t="s">
        <v>777</v>
      </c>
      <c r="P648" s="32" t="s">
        <v>2121</v>
      </c>
      <c r="Q648" s="32" t="s">
        <v>2241</v>
      </c>
      <c r="R648" s="0" t="str">
        <f aca="false">IF(H648="GEN","GM",H648)</f>
        <v>GS</v>
      </c>
    </row>
    <row r="649" customFormat="false" ht="15" hidden="false" customHeight="false" outlineLevel="0" collapsed="false">
      <c r="A649" s="0" t="s">
        <v>3117</v>
      </c>
      <c r="B649" s="0" t="s">
        <v>3105</v>
      </c>
      <c r="C649" s="0" t="s">
        <v>1402</v>
      </c>
      <c r="D649" s="31" t="n">
        <v>13005</v>
      </c>
      <c r="E649" s="31" t="n">
        <v>45641</v>
      </c>
      <c r="F649" s="32" t="s">
        <v>2078</v>
      </c>
      <c r="G649" s="32" t="s">
        <v>2099</v>
      </c>
      <c r="H649" s="32" t="s">
        <v>766</v>
      </c>
      <c r="I649" s="31" t="n">
        <v>45646</v>
      </c>
      <c r="J649" s="32" t="s">
        <v>2080</v>
      </c>
      <c r="K649" s="0" t="n">
        <v>5</v>
      </c>
      <c r="L649" s="32" t="s">
        <v>2081</v>
      </c>
      <c r="M649" s="32" t="s">
        <v>2189</v>
      </c>
      <c r="N649" s="0" t="n">
        <v>5</v>
      </c>
      <c r="O649" s="32" t="s">
        <v>767</v>
      </c>
      <c r="P649" s="32" t="s">
        <v>2201</v>
      </c>
      <c r="Q649" s="32" t="s">
        <v>2138</v>
      </c>
      <c r="R649" s="0" t="str">
        <f aca="false">IF(H649="GEN","GM",H649)</f>
        <v>OR</v>
      </c>
    </row>
    <row r="650" customFormat="false" ht="15" hidden="false" customHeight="false" outlineLevel="0" collapsed="false">
      <c r="A650" s="0" t="s">
        <v>3118</v>
      </c>
      <c r="B650" s="0" t="s">
        <v>2784</v>
      </c>
      <c r="C650" s="0" t="s">
        <v>886</v>
      </c>
      <c r="D650" s="31" t="n">
        <v>30590</v>
      </c>
      <c r="E650" s="31" t="n">
        <v>45599</v>
      </c>
      <c r="F650" s="32" t="s">
        <v>2078</v>
      </c>
      <c r="G650" s="32" t="s">
        <v>2088</v>
      </c>
      <c r="H650" s="32" t="s">
        <v>793</v>
      </c>
      <c r="I650" s="31" t="n">
        <v>45601</v>
      </c>
      <c r="J650" s="32" t="s">
        <v>2080</v>
      </c>
      <c r="K650" s="0" t="n">
        <v>2</v>
      </c>
      <c r="L650" s="32" t="s">
        <v>2081</v>
      </c>
      <c r="M650" s="32" t="s">
        <v>2212</v>
      </c>
      <c r="N650" s="0" t="n">
        <v>2</v>
      </c>
      <c r="O650" s="32" t="s">
        <v>794</v>
      </c>
      <c r="P650" s="32" t="s">
        <v>2175</v>
      </c>
      <c r="Q650" s="32" t="s">
        <v>2259</v>
      </c>
      <c r="R650" s="0" t="str">
        <f aca="false">IF(H650="GEN","GM",H650)</f>
        <v>EM</v>
      </c>
    </row>
    <row r="651" customFormat="false" ht="15" hidden="false" customHeight="false" outlineLevel="0" collapsed="false">
      <c r="A651" s="0" t="s">
        <v>3119</v>
      </c>
      <c r="B651" s="0" t="s">
        <v>2243</v>
      </c>
      <c r="C651" s="0" t="s">
        <v>849</v>
      </c>
      <c r="D651" s="31" t="n">
        <v>27656</v>
      </c>
      <c r="E651" s="31" t="n">
        <v>45639</v>
      </c>
      <c r="F651" s="32" t="s">
        <v>2087</v>
      </c>
      <c r="G651" s="32" t="s">
        <v>2099</v>
      </c>
      <c r="H651" s="32" t="s">
        <v>818</v>
      </c>
      <c r="I651" s="31" t="n">
        <v>45645</v>
      </c>
      <c r="J651" s="32" t="s">
        <v>2080</v>
      </c>
      <c r="K651" s="0" t="n">
        <v>6</v>
      </c>
      <c r="L651" s="32" t="s">
        <v>2081</v>
      </c>
      <c r="M651" s="32" t="s">
        <v>2089</v>
      </c>
      <c r="N651" s="0" t="n">
        <v>6</v>
      </c>
      <c r="O651" s="32" t="s">
        <v>819</v>
      </c>
      <c r="P651" s="32" t="s">
        <v>2179</v>
      </c>
      <c r="Q651" s="32" t="s">
        <v>2138</v>
      </c>
      <c r="R651" s="0" t="str">
        <f aca="false">IF(H651="GEN","GM",H651)</f>
        <v>OPH</v>
      </c>
    </row>
    <row r="652" customFormat="false" ht="15" hidden="false" customHeight="false" outlineLevel="0" collapsed="false">
      <c r="A652" s="0" t="s">
        <v>3120</v>
      </c>
      <c r="B652" s="0" t="s">
        <v>2451</v>
      </c>
      <c r="C652" s="0" t="s">
        <v>1460</v>
      </c>
      <c r="D652" s="31" t="n">
        <v>23616</v>
      </c>
      <c r="E652" s="31" t="n">
        <v>45724</v>
      </c>
      <c r="F652" s="32" t="s">
        <v>2087</v>
      </c>
      <c r="G652" s="32" t="s">
        <v>2115</v>
      </c>
      <c r="H652" s="32" t="s">
        <v>758</v>
      </c>
      <c r="I652" s="31" t="n">
        <v>45731</v>
      </c>
      <c r="J652" s="32" t="s">
        <v>2080</v>
      </c>
      <c r="K652" s="0" t="n">
        <v>7</v>
      </c>
      <c r="L652" s="32" t="s">
        <v>2081</v>
      </c>
      <c r="M652" s="32" t="s">
        <v>2089</v>
      </c>
      <c r="N652" s="0" t="n">
        <v>7</v>
      </c>
      <c r="O652" s="32" t="s">
        <v>759</v>
      </c>
      <c r="P652" s="32" t="s">
        <v>2201</v>
      </c>
      <c r="Q652" s="32" t="s">
        <v>2170</v>
      </c>
      <c r="R652" s="0" t="str">
        <f aca="false">IF(H652="GEN","GM",H652)</f>
        <v>CS</v>
      </c>
    </row>
    <row r="653" customFormat="false" ht="15" hidden="false" customHeight="false" outlineLevel="0" collapsed="false">
      <c r="A653" s="0" t="s">
        <v>3121</v>
      </c>
      <c r="B653" s="0" t="s">
        <v>2570</v>
      </c>
      <c r="C653" s="0" t="s">
        <v>1460</v>
      </c>
      <c r="D653" s="31" t="n">
        <v>33008</v>
      </c>
      <c r="E653" s="31" t="n">
        <v>45647</v>
      </c>
      <c r="F653" s="32" t="s">
        <v>2087</v>
      </c>
      <c r="G653" s="32" t="s">
        <v>2079</v>
      </c>
      <c r="H653" s="32" t="s">
        <v>776</v>
      </c>
      <c r="I653" s="31" t="n">
        <v>45650</v>
      </c>
      <c r="J653" s="32" t="s">
        <v>2080</v>
      </c>
      <c r="K653" s="0" t="n">
        <v>3</v>
      </c>
      <c r="L653" s="32" t="s">
        <v>2081</v>
      </c>
      <c r="M653" s="32" t="s">
        <v>2110</v>
      </c>
      <c r="N653" s="0" t="n">
        <v>3</v>
      </c>
      <c r="O653" s="32" t="s">
        <v>777</v>
      </c>
      <c r="Q653" s="32" t="s">
        <v>2125</v>
      </c>
      <c r="R653" s="0" t="str">
        <f aca="false">IF(H653="GEN","GM",H653)</f>
        <v>GS</v>
      </c>
    </row>
    <row r="654" customFormat="false" ht="15" hidden="false" customHeight="false" outlineLevel="0" collapsed="false">
      <c r="A654" s="0" t="s">
        <v>3122</v>
      </c>
      <c r="B654" s="0" t="s">
        <v>3123</v>
      </c>
      <c r="C654" s="0" t="s">
        <v>765</v>
      </c>
      <c r="D654" s="31" t="n">
        <v>13775</v>
      </c>
      <c r="E654" s="31" t="n">
        <v>45722</v>
      </c>
      <c r="F654" s="32" t="s">
        <v>2078</v>
      </c>
      <c r="G654" s="32" t="s">
        <v>2104</v>
      </c>
      <c r="H654" s="32" t="s">
        <v>802</v>
      </c>
      <c r="I654" s="31" t="n">
        <v>45722</v>
      </c>
      <c r="J654" s="32" t="s">
        <v>2080</v>
      </c>
      <c r="K654" s="0" t="n">
        <v>0</v>
      </c>
      <c r="L654" s="32" t="s">
        <v>2081</v>
      </c>
      <c r="M654" s="32" t="s">
        <v>2286</v>
      </c>
      <c r="N654" s="0" t="n">
        <v>0</v>
      </c>
      <c r="O654" s="32" t="s">
        <v>803</v>
      </c>
      <c r="P654" s="32" t="s">
        <v>2133</v>
      </c>
      <c r="Q654" s="32" t="s">
        <v>2112</v>
      </c>
      <c r="R654" s="0" t="str">
        <f aca="false">IF(H654="GEN","GM",H654)</f>
        <v>GYN</v>
      </c>
    </row>
    <row r="655" customFormat="false" ht="15" hidden="false" customHeight="false" outlineLevel="0" collapsed="false">
      <c r="A655" s="0" t="s">
        <v>3124</v>
      </c>
      <c r="B655" s="0" t="s">
        <v>2329</v>
      </c>
      <c r="C655" s="0" t="s">
        <v>1390</v>
      </c>
      <c r="D655" s="31" t="n">
        <v>22152</v>
      </c>
      <c r="E655" s="31" t="n">
        <v>45724</v>
      </c>
      <c r="F655" s="32" t="s">
        <v>2087</v>
      </c>
      <c r="G655" s="32" t="s">
        <v>2088</v>
      </c>
      <c r="H655" s="32" t="s">
        <v>826</v>
      </c>
      <c r="L655" s="32" t="s">
        <v>2081</v>
      </c>
      <c r="M655" s="32" t="s">
        <v>2286</v>
      </c>
      <c r="O655" s="32" t="s">
        <v>827</v>
      </c>
      <c r="P655" s="32" t="s">
        <v>2156</v>
      </c>
      <c r="Q655" s="32" t="s">
        <v>2153</v>
      </c>
      <c r="R655" s="0" t="str">
        <f aca="false">IF(H655="GEN","GM",H655)</f>
        <v>RHE</v>
      </c>
    </row>
    <row r="656" customFormat="false" ht="15" hidden="false" customHeight="false" outlineLevel="0" collapsed="false">
      <c r="A656" s="0" t="s">
        <v>3125</v>
      </c>
      <c r="B656" s="0" t="s">
        <v>2285</v>
      </c>
      <c r="C656" s="0" t="s">
        <v>765</v>
      </c>
      <c r="D656" s="31" t="n">
        <v>36668</v>
      </c>
      <c r="E656" s="31" t="n">
        <v>45680</v>
      </c>
      <c r="F656" s="32" t="s">
        <v>2078</v>
      </c>
      <c r="G656" s="32" t="s">
        <v>2115</v>
      </c>
      <c r="H656" s="32" t="s">
        <v>758</v>
      </c>
      <c r="I656" s="31" t="n">
        <v>45681</v>
      </c>
      <c r="J656" s="32" t="s">
        <v>2080</v>
      </c>
      <c r="K656" s="0" t="n">
        <v>1</v>
      </c>
      <c r="L656" s="32" t="s">
        <v>2081</v>
      </c>
      <c r="M656" s="32" t="s">
        <v>2128</v>
      </c>
      <c r="N656" s="0" t="n">
        <v>1</v>
      </c>
      <c r="O656" s="32" t="s">
        <v>759</v>
      </c>
      <c r="P656" s="32" t="s">
        <v>2142</v>
      </c>
      <c r="Q656" s="32" t="s">
        <v>2118</v>
      </c>
      <c r="R656" s="0" t="str">
        <f aca="false">IF(H656="GEN","GM",H656)</f>
        <v>CS</v>
      </c>
    </row>
    <row r="657" customFormat="false" ht="15" hidden="false" customHeight="false" outlineLevel="0" collapsed="false">
      <c r="A657" s="0" t="s">
        <v>3126</v>
      </c>
      <c r="B657" s="0" t="s">
        <v>2736</v>
      </c>
      <c r="C657" s="0" t="s">
        <v>757</v>
      </c>
      <c r="D657" s="31" t="n">
        <v>15864</v>
      </c>
      <c r="E657" s="31" t="n">
        <v>45662</v>
      </c>
      <c r="F657" s="32" t="s">
        <v>2078</v>
      </c>
      <c r="G657" s="32" t="s">
        <v>2104</v>
      </c>
      <c r="H657" s="32" t="s">
        <v>802</v>
      </c>
      <c r="I657" s="31" t="n">
        <v>45668</v>
      </c>
      <c r="J657" s="32" t="s">
        <v>2080</v>
      </c>
      <c r="K657" s="0" t="n">
        <v>6</v>
      </c>
      <c r="L657" s="32" t="s">
        <v>2081</v>
      </c>
      <c r="M657" s="32" t="s">
        <v>2283</v>
      </c>
      <c r="N657" s="0" t="n">
        <v>6</v>
      </c>
      <c r="O657" s="32" t="s">
        <v>803</v>
      </c>
      <c r="P657" s="32" t="s">
        <v>2213</v>
      </c>
      <c r="Q657" s="32" t="s">
        <v>2138</v>
      </c>
      <c r="R657" s="0" t="str">
        <f aca="false">IF(H657="GEN","GM",H657)</f>
        <v>GYN</v>
      </c>
    </row>
    <row r="658" customFormat="false" ht="15" hidden="false" customHeight="false" outlineLevel="0" collapsed="false">
      <c r="A658" s="0" t="s">
        <v>3127</v>
      </c>
      <c r="B658" s="0" t="s">
        <v>2279</v>
      </c>
      <c r="C658" s="0" t="s">
        <v>1414</v>
      </c>
      <c r="D658" s="31" t="n">
        <v>19804</v>
      </c>
      <c r="E658" s="31" t="n">
        <v>45666</v>
      </c>
      <c r="F658" s="32" t="s">
        <v>2078</v>
      </c>
      <c r="G658" s="32" t="s">
        <v>2124</v>
      </c>
      <c r="H658" s="32" t="s">
        <v>785</v>
      </c>
      <c r="I658" s="31" t="n">
        <v>45667</v>
      </c>
      <c r="J658" s="32" t="s">
        <v>2080</v>
      </c>
      <c r="K658" s="0" t="n">
        <v>1</v>
      </c>
      <c r="L658" s="32" t="s">
        <v>2081</v>
      </c>
      <c r="M658" s="32" t="s">
        <v>2089</v>
      </c>
      <c r="N658" s="0" t="n">
        <v>1</v>
      </c>
      <c r="O658" s="32" t="s">
        <v>786</v>
      </c>
      <c r="P658" s="32" t="s">
        <v>2101</v>
      </c>
      <c r="Q658" s="32" t="s">
        <v>2107</v>
      </c>
      <c r="R658" s="0" t="str">
        <f aca="false">IF(H658="GEN","GM",H658)</f>
        <v>RS</v>
      </c>
    </row>
    <row r="659" customFormat="false" ht="15" hidden="false" customHeight="false" outlineLevel="0" collapsed="false">
      <c r="A659" s="0" t="s">
        <v>3128</v>
      </c>
      <c r="C659" s="0" t="s">
        <v>837</v>
      </c>
      <c r="D659" s="31" t="n">
        <v>20366</v>
      </c>
      <c r="E659" s="31" t="n">
        <v>45706</v>
      </c>
      <c r="F659" s="32" t="s">
        <v>2160</v>
      </c>
      <c r="G659" s="32" t="s">
        <v>2099</v>
      </c>
      <c r="H659" s="32" t="s">
        <v>766</v>
      </c>
      <c r="I659" s="31" t="n">
        <v>45708</v>
      </c>
      <c r="J659" s="32" t="s">
        <v>2080</v>
      </c>
      <c r="K659" s="0" t="n">
        <v>2</v>
      </c>
      <c r="L659" s="32" t="s">
        <v>2081</v>
      </c>
      <c r="M659" s="32" t="s">
        <v>2227</v>
      </c>
      <c r="N659" s="0" t="n">
        <v>2</v>
      </c>
      <c r="O659" s="32" t="s">
        <v>767</v>
      </c>
      <c r="P659" s="32" t="s">
        <v>2179</v>
      </c>
      <c r="Q659" s="32" t="s">
        <v>2244</v>
      </c>
      <c r="R659" s="0" t="str">
        <f aca="false">IF(H659="GEN","GM",H659)</f>
        <v>OR</v>
      </c>
    </row>
    <row r="660" customFormat="false" ht="15" hidden="false" customHeight="false" outlineLevel="0" collapsed="false">
      <c r="A660" s="0" t="s">
        <v>3129</v>
      </c>
      <c r="B660" s="0" t="s">
        <v>2512</v>
      </c>
      <c r="C660" s="0" t="s">
        <v>1005</v>
      </c>
      <c r="D660" s="31" t="n">
        <v>13883</v>
      </c>
      <c r="E660" s="31" t="n">
        <v>45610</v>
      </c>
      <c r="F660" s="32" t="s">
        <v>2078</v>
      </c>
      <c r="G660" s="32" t="s">
        <v>2099</v>
      </c>
      <c r="H660" s="32" t="s">
        <v>766</v>
      </c>
      <c r="I660" s="31" t="n">
        <v>45611</v>
      </c>
      <c r="J660" s="32" t="s">
        <v>2105</v>
      </c>
      <c r="K660" s="0" t="n">
        <v>1</v>
      </c>
      <c r="L660" s="32" t="s">
        <v>2106</v>
      </c>
      <c r="M660" s="32" t="s">
        <v>2152</v>
      </c>
      <c r="N660" s="0" t="n">
        <v>1</v>
      </c>
      <c r="O660" s="32" t="s">
        <v>767</v>
      </c>
      <c r="P660" s="32" t="s">
        <v>2111</v>
      </c>
      <c r="Q660" s="32" t="s">
        <v>2241</v>
      </c>
      <c r="R660" s="0" t="str">
        <f aca="false">IF(H660="GEN","GM",H660)</f>
        <v>OR</v>
      </c>
    </row>
    <row r="661" customFormat="false" ht="15" hidden="false" customHeight="false" outlineLevel="0" collapsed="false">
      <c r="A661" s="0" t="s">
        <v>3130</v>
      </c>
      <c r="B661" s="0" t="s">
        <v>3010</v>
      </c>
      <c r="C661" s="0" t="s">
        <v>926</v>
      </c>
      <c r="D661" s="31" t="n">
        <v>27234</v>
      </c>
      <c r="E661" s="31" t="n">
        <v>45673</v>
      </c>
      <c r="F661" s="32" t="s">
        <v>2078</v>
      </c>
      <c r="G661" s="32" t="s">
        <v>2099</v>
      </c>
      <c r="H661" s="32" t="s">
        <v>766</v>
      </c>
      <c r="I661" s="31" t="n">
        <v>45682</v>
      </c>
      <c r="J661" s="32" t="s">
        <v>2080</v>
      </c>
      <c r="K661" s="0" t="n">
        <v>9</v>
      </c>
      <c r="L661" s="32" t="s">
        <v>2106</v>
      </c>
      <c r="M661" s="32" t="s">
        <v>2089</v>
      </c>
      <c r="N661" s="0" t="n">
        <v>9</v>
      </c>
      <c r="O661" s="32" t="s">
        <v>767</v>
      </c>
      <c r="P661" s="32" t="s">
        <v>2142</v>
      </c>
      <c r="Q661" s="32" t="s">
        <v>2241</v>
      </c>
      <c r="R661" s="0" t="str">
        <f aca="false">IF(H661="GEN","GM",H661)</f>
        <v>OR</v>
      </c>
    </row>
    <row r="662" customFormat="false" ht="15" hidden="false" customHeight="false" outlineLevel="0" collapsed="false">
      <c r="A662" s="0" t="s">
        <v>3131</v>
      </c>
      <c r="B662" s="0" t="s">
        <v>2875</v>
      </c>
      <c r="C662" s="0" t="s">
        <v>833</v>
      </c>
      <c r="D662" s="31" t="n">
        <v>35629</v>
      </c>
      <c r="E662" s="31" t="n">
        <v>45683</v>
      </c>
      <c r="F662" s="32" t="s">
        <v>2078</v>
      </c>
      <c r="G662" s="32" t="s">
        <v>2115</v>
      </c>
      <c r="H662" s="32" t="s">
        <v>758</v>
      </c>
      <c r="I662" s="31" t="n">
        <v>45686</v>
      </c>
      <c r="J662" s="32" t="s">
        <v>2080</v>
      </c>
      <c r="K662" s="0" t="n">
        <v>3</v>
      </c>
      <c r="L662" s="32" t="s">
        <v>2081</v>
      </c>
      <c r="M662" s="32" t="s">
        <v>2227</v>
      </c>
      <c r="N662" s="0" t="n">
        <v>3</v>
      </c>
      <c r="O662" s="32" t="s">
        <v>759</v>
      </c>
      <c r="P662" s="32" t="s">
        <v>2201</v>
      </c>
      <c r="Q662" s="32" t="s">
        <v>2084</v>
      </c>
      <c r="R662" s="0" t="str">
        <f aca="false">IF(H662="GEN","GM",H662)</f>
        <v>CS</v>
      </c>
    </row>
    <row r="663" customFormat="false" ht="15" hidden="false" customHeight="false" outlineLevel="0" collapsed="false">
      <c r="A663" s="0" t="s">
        <v>3132</v>
      </c>
      <c r="B663" s="0" t="s">
        <v>2744</v>
      </c>
      <c r="C663" s="0" t="s">
        <v>1005</v>
      </c>
      <c r="D663" s="31" t="n">
        <v>38216</v>
      </c>
      <c r="E663" s="31" t="n">
        <v>45606</v>
      </c>
      <c r="F663" s="32" t="s">
        <v>2087</v>
      </c>
      <c r="G663" s="32" t="s">
        <v>2079</v>
      </c>
      <c r="H663" s="32" t="s">
        <v>810</v>
      </c>
      <c r="I663" s="31" t="n">
        <v>45610</v>
      </c>
      <c r="J663" s="32" t="s">
        <v>2080</v>
      </c>
      <c r="K663" s="0" t="n">
        <v>4</v>
      </c>
      <c r="L663" s="32" t="s">
        <v>2081</v>
      </c>
      <c r="M663" s="32" t="s">
        <v>2195</v>
      </c>
      <c r="N663" s="0" t="n">
        <v>4</v>
      </c>
      <c r="O663" s="32" t="s">
        <v>811</v>
      </c>
      <c r="P663" s="32" t="s">
        <v>2201</v>
      </c>
      <c r="Q663" s="32" t="s">
        <v>2107</v>
      </c>
      <c r="R663" s="0" t="str">
        <f aca="false">IF(H663="GEN","GM",H663)</f>
        <v>URO</v>
      </c>
    </row>
    <row r="664" customFormat="false" ht="15" hidden="false" customHeight="false" outlineLevel="0" collapsed="false">
      <c r="A664" s="0" t="s">
        <v>3133</v>
      </c>
      <c r="B664" s="0" t="s">
        <v>2135</v>
      </c>
      <c r="C664" s="0" t="s">
        <v>950</v>
      </c>
      <c r="D664" s="31" t="n">
        <v>32502</v>
      </c>
      <c r="E664" s="31" t="n">
        <v>45729</v>
      </c>
      <c r="F664" s="32" t="s">
        <v>2078</v>
      </c>
      <c r="G664" s="32" t="s">
        <v>2115</v>
      </c>
      <c r="H664" s="32" t="s">
        <v>758</v>
      </c>
      <c r="I664" s="31" t="n">
        <v>45731</v>
      </c>
      <c r="J664" s="32" t="s">
        <v>2080</v>
      </c>
      <c r="K664" s="0" t="n">
        <v>2</v>
      </c>
      <c r="L664" s="32" t="s">
        <v>2081</v>
      </c>
      <c r="M664" s="32" t="s">
        <v>2189</v>
      </c>
      <c r="N664" s="0" t="n">
        <v>2</v>
      </c>
      <c r="O664" s="32" t="s">
        <v>759</v>
      </c>
      <c r="P664" s="32" t="s">
        <v>2238</v>
      </c>
      <c r="Q664" s="32" t="s">
        <v>2259</v>
      </c>
      <c r="R664" s="0" t="str">
        <f aca="false">IF(H664="GEN","GM",H664)</f>
        <v>CS</v>
      </c>
    </row>
    <row r="665" customFormat="false" ht="15" hidden="false" customHeight="false" outlineLevel="0" collapsed="false">
      <c r="A665" s="0" t="s">
        <v>3134</v>
      </c>
      <c r="B665" s="0" t="s">
        <v>2725</v>
      </c>
      <c r="C665" s="0" t="s">
        <v>1410</v>
      </c>
      <c r="D665" s="31" t="n">
        <v>38400</v>
      </c>
      <c r="E665" s="31" t="n">
        <v>45716</v>
      </c>
      <c r="F665" s="32" t="s">
        <v>2078</v>
      </c>
      <c r="G665" s="32" t="s">
        <v>2104</v>
      </c>
      <c r="H665" s="32" t="s">
        <v>802</v>
      </c>
      <c r="I665" s="31" t="n">
        <v>45720</v>
      </c>
      <c r="J665" s="32" t="s">
        <v>2080</v>
      </c>
      <c r="K665" s="0" t="n">
        <v>4</v>
      </c>
      <c r="L665" s="32" t="s">
        <v>2081</v>
      </c>
      <c r="M665" s="32" t="s">
        <v>2227</v>
      </c>
      <c r="N665" s="0" t="n">
        <v>4</v>
      </c>
      <c r="O665" s="32" t="s">
        <v>803</v>
      </c>
      <c r="P665" s="32" t="s">
        <v>2111</v>
      </c>
      <c r="Q665" s="32" t="s">
        <v>2165</v>
      </c>
      <c r="R665" s="0" t="str">
        <f aca="false">IF(H665="GEN","GM",H665)</f>
        <v>GYN</v>
      </c>
    </row>
    <row r="666" customFormat="false" ht="15" hidden="false" customHeight="false" outlineLevel="0" collapsed="false">
      <c r="A666" s="0" t="s">
        <v>3135</v>
      </c>
      <c r="B666" s="0" t="s">
        <v>3136</v>
      </c>
      <c r="C666" s="0" t="s">
        <v>837</v>
      </c>
      <c r="D666" s="31" t="n">
        <v>20250</v>
      </c>
      <c r="E666" s="31" t="n">
        <v>45573</v>
      </c>
      <c r="F666" s="32" t="s">
        <v>2078</v>
      </c>
      <c r="G666" s="32" t="s">
        <v>2115</v>
      </c>
      <c r="H666" s="32" t="s">
        <v>758</v>
      </c>
      <c r="I666" s="31" t="n">
        <v>45574</v>
      </c>
      <c r="J666" s="32" t="s">
        <v>2080</v>
      </c>
      <c r="K666" s="0" t="n">
        <v>1</v>
      </c>
      <c r="L666" s="32" t="s">
        <v>2081</v>
      </c>
      <c r="M666" s="32" t="s">
        <v>2116</v>
      </c>
      <c r="N666" s="0" t="n">
        <v>1</v>
      </c>
      <c r="O666" s="32" t="s">
        <v>759</v>
      </c>
      <c r="P666" s="32" t="s">
        <v>2179</v>
      </c>
      <c r="Q666" s="32" t="s">
        <v>2170</v>
      </c>
      <c r="R666" s="0" t="str">
        <f aca="false">IF(H666="GEN","GM",H666)</f>
        <v>CS</v>
      </c>
    </row>
    <row r="667" customFormat="false" ht="15" hidden="false" customHeight="false" outlineLevel="0" collapsed="false">
      <c r="A667" s="0" t="s">
        <v>3137</v>
      </c>
      <c r="B667" s="0" t="s">
        <v>2297</v>
      </c>
      <c r="C667" s="0" t="s">
        <v>1025</v>
      </c>
      <c r="D667" s="31" t="n">
        <v>38645</v>
      </c>
      <c r="E667" s="31" t="n">
        <v>45642</v>
      </c>
      <c r="F667" s="32" t="s">
        <v>2087</v>
      </c>
      <c r="G667" s="32" t="s">
        <v>2124</v>
      </c>
      <c r="H667" s="32" t="s">
        <v>785</v>
      </c>
      <c r="I667" s="31" t="n">
        <v>45652</v>
      </c>
      <c r="J667" s="32" t="s">
        <v>2080</v>
      </c>
      <c r="K667" s="0" t="n">
        <v>10</v>
      </c>
      <c r="L667" s="32" t="s">
        <v>2081</v>
      </c>
      <c r="M667" s="32" t="s">
        <v>2255</v>
      </c>
      <c r="N667" s="0" t="n">
        <v>10</v>
      </c>
      <c r="P667" s="32" t="s">
        <v>2121</v>
      </c>
      <c r="Q667" s="32" t="s">
        <v>2157</v>
      </c>
      <c r="R667" s="0" t="str">
        <f aca="false">IF(H667="GEN","GM",H667)</f>
        <v>RS</v>
      </c>
    </row>
    <row r="668" customFormat="false" ht="15" hidden="false" customHeight="false" outlineLevel="0" collapsed="false">
      <c r="A668" s="0" t="s">
        <v>3138</v>
      </c>
      <c r="B668" s="0" t="s">
        <v>2294</v>
      </c>
      <c r="C668" s="0" t="s">
        <v>801</v>
      </c>
      <c r="D668" s="31" t="n">
        <v>36284</v>
      </c>
      <c r="E668" s="31" t="n">
        <v>45659</v>
      </c>
      <c r="F668" s="32" t="s">
        <v>2087</v>
      </c>
      <c r="G668" s="32" t="s">
        <v>2079</v>
      </c>
      <c r="H668" s="32" t="s">
        <v>810</v>
      </c>
      <c r="I668" s="31" t="n">
        <v>45669</v>
      </c>
      <c r="J668" s="32" t="s">
        <v>2105</v>
      </c>
      <c r="K668" s="0" t="n">
        <v>10</v>
      </c>
      <c r="L668" s="32" t="s">
        <v>2081</v>
      </c>
      <c r="M668" s="32" t="s">
        <v>2207</v>
      </c>
      <c r="N668" s="0" t="n">
        <v>10</v>
      </c>
      <c r="O668" s="32" t="s">
        <v>811</v>
      </c>
      <c r="P668" s="32" t="s">
        <v>2149</v>
      </c>
      <c r="Q668" s="32" t="s">
        <v>2145</v>
      </c>
      <c r="R668" s="0" t="str">
        <f aca="false">IF(H668="GEN","GM",H668)</f>
        <v>URO</v>
      </c>
    </row>
    <row r="669" customFormat="false" ht="15" hidden="false" customHeight="false" outlineLevel="0" collapsed="false">
      <c r="A669" s="0" t="s">
        <v>3139</v>
      </c>
      <c r="B669" s="0" t="s">
        <v>2923</v>
      </c>
      <c r="C669" s="0" t="s">
        <v>809</v>
      </c>
      <c r="D669" s="31" t="n">
        <v>23593</v>
      </c>
      <c r="E669" s="31" t="n">
        <v>45605</v>
      </c>
      <c r="F669" s="32" t="s">
        <v>2087</v>
      </c>
      <c r="G669" s="32" t="s">
        <v>2099</v>
      </c>
      <c r="H669" s="32" t="s">
        <v>818</v>
      </c>
      <c r="I669" s="31" t="n">
        <v>45607</v>
      </c>
      <c r="J669" s="32" t="s">
        <v>2160</v>
      </c>
      <c r="K669" s="0" t="n">
        <v>2</v>
      </c>
      <c r="L669" s="32" t="s">
        <v>2081</v>
      </c>
      <c r="M669" s="32" t="s">
        <v>2100</v>
      </c>
      <c r="N669" s="0" t="n">
        <v>2</v>
      </c>
      <c r="O669" s="32" t="s">
        <v>819</v>
      </c>
      <c r="P669" s="32" t="s">
        <v>2090</v>
      </c>
      <c r="Q669" s="32" t="s">
        <v>2244</v>
      </c>
      <c r="R669" s="0" t="str">
        <f aca="false">IF(H669="GEN","GM",H669)</f>
        <v>OPH</v>
      </c>
    </row>
    <row r="670" customFormat="false" ht="15" hidden="false" customHeight="false" outlineLevel="0" collapsed="false">
      <c r="A670" s="0" t="s">
        <v>3140</v>
      </c>
      <c r="B670" s="0" t="s">
        <v>2530</v>
      </c>
      <c r="C670" s="0" t="s">
        <v>886</v>
      </c>
      <c r="D670" s="31" t="n">
        <v>26177</v>
      </c>
      <c r="E670" s="31" t="n">
        <v>45574</v>
      </c>
      <c r="F670" s="32" t="s">
        <v>2087</v>
      </c>
      <c r="G670" s="32" t="s">
        <v>2088</v>
      </c>
      <c r="H670" s="32" t="s">
        <v>793</v>
      </c>
      <c r="I670" s="31" t="n">
        <v>45574</v>
      </c>
      <c r="J670" s="32" t="s">
        <v>2080</v>
      </c>
      <c r="K670" s="0" t="n">
        <v>0</v>
      </c>
      <c r="L670" s="32" t="s">
        <v>2081</v>
      </c>
      <c r="M670" s="32" t="s">
        <v>2082</v>
      </c>
      <c r="N670" s="0" t="n">
        <v>0</v>
      </c>
      <c r="O670" s="32" t="s">
        <v>794</v>
      </c>
      <c r="P670" s="32" t="s">
        <v>2133</v>
      </c>
      <c r="Q670" s="32" t="s">
        <v>2112</v>
      </c>
      <c r="R670" s="0" t="str">
        <f aca="false">IF(H670="GEN","GM",H670)</f>
        <v>EM</v>
      </c>
    </row>
    <row r="671" customFormat="false" ht="15" hidden="false" customHeight="false" outlineLevel="0" collapsed="false">
      <c r="A671" s="0" t="s">
        <v>3141</v>
      </c>
      <c r="B671" s="0" t="s">
        <v>2840</v>
      </c>
      <c r="C671" s="0" t="s">
        <v>989</v>
      </c>
      <c r="D671" s="31" t="n">
        <v>38531</v>
      </c>
      <c r="E671" s="31" t="n">
        <v>45657</v>
      </c>
      <c r="F671" s="32" t="s">
        <v>2087</v>
      </c>
      <c r="G671" s="32" t="s">
        <v>2104</v>
      </c>
      <c r="H671" s="32" t="s">
        <v>802</v>
      </c>
      <c r="I671" s="31" t="n">
        <v>45658</v>
      </c>
      <c r="J671" s="32" t="s">
        <v>2080</v>
      </c>
      <c r="K671" s="0" t="n">
        <v>1</v>
      </c>
      <c r="L671" s="32" t="s">
        <v>2081</v>
      </c>
      <c r="M671" s="32" t="s">
        <v>2286</v>
      </c>
      <c r="N671" s="0" t="n">
        <v>1</v>
      </c>
      <c r="O671" s="32" t="s">
        <v>803</v>
      </c>
      <c r="P671" s="32" t="s">
        <v>2121</v>
      </c>
      <c r="Q671" s="32" t="s">
        <v>2153</v>
      </c>
      <c r="R671" s="0" t="str">
        <f aca="false">IF(H671="GEN","GM",H671)</f>
        <v>GYN</v>
      </c>
    </row>
    <row r="672" customFormat="false" ht="15" hidden="false" customHeight="false" outlineLevel="0" collapsed="false">
      <c r="A672" s="0" t="s">
        <v>3142</v>
      </c>
      <c r="B672" s="0" t="s">
        <v>2177</v>
      </c>
      <c r="C672" s="0" t="s">
        <v>1398</v>
      </c>
      <c r="D672" s="31" t="n">
        <v>13247</v>
      </c>
      <c r="E672" s="31" t="n">
        <v>45606</v>
      </c>
      <c r="F672" s="32" t="s">
        <v>2078</v>
      </c>
      <c r="G672" s="32" t="s">
        <v>2099</v>
      </c>
      <c r="H672" s="32" t="s">
        <v>818</v>
      </c>
      <c r="I672" s="31" t="n">
        <v>45608</v>
      </c>
      <c r="J672" s="32" t="s">
        <v>2080</v>
      </c>
      <c r="K672" s="0" t="n">
        <v>2</v>
      </c>
      <c r="L672" s="32" t="s">
        <v>2081</v>
      </c>
      <c r="M672" s="32" t="s">
        <v>2286</v>
      </c>
      <c r="N672" s="0" t="n">
        <v>2</v>
      </c>
      <c r="O672" s="32" t="s">
        <v>819</v>
      </c>
      <c r="P672" s="32" t="s">
        <v>2111</v>
      </c>
      <c r="Q672" s="32" t="s">
        <v>2096</v>
      </c>
      <c r="R672" s="0" t="str">
        <f aca="false">IF(H672="GEN","GM",H672)</f>
        <v>OPH</v>
      </c>
    </row>
    <row r="673" customFormat="false" ht="15" hidden="false" customHeight="false" outlineLevel="0" collapsed="false">
      <c r="A673" s="0" t="s">
        <v>3143</v>
      </c>
      <c r="B673" s="0" t="s">
        <v>3144</v>
      </c>
      <c r="C673" s="0" t="s">
        <v>757</v>
      </c>
      <c r="D673" s="31" t="n">
        <v>27486</v>
      </c>
      <c r="E673" s="31" t="n">
        <v>45706</v>
      </c>
      <c r="F673" s="32" t="s">
        <v>2078</v>
      </c>
      <c r="G673" s="32" t="s">
        <v>2115</v>
      </c>
      <c r="H673" s="32" t="s">
        <v>758</v>
      </c>
      <c r="I673" s="31" t="n">
        <v>45715</v>
      </c>
      <c r="J673" s="32" t="s">
        <v>2080</v>
      </c>
      <c r="K673" s="0" t="n">
        <v>9</v>
      </c>
      <c r="L673" s="32" t="s">
        <v>2081</v>
      </c>
      <c r="M673" s="32" t="s">
        <v>2286</v>
      </c>
      <c r="N673" s="0" t="n">
        <v>9</v>
      </c>
      <c r="O673" s="32" t="s">
        <v>759</v>
      </c>
      <c r="P673" s="32" t="s">
        <v>2083</v>
      </c>
      <c r="Q673" s="32" t="s">
        <v>2138</v>
      </c>
      <c r="R673" s="0" t="str">
        <f aca="false">IF(H673="GEN","GM",H673)</f>
        <v>CS</v>
      </c>
    </row>
    <row r="674" customFormat="false" ht="15" hidden="false" customHeight="false" outlineLevel="0" collapsed="false">
      <c r="A674" s="0" t="s">
        <v>3145</v>
      </c>
      <c r="B674" s="0" t="s">
        <v>2282</v>
      </c>
      <c r="C674" s="0" t="s">
        <v>1009</v>
      </c>
      <c r="D674" s="31" t="n">
        <v>24913</v>
      </c>
      <c r="E674" s="31" t="n">
        <v>45652</v>
      </c>
      <c r="F674" s="32" t="s">
        <v>2087</v>
      </c>
      <c r="G674" s="32" t="s">
        <v>2115</v>
      </c>
      <c r="H674" s="32" t="s">
        <v>758</v>
      </c>
      <c r="I674" s="31" t="n">
        <v>45655</v>
      </c>
      <c r="J674" s="32" t="s">
        <v>2080</v>
      </c>
      <c r="K674" s="0" t="n">
        <v>3</v>
      </c>
      <c r="L674" s="32" t="s">
        <v>2081</v>
      </c>
      <c r="M674" s="32" t="s">
        <v>2132</v>
      </c>
      <c r="N674" s="0" t="n">
        <v>3</v>
      </c>
      <c r="O674" s="32" t="s">
        <v>759</v>
      </c>
      <c r="P674" s="32" t="s">
        <v>2095</v>
      </c>
      <c r="Q674" s="32" t="s">
        <v>2241</v>
      </c>
      <c r="R674" s="0" t="str">
        <f aca="false">IF(H674="GEN","GM",H674)</f>
        <v>CS</v>
      </c>
    </row>
    <row r="675" customFormat="false" ht="15" hidden="false" customHeight="false" outlineLevel="0" collapsed="false">
      <c r="A675" s="0" t="s">
        <v>3146</v>
      </c>
      <c r="B675" s="0" t="s">
        <v>2508</v>
      </c>
      <c r="C675" s="0" t="s">
        <v>792</v>
      </c>
      <c r="D675" s="31" t="n">
        <v>34401</v>
      </c>
      <c r="E675" s="31" t="n">
        <v>45660</v>
      </c>
      <c r="F675" s="32" t="s">
        <v>2087</v>
      </c>
      <c r="G675" s="32" t="s">
        <v>2124</v>
      </c>
      <c r="H675" s="32" t="s">
        <v>785</v>
      </c>
      <c r="I675" s="31" t="n">
        <v>45666</v>
      </c>
      <c r="J675" s="32" t="s">
        <v>2080</v>
      </c>
      <c r="K675" s="0" t="n">
        <v>6</v>
      </c>
      <c r="M675" s="32" t="s">
        <v>2116</v>
      </c>
      <c r="N675" s="0" t="n">
        <v>6</v>
      </c>
      <c r="O675" s="32" t="s">
        <v>786</v>
      </c>
      <c r="P675" s="32" t="s">
        <v>2175</v>
      </c>
      <c r="Q675" s="32" t="s">
        <v>2157</v>
      </c>
      <c r="R675" s="0" t="str">
        <f aca="false">IF(H675="GEN","GM",H675)</f>
        <v>RS</v>
      </c>
    </row>
    <row r="676" customFormat="false" ht="15" hidden="false" customHeight="false" outlineLevel="0" collapsed="false">
      <c r="A676" s="0" t="s">
        <v>3147</v>
      </c>
      <c r="B676" s="0" t="s">
        <v>3060</v>
      </c>
      <c r="C676" s="0" t="s">
        <v>910</v>
      </c>
      <c r="D676" s="31" t="n">
        <v>35393</v>
      </c>
      <c r="E676" s="31" t="n">
        <v>45570</v>
      </c>
      <c r="F676" s="32" t="s">
        <v>2078</v>
      </c>
      <c r="G676" s="32" t="s">
        <v>2088</v>
      </c>
      <c r="H676" s="32" t="s">
        <v>793</v>
      </c>
      <c r="I676" s="31" t="n">
        <v>45574</v>
      </c>
      <c r="J676" s="32" t="s">
        <v>2080</v>
      </c>
      <c r="K676" s="0" t="n">
        <v>4</v>
      </c>
      <c r="L676" s="32" t="s">
        <v>2081</v>
      </c>
      <c r="M676" s="32" t="s">
        <v>2207</v>
      </c>
      <c r="N676" s="0" t="n">
        <v>4</v>
      </c>
      <c r="O676" s="32" t="s">
        <v>794</v>
      </c>
      <c r="P676" s="32" t="s">
        <v>2083</v>
      </c>
      <c r="Q676" s="32" t="s">
        <v>2084</v>
      </c>
      <c r="R676" s="0" t="str">
        <f aca="false">IF(H676="GEN","GM",H676)</f>
        <v>EM</v>
      </c>
    </row>
    <row r="677" customFormat="false" ht="15" hidden="false" customHeight="false" outlineLevel="0" collapsed="false">
      <c r="A677" s="0" t="s">
        <v>3148</v>
      </c>
      <c r="B677" s="0" t="s">
        <v>2814</v>
      </c>
      <c r="C677" s="0" t="s">
        <v>1025</v>
      </c>
      <c r="D677" s="31" t="n">
        <v>21445</v>
      </c>
      <c r="E677" s="31" t="n">
        <v>45733</v>
      </c>
      <c r="F677" s="32" t="s">
        <v>2087</v>
      </c>
      <c r="G677" s="32" t="s">
        <v>2104</v>
      </c>
      <c r="H677" s="32" t="s">
        <v>802</v>
      </c>
      <c r="I677" s="31" t="n">
        <v>45742</v>
      </c>
      <c r="J677" s="32" t="s">
        <v>2307</v>
      </c>
      <c r="K677" s="0" t="n">
        <v>9</v>
      </c>
      <c r="L677" s="32" t="s">
        <v>2081</v>
      </c>
      <c r="M677" s="32" t="s">
        <v>2227</v>
      </c>
      <c r="N677" s="0" t="n">
        <v>9</v>
      </c>
      <c r="P677" s="32" t="s">
        <v>2201</v>
      </c>
      <c r="Q677" s="32" t="s">
        <v>2165</v>
      </c>
      <c r="R677" s="0" t="str">
        <f aca="false">IF(H677="GEN","GM",H677)</f>
        <v>GYN</v>
      </c>
    </row>
    <row r="678" customFormat="false" ht="15" hidden="false" customHeight="false" outlineLevel="0" collapsed="false">
      <c r="A678" s="0" t="s">
        <v>3149</v>
      </c>
      <c r="B678" s="0" t="s">
        <v>2690</v>
      </c>
      <c r="C678" s="0" t="s">
        <v>1414</v>
      </c>
      <c r="D678" s="31" t="n">
        <v>34974</v>
      </c>
      <c r="E678" s="31" t="n">
        <v>45666</v>
      </c>
      <c r="F678" s="32" t="s">
        <v>2078</v>
      </c>
      <c r="G678" s="32" t="s">
        <v>2088</v>
      </c>
      <c r="H678" s="32" t="s">
        <v>747</v>
      </c>
      <c r="I678" s="31" t="n">
        <v>45669</v>
      </c>
      <c r="J678" s="32" t="s">
        <v>2080</v>
      </c>
      <c r="K678" s="0" t="n">
        <v>3</v>
      </c>
      <c r="M678" s="32" t="s">
        <v>2116</v>
      </c>
      <c r="N678" s="0" t="n">
        <v>3</v>
      </c>
      <c r="O678" s="32" t="s">
        <v>748</v>
      </c>
      <c r="P678" s="32" t="s">
        <v>2117</v>
      </c>
      <c r="Q678" s="32" t="s">
        <v>2118</v>
      </c>
      <c r="R678" s="0" t="str">
        <f aca="false">IF(H678="GEN","GM",H678)</f>
        <v>GM</v>
      </c>
    </row>
    <row r="679" customFormat="false" ht="15" hidden="false" customHeight="false" outlineLevel="0" collapsed="false">
      <c r="A679" s="0" t="s">
        <v>3150</v>
      </c>
      <c r="B679" s="0" t="s">
        <v>3077</v>
      </c>
      <c r="C679" s="0" t="s">
        <v>1025</v>
      </c>
      <c r="D679" s="31" t="n">
        <v>32653</v>
      </c>
      <c r="E679" s="31" t="n">
        <v>45687</v>
      </c>
      <c r="F679" s="32" t="s">
        <v>2078</v>
      </c>
      <c r="G679" s="32" t="s">
        <v>2088</v>
      </c>
      <c r="H679" s="32" t="s">
        <v>793</v>
      </c>
      <c r="I679" s="31" t="n">
        <v>45689</v>
      </c>
      <c r="J679" s="32" t="s">
        <v>2080</v>
      </c>
      <c r="K679" s="0" t="n">
        <v>2</v>
      </c>
      <c r="L679" s="32" t="s">
        <v>2081</v>
      </c>
      <c r="M679" s="32" t="s">
        <v>2116</v>
      </c>
      <c r="N679" s="0" t="n">
        <v>2</v>
      </c>
      <c r="O679" s="32" t="s">
        <v>794</v>
      </c>
      <c r="P679" s="32" t="s">
        <v>2101</v>
      </c>
      <c r="Q679" s="32" t="s">
        <v>2241</v>
      </c>
      <c r="R679" s="0" t="str">
        <f aca="false">IF(H679="GEN","GM",H679)</f>
        <v>EM</v>
      </c>
    </row>
    <row r="680" customFormat="false" ht="15" hidden="false" customHeight="false" outlineLevel="0" collapsed="false">
      <c r="A680" s="0" t="s">
        <v>3151</v>
      </c>
      <c r="B680" s="0" t="s">
        <v>2800</v>
      </c>
      <c r="C680" s="0" t="s">
        <v>898</v>
      </c>
      <c r="D680" s="31" t="n">
        <v>21208</v>
      </c>
      <c r="E680" s="31" t="n">
        <v>45585</v>
      </c>
      <c r="F680" s="32" t="s">
        <v>2078</v>
      </c>
      <c r="G680" s="32" t="s">
        <v>2099</v>
      </c>
      <c r="H680" s="32" t="s">
        <v>766</v>
      </c>
      <c r="I680" s="31" t="n">
        <v>45590</v>
      </c>
      <c r="J680" s="32" t="s">
        <v>2080</v>
      </c>
      <c r="K680" s="0" t="n">
        <v>5</v>
      </c>
      <c r="L680" s="32" t="s">
        <v>2081</v>
      </c>
      <c r="M680" s="32" t="s">
        <v>2207</v>
      </c>
      <c r="N680" s="0" t="n">
        <v>5</v>
      </c>
      <c r="O680" s="32" t="s">
        <v>767</v>
      </c>
      <c r="P680" s="32" t="s">
        <v>2156</v>
      </c>
      <c r="Q680" s="32" t="s">
        <v>2165</v>
      </c>
      <c r="R680" s="0" t="str">
        <f aca="false">IF(H680="GEN","GM",H680)</f>
        <v>OR</v>
      </c>
    </row>
    <row r="681" customFormat="false" ht="15" hidden="false" customHeight="false" outlineLevel="0" collapsed="false">
      <c r="A681" s="0" t="s">
        <v>3152</v>
      </c>
      <c r="B681" s="0" t="s">
        <v>2584</v>
      </c>
      <c r="C681" s="0" t="s">
        <v>2148</v>
      </c>
      <c r="D681" s="31" t="n">
        <v>23388</v>
      </c>
      <c r="E681" s="31" t="n">
        <v>45715</v>
      </c>
      <c r="F681" s="32" t="s">
        <v>2078</v>
      </c>
      <c r="G681" s="32" t="s">
        <v>2104</v>
      </c>
      <c r="H681" s="32" t="s">
        <v>802</v>
      </c>
      <c r="I681" s="31" t="n">
        <v>45720</v>
      </c>
      <c r="J681" s="32" t="s">
        <v>2080</v>
      </c>
      <c r="K681" s="0" t="n">
        <v>5</v>
      </c>
      <c r="L681" s="32" t="s">
        <v>2081</v>
      </c>
      <c r="M681" s="32" t="s">
        <v>2189</v>
      </c>
      <c r="N681" s="0" t="n">
        <v>5</v>
      </c>
      <c r="P681" s="32" t="s">
        <v>2133</v>
      </c>
      <c r="Q681" s="32" t="s">
        <v>2084</v>
      </c>
      <c r="R681" s="0" t="str">
        <f aca="false">IF(H681="GEN","GM",H681)</f>
        <v>GYN</v>
      </c>
    </row>
    <row r="682" customFormat="false" ht="15" hidden="false" customHeight="false" outlineLevel="0" collapsed="false">
      <c r="A682" s="0" t="s">
        <v>3153</v>
      </c>
      <c r="B682" s="0" t="s">
        <v>2451</v>
      </c>
      <c r="C682" s="0" t="s">
        <v>825</v>
      </c>
      <c r="D682" s="31" t="n">
        <v>33841</v>
      </c>
      <c r="E682" s="31" t="n">
        <v>45576</v>
      </c>
      <c r="F682" s="32" t="s">
        <v>2078</v>
      </c>
      <c r="G682" s="32" t="s">
        <v>2115</v>
      </c>
      <c r="H682" s="32" t="s">
        <v>758</v>
      </c>
      <c r="I682" s="31" t="n">
        <v>45581</v>
      </c>
      <c r="J682" s="32" t="s">
        <v>2080</v>
      </c>
      <c r="K682" s="0" t="n">
        <v>5</v>
      </c>
      <c r="L682" s="32" t="s">
        <v>2081</v>
      </c>
      <c r="M682" s="32" t="s">
        <v>2227</v>
      </c>
      <c r="N682" s="0" t="n">
        <v>5</v>
      </c>
      <c r="O682" s="32" t="s">
        <v>759</v>
      </c>
      <c r="P682" s="32" t="s">
        <v>2121</v>
      </c>
      <c r="Q682" s="32" t="s">
        <v>2129</v>
      </c>
      <c r="R682" s="0" t="str">
        <f aca="false">IF(H682="GEN","GM",H682)</f>
        <v>CS</v>
      </c>
    </row>
    <row r="683" customFormat="false" ht="15" hidden="false" customHeight="false" outlineLevel="0" collapsed="false">
      <c r="A683" s="0" t="s">
        <v>3154</v>
      </c>
      <c r="B683" s="0" t="s">
        <v>2428</v>
      </c>
      <c r="C683" s="0" t="s">
        <v>2206</v>
      </c>
      <c r="D683" s="31" t="n">
        <v>13035</v>
      </c>
      <c r="E683" s="31" t="n">
        <v>45581</v>
      </c>
      <c r="F683" s="32" t="s">
        <v>2160</v>
      </c>
      <c r="G683" s="32" t="s">
        <v>2104</v>
      </c>
      <c r="H683" s="32" t="s">
        <v>802</v>
      </c>
      <c r="I683" s="31" t="n">
        <v>45584</v>
      </c>
      <c r="J683" s="32" t="s">
        <v>2080</v>
      </c>
      <c r="K683" s="0" t="n">
        <v>3</v>
      </c>
      <c r="L683" s="32" t="s">
        <v>2081</v>
      </c>
      <c r="M683" s="32" t="s">
        <v>2136</v>
      </c>
      <c r="N683" s="0" t="n">
        <v>3</v>
      </c>
      <c r="O683" s="32" t="s">
        <v>803</v>
      </c>
      <c r="P683" s="32" t="s">
        <v>2137</v>
      </c>
      <c r="Q683" s="32" t="s">
        <v>2190</v>
      </c>
      <c r="R683" s="0" t="str">
        <f aca="false">IF(H683="GEN","GM",H683)</f>
        <v>GYN</v>
      </c>
    </row>
    <row r="684" customFormat="false" ht="15" hidden="false" customHeight="false" outlineLevel="0" collapsed="false">
      <c r="A684" s="0" t="s">
        <v>3155</v>
      </c>
      <c r="B684" s="0" t="s">
        <v>2993</v>
      </c>
      <c r="C684" s="0" t="s">
        <v>993</v>
      </c>
      <c r="D684" s="31" t="n">
        <v>23183</v>
      </c>
      <c r="E684" s="31" t="n">
        <v>45676</v>
      </c>
      <c r="F684" s="32" t="s">
        <v>2078</v>
      </c>
      <c r="G684" s="32" t="s">
        <v>2088</v>
      </c>
      <c r="H684" s="32" t="s">
        <v>826</v>
      </c>
      <c r="I684" s="31" t="n">
        <v>45680</v>
      </c>
      <c r="J684" s="32" t="s">
        <v>2080</v>
      </c>
      <c r="K684" s="0" t="n">
        <v>4</v>
      </c>
      <c r="L684" s="32" t="s">
        <v>2081</v>
      </c>
      <c r="M684" s="32" t="s">
        <v>2100</v>
      </c>
      <c r="N684" s="0" t="n">
        <v>4</v>
      </c>
      <c r="O684" s="32" t="s">
        <v>827</v>
      </c>
      <c r="Q684" s="32" t="s">
        <v>2165</v>
      </c>
      <c r="R684" s="0" t="str">
        <f aca="false">IF(H684="GEN","GM",H684)</f>
        <v>RHE</v>
      </c>
    </row>
    <row r="685" customFormat="false" ht="15" hidden="false" customHeight="false" outlineLevel="0" collapsed="false">
      <c r="A685" s="0" t="s">
        <v>3156</v>
      </c>
      <c r="B685" s="0" t="s">
        <v>2468</v>
      </c>
      <c r="C685" s="0" t="s">
        <v>1017</v>
      </c>
      <c r="D685" s="31" t="n">
        <v>26678</v>
      </c>
      <c r="E685" s="31" t="n">
        <v>45592</v>
      </c>
      <c r="F685" s="32" t="s">
        <v>2087</v>
      </c>
      <c r="G685" s="32" t="s">
        <v>2088</v>
      </c>
      <c r="H685" s="32" t="s">
        <v>747</v>
      </c>
      <c r="I685" s="31" t="n">
        <v>45596</v>
      </c>
      <c r="J685" s="32" t="s">
        <v>2080</v>
      </c>
      <c r="K685" s="0" t="n">
        <v>4</v>
      </c>
      <c r="L685" s="32" t="s">
        <v>2081</v>
      </c>
      <c r="M685" s="32" t="s">
        <v>2132</v>
      </c>
      <c r="N685" s="0" t="n">
        <v>4</v>
      </c>
      <c r="O685" s="32" t="s">
        <v>748</v>
      </c>
      <c r="P685" s="32" t="s">
        <v>2213</v>
      </c>
      <c r="Q685" s="32" t="s">
        <v>2084</v>
      </c>
      <c r="R685" s="0" t="str">
        <f aca="false">IF(H685="GEN","GM",H685)</f>
        <v>GM</v>
      </c>
    </row>
    <row r="686" customFormat="false" ht="15" hidden="false" customHeight="false" outlineLevel="0" collapsed="false">
      <c r="A686" s="0" t="s">
        <v>3157</v>
      </c>
      <c r="B686" s="0" t="s">
        <v>2164</v>
      </c>
      <c r="C686" s="0" t="s">
        <v>874</v>
      </c>
      <c r="D686" s="31" t="n">
        <v>28953</v>
      </c>
      <c r="E686" s="31" t="n">
        <v>45605</v>
      </c>
      <c r="F686" s="32" t="s">
        <v>2258</v>
      </c>
      <c r="G686" s="32" t="s">
        <v>2099</v>
      </c>
      <c r="H686" s="32" t="s">
        <v>766</v>
      </c>
      <c r="I686" s="31" t="n">
        <v>45609</v>
      </c>
      <c r="J686" s="32" t="s">
        <v>2080</v>
      </c>
      <c r="K686" s="0" t="n">
        <v>4</v>
      </c>
      <c r="L686" s="32" t="s">
        <v>2081</v>
      </c>
      <c r="M686" s="32" t="s">
        <v>2094</v>
      </c>
      <c r="N686" s="0" t="n">
        <v>4</v>
      </c>
      <c r="O686" s="32" t="s">
        <v>767</v>
      </c>
      <c r="P686" s="32" t="s">
        <v>2179</v>
      </c>
      <c r="Q686" s="32" t="s">
        <v>2107</v>
      </c>
      <c r="R686" s="0" t="str">
        <f aca="false">IF(H686="GEN","GM",H686)</f>
        <v>OR</v>
      </c>
    </row>
    <row r="687" customFormat="false" ht="15" hidden="false" customHeight="false" outlineLevel="0" collapsed="false">
      <c r="A687" s="0" t="s">
        <v>3158</v>
      </c>
      <c r="B687" s="0" t="s">
        <v>2363</v>
      </c>
      <c r="C687" s="0" t="s">
        <v>938</v>
      </c>
      <c r="D687" s="31" t="n">
        <v>22561</v>
      </c>
      <c r="E687" s="31" t="n">
        <v>45607</v>
      </c>
      <c r="F687" s="32" t="s">
        <v>2087</v>
      </c>
      <c r="G687" s="32" t="s">
        <v>2124</v>
      </c>
      <c r="H687" s="32" t="s">
        <v>785</v>
      </c>
      <c r="I687" s="31" t="n">
        <v>45611</v>
      </c>
      <c r="J687" s="32" t="s">
        <v>2080</v>
      </c>
      <c r="K687" s="0" t="n">
        <v>4</v>
      </c>
      <c r="L687" s="32" t="s">
        <v>2081</v>
      </c>
      <c r="M687" s="32" t="s">
        <v>2189</v>
      </c>
      <c r="N687" s="0" t="n">
        <v>4</v>
      </c>
      <c r="O687" s="32" t="s">
        <v>786</v>
      </c>
      <c r="P687" s="32" t="s">
        <v>2238</v>
      </c>
      <c r="Q687" s="32" t="s">
        <v>2190</v>
      </c>
      <c r="R687" s="0" t="str">
        <f aca="false">IF(H687="GEN","GM",H687)</f>
        <v>RS</v>
      </c>
    </row>
    <row r="688" customFormat="false" ht="15" hidden="false" customHeight="false" outlineLevel="0" collapsed="false">
      <c r="A688" s="0" t="s">
        <v>3159</v>
      </c>
      <c r="B688" s="0" t="s">
        <v>2826</v>
      </c>
      <c r="C688" s="0" t="s">
        <v>997</v>
      </c>
      <c r="D688" s="31" t="n">
        <v>27687</v>
      </c>
      <c r="E688" s="31" t="n">
        <v>45585</v>
      </c>
      <c r="F688" s="32" t="s">
        <v>2087</v>
      </c>
      <c r="G688" s="32" t="s">
        <v>2079</v>
      </c>
      <c r="H688" s="32" t="s">
        <v>776</v>
      </c>
      <c r="I688" s="31" t="n">
        <v>45589</v>
      </c>
      <c r="J688" s="32" t="s">
        <v>2080</v>
      </c>
      <c r="K688" s="0" t="n">
        <v>4</v>
      </c>
      <c r="L688" s="32" t="s">
        <v>2081</v>
      </c>
      <c r="M688" s="32" t="s">
        <v>2128</v>
      </c>
      <c r="N688" s="0" t="n">
        <v>4</v>
      </c>
      <c r="O688" s="32" t="s">
        <v>777</v>
      </c>
      <c r="P688" s="32" t="s">
        <v>2149</v>
      </c>
      <c r="Q688" s="32" t="s">
        <v>2125</v>
      </c>
      <c r="R688" s="0" t="str">
        <f aca="false">IF(H688="GEN","GM",H688)</f>
        <v>GS</v>
      </c>
    </row>
    <row r="689" customFormat="false" ht="15" hidden="false" customHeight="false" outlineLevel="0" collapsed="false">
      <c r="A689" s="0" t="s">
        <v>3160</v>
      </c>
      <c r="B689" s="0" t="s">
        <v>2385</v>
      </c>
      <c r="C689" s="0" t="s">
        <v>997</v>
      </c>
      <c r="D689" s="31" t="n">
        <v>33657</v>
      </c>
      <c r="E689" s="31" t="n">
        <v>45674</v>
      </c>
      <c r="F689" s="32" t="s">
        <v>2078</v>
      </c>
      <c r="G689" s="32" t="s">
        <v>2079</v>
      </c>
      <c r="H689" s="32" t="s">
        <v>776</v>
      </c>
      <c r="I689" s="31" t="n">
        <v>45679</v>
      </c>
      <c r="J689" s="32" t="s">
        <v>2080</v>
      </c>
      <c r="K689" s="0" t="n">
        <v>5</v>
      </c>
      <c r="L689" s="32" t="s">
        <v>2081</v>
      </c>
      <c r="M689" s="32" t="s">
        <v>2141</v>
      </c>
      <c r="N689" s="0" t="n">
        <v>5</v>
      </c>
      <c r="O689" s="32" t="s">
        <v>777</v>
      </c>
      <c r="P689" s="32" t="s">
        <v>2182</v>
      </c>
      <c r="Q689" s="32" t="s">
        <v>2259</v>
      </c>
      <c r="R689" s="0" t="str">
        <f aca="false">IF(H689="GEN","GM",H689)</f>
        <v>GS</v>
      </c>
    </row>
    <row r="690" customFormat="false" ht="15" hidden="false" customHeight="false" outlineLevel="0" collapsed="false">
      <c r="A690" s="0" t="s">
        <v>3161</v>
      </c>
      <c r="B690" s="0" t="s">
        <v>2630</v>
      </c>
      <c r="C690" s="0" t="s">
        <v>874</v>
      </c>
      <c r="D690" s="31" t="n">
        <v>37752</v>
      </c>
      <c r="E690" s="31" t="n">
        <v>45650</v>
      </c>
      <c r="F690" s="32" t="s">
        <v>2087</v>
      </c>
      <c r="G690" s="32" t="s">
        <v>2115</v>
      </c>
      <c r="H690" s="32" t="s">
        <v>758</v>
      </c>
      <c r="I690" s="31" t="n">
        <v>45653</v>
      </c>
      <c r="J690" s="32" t="s">
        <v>2080</v>
      </c>
      <c r="K690" s="0" t="n">
        <v>3</v>
      </c>
      <c r="L690" s="32" t="s">
        <v>2081</v>
      </c>
      <c r="M690" s="32" t="s">
        <v>2116</v>
      </c>
      <c r="N690" s="0" t="n">
        <v>3</v>
      </c>
      <c r="O690" s="32" t="s">
        <v>759</v>
      </c>
      <c r="P690" s="32" t="s">
        <v>2137</v>
      </c>
      <c r="Q690" s="32" t="s">
        <v>2112</v>
      </c>
      <c r="R690" s="0" t="str">
        <f aca="false">IF(H690="GEN","GM",H690)</f>
        <v>CS</v>
      </c>
    </row>
    <row r="691" customFormat="false" ht="15" hidden="false" customHeight="false" outlineLevel="0" collapsed="false">
      <c r="A691" s="0" t="s">
        <v>3162</v>
      </c>
      <c r="B691" s="0" t="s">
        <v>2506</v>
      </c>
      <c r="C691" s="0" t="s">
        <v>985</v>
      </c>
      <c r="D691" s="31" t="n">
        <v>24536</v>
      </c>
      <c r="E691" s="31" t="n">
        <v>45648</v>
      </c>
      <c r="F691" s="32" t="s">
        <v>2160</v>
      </c>
      <c r="G691" s="32" t="s">
        <v>2079</v>
      </c>
      <c r="H691" s="32" t="s">
        <v>776</v>
      </c>
      <c r="I691" s="31" t="n">
        <v>45654</v>
      </c>
      <c r="J691" s="32" t="s">
        <v>2080</v>
      </c>
      <c r="K691" s="0" t="n">
        <v>6</v>
      </c>
      <c r="L691" s="32" t="s">
        <v>2081</v>
      </c>
      <c r="M691" s="32" t="s">
        <v>2100</v>
      </c>
      <c r="N691" s="0" t="n">
        <v>6</v>
      </c>
      <c r="O691" s="32" t="s">
        <v>777</v>
      </c>
      <c r="P691" s="32" t="s">
        <v>2095</v>
      </c>
      <c r="Q691" s="32" t="s">
        <v>2170</v>
      </c>
      <c r="R691" s="0" t="str">
        <f aca="false">IF(H691="GEN","GM",H691)</f>
        <v>GS</v>
      </c>
    </row>
    <row r="692" customFormat="false" ht="15" hidden="false" customHeight="false" outlineLevel="0" collapsed="false">
      <c r="A692" s="0" t="s">
        <v>3163</v>
      </c>
      <c r="B692" s="0" t="s">
        <v>2909</v>
      </c>
      <c r="C692" s="0" t="s">
        <v>2206</v>
      </c>
      <c r="D692" s="31" t="n">
        <v>33028</v>
      </c>
      <c r="E692" s="31" t="n">
        <v>45640</v>
      </c>
      <c r="F692" s="32" t="s">
        <v>2078</v>
      </c>
      <c r="G692" s="32" t="s">
        <v>2088</v>
      </c>
      <c r="H692" s="32" t="s">
        <v>747</v>
      </c>
      <c r="I692" s="31" t="n">
        <v>45647</v>
      </c>
      <c r="J692" s="32" t="s">
        <v>2080</v>
      </c>
      <c r="K692" s="0" t="n">
        <v>7</v>
      </c>
      <c r="L692" s="32" t="s">
        <v>2081</v>
      </c>
      <c r="M692" s="32" t="s">
        <v>2152</v>
      </c>
      <c r="N692" s="0" t="n">
        <v>7</v>
      </c>
      <c r="O692" s="32" t="s">
        <v>748</v>
      </c>
      <c r="P692" s="32" t="s">
        <v>2083</v>
      </c>
      <c r="Q692" s="32" t="s">
        <v>2153</v>
      </c>
      <c r="R692" s="0" t="str">
        <f aca="false">IF(H692="GEN","GM",H692)</f>
        <v>GM</v>
      </c>
    </row>
    <row r="693" customFormat="false" ht="15" hidden="false" customHeight="false" outlineLevel="0" collapsed="false">
      <c r="A693" s="0" t="s">
        <v>3164</v>
      </c>
      <c r="B693" s="0" t="s">
        <v>2164</v>
      </c>
      <c r="C693" s="0" t="s">
        <v>765</v>
      </c>
      <c r="D693" s="31" t="n">
        <v>36659</v>
      </c>
      <c r="E693" s="31" t="n">
        <v>45729</v>
      </c>
      <c r="F693" s="32" t="s">
        <v>2087</v>
      </c>
      <c r="G693" s="32" t="s">
        <v>2088</v>
      </c>
      <c r="H693" s="32" t="s">
        <v>793</v>
      </c>
      <c r="I693" s="31" t="n">
        <v>45737</v>
      </c>
      <c r="J693" s="32" t="s">
        <v>2080</v>
      </c>
      <c r="K693" s="0" t="n">
        <v>8</v>
      </c>
      <c r="L693" s="32" t="s">
        <v>2081</v>
      </c>
      <c r="M693" s="32" t="s">
        <v>2152</v>
      </c>
      <c r="N693" s="0" t="n">
        <v>8</v>
      </c>
      <c r="O693" s="32" t="s">
        <v>794</v>
      </c>
      <c r="P693" s="32" t="s">
        <v>2133</v>
      </c>
      <c r="Q693" s="32" t="s">
        <v>2190</v>
      </c>
      <c r="R693" s="0" t="str">
        <f aca="false">IF(H693="GEN","GM",H693)</f>
        <v>EM</v>
      </c>
    </row>
    <row r="694" customFormat="false" ht="15" hidden="false" customHeight="false" outlineLevel="0" collapsed="false">
      <c r="A694" s="0" t="s">
        <v>3165</v>
      </c>
      <c r="B694" s="0" t="s">
        <v>2958</v>
      </c>
      <c r="C694" s="0" t="s">
        <v>1005</v>
      </c>
      <c r="D694" s="31" t="n">
        <v>21848</v>
      </c>
      <c r="E694" s="31" t="n">
        <v>45628</v>
      </c>
      <c r="F694" s="32" t="s">
        <v>2078</v>
      </c>
      <c r="G694" s="32" t="s">
        <v>2088</v>
      </c>
      <c r="H694" s="32" t="s">
        <v>747</v>
      </c>
      <c r="I694" s="31" t="n">
        <v>45634</v>
      </c>
      <c r="J694" s="32" t="s">
        <v>2368</v>
      </c>
      <c r="K694" s="0" t="n">
        <v>6</v>
      </c>
      <c r="L694" s="32" t="s">
        <v>2081</v>
      </c>
      <c r="M694" s="32" t="s">
        <v>2136</v>
      </c>
      <c r="N694" s="0" t="n">
        <v>7</v>
      </c>
      <c r="O694" s="32" t="s">
        <v>748</v>
      </c>
      <c r="P694" s="32" t="s">
        <v>2133</v>
      </c>
      <c r="Q694" s="32" t="s">
        <v>2138</v>
      </c>
      <c r="R694" s="0" t="str">
        <f aca="false">IF(H694="GEN","GM",H694)</f>
        <v>GM</v>
      </c>
    </row>
    <row r="695" customFormat="false" ht="15" hidden="false" customHeight="false" outlineLevel="0" collapsed="false">
      <c r="A695" s="0" t="s">
        <v>3166</v>
      </c>
      <c r="B695" s="0" t="s">
        <v>2638</v>
      </c>
      <c r="C695" s="0" t="s">
        <v>981</v>
      </c>
      <c r="D695" s="31" t="n">
        <v>32969</v>
      </c>
      <c r="E695" s="31" t="n">
        <v>45587</v>
      </c>
      <c r="F695" s="32" t="s">
        <v>2078</v>
      </c>
      <c r="G695" s="32" t="s">
        <v>2088</v>
      </c>
      <c r="H695" s="32" t="s">
        <v>1391</v>
      </c>
      <c r="I695" s="31" t="n">
        <v>45590</v>
      </c>
      <c r="J695" s="32" t="s">
        <v>2080</v>
      </c>
      <c r="K695" s="0" t="n">
        <v>3</v>
      </c>
      <c r="L695" s="32" t="s">
        <v>2081</v>
      </c>
      <c r="M695" s="32" t="s">
        <v>2132</v>
      </c>
      <c r="N695" s="0" t="n">
        <v>3</v>
      </c>
      <c r="O695" s="32" t="s">
        <v>748</v>
      </c>
      <c r="P695" s="32" t="s">
        <v>2111</v>
      </c>
      <c r="R695" s="0" t="str">
        <f aca="false">IF(H695="GEN","GM",H695)</f>
        <v>GM</v>
      </c>
    </row>
    <row r="696" customFormat="false" ht="15" hidden="false" customHeight="false" outlineLevel="0" collapsed="false">
      <c r="A696" s="0" t="s">
        <v>3167</v>
      </c>
      <c r="B696" s="0" t="s">
        <v>3084</v>
      </c>
      <c r="C696" s="0" t="s">
        <v>1393</v>
      </c>
      <c r="D696" s="31" t="n">
        <v>14409</v>
      </c>
      <c r="E696" s="31" t="n">
        <v>45677</v>
      </c>
      <c r="F696" s="32" t="s">
        <v>2078</v>
      </c>
      <c r="G696" s="32" t="s">
        <v>2104</v>
      </c>
      <c r="H696" s="32" t="s">
        <v>802</v>
      </c>
      <c r="I696" s="31" t="n">
        <v>45682</v>
      </c>
      <c r="J696" s="32" t="s">
        <v>2080</v>
      </c>
      <c r="K696" s="0" t="n">
        <v>5</v>
      </c>
      <c r="L696" s="32" t="s">
        <v>2081</v>
      </c>
      <c r="M696" s="32" t="s">
        <v>2189</v>
      </c>
      <c r="N696" s="0" t="n">
        <v>5</v>
      </c>
      <c r="O696" s="32" t="s">
        <v>803</v>
      </c>
      <c r="P696" s="32" t="s">
        <v>2149</v>
      </c>
      <c r="Q696" s="32" t="s">
        <v>2153</v>
      </c>
      <c r="R696" s="0" t="str">
        <f aca="false">IF(H696="GEN","GM",H696)</f>
        <v>GYN</v>
      </c>
    </row>
    <row r="697" customFormat="false" ht="15" hidden="false" customHeight="false" outlineLevel="0" collapsed="false">
      <c r="A697" s="0" t="s">
        <v>3168</v>
      </c>
      <c r="B697" s="0" t="s">
        <v>2398</v>
      </c>
      <c r="C697" s="0" t="s">
        <v>894</v>
      </c>
      <c r="D697" s="31" t="n">
        <v>31809</v>
      </c>
      <c r="E697" s="31" t="n">
        <v>45617</v>
      </c>
      <c r="F697" s="32" t="s">
        <v>2087</v>
      </c>
      <c r="G697" s="32" t="s">
        <v>2115</v>
      </c>
      <c r="H697" s="32" t="s">
        <v>758</v>
      </c>
      <c r="I697" s="31" t="n">
        <v>45623</v>
      </c>
      <c r="J697" s="32" t="s">
        <v>2160</v>
      </c>
      <c r="K697" s="0" t="n">
        <v>6</v>
      </c>
      <c r="L697" s="32" t="s">
        <v>2081</v>
      </c>
      <c r="M697" s="32" t="s">
        <v>2227</v>
      </c>
      <c r="N697" s="0" t="n">
        <v>6</v>
      </c>
      <c r="O697" s="32" t="s">
        <v>759</v>
      </c>
      <c r="P697" s="32" t="s">
        <v>2137</v>
      </c>
      <c r="Q697" s="32" t="s">
        <v>2153</v>
      </c>
      <c r="R697" s="0" t="str">
        <f aca="false">IF(H697="GEN","GM",H697)</f>
        <v>CS</v>
      </c>
    </row>
    <row r="698" customFormat="false" ht="15" hidden="false" customHeight="false" outlineLevel="0" collapsed="false">
      <c r="A698" s="0" t="s">
        <v>3169</v>
      </c>
      <c r="B698" s="0" t="s">
        <v>2346</v>
      </c>
      <c r="C698" s="0" t="s">
        <v>898</v>
      </c>
      <c r="D698" s="31" t="n">
        <v>24755</v>
      </c>
      <c r="E698" s="31" t="n">
        <v>45687</v>
      </c>
      <c r="F698" s="32" t="s">
        <v>2078</v>
      </c>
      <c r="G698" s="32" t="s">
        <v>2124</v>
      </c>
      <c r="H698" s="32" t="s">
        <v>785</v>
      </c>
      <c r="I698" s="31" t="n">
        <v>45689</v>
      </c>
      <c r="J698" s="32" t="s">
        <v>2080</v>
      </c>
      <c r="K698" s="0" t="n">
        <v>2</v>
      </c>
      <c r="L698" s="32" t="s">
        <v>2081</v>
      </c>
      <c r="M698" s="32" t="s">
        <v>2195</v>
      </c>
      <c r="N698" s="0" t="n">
        <v>2</v>
      </c>
      <c r="O698" s="32" t="s">
        <v>786</v>
      </c>
      <c r="P698" s="32" t="s">
        <v>2179</v>
      </c>
      <c r="Q698" s="32" t="s">
        <v>2190</v>
      </c>
      <c r="R698" s="0" t="str">
        <f aca="false">IF(H698="GEN","GM",H698)</f>
        <v>RS</v>
      </c>
    </row>
    <row r="699" customFormat="false" ht="15" hidden="false" customHeight="false" outlineLevel="0" collapsed="false">
      <c r="A699" s="0" t="s">
        <v>3170</v>
      </c>
      <c r="B699" s="0" t="s">
        <v>3010</v>
      </c>
      <c r="C699" s="0" t="s">
        <v>930</v>
      </c>
      <c r="D699" s="31" t="n">
        <v>16290</v>
      </c>
      <c r="E699" s="31" t="n">
        <v>45665</v>
      </c>
      <c r="F699" s="32" t="s">
        <v>2078</v>
      </c>
      <c r="G699" s="32" t="s">
        <v>2088</v>
      </c>
      <c r="H699" s="32" t="s">
        <v>793</v>
      </c>
      <c r="I699" s="31" t="n">
        <v>45668</v>
      </c>
      <c r="J699" s="32" t="s">
        <v>2080</v>
      </c>
      <c r="K699" s="0" t="n">
        <v>3</v>
      </c>
      <c r="L699" s="32" t="s">
        <v>2081</v>
      </c>
      <c r="M699" s="32" t="s">
        <v>2110</v>
      </c>
      <c r="N699" s="0" t="n">
        <v>3</v>
      </c>
      <c r="O699" s="32" t="s">
        <v>794</v>
      </c>
      <c r="P699" s="32" t="s">
        <v>2095</v>
      </c>
      <c r="Q699" s="32" t="s">
        <v>2244</v>
      </c>
      <c r="R699" s="0" t="str">
        <f aca="false">IF(H699="GEN","GM",H699)</f>
        <v>EM</v>
      </c>
    </row>
    <row r="700" customFormat="false" ht="15" hidden="false" customHeight="false" outlineLevel="0" collapsed="false">
      <c r="A700" s="0" t="s">
        <v>3171</v>
      </c>
      <c r="B700" s="0" t="s">
        <v>2628</v>
      </c>
      <c r="C700" s="0" t="s">
        <v>930</v>
      </c>
      <c r="D700" s="31" t="n">
        <v>16011</v>
      </c>
      <c r="E700" s="31" t="n">
        <v>45726</v>
      </c>
      <c r="F700" s="32" t="s">
        <v>2258</v>
      </c>
      <c r="G700" s="32" t="s">
        <v>2088</v>
      </c>
      <c r="H700" s="32" t="s">
        <v>793</v>
      </c>
      <c r="I700" s="31" t="n">
        <v>45734</v>
      </c>
      <c r="J700" s="32" t="s">
        <v>2080</v>
      </c>
      <c r="K700" s="0" t="n">
        <v>8</v>
      </c>
      <c r="L700" s="32" t="s">
        <v>2081</v>
      </c>
      <c r="N700" s="0" t="n">
        <v>8</v>
      </c>
      <c r="O700" s="32" t="s">
        <v>794</v>
      </c>
      <c r="P700" s="32" t="s">
        <v>2095</v>
      </c>
      <c r="Q700" s="32" t="s">
        <v>2107</v>
      </c>
      <c r="R700" s="0" t="str">
        <f aca="false">IF(H700="GEN","GM",H700)</f>
        <v>EM</v>
      </c>
    </row>
    <row r="701" customFormat="false" ht="15" hidden="false" customHeight="false" outlineLevel="0" collapsed="false">
      <c r="A701" s="0" t="s">
        <v>3172</v>
      </c>
      <c r="B701" s="0" t="s">
        <v>2285</v>
      </c>
      <c r="C701" s="0" t="s">
        <v>950</v>
      </c>
      <c r="D701" s="31" t="n">
        <v>35755</v>
      </c>
      <c r="E701" s="31" t="n">
        <v>45699</v>
      </c>
      <c r="F701" s="32" t="s">
        <v>2078</v>
      </c>
      <c r="G701" s="32" t="s">
        <v>2079</v>
      </c>
      <c r="H701" s="32" t="s">
        <v>776</v>
      </c>
      <c r="I701" s="31" t="n">
        <v>45701</v>
      </c>
      <c r="J701" s="32" t="s">
        <v>2080</v>
      </c>
      <c r="K701" s="0" t="n">
        <v>2</v>
      </c>
      <c r="L701" s="32" t="s">
        <v>2081</v>
      </c>
      <c r="M701" s="32" t="s">
        <v>2255</v>
      </c>
      <c r="N701" s="0" t="n">
        <v>2</v>
      </c>
      <c r="O701" s="32" t="s">
        <v>777</v>
      </c>
      <c r="P701" s="32" t="s">
        <v>2182</v>
      </c>
      <c r="Q701" s="32" t="s">
        <v>2129</v>
      </c>
      <c r="R701" s="0" t="str">
        <f aca="false">IF(H701="GEN","GM",H701)</f>
        <v>GS</v>
      </c>
    </row>
    <row r="702" customFormat="false" ht="15" hidden="false" customHeight="false" outlineLevel="0" collapsed="false">
      <c r="A702" s="0" t="s">
        <v>3173</v>
      </c>
      <c r="B702" s="0" t="s">
        <v>2374</v>
      </c>
      <c r="C702" s="0" t="s">
        <v>2148</v>
      </c>
      <c r="D702" s="31" t="n">
        <v>15879</v>
      </c>
      <c r="E702" s="31" t="n">
        <v>45721</v>
      </c>
      <c r="F702" s="32" t="s">
        <v>2078</v>
      </c>
      <c r="G702" s="32" t="s">
        <v>2099</v>
      </c>
      <c r="H702" s="32" t="s">
        <v>818</v>
      </c>
      <c r="I702" s="31" t="n">
        <v>45724</v>
      </c>
      <c r="J702" s="32" t="s">
        <v>2080</v>
      </c>
      <c r="K702" s="0" t="n">
        <v>3</v>
      </c>
      <c r="L702" s="32" t="s">
        <v>2081</v>
      </c>
      <c r="M702" s="32" t="s">
        <v>2283</v>
      </c>
      <c r="N702" s="0" t="n">
        <v>3</v>
      </c>
      <c r="O702" s="32" t="s">
        <v>819</v>
      </c>
      <c r="Q702" s="32" t="s">
        <v>2157</v>
      </c>
      <c r="R702" s="0" t="str">
        <f aca="false">IF(H702="GEN","GM",H702)</f>
        <v>OPH</v>
      </c>
    </row>
    <row r="703" customFormat="false" ht="15" hidden="false" customHeight="false" outlineLevel="0" collapsed="false">
      <c r="A703" s="0" t="s">
        <v>3174</v>
      </c>
      <c r="B703" s="0" t="s">
        <v>2200</v>
      </c>
      <c r="C703" s="0" t="s">
        <v>1013</v>
      </c>
      <c r="D703" s="31" t="n">
        <v>14398</v>
      </c>
      <c r="E703" s="31" t="n">
        <v>45628</v>
      </c>
      <c r="F703" s="32" t="s">
        <v>2078</v>
      </c>
      <c r="G703" s="32" t="s">
        <v>2124</v>
      </c>
      <c r="H703" s="32" t="s">
        <v>785</v>
      </c>
      <c r="I703" s="31" t="n">
        <v>45629</v>
      </c>
      <c r="J703" s="32" t="s">
        <v>2080</v>
      </c>
      <c r="K703" s="0" t="n">
        <v>1</v>
      </c>
      <c r="L703" s="32" t="s">
        <v>2081</v>
      </c>
      <c r="M703" s="32" t="s">
        <v>2110</v>
      </c>
      <c r="N703" s="0" t="n">
        <v>1</v>
      </c>
      <c r="O703" s="32" t="s">
        <v>786</v>
      </c>
      <c r="P703" s="32" t="s">
        <v>2101</v>
      </c>
      <c r="Q703" s="32" t="s">
        <v>2153</v>
      </c>
      <c r="R703" s="0" t="str">
        <f aca="false">IF(H703="GEN","GM",H703)</f>
        <v>RS</v>
      </c>
    </row>
    <row r="704" customFormat="false" ht="15" hidden="false" customHeight="false" outlineLevel="0" collapsed="false">
      <c r="A704" s="0" t="s">
        <v>3175</v>
      </c>
      <c r="B704" s="0" t="s">
        <v>3060</v>
      </c>
      <c r="C704" s="0" t="s">
        <v>934</v>
      </c>
      <c r="D704" s="31" t="n">
        <v>16711</v>
      </c>
      <c r="E704" s="31" t="n">
        <v>45650</v>
      </c>
      <c r="F704" s="32" t="s">
        <v>2087</v>
      </c>
      <c r="G704" s="32" t="s">
        <v>2104</v>
      </c>
      <c r="H704" s="32" t="s">
        <v>802</v>
      </c>
      <c r="I704" s="31" t="n">
        <v>45655</v>
      </c>
      <c r="J704" s="32" t="s">
        <v>2080</v>
      </c>
      <c r="K704" s="0" t="n">
        <v>5</v>
      </c>
      <c r="L704" s="32" t="s">
        <v>2081</v>
      </c>
      <c r="M704" s="32" t="s">
        <v>2161</v>
      </c>
      <c r="N704" s="0" t="n">
        <v>5</v>
      </c>
      <c r="O704" s="32" t="s">
        <v>803</v>
      </c>
      <c r="P704" s="32" t="s">
        <v>2222</v>
      </c>
      <c r="R704" s="0" t="str">
        <f aca="false">IF(H704="GEN","GM",H704)</f>
        <v>GYN</v>
      </c>
    </row>
    <row r="705" customFormat="false" ht="15" hidden="false" customHeight="false" outlineLevel="0" collapsed="false">
      <c r="A705" s="0" t="s">
        <v>3176</v>
      </c>
      <c r="B705" s="0" t="s">
        <v>2254</v>
      </c>
      <c r="C705" s="0" t="s">
        <v>958</v>
      </c>
      <c r="D705" s="31" t="n">
        <v>13840</v>
      </c>
      <c r="E705" s="31" t="n">
        <v>45731</v>
      </c>
      <c r="F705" s="32" t="s">
        <v>2078</v>
      </c>
      <c r="G705" s="32" t="s">
        <v>2115</v>
      </c>
      <c r="H705" s="32" t="s">
        <v>758</v>
      </c>
      <c r="I705" s="31" t="n">
        <v>45736</v>
      </c>
      <c r="J705" s="32" t="s">
        <v>2080</v>
      </c>
      <c r="K705" s="0" t="n">
        <v>5</v>
      </c>
      <c r="L705" s="32" t="s">
        <v>2081</v>
      </c>
      <c r="M705" s="32" t="s">
        <v>2283</v>
      </c>
      <c r="N705" s="0" t="n">
        <v>5</v>
      </c>
      <c r="O705" s="32" t="s">
        <v>759</v>
      </c>
      <c r="P705" s="32" t="s">
        <v>2133</v>
      </c>
      <c r="Q705" s="32" t="s">
        <v>2190</v>
      </c>
      <c r="R705" s="0" t="str">
        <f aca="false">IF(H705="GEN","GM",H705)</f>
        <v>CS</v>
      </c>
    </row>
    <row r="706" customFormat="false" ht="15" hidden="false" customHeight="false" outlineLevel="0" collapsed="false">
      <c r="A706" s="0" t="s">
        <v>3177</v>
      </c>
      <c r="B706" s="0" t="s">
        <v>2969</v>
      </c>
      <c r="C706" s="0" t="s">
        <v>1402</v>
      </c>
      <c r="D706" s="31" t="n">
        <v>21842</v>
      </c>
      <c r="E706" s="31" t="n">
        <v>45703</v>
      </c>
      <c r="F706" s="32" t="s">
        <v>2078</v>
      </c>
      <c r="G706" s="32" t="s">
        <v>2088</v>
      </c>
      <c r="H706" s="32" t="s">
        <v>826</v>
      </c>
      <c r="I706" s="31" t="n">
        <v>45709</v>
      </c>
      <c r="J706" s="32" t="s">
        <v>2080</v>
      </c>
      <c r="K706" s="0" t="n">
        <v>6</v>
      </c>
      <c r="L706" s="32" t="s">
        <v>2081</v>
      </c>
      <c r="M706" s="32" t="s">
        <v>2136</v>
      </c>
      <c r="N706" s="0" t="n">
        <v>6</v>
      </c>
      <c r="O706" s="32" t="s">
        <v>827</v>
      </c>
      <c r="P706" s="32" t="s">
        <v>2111</v>
      </c>
      <c r="Q706" s="32" t="s">
        <v>2091</v>
      </c>
      <c r="R706" s="0" t="str">
        <f aca="false">IF(H706="GEN","GM",H706)</f>
        <v>RHE</v>
      </c>
    </row>
    <row r="707" customFormat="false" ht="15" hidden="false" customHeight="false" outlineLevel="0" collapsed="false">
      <c r="A707" s="0" t="s">
        <v>3178</v>
      </c>
      <c r="B707" s="0" t="s">
        <v>2231</v>
      </c>
      <c r="C707" s="0" t="s">
        <v>1001</v>
      </c>
      <c r="D707" s="31" t="n">
        <v>26359</v>
      </c>
      <c r="E707" s="31" t="n">
        <v>45588</v>
      </c>
      <c r="F707" s="32" t="s">
        <v>2078</v>
      </c>
      <c r="G707" s="32" t="s">
        <v>2099</v>
      </c>
      <c r="H707" s="32" t="s">
        <v>818</v>
      </c>
      <c r="I707" s="31" t="n">
        <v>45591</v>
      </c>
      <c r="J707" s="32" t="s">
        <v>2080</v>
      </c>
      <c r="K707" s="0" t="n">
        <v>3</v>
      </c>
      <c r="L707" s="32" t="s">
        <v>2081</v>
      </c>
      <c r="M707" s="32" t="s">
        <v>2255</v>
      </c>
      <c r="N707" s="0" t="n">
        <v>3</v>
      </c>
      <c r="O707" s="32" t="s">
        <v>819</v>
      </c>
      <c r="P707" s="32" t="s">
        <v>2133</v>
      </c>
      <c r="Q707" s="32" t="s">
        <v>2198</v>
      </c>
      <c r="R707" s="0" t="str">
        <f aca="false">IF(H707="GEN","GM",H707)</f>
        <v>OPH</v>
      </c>
    </row>
    <row r="708" customFormat="false" ht="15" hidden="false" customHeight="false" outlineLevel="0" collapsed="false">
      <c r="A708" s="0" t="s">
        <v>3179</v>
      </c>
      <c r="B708" s="0" t="s">
        <v>2620</v>
      </c>
      <c r="C708" s="0" t="s">
        <v>890</v>
      </c>
      <c r="D708" s="31" t="n">
        <v>12944</v>
      </c>
      <c r="E708" s="31" t="n">
        <v>45637</v>
      </c>
      <c r="F708" s="32" t="s">
        <v>2160</v>
      </c>
      <c r="G708" s="32" t="s">
        <v>2124</v>
      </c>
      <c r="H708" s="32" t="s">
        <v>785</v>
      </c>
      <c r="I708" s="31" t="n">
        <v>45643</v>
      </c>
      <c r="J708" s="32" t="s">
        <v>2080</v>
      </c>
      <c r="K708" s="0" t="n">
        <v>6</v>
      </c>
      <c r="L708" s="32" t="s">
        <v>2081</v>
      </c>
      <c r="M708" s="32" t="s">
        <v>2255</v>
      </c>
      <c r="N708" s="0" t="n">
        <v>6</v>
      </c>
      <c r="O708" s="32" t="s">
        <v>786</v>
      </c>
      <c r="P708" s="32" t="s">
        <v>2111</v>
      </c>
      <c r="Q708" s="32" t="s">
        <v>2157</v>
      </c>
      <c r="R708" s="0" t="str">
        <f aca="false">IF(H708="GEN","GM",H708)</f>
        <v>RS</v>
      </c>
    </row>
    <row r="709" customFormat="false" ht="15" hidden="false" customHeight="false" outlineLevel="0" collapsed="false">
      <c r="A709" s="0" t="s">
        <v>3180</v>
      </c>
      <c r="B709" s="0" t="s">
        <v>2446</v>
      </c>
      <c r="C709" s="0" t="s">
        <v>849</v>
      </c>
      <c r="D709" s="31" t="n">
        <v>28811</v>
      </c>
      <c r="E709" s="31" t="n">
        <v>45714</v>
      </c>
      <c r="F709" s="32" t="s">
        <v>2087</v>
      </c>
      <c r="G709" s="32" t="s">
        <v>2088</v>
      </c>
      <c r="H709" s="32" t="s">
        <v>747</v>
      </c>
      <c r="I709" s="31" t="n">
        <v>45724</v>
      </c>
      <c r="J709" s="32" t="s">
        <v>2080</v>
      </c>
      <c r="K709" s="0" t="n">
        <v>-2</v>
      </c>
      <c r="L709" s="32" t="s">
        <v>2081</v>
      </c>
      <c r="M709" s="32" t="s">
        <v>2161</v>
      </c>
      <c r="N709" s="0" t="n">
        <v>-2</v>
      </c>
      <c r="O709" s="32" t="s">
        <v>748</v>
      </c>
      <c r="P709" s="32" t="s">
        <v>2182</v>
      </c>
      <c r="Q709" s="32" t="s">
        <v>2096</v>
      </c>
      <c r="R709" s="0" t="str">
        <f aca="false">IF(H709="GEN","GM",H709)</f>
        <v>GM</v>
      </c>
    </row>
    <row r="710" customFormat="false" ht="15" hidden="false" customHeight="false" outlineLevel="0" collapsed="false">
      <c r="A710" s="0" t="s">
        <v>3181</v>
      </c>
      <c r="B710" s="0" t="s">
        <v>2151</v>
      </c>
      <c r="C710" s="0" t="s">
        <v>1410</v>
      </c>
      <c r="D710" s="31" t="n">
        <v>14509</v>
      </c>
      <c r="E710" s="31" t="n">
        <v>45719</v>
      </c>
      <c r="F710" s="32" t="s">
        <v>2087</v>
      </c>
      <c r="G710" s="32" t="s">
        <v>2099</v>
      </c>
      <c r="H710" s="32" t="s">
        <v>766</v>
      </c>
      <c r="I710" s="31" t="n">
        <v>45730</v>
      </c>
      <c r="J710" s="32" t="s">
        <v>2160</v>
      </c>
      <c r="K710" s="0" t="n">
        <v>11</v>
      </c>
      <c r="L710" s="32" t="s">
        <v>2081</v>
      </c>
      <c r="M710" s="32" t="s">
        <v>2141</v>
      </c>
      <c r="N710" s="0" t="n">
        <v>11</v>
      </c>
      <c r="O710" s="32" t="s">
        <v>767</v>
      </c>
      <c r="P710" s="32" t="s">
        <v>2222</v>
      </c>
      <c r="Q710" s="32" t="s">
        <v>2145</v>
      </c>
      <c r="R710" s="0" t="str">
        <f aca="false">IF(H710="GEN","GM",H710)</f>
        <v>OR</v>
      </c>
    </row>
    <row r="711" customFormat="false" ht="15" hidden="false" customHeight="false" outlineLevel="0" collapsed="false">
      <c r="A711" s="0" t="s">
        <v>3182</v>
      </c>
      <c r="B711" s="0" t="s">
        <v>2167</v>
      </c>
      <c r="C711" s="0" t="s">
        <v>1033</v>
      </c>
      <c r="D711" s="31" t="n">
        <v>25602</v>
      </c>
      <c r="E711" s="31" t="n">
        <v>45664</v>
      </c>
      <c r="F711" s="32" t="s">
        <v>2258</v>
      </c>
      <c r="G711" s="32" t="s">
        <v>2088</v>
      </c>
      <c r="H711" s="32" t="s">
        <v>826</v>
      </c>
      <c r="I711" s="31" t="n">
        <v>45669</v>
      </c>
      <c r="J711" s="32" t="s">
        <v>2080</v>
      </c>
      <c r="K711" s="0" t="n">
        <v>5</v>
      </c>
      <c r="L711" s="32" t="s">
        <v>2106</v>
      </c>
      <c r="M711" s="32" t="s">
        <v>2136</v>
      </c>
      <c r="N711" s="0" t="n">
        <v>5</v>
      </c>
      <c r="O711" s="32" t="s">
        <v>827</v>
      </c>
      <c r="P711" s="32" t="s">
        <v>2101</v>
      </c>
      <c r="Q711" s="32" t="s">
        <v>2153</v>
      </c>
      <c r="R711" s="0" t="str">
        <f aca="false">IF(H711="GEN","GM",H711)</f>
        <v>RHE</v>
      </c>
    </row>
    <row r="712" customFormat="false" ht="15" hidden="false" customHeight="false" outlineLevel="0" collapsed="false">
      <c r="A712" s="0" t="s">
        <v>3183</v>
      </c>
      <c r="B712" s="0" t="s">
        <v>2570</v>
      </c>
      <c r="C712" s="0" t="s">
        <v>902</v>
      </c>
      <c r="D712" s="31" t="n">
        <v>28046</v>
      </c>
      <c r="E712" s="31" t="n">
        <v>45567</v>
      </c>
      <c r="F712" s="32" t="s">
        <v>2087</v>
      </c>
      <c r="G712" s="32" t="s">
        <v>2099</v>
      </c>
      <c r="H712" s="32" t="s">
        <v>818</v>
      </c>
      <c r="L712" s="32" t="s">
        <v>2081</v>
      </c>
      <c r="M712" s="32" t="s">
        <v>2110</v>
      </c>
      <c r="O712" s="32" t="s">
        <v>819</v>
      </c>
      <c r="P712" s="32" t="s">
        <v>2142</v>
      </c>
      <c r="Q712" s="32" t="s">
        <v>2190</v>
      </c>
      <c r="R712" s="0" t="str">
        <f aca="false">IF(H712="GEN","GM",H712)</f>
        <v>OPH</v>
      </c>
    </row>
    <row r="713" customFormat="false" ht="15" hidden="false" customHeight="false" outlineLevel="0" collapsed="false">
      <c r="A713" s="0" t="s">
        <v>3184</v>
      </c>
      <c r="B713" s="0" t="s">
        <v>3185</v>
      </c>
      <c r="C713" s="0" t="s">
        <v>837</v>
      </c>
      <c r="D713" s="31" t="n">
        <v>19829</v>
      </c>
      <c r="E713" s="31" t="n">
        <v>45669</v>
      </c>
      <c r="F713" s="32" t="s">
        <v>2078</v>
      </c>
      <c r="G713" s="32" t="s">
        <v>2099</v>
      </c>
      <c r="H713" s="32" t="s">
        <v>818</v>
      </c>
      <c r="I713" s="31" t="n">
        <v>45673</v>
      </c>
      <c r="J713" s="32" t="s">
        <v>2080</v>
      </c>
      <c r="K713" s="0" t="n">
        <v>4</v>
      </c>
      <c r="L713" s="32" t="s">
        <v>2081</v>
      </c>
      <c r="M713" s="32" t="s">
        <v>2094</v>
      </c>
      <c r="N713" s="0" t="n">
        <v>4</v>
      </c>
      <c r="O713" s="32" t="s">
        <v>819</v>
      </c>
      <c r="P713" s="32" t="s">
        <v>2142</v>
      </c>
      <c r="Q713" s="32" t="s">
        <v>2244</v>
      </c>
      <c r="R713" s="0" t="str">
        <f aca="false">IF(H713="GEN","GM",H713)</f>
        <v>OPH</v>
      </c>
    </row>
    <row r="714" customFormat="false" ht="15" hidden="false" customHeight="false" outlineLevel="0" collapsed="false">
      <c r="A714" s="0" t="s">
        <v>3186</v>
      </c>
      <c r="B714" s="0" t="s">
        <v>2728</v>
      </c>
      <c r="C714" s="0" t="s">
        <v>1414</v>
      </c>
      <c r="D714" s="31" t="n">
        <v>16789</v>
      </c>
      <c r="E714" s="31" t="n">
        <v>45668</v>
      </c>
      <c r="F714" s="32" t="s">
        <v>2087</v>
      </c>
      <c r="G714" s="32" t="s">
        <v>2124</v>
      </c>
      <c r="H714" s="32" t="s">
        <v>785</v>
      </c>
      <c r="I714" s="31" t="n">
        <v>45675</v>
      </c>
      <c r="J714" s="32" t="s">
        <v>2080</v>
      </c>
      <c r="K714" s="0" t="n">
        <v>7</v>
      </c>
      <c r="L714" s="32" t="s">
        <v>2081</v>
      </c>
      <c r="M714" s="32" t="s">
        <v>2116</v>
      </c>
      <c r="N714" s="0" t="n">
        <v>7</v>
      </c>
      <c r="O714" s="32" t="s">
        <v>786</v>
      </c>
      <c r="P714" s="32" t="s">
        <v>2133</v>
      </c>
      <c r="Q714" s="32" t="s">
        <v>2153</v>
      </c>
      <c r="R714" s="0" t="str">
        <f aca="false">IF(H714="GEN","GM",H714)</f>
        <v>RS</v>
      </c>
    </row>
    <row r="715" customFormat="false" ht="15" hidden="false" customHeight="false" outlineLevel="0" collapsed="false">
      <c r="A715" s="0" t="s">
        <v>3187</v>
      </c>
      <c r="B715" s="0" t="s">
        <v>3188</v>
      </c>
      <c r="C715" s="0" t="s">
        <v>784</v>
      </c>
      <c r="D715" s="31" t="n">
        <v>30523</v>
      </c>
      <c r="E715" s="31" t="n">
        <v>45661</v>
      </c>
      <c r="F715" s="32" t="s">
        <v>2087</v>
      </c>
      <c r="G715" s="32" t="s">
        <v>2104</v>
      </c>
      <c r="H715" s="32" t="s">
        <v>802</v>
      </c>
      <c r="I715" s="31" t="n">
        <v>45665</v>
      </c>
      <c r="J715" s="32" t="s">
        <v>2307</v>
      </c>
      <c r="K715" s="0" t="n">
        <v>4</v>
      </c>
      <c r="L715" s="32" t="s">
        <v>2106</v>
      </c>
      <c r="M715" s="32" t="s">
        <v>2161</v>
      </c>
      <c r="N715" s="0" t="n">
        <v>4</v>
      </c>
      <c r="O715" s="32" t="s">
        <v>803</v>
      </c>
      <c r="P715" s="32" t="s">
        <v>2101</v>
      </c>
      <c r="Q715" s="32" t="s">
        <v>2190</v>
      </c>
      <c r="R715" s="0" t="str">
        <f aca="false">IF(H715="GEN","GM",H715)</f>
        <v>GYN</v>
      </c>
    </row>
    <row r="716" customFormat="false" ht="15" hidden="false" customHeight="false" outlineLevel="0" collapsed="false">
      <c r="A716" s="0" t="s">
        <v>3189</v>
      </c>
      <c r="B716" s="0" t="s">
        <v>2109</v>
      </c>
      <c r="C716" s="0" t="s">
        <v>1009</v>
      </c>
      <c r="D716" s="31" t="n">
        <v>31093</v>
      </c>
      <c r="E716" s="31" t="n">
        <v>45717</v>
      </c>
      <c r="F716" s="32" t="s">
        <v>2087</v>
      </c>
      <c r="G716" s="32" t="s">
        <v>2079</v>
      </c>
      <c r="H716" s="32" t="s">
        <v>776</v>
      </c>
      <c r="I716" s="31" t="n">
        <v>45726</v>
      </c>
      <c r="J716" s="32" t="s">
        <v>2080</v>
      </c>
      <c r="K716" s="0" t="n">
        <v>9</v>
      </c>
      <c r="L716" s="32" t="s">
        <v>2081</v>
      </c>
      <c r="M716" s="32" t="s">
        <v>2152</v>
      </c>
      <c r="N716" s="0" t="n">
        <v>9</v>
      </c>
      <c r="O716" s="32" t="s">
        <v>777</v>
      </c>
      <c r="P716" s="32" t="s">
        <v>2133</v>
      </c>
      <c r="Q716" s="32" t="s">
        <v>2091</v>
      </c>
      <c r="R716" s="0" t="str">
        <f aca="false">IF(H716="GEN","GM",H716)</f>
        <v>GS</v>
      </c>
    </row>
    <row r="717" customFormat="false" ht="15" hidden="false" customHeight="false" outlineLevel="0" collapsed="false">
      <c r="A717" s="0" t="s">
        <v>3190</v>
      </c>
      <c r="B717" s="0" t="s">
        <v>2935</v>
      </c>
      <c r="C717" s="0" t="s">
        <v>985</v>
      </c>
      <c r="D717" s="31" t="n">
        <v>32883</v>
      </c>
      <c r="E717" s="31" t="n">
        <v>45630</v>
      </c>
      <c r="F717" s="32" t="s">
        <v>2078</v>
      </c>
      <c r="G717" s="32" t="s">
        <v>2099</v>
      </c>
      <c r="H717" s="32" t="s">
        <v>766</v>
      </c>
      <c r="I717" s="31" t="n">
        <v>45635</v>
      </c>
      <c r="J717" s="32" t="s">
        <v>2080</v>
      </c>
      <c r="K717" s="0" t="n">
        <v>5</v>
      </c>
      <c r="L717" s="32" t="s">
        <v>2106</v>
      </c>
      <c r="M717" s="32" t="s">
        <v>2227</v>
      </c>
      <c r="N717" s="0" t="n">
        <v>4</v>
      </c>
      <c r="O717" s="32" t="s">
        <v>767</v>
      </c>
      <c r="P717" s="32" t="s">
        <v>2238</v>
      </c>
      <c r="Q717" s="32" t="s">
        <v>2096</v>
      </c>
      <c r="R717" s="0" t="str">
        <f aca="false">IF(H717="GEN","GM",H717)</f>
        <v>OR</v>
      </c>
    </row>
    <row r="718" customFormat="false" ht="15" hidden="false" customHeight="false" outlineLevel="0" collapsed="false">
      <c r="A718" s="0" t="s">
        <v>3191</v>
      </c>
      <c r="B718" s="0" t="s">
        <v>3192</v>
      </c>
      <c r="C718" s="0" t="s">
        <v>1001</v>
      </c>
      <c r="D718" s="31" t="n">
        <v>19656</v>
      </c>
      <c r="E718" s="31" t="n">
        <v>45710</v>
      </c>
      <c r="F718" s="32" t="s">
        <v>2087</v>
      </c>
      <c r="G718" s="32" t="s">
        <v>2079</v>
      </c>
      <c r="H718" s="32" t="s">
        <v>776</v>
      </c>
      <c r="I718" s="31" t="n">
        <v>45711</v>
      </c>
      <c r="J718" s="32" t="s">
        <v>2080</v>
      </c>
      <c r="K718" s="0" t="n">
        <v>1</v>
      </c>
      <c r="L718" s="32" t="s">
        <v>2081</v>
      </c>
      <c r="M718" s="32" t="s">
        <v>2283</v>
      </c>
      <c r="N718" s="0" t="n">
        <v>1</v>
      </c>
      <c r="O718" s="32" t="s">
        <v>777</v>
      </c>
      <c r="P718" s="32" t="s">
        <v>2156</v>
      </c>
      <c r="Q718" s="32" t="s">
        <v>2153</v>
      </c>
      <c r="R718" s="0" t="str">
        <f aca="false">IF(H718="GEN","GM",H718)</f>
        <v>GS</v>
      </c>
    </row>
    <row r="719" customFormat="false" ht="15" hidden="false" customHeight="false" outlineLevel="0" collapsed="false">
      <c r="A719" s="0" t="s">
        <v>3193</v>
      </c>
      <c r="B719" s="0" t="s">
        <v>2831</v>
      </c>
      <c r="C719" s="0" t="s">
        <v>862</v>
      </c>
      <c r="D719" s="31" t="n">
        <v>26309</v>
      </c>
      <c r="E719" s="31" t="n">
        <v>45625</v>
      </c>
      <c r="F719" s="32" t="s">
        <v>2087</v>
      </c>
      <c r="G719" s="32" t="s">
        <v>2099</v>
      </c>
      <c r="H719" s="32" t="s">
        <v>818</v>
      </c>
      <c r="I719" s="31" t="n">
        <v>45626</v>
      </c>
      <c r="J719" s="32" t="s">
        <v>2080</v>
      </c>
      <c r="K719" s="0" t="n">
        <v>1</v>
      </c>
      <c r="L719" s="32" t="s">
        <v>2081</v>
      </c>
      <c r="M719" s="32" t="s">
        <v>2110</v>
      </c>
      <c r="N719" s="0" t="n">
        <v>1</v>
      </c>
      <c r="O719" s="32" t="s">
        <v>819</v>
      </c>
      <c r="P719" s="32" t="s">
        <v>2095</v>
      </c>
      <c r="Q719" s="32" t="s">
        <v>2091</v>
      </c>
      <c r="R719" s="0" t="str">
        <f aca="false">IF(H719="GEN","GM",H719)</f>
        <v>OPH</v>
      </c>
    </row>
    <row r="720" customFormat="false" ht="15" hidden="false" customHeight="false" outlineLevel="0" collapsed="false">
      <c r="A720" s="0" t="s">
        <v>3194</v>
      </c>
      <c r="B720" s="0" t="s">
        <v>2205</v>
      </c>
      <c r="C720" s="0" t="s">
        <v>1001</v>
      </c>
      <c r="D720" s="31" t="n">
        <v>37681</v>
      </c>
      <c r="E720" s="31" t="n">
        <v>45723</v>
      </c>
      <c r="F720" s="32" t="s">
        <v>2078</v>
      </c>
      <c r="G720" s="32" t="s">
        <v>2079</v>
      </c>
      <c r="H720" s="32" t="s">
        <v>776</v>
      </c>
      <c r="I720" s="31" t="n">
        <v>45725</v>
      </c>
      <c r="J720" s="32" t="s">
        <v>2080</v>
      </c>
      <c r="K720" s="0" t="n">
        <v>2</v>
      </c>
      <c r="L720" s="32" t="s">
        <v>2081</v>
      </c>
      <c r="M720" s="32" t="s">
        <v>2195</v>
      </c>
      <c r="N720" s="0" t="n">
        <v>2</v>
      </c>
      <c r="P720" s="32" t="s">
        <v>2111</v>
      </c>
      <c r="Q720" s="32" t="s">
        <v>2096</v>
      </c>
      <c r="R720" s="0" t="str">
        <f aca="false">IF(H720="GEN","GM",H720)</f>
        <v>GS</v>
      </c>
    </row>
    <row r="721" customFormat="false" ht="15" hidden="false" customHeight="false" outlineLevel="0" collapsed="false">
      <c r="A721" s="0" t="s">
        <v>3195</v>
      </c>
      <c r="B721" s="0" t="s">
        <v>2263</v>
      </c>
      <c r="C721" s="0" t="s">
        <v>874</v>
      </c>
      <c r="D721" s="31" t="n">
        <v>27487</v>
      </c>
      <c r="E721" s="31" t="n">
        <v>45691</v>
      </c>
      <c r="F721" s="32" t="s">
        <v>2087</v>
      </c>
      <c r="G721" s="32" t="s">
        <v>2104</v>
      </c>
      <c r="H721" s="32" t="s">
        <v>802</v>
      </c>
      <c r="I721" s="31" t="n">
        <v>45695</v>
      </c>
      <c r="J721" s="32" t="s">
        <v>2105</v>
      </c>
      <c r="K721" s="0" t="n">
        <v>4</v>
      </c>
      <c r="L721" s="32" t="s">
        <v>2081</v>
      </c>
      <c r="M721" s="32" t="s">
        <v>2283</v>
      </c>
      <c r="N721" s="0" t="n">
        <v>4</v>
      </c>
      <c r="O721" s="32" t="s">
        <v>803</v>
      </c>
      <c r="P721" s="32" t="s">
        <v>2083</v>
      </c>
      <c r="Q721" s="32" t="s">
        <v>2198</v>
      </c>
      <c r="R721" s="0" t="str">
        <f aca="false">IF(H721="GEN","GM",H721)</f>
        <v>GYN</v>
      </c>
    </row>
    <row r="722" customFormat="false" ht="15" hidden="false" customHeight="false" outlineLevel="0" collapsed="false">
      <c r="A722" s="0" t="s">
        <v>3196</v>
      </c>
      <c r="B722" s="0" t="s">
        <v>3066</v>
      </c>
      <c r="C722" s="0" t="s">
        <v>894</v>
      </c>
      <c r="D722" s="31" t="n">
        <v>37110</v>
      </c>
      <c r="E722" s="31" t="n">
        <v>45645</v>
      </c>
      <c r="F722" s="32" t="s">
        <v>2078</v>
      </c>
      <c r="G722" s="32" t="s">
        <v>2124</v>
      </c>
      <c r="H722" s="32" t="s">
        <v>785</v>
      </c>
      <c r="I722" s="31" t="n">
        <v>45647</v>
      </c>
      <c r="J722" s="32" t="s">
        <v>2080</v>
      </c>
      <c r="K722" s="0" t="n">
        <v>2</v>
      </c>
      <c r="L722" s="32" t="s">
        <v>2081</v>
      </c>
      <c r="M722" s="32" t="s">
        <v>2110</v>
      </c>
      <c r="N722" s="0" t="n">
        <v>2</v>
      </c>
      <c r="O722" s="32" t="s">
        <v>786</v>
      </c>
      <c r="P722" s="32" t="s">
        <v>2083</v>
      </c>
      <c r="Q722" s="32" t="s">
        <v>2179</v>
      </c>
      <c r="R722" s="0" t="str">
        <f aca="false">IF(H722="GEN","GM",H722)</f>
        <v>RS</v>
      </c>
    </row>
    <row r="723" customFormat="false" ht="15" hidden="false" customHeight="false" outlineLevel="0" collapsed="false">
      <c r="A723" s="0" t="s">
        <v>3197</v>
      </c>
      <c r="B723" s="0" t="s">
        <v>2314</v>
      </c>
      <c r="C723" s="0" t="s">
        <v>1005</v>
      </c>
      <c r="D723" s="31" t="n">
        <v>27815</v>
      </c>
      <c r="E723" s="31" t="n">
        <v>45657</v>
      </c>
      <c r="F723" s="32" t="s">
        <v>2087</v>
      </c>
      <c r="G723" s="32" t="s">
        <v>2088</v>
      </c>
      <c r="H723" s="32" t="s">
        <v>747</v>
      </c>
      <c r="I723" s="31" t="n">
        <v>45658</v>
      </c>
      <c r="J723" s="32" t="s">
        <v>2080</v>
      </c>
      <c r="K723" s="0" t="n">
        <v>1</v>
      </c>
      <c r="L723" s="32" t="s">
        <v>2081</v>
      </c>
      <c r="M723" s="32" t="s">
        <v>2283</v>
      </c>
      <c r="N723" s="0" t="n">
        <v>1</v>
      </c>
      <c r="O723" s="32" t="s">
        <v>748</v>
      </c>
      <c r="P723" s="32" t="s">
        <v>2238</v>
      </c>
      <c r="Q723" s="32" t="s">
        <v>2091</v>
      </c>
      <c r="R723" s="0" t="str">
        <f aca="false">IF(H723="GEN","GM",H723)</f>
        <v>GM</v>
      </c>
    </row>
    <row r="724" customFormat="false" ht="15" hidden="false" customHeight="false" outlineLevel="0" collapsed="false">
      <c r="A724" s="0" t="s">
        <v>3198</v>
      </c>
      <c r="B724" s="0" t="s">
        <v>2517</v>
      </c>
      <c r="C724" s="0" t="s">
        <v>833</v>
      </c>
      <c r="D724" s="31" t="n">
        <v>17345</v>
      </c>
      <c r="E724" s="31" t="n">
        <v>45736</v>
      </c>
      <c r="F724" s="32" t="s">
        <v>2087</v>
      </c>
      <c r="G724" s="32" t="s">
        <v>2104</v>
      </c>
      <c r="H724" s="32" t="s">
        <v>802</v>
      </c>
      <c r="I724" s="31" t="n">
        <v>45738</v>
      </c>
      <c r="J724" s="32" t="s">
        <v>2368</v>
      </c>
      <c r="K724" s="0" t="n">
        <v>2</v>
      </c>
      <c r="L724" s="32" t="s">
        <v>2081</v>
      </c>
      <c r="M724" s="32" t="s">
        <v>2195</v>
      </c>
      <c r="N724" s="0" t="n">
        <v>2</v>
      </c>
      <c r="O724" s="32" t="s">
        <v>803</v>
      </c>
      <c r="P724" s="32" t="s">
        <v>2142</v>
      </c>
      <c r="Q724" s="32" t="s">
        <v>2259</v>
      </c>
      <c r="R724" s="0" t="str">
        <f aca="false">IF(H724="GEN","GM",H724)</f>
        <v>GYN</v>
      </c>
    </row>
    <row r="725" customFormat="false" ht="15" hidden="false" customHeight="false" outlineLevel="0" collapsed="false">
      <c r="A725" s="0" t="s">
        <v>3199</v>
      </c>
      <c r="B725" s="0" t="s">
        <v>2218</v>
      </c>
      <c r="C725" s="0" t="s">
        <v>1410</v>
      </c>
      <c r="D725" s="31" t="n">
        <v>19786</v>
      </c>
      <c r="E725" s="31" t="n">
        <v>45576</v>
      </c>
      <c r="F725" s="32" t="s">
        <v>2087</v>
      </c>
      <c r="G725" s="32" t="s">
        <v>2104</v>
      </c>
      <c r="H725" s="32" t="s">
        <v>802</v>
      </c>
      <c r="I725" s="31" t="n">
        <v>45578</v>
      </c>
      <c r="J725" s="32" t="s">
        <v>2080</v>
      </c>
      <c r="K725" s="0" t="n">
        <v>2</v>
      </c>
      <c r="L725" s="32" t="s">
        <v>2081</v>
      </c>
      <c r="M725" s="32" t="s">
        <v>2152</v>
      </c>
      <c r="N725" s="0" t="n">
        <v>2</v>
      </c>
      <c r="O725" s="32" t="s">
        <v>803</v>
      </c>
      <c r="P725" s="32" t="s">
        <v>2201</v>
      </c>
      <c r="Q725" s="32" t="s">
        <v>2157</v>
      </c>
      <c r="R725" s="0" t="str">
        <f aca="false">IF(H725="GEN","GM",H725)</f>
        <v>GYN</v>
      </c>
    </row>
    <row r="726" customFormat="false" ht="15" hidden="false" customHeight="false" outlineLevel="0" collapsed="false">
      <c r="A726" s="0" t="s">
        <v>3200</v>
      </c>
      <c r="B726" s="0" t="s">
        <v>2240</v>
      </c>
      <c r="C726" s="0" t="s">
        <v>938</v>
      </c>
      <c r="D726" s="31" t="n">
        <v>33227</v>
      </c>
      <c r="E726" s="31" t="n">
        <v>45617</v>
      </c>
      <c r="F726" s="32" t="s">
        <v>2078</v>
      </c>
      <c r="G726" s="32" t="s">
        <v>2079</v>
      </c>
      <c r="H726" s="32" t="s">
        <v>776</v>
      </c>
      <c r="I726" s="31" t="n">
        <v>45618</v>
      </c>
      <c r="J726" s="32" t="s">
        <v>2080</v>
      </c>
      <c r="K726" s="0" t="n">
        <v>1</v>
      </c>
      <c r="L726" s="32" t="s">
        <v>2106</v>
      </c>
      <c r="M726" s="32" t="s">
        <v>2255</v>
      </c>
      <c r="N726" s="0" t="n">
        <v>1</v>
      </c>
      <c r="O726" s="32" t="s">
        <v>777</v>
      </c>
      <c r="P726" s="32" t="s">
        <v>2222</v>
      </c>
      <c r="Q726" s="32" t="s">
        <v>2198</v>
      </c>
      <c r="R726" s="0" t="str">
        <f aca="false">IF(H726="GEN","GM",H726)</f>
        <v>GS</v>
      </c>
    </row>
    <row r="727" customFormat="false" ht="15" hidden="false" customHeight="false" outlineLevel="0" collapsed="false">
      <c r="A727" s="0" t="s">
        <v>3201</v>
      </c>
      <c r="B727" s="0" t="s">
        <v>2977</v>
      </c>
      <c r="C727" s="0" t="s">
        <v>792</v>
      </c>
      <c r="D727" s="31" t="n">
        <v>18559</v>
      </c>
      <c r="E727" s="31" t="n">
        <v>45617</v>
      </c>
      <c r="F727" s="32" t="s">
        <v>2087</v>
      </c>
      <c r="G727" s="32" t="s">
        <v>2124</v>
      </c>
      <c r="H727" s="32" t="s">
        <v>785</v>
      </c>
      <c r="I727" s="31" t="n">
        <v>45622</v>
      </c>
      <c r="J727" s="32" t="s">
        <v>2080</v>
      </c>
      <c r="K727" s="0" t="n">
        <v>5</v>
      </c>
      <c r="L727" s="32" t="s">
        <v>2081</v>
      </c>
      <c r="M727" s="32" t="s">
        <v>2227</v>
      </c>
      <c r="N727" s="0" t="n">
        <v>5</v>
      </c>
      <c r="O727" s="32" t="s">
        <v>786</v>
      </c>
      <c r="P727" s="32" t="s">
        <v>2121</v>
      </c>
      <c r="Q727" s="32" t="s">
        <v>2259</v>
      </c>
      <c r="R727" s="0" t="str">
        <f aca="false">IF(H727="GEN","GM",H727)</f>
        <v>RS</v>
      </c>
    </row>
    <row r="728" customFormat="false" ht="15" hidden="false" customHeight="false" outlineLevel="0" collapsed="false">
      <c r="A728" s="0" t="s">
        <v>3202</v>
      </c>
      <c r="B728" s="0" t="s">
        <v>2687</v>
      </c>
      <c r="C728" s="0" t="s">
        <v>874</v>
      </c>
      <c r="D728" s="31" t="n">
        <v>19370</v>
      </c>
      <c r="E728" s="31" t="n">
        <v>45637</v>
      </c>
      <c r="F728" s="32" t="s">
        <v>2078</v>
      </c>
      <c r="G728" s="32" t="s">
        <v>2088</v>
      </c>
      <c r="H728" s="32" t="s">
        <v>747</v>
      </c>
      <c r="I728" s="31" t="n">
        <v>45639</v>
      </c>
      <c r="J728" s="32" t="s">
        <v>2080</v>
      </c>
      <c r="K728" s="0" t="n">
        <v>2</v>
      </c>
      <c r="L728" s="32" t="s">
        <v>2081</v>
      </c>
      <c r="M728" s="32" t="s">
        <v>2286</v>
      </c>
      <c r="N728" s="0" t="n">
        <v>2</v>
      </c>
      <c r="O728" s="32" t="s">
        <v>748</v>
      </c>
      <c r="P728" s="32" t="s">
        <v>2238</v>
      </c>
      <c r="Q728" s="32" t="s">
        <v>2096</v>
      </c>
      <c r="R728" s="0" t="str">
        <f aca="false">IF(H728="GEN","GM",H728)</f>
        <v>GM</v>
      </c>
    </row>
    <row r="729" customFormat="false" ht="15" hidden="false" customHeight="false" outlineLevel="0" collapsed="false">
      <c r="A729" s="0" t="s">
        <v>3203</v>
      </c>
      <c r="B729" s="0" t="s">
        <v>2751</v>
      </c>
      <c r="C729" s="0" t="s">
        <v>918</v>
      </c>
      <c r="D729" s="31" t="n">
        <v>25410</v>
      </c>
      <c r="E729" s="31" t="n">
        <v>45713</v>
      </c>
      <c r="F729" s="32" t="s">
        <v>2087</v>
      </c>
      <c r="G729" s="32" t="s">
        <v>2104</v>
      </c>
      <c r="H729" s="32" t="s">
        <v>802</v>
      </c>
      <c r="L729" s="32" t="s">
        <v>2106</v>
      </c>
      <c r="M729" s="32" t="s">
        <v>2286</v>
      </c>
      <c r="O729" s="32" t="s">
        <v>803</v>
      </c>
      <c r="Q729" s="32" t="s">
        <v>2096</v>
      </c>
      <c r="R729" s="0" t="str">
        <f aca="false">IF(H729="GEN","GM",H729)</f>
        <v>GYN</v>
      </c>
    </row>
    <row r="730" customFormat="false" ht="15" hidden="false" customHeight="false" outlineLevel="0" collapsed="false">
      <c r="A730" s="0" t="s">
        <v>3204</v>
      </c>
      <c r="B730" s="0" t="s">
        <v>2640</v>
      </c>
      <c r="C730" s="0" t="s">
        <v>746</v>
      </c>
      <c r="D730" s="31" t="n">
        <v>22844</v>
      </c>
      <c r="E730" s="31" t="n">
        <v>45677</v>
      </c>
      <c r="F730" s="32" t="s">
        <v>2078</v>
      </c>
      <c r="G730" s="32" t="s">
        <v>2088</v>
      </c>
      <c r="H730" s="32" t="s">
        <v>747</v>
      </c>
      <c r="I730" s="31" t="n">
        <v>45682</v>
      </c>
      <c r="J730" s="32" t="s">
        <v>2080</v>
      </c>
      <c r="K730" s="0" t="n">
        <v>5</v>
      </c>
      <c r="L730" s="32" t="s">
        <v>2081</v>
      </c>
      <c r="M730" s="32" t="s">
        <v>2128</v>
      </c>
      <c r="N730" s="0" t="n">
        <v>5</v>
      </c>
      <c r="O730" s="32" t="s">
        <v>748</v>
      </c>
      <c r="P730" s="32" t="s">
        <v>2162</v>
      </c>
      <c r="Q730" s="32" t="s">
        <v>2112</v>
      </c>
      <c r="R730" s="0" t="str">
        <f aca="false">IF(H730="GEN","GM",H730)</f>
        <v>GM</v>
      </c>
    </row>
    <row r="731" customFormat="false" ht="15" hidden="false" customHeight="false" outlineLevel="0" collapsed="false">
      <c r="A731" s="0" t="s">
        <v>3205</v>
      </c>
      <c r="B731" s="0" t="s">
        <v>2331</v>
      </c>
      <c r="C731" s="0" t="s">
        <v>914</v>
      </c>
      <c r="D731" s="31" t="n">
        <v>13951</v>
      </c>
      <c r="E731" s="31" t="n">
        <v>45683</v>
      </c>
      <c r="F731" s="32" t="s">
        <v>2078</v>
      </c>
      <c r="G731" s="32" t="s">
        <v>2088</v>
      </c>
      <c r="H731" s="32" t="s">
        <v>793</v>
      </c>
      <c r="I731" s="31" t="n">
        <v>45687</v>
      </c>
      <c r="J731" s="32" t="s">
        <v>2080</v>
      </c>
      <c r="K731" s="0" t="n">
        <v>4</v>
      </c>
      <c r="L731" s="32" t="s">
        <v>2081</v>
      </c>
      <c r="M731" s="32" t="s">
        <v>2161</v>
      </c>
      <c r="N731" s="0" t="n">
        <v>4</v>
      </c>
      <c r="O731" s="32" t="s">
        <v>794</v>
      </c>
      <c r="P731" s="32" t="s">
        <v>2182</v>
      </c>
      <c r="Q731" s="32" t="s">
        <v>2244</v>
      </c>
      <c r="R731" s="0" t="str">
        <f aca="false">IF(H731="GEN","GM",H731)</f>
        <v>EM</v>
      </c>
    </row>
    <row r="732" customFormat="false" ht="15" hidden="false" customHeight="false" outlineLevel="0" collapsed="false">
      <c r="A732" s="0" t="s">
        <v>3206</v>
      </c>
      <c r="B732" s="0" t="s">
        <v>3207</v>
      </c>
      <c r="C732" s="0" t="s">
        <v>942</v>
      </c>
      <c r="D732" s="31" t="n">
        <v>27906</v>
      </c>
      <c r="E732" s="31" t="n">
        <v>45708</v>
      </c>
      <c r="F732" s="32" t="s">
        <v>2078</v>
      </c>
      <c r="G732" s="32" t="s">
        <v>2099</v>
      </c>
      <c r="H732" s="32" t="s">
        <v>766</v>
      </c>
      <c r="I732" s="31" t="n">
        <v>45715</v>
      </c>
      <c r="J732" s="32" t="s">
        <v>2080</v>
      </c>
      <c r="K732" s="0" t="n">
        <v>7</v>
      </c>
      <c r="M732" s="32" t="s">
        <v>2152</v>
      </c>
      <c r="N732" s="0" t="n">
        <v>7</v>
      </c>
      <c r="O732" s="32" t="s">
        <v>767</v>
      </c>
      <c r="P732" s="32" t="s">
        <v>2175</v>
      </c>
      <c r="Q732" s="32" t="s">
        <v>2165</v>
      </c>
      <c r="R732" s="0" t="str">
        <f aca="false">IF(H732="GEN","GM",H732)</f>
        <v>OR</v>
      </c>
    </row>
    <row r="733" customFormat="false" ht="15" hidden="false" customHeight="false" outlineLevel="0" collapsed="false">
      <c r="A733" s="0" t="s">
        <v>3208</v>
      </c>
      <c r="B733" s="0" t="s">
        <v>3209</v>
      </c>
      <c r="C733" s="0" t="s">
        <v>962</v>
      </c>
      <c r="D733" s="31" t="n">
        <v>31234</v>
      </c>
      <c r="E733" s="31" t="n">
        <v>45579</v>
      </c>
      <c r="F733" s="32" t="s">
        <v>2087</v>
      </c>
      <c r="G733" s="32" t="s">
        <v>2099</v>
      </c>
      <c r="H733" s="32" t="s">
        <v>766</v>
      </c>
      <c r="I733" s="31" t="n">
        <v>45582</v>
      </c>
      <c r="J733" s="32" t="s">
        <v>2105</v>
      </c>
      <c r="K733" s="0" t="n">
        <v>3</v>
      </c>
      <c r="L733" s="32" t="s">
        <v>2081</v>
      </c>
      <c r="M733" s="32" t="s">
        <v>2136</v>
      </c>
      <c r="N733" s="0" t="n">
        <v>4</v>
      </c>
      <c r="O733" s="32" t="s">
        <v>767</v>
      </c>
      <c r="P733" s="32" t="s">
        <v>2201</v>
      </c>
      <c r="Q733" s="32" t="s">
        <v>2153</v>
      </c>
      <c r="R733" s="0" t="str">
        <f aca="false">IF(H733="GEN","GM",H733)</f>
        <v>OR</v>
      </c>
    </row>
    <row r="734" customFormat="false" ht="15" hidden="false" customHeight="false" outlineLevel="0" collapsed="false">
      <c r="A734" s="0" t="s">
        <v>3210</v>
      </c>
      <c r="B734" s="0" t="s">
        <v>3211</v>
      </c>
      <c r="C734" s="0" t="s">
        <v>817</v>
      </c>
      <c r="D734" s="31" t="n">
        <v>29841</v>
      </c>
      <c r="E734" s="31" t="n">
        <v>45624</v>
      </c>
      <c r="F734" s="32" t="s">
        <v>2078</v>
      </c>
      <c r="G734" s="32" t="s">
        <v>2079</v>
      </c>
      <c r="H734" s="32" t="s">
        <v>776</v>
      </c>
      <c r="I734" s="31" t="n">
        <v>45627</v>
      </c>
      <c r="J734" s="32" t="s">
        <v>2080</v>
      </c>
      <c r="K734" s="0" t="n">
        <v>3</v>
      </c>
      <c r="L734" s="32" t="s">
        <v>2081</v>
      </c>
      <c r="M734" s="32" t="s">
        <v>2110</v>
      </c>
      <c r="N734" s="0" t="n">
        <v>3</v>
      </c>
      <c r="O734" s="32" t="s">
        <v>777</v>
      </c>
      <c r="P734" s="32" t="s">
        <v>2142</v>
      </c>
      <c r="Q734" s="32" t="s">
        <v>2179</v>
      </c>
      <c r="R734" s="0" t="str">
        <f aca="false">IF(H734="GEN","GM",H734)</f>
        <v>GS</v>
      </c>
    </row>
    <row r="735" customFormat="false" ht="15" hidden="false" customHeight="false" outlineLevel="0" collapsed="false">
      <c r="A735" s="0" t="s">
        <v>3212</v>
      </c>
      <c r="B735" s="0" t="s">
        <v>2982</v>
      </c>
      <c r="C735" s="0" t="s">
        <v>926</v>
      </c>
      <c r="D735" s="31" t="n">
        <v>15688</v>
      </c>
      <c r="E735" s="31" t="n">
        <v>45647</v>
      </c>
      <c r="F735" s="32" t="s">
        <v>2160</v>
      </c>
      <c r="G735" s="32" t="s">
        <v>2088</v>
      </c>
      <c r="H735" s="32" t="s">
        <v>793</v>
      </c>
      <c r="I735" s="31" t="n">
        <v>45653</v>
      </c>
      <c r="J735" s="32" t="s">
        <v>2080</v>
      </c>
      <c r="K735" s="0" t="n">
        <v>6</v>
      </c>
      <c r="L735" s="32" t="s">
        <v>2106</v>
      </c>
      <c r="M735" s="32" t="s">
        <v>2116</v>
      </c>
      <c r="N735" s="0" t="n">
        <v>6</v>
      </c>
      <c r="O735" s="32" t="s">
        <v>794</v>
      </c>
      <c r="P735" s="32" t="s">
        <v>2156</v>
      </c>
      <c r="Q735" s="32" t="s">
        <v>2157</v>
      </c>
      <c r="R735" s="0" t="str">
        <f aca="false">IF(H735="GEN","GM",H735)</f>
        <v>EM</v>
      </c>
    </row>
    <row r="736" customFormat="false" ht="15" hidden="false" customHeight="false" outlineLevel="0" collapsed="false">
      <c r="A736" s="0" t="s">
        <v>3213</v>
      </c>
      <c r="B736" s="0" t="s">
        <v>3214</v>
      </c>
      <c r="C736" s="0" t="s">
        <v>1001</v>
      </c>
      <c r="D736" s="31" t="n">
        <v>22838</v>
      </c>
      <c r="E736" s="31" t="n">
        <v>45721</v>
      </c>
      <c r="F736" s="32" t="s">
        <v>2078</v>
      </c>
      <c r="G736" s="32" t="s">
        <v>2079</v>
      </c>
      <c r="H736" s="32" t="s">
        <v>776</v>
      </c>
      <c r="I736" s="31" t="n">
        <v>45723</v>
      </c>
      <c r="J736" s="32" t="s">
        <v>2080</v>
      </c>
      <c r="K736" s="0" t="n">
        <v>2</v>
      </c>
      <c r="L736" s="32" t="s">
        <v>2081</v>
      </c>
      <c r="M736" s="32" t="s">
        <v>2100</v>
      </c>
      <c r="N736" s="0" t="n">
        <v>2</v>
      </c>
      <c r="O736" s="32" t="s">
        <v>777</v>
      </c>
      <c r="P736" s="32" t="s">
        <v>2238</v>
      </c>
      <c r="Q736" s="32" t="s">
        <v>2091</v>
      </c>
      <c r="R736" s="0" t="str">
        <f aca="false">IF(H736="GEN","GM",H736)</f>
        <v>GS</v>
      </c>
    </row>
    <row r="737" customFormat="false" ht="15" hidden="false" customHeight="false" outlineLevel="0" collapsed="false">
      <c r="A737" s="0" t="s">
        <v>3215</v>
      </c>
      <c r="B737" s="0" t="s">
        <v>2677</v>
      </c>
      <c r="C737" s="0" t="s">
        <v>2225</v>
      </c>
      <c r="D737" s="31" t="n">
        <v>21245</v>
      </c>
      <c r="E737" s="31" t="n">
        <v>45720</v>
      </c>
      <c r="F737" s="32" t="s">
        <v>2087</v>
      </c>
      <c r="G737" s="32" t="s">
        <v>2079</v>
      </c>
      <c r="H737" s="32" t="s">
        <v>776</v>
      </c>
      <c r="I737" s="31" t="n">
        <v>45725</v>
      </c>
      <c r="J737" s="32" t="s">
        <v>2080</v>
      </c>
      <c r="K737" s="0" t="n">
        <v>5</v>
      </c>
      <c r="L737" s="32" t="s">
        <v>2081</v>
      </c>
      <c r="M737" s="32" t="s">
        <v>2110</v>
      </c>
      <c r="N737" s="0" t="n">
        <v>5</v>
      </c>
      <c r="O737" s="32" t="s">
        <v>777</v>
      </c>
      <c r="P737" s="32" t="s">
        <v>2101</v>
      </c>
      <c r="Q737" s="32" t="s">
        <v>2157</v>
      </c>
      <c r="R737" s="0" t="str">
        <f aca="false">IF(H737="GEN","GM",H737)</f>
        <v>GS</v>
      </c>
    </row>
    <row r="738" customFormat="false" ht="15" hidden="false" customHeight="false" outlineLevel="0" collapsed="false">
      <c r="A738" s="0" t="s">
        <v>3216</v>
      </c>
      <c r="B738" s="0" t="s">
        <v>2120</v>
      </c>
      <c r="C738" s="0" t="s">
        <v>886</v>
      </c>
      <c r="D738" s="31" t="n">
        <v>24912</v>
      </c>
      <c r="E738" s="31" t="n">
        <v>45652</v>
      </c>
      <c r="F738" s="32" t="s">
        <v>2087</v>
      </c>
      <c r="G738" s="32" t="s">
        <v>2099</v>
      </c>
      <c r="H738" s="32" t="s">
        <v>766</v>
      </c>
      <c r="I738" s="31" t="n">
        <v>45657</v>
      </c>
      <c r="J738" s="32" t="s">
        <v>2080</v>
      </c>
      <c r="K738" s="0" t="n">
        <v>5</v>
      </c>
      <c r="L738" s="32" t="s">
        <v>2106</v>
      </c>
      <c r="M738" s="32" t="s">
        <v>2132</v>
      </c>
      <c r="N738" s="0" t="n">
        <v>5</v>
      </c>
      <c r="O738" s="32" t="s">
        <v>767</v>
      </c>
      <c r="P738" s="32" t="s">
        <v>2101</v>
      </c>
      <c r="Q738" s="32" t="s">
        <v>2145</v>
      </c>
      <c r="R738" s="0" t="str">
        <f aca="false">IF(H738="GEN","GM",H738)</f>
        <v>OR</v>
      </c>
    </row>
    <row r="739" customFormat="false" ht="15" hidden="false" customHeight="false" outlineLevel="0" collapsed="false">
      <c r="A739" s="0" t="s">
        <v>3217</v>
      </c>
      <c r="B739" s="0" t="s">
        <v>2458</v>
      </c>
      <c r="C739" s="0" t="s">
        <v>825</v>
      </c>
      <c r="D739" s="31" t="n">
        <v>37335</v>
      </c>
      <c r="E739" s="31" t="n">
        <v>45650</v>
      </c>
      <c r="F739" s="32" t="s">
        <v>2078</v>
      </c>
      <c r="G739" s="32" t="s">
        <v>2088</v>
      </c>
      <c r="H739" s="32" t="s">
        <v>793</v>
      </c>
      <c r="I739" s="31" t="n">
        <v>45655</v>
      </c>
      <c r="J739" s="32" t="s">
        <v>2080</v>
      </c>
      <c r="K739" s="0" t="n">
        <v>5</v>
      </c>
      <c r="L739" s="32" t="s">
        <v>2081</v>
      </c>
      <c r="M739" s="32" t="s">
        <v>2089</v>
      </c>
      <c r="N739" s="0" t="n">
        <v>5</v>
      </c>
      <c r="O739" s="32" t="s">
        <v>794</v>
      </c>
      <c r="P739" s="32" t="s">
        <v>2090</v>
      </c>
      <c r="Q739" s="32" t="s">
        <v>2259</v>
      </c>
      <c r="R739" s="0" t="str">
        <f aca="false">IF(H739="GEN","GM",H739)</f>
        <v>EM</v>
      </c>
    </row>
    <row r="740" customFormat="false" ht="15" hidden="false" customHeight="false" outlineLevel="0" collapsed="false">
      <c r="A740" s="0" t="s">
        <v>3218</v>
      </c>
      <c r="B740" s="0" t="s">
        <v>2203</v>
      </c>
      <c r="C740" s="0" t="s">
        <v>918</v>
      </c>
      <c r="D740" s="31" t="n">
        <v>22955</v>
      </c>
      <c r="E740" s="31" t="n">
        <v>45685</v>
      </c>
      <c r="F740" s="32" t="s">
        <v>2078</v>
      </c>
      <c r="G740" s="32" t="s">
        <v>2099</v>
      </c>
      <c r="H740" s="32" t="s">
        <v>766</v>
      </c>
      <c r="I740" s="31" t="n">
        <v>45687</v>
      </c>
      <c r="J740" s="32" t="s">
        <v>2160</v>
      </c>
      <c r="K740" s="0" t="n">
        <v>2</v>
      </c>
      <c r="L740" s="32" t="s">
        <v>2081</v>
      </c>
      <c r="M740" s="32" t="s">
        <v>2100</v>
      </c>
      <c r="N740" s="0" t="n">
        <v>3</v>
      </c>
      <c r="O740" s="32" t="s">
        <v>767</v>
      </c>
      <c r="P740" s="32" t="s">
        <v>2111</v>
      </c>
      <c r="Q740" s="32" t="s">
        <v>2170</v>
      </c>
      <c r="R740" s="0" t="str">
        <f aca="false">IF(H740="GEN","GM",H740)</f>
        <v>OR</v>
      </c>
    </row>
    <row r="741" customFormat="false" ht="15" hidden="false" customHeight="false" outlineLevel="0" collapsed="false">
      <c r="A741" s="0" t="s">
        <v>3219</v>
      </c>
      <c r="B741" s="0" t="s">
        <v>2321</v>
      </c>
      <c r="C741" s="0" t="s">
        <v>962</v>
      </c>
      <c r="D741" s="31" t="n">
        <v>27473</v>
      </c>
      <c r="E741" s="31" t="n">
        <v>45687</v>
      </c>
      <c r="F741" s="32" t="s">
        <v>2087</v>
      </c>
      <c r="G741" s="32" t="s">
        <v>2115</v>
      </c>
      <c r="H741" s="32" t="s">
        <v>758</v>
      </c>
      <c r="I741" s="31" t="n">
        <v>45694</v>
      </c>
      <c r="J741" s="32" t="s">
        <v>2160</v>
      </c>
      <c r="K741" s="0" t="n">
        <v>7</v>
      </c>
      <c r="L741" s="32" t="s">
        <v>2081</v>
      </c>
      <c r="M741" s="32" t="s">
        <v>2116</v>
      </c>
      <c r="N741" s="0" t="n">
        <v>7</v>
      </c>
      <c r="O741" s="32" t="s">
        <v>759</v>
      </c>
      <c r="P741" s="32" t="s">
        <v>2149</v>
      </c>
      <c r="Q741" s="32" t="s">
        <v>2153</v>
      </c>
      <c r="R741" s="0" t="str">
        <f aca="false">IF(H741="GEN","GM",H741)</f>
        <v>CS</v>
      </c>
    </row>
    <row r="742" customFormat="false" ht="15" hidden="false" customHeight="false" outlineLevel="0" collapsed="false">
      <c r="A742" s="0" t="s">
        <v>3220</v>
      </c>
      <c r="C742" s="0" t="s">
        <v>1017</v>
      </c>
      <c r="D742" s="31" t="n">
        <v>20116</v>
      </c>
      <c r="E742" s="31" t="n">
        <v>45657</v>
      </c>
      <c r="F742" s="32" t="s">
        <v>2078</v>
      </c>
      <c r="G742" s="32" t="s">
        <v>2079</v>
      </c>
      <c r="H742" s="32" t="s">
        <v>776</v>
      </c>
      <c r="I742" s="31" t="n">
        <v>45660</v>
      </c>
      <c r="J742" s="32" t="s">
        <v>2160</v>
      </c>
      <c r="K742" s="0" t="n">
        <v>3</v>
      </c>
      <c r="L742" s="32" t="s">
        <v>2081</v>
      </c>
      <c r="M742" s="32" t="s">
        <v>2094</v>
      </c>
      <c r="N742" s="0" t="n">
        <v>3</v>
      </c>
      <c r="O742" s="32" t="s">
        <v>777</v>
      </c>
      <c r="P742" s="32" t="s">
        <v>2095</v>
      </c>
      <c r="Q742" s="32" t="s">
        <v>2170</v>
      </c>
      <c r="R742" s="0" t="str">
        <f aca="false">IF(H742="GEN","GM",H742)</f>
        <v>GS</v>
      </c>
    </row>
    <row r="743" customFormat="false" ht="15" hidden="false" customHeight="false" outlineLevel="0" collapsed="false">
      <c r="A743" s="0" t="s">
        <v>3221</v>
      </c>
      <c r="B743" s="0" t="s">
        <v>2370</v>
      </c>
      <c r="C743" s="0" t="s">
        <v>2178</v>
      </c>
      <c r="D743" s="31" t="n">
        <v>35783</v>
      </c>
      <c r="E743" s="31" t="n">
        <v>45695</v>
      </c>
      <c r="F743" s="32" t="s">
        <v>2087</v>
      </c>
      <c r="G743" s="32" t="s">
        <v>2088</v>
      </c>
      <c r="H743" s="32" t="s">
        <v>826</v>
      </c>
      <c r="I743" s="31" t="n">
        <v>45698</v>
      </c>
      <c r="J743" s="32" t="s">
        <v>2080</v>
      </c>
      <c r="K743" s="0" t="n">
        <v>3</v>
      </c>
      <c r="L743" s="32" t="s">
        <v>2081</v>
      </c>
      <c r="M743" s="32" t="s">
        <v>2255</v>
      </c>
      <c r="N743" s="0" t="n">
        <v>3</v>
      </c>
      <c r="O743" s="32" t="s">
        <v>827</v>
      </c>
      <c r="P743" s="32" t="s">
        <v>2182</v>
      </c>
      <c r="Q743" s="32" t="s">
        <v>2096</v>
      </c>
      <c r="R743" s="0" t="str">
        <f aca="false">IF(H743="GEN","GM",H743)</f>
        <v>RHE</v>
      </c>
    </row>
    <row r="744" customFormat="false" ht="15" hidden="false" customHeight="false" outlineLevel="0" collapsed="false">
      <c r="A744" s="0" t="s">
        <v>3222</v>
      </c>
      <c r="B744" s="0" t="s">
        <v>3066</v>
      </c>
      <c r="C744" s="0" t="s">
        <v>922</v>
      </c>
      <c r="D744" s="31" t="n">
        <v>30352</v>
      </c>
      <c r="E744" s="31" t="n">
        <v>45732</v>
      </c>
      <c r="F744" s="32" t="s">
        <v>2078</v>
      </c>
      <c r="G744" s="32" t="s">
        <v>2088</v>
      </c>
      <c r="H744" s="32" t="s">
        <v>826</v>
      </c>
      <c r="I744" s="31" t="n">
        <v>45733</v>
      </c>
      <c r="J744" s="32" t="s">
        <v>2080</v>
      </c>
      <c r="K744" s="0" t="n">
        <v>1</v>
      </c>
      <c r="L744" s="32" t="s">
        <v>2106</v>
      </c>
      <c r="M744" s="32" t="s">
        <v>2136</v>
      </c>
      <c r="N744" s="0" t="n">
        <v>1</v>
      </c>
      <c r="O744" s="32" t="s">
        <v>827</v>
      </c>
      <c r="P744" s="32" t="s">
        <v>2101</v>
      </c>
      <c r="Q744" s="32" t="s">
        <v>2118</v>
      </c>
      <c r="R744" s="0" t="str">
        <f aca="false">IF(H744="GEN","GM",H744)</f>
        <v>RHE</v>
      </c>
    </row>
    <row r="745" customFormat="false" ht="15" hidden="false" customHeight="false" outlineLevel="0" collapsed="false">
      <c r="A745" s="0" t="s">
        <v>3223</v>
      </c>
      <c r="B745" s="0" t="s">
        <v>2312</v>
      </c>
      <c r="C745" s="0" t="s">
        <v>946</v>
      </c>
      <c r="D745" s="31" t="n">
        <v>35921</v>
      </c>
      <c r="E745" s="31" t="n">
        <v>45691</v>
      </c>
      <c r="F745" s="32" t="s">
        <v>2087</v>
      </c>
      <c r="G745" s="32" t="s">
        <v>2104</v>
      </c>
      <c r="H745" s="32" t="s">
        <v>802</v>
      </c>
      <c r="I745" s="31" t="n">
        <v>45692</v>
      </c>
      <c r="J745" s="32" t="s">
        <v>2080</v>
      </c>
      <c r="K745" s="0" t="n">
        <v>1</v>
      </c>
      <c r="L745" s="32" t="s">
        <v>2081</v>
      </c>
      <c r="M745" s="32" t="s">
        <v>2094</v>
      </c>
      <c r="N745" s="0" t="n">
        <v>1</v>
      </c>
      <c r="O745" s="32" t="s">
        <v>803</v>
      </c>
      <c r="P745" s="32" t="s">
        <v>2142</v>
      </c>
      <c r="Q745" s="32" t="s">
        <v>2179</v>
      </c>
      <c r="R745" s="0" t="str">
        <f aca="false">IF(H745="GEN","GM",H745)</f>
        <v>GYN</v>
      </c>
    </row>
    <row r="746" customFormat="false" ht="15" hidden="false" customHeight="false" outlineLevel="0" collapsed="false">
      <c r="A746" s="0" t="s">
        <v>3224</v>
      </c>
      <c r="B746" s="0" t="s">
        <v>3225</v>
      </c>
      <c r="C746" s="0" t="s">
        <v>894</v>
      </c>
      <c r="D746" s="31" t="n">
        <v>24766</v>
      </c>
      <c r="E746" s="31" t="n">
        <v>45635</v>
      </c>
      <c r="F746" s="32" t="s">
        <v>2078</v>
      </c>
      <c r="G746" s="32" t="s">
        <v>2088</v>
      </c>
      <c r="H746" s="32" t="s">
        <v>826</v>
      </c>
      <c r="I746" s="31" t="n">
        <v>45637</v>
      </c>
      <c r="J746" s="32" t="s">
        <v>2080</v>
      </c>
      <c r="K746" s="0" t="n">
        <v>2</v>
      </c>
      <c r="L746" s="32" t="s">
        <v>2081</v>
      </c>
      <c r="M746" s="32" t="s">
        <v>2152</v>
      </c>
      <c r="N746" s="0" t="n">
        <v>2</v>
      </c>
      <c r="O746" s="32" t="s">
        <v>827</v>
      </c>
      <c r="P746" s="32" t="s">
        <v>2111</v>
      </c>
      <c r="Q746" s="32" t="s">
        <v>2198</v>
      </c>
      <c r="R746" s="0" t="str">
        <f aca="false">IF(H746="GEN","GM",H746)</f>
        <v>RHE</v>
      </c>
    </row>
    <row r="747" customFormat="false" ht="15" hidden="false" customHeight="false" outlineLevel="0" collapsed="false">
      <c r="A747" s="0" t="s">
        <v>3226</v>
      </c>
      <c r="B747" s="0" t="s">
        <v>2263</v>
      </c>
      <c r="C747" s="0" t="s">
        <v>801</v>
      </c>
      <c r="D747" s="31" t="n">
        <v>38005</v>
      </c>
      <c r="E747" s="31" t="n">
        <v>45657</v>
      </c>
      <c r="F747" s="32" t="s">
        <v>2087</v>
      </c>
      <c r="G747" s="32" t="s">
        <v>2099</v>
      </c>
      <c r="H747" s="32" t="s">
        <v>766</v>
      </c>
      <c r="I747" s="31" t="n">
        <v>45666</v>
      </c>
      <c r="J747" s="32" t="s">
        <v>2080</v>
      </c>
      <c r="K747" s="0" t="n">
        <v>9</v>
      </c>
      <c r="L747" s="32" t="s">
        <v>2081</v>
      </c>
      <c r="M747" s="32" t="s">
        <v>2212</v>
      </c>
      <c r="N747" s="0" t="n">
        <v>9</v>
      </c>
      <c r="O747" s="32" t="s">
        <v>767</v>
      </c>
      <c r="P747" s="32" t="s">
        <v>2175</v>
      </c>
      <c r="Q747" s="32" t="s">
        <v>2259</v>
      </c>
      <c r="R747" s="0" t="str">
        <f aca="false">IF(H747="GEN","GM",H747)</f>
        <v>OR</v>
      </c>
    </row>
    <row r="748" customFormat="false" ht="15" hidden="false" customHeight="false" outlineLevel="0" collapsed="false">
      <c r="A748" s="0" t="s">
        <v>3227</v>
      </c>
      <c r="B748" s="0" t="s">
        <v>2645</v>
      </c>
      <c r="C748" s="0" t="s">
        <v>746</v>
      </c>
      <c r="D748" s="31" t="n">
        <v>12797</v>
      </c>
      <c r="E748" s="31" t="n">
        <v>45640</v>
      </c>
      <c r="F748" s="32" t="s">
        <v>2087</v>
      </c>
      <c r="G748" s="32" t="s">
        <v>2104</v>
      </c>
      <c r="H748" s="32" t="s">
        <v>802</v>
      </c>
      <c r="I748" s="31" t="n">
        <v>45645</v>
      </c>
      <c r="J748" s="32" t="s">
        <v>2080</v>
      </c>
      <c r="K748" s="0" t="n">
        <v>5</v>
      </c>
      <c r="L748" s="32" t="s">
        <v>2081</v>
      </c>
      <c r="M748" s="32" t="s">
        <v>2116</v>
      </c>
      <c r="N748" s="0" t="n">
        <v>5</v>
      </c>
      <c r="O748" s="32" t="s">
        <v>803</v>
      </c>
      <c r="Q748" s="32" t="s">
        <v>2096</v>
      </c>
      <c r="R748" s="0" t="str">
        <f aca="false">IF(H748="GEN","GM",H748)</f>
        <v>GYN</v>
      </c>
    </row>
    <row r="749" customFormat="false" ht="15" hidden="false" customHeight="false" outlineLevel="0" collapsed="false">
      <c r="A749" s="0" t="s">
        <v>3228</v>
      </c>
      <c r="B749" s="0" t="s">
        <v>2439</v>
      </c>
      <c r="C749" s="0" t="s">
        <v>1419</v>
      </c>
      <c r="D749" s="31" t="n">
        <v>32034</v>
      </c>
      <c r="E749" s="31" t="n">
        <v>45582</v>
      </c>
      <c r="F749" s="32" t="s">
        <v>2078</v>
      </c>
      <c r="G749" s="32" t="s">
        <v>2088</v>
      </c>
      <c r="H749" s="32" t="s">
        <v>793</v>
      </c>
      <c r="I749" s="31" t="n">
        <v>45584</v>
      </c>
      <c r="J749" s="32" t="s">
        <v>2080</v>
      </c>
      <c r="K749" s="0" t="n">
        <v>2</v>
      </c>
      <c r="L749" s="32" t="s">
        <v>2081</v>
      </c>
      <c r="M749" s="32" t="s">
        <v>2255</v>
      </c>
      <c r="N749" s="0" t="n">
        <v>2</v>
      </c>
      <c r="O749" s="32" t="s">
        <v>794</v>
      </c>
      <c r="P749" s="32" t="s">
        <v>2179</v>
      </c>
      <c r="Q749" s="32" t="s">
        <v>2125</v>
      </c>
      <c r="R749" s="0" t="str">
        <f aca="false">IF(H749="GEN","GM",H749)</f>
        <v>EM</v>
      </c>
    </row>
    <row r="750" customFormat="false" ht="15" hidden="false" customHeight="false" outlineLevel="0" collapsed="false">
      <c r="A750" s="0" t="s">
        <v>3229</v>
      </c>
      <c r="B750" s="0" t="s">
        <v>2921</v>
      </c>
      <c r="C750" s="0" t="s">
        <v>775</v>
      </c>
      <c r="D750" s="31" t="n">
        <v>25905</v>
      </c>
      <c r="E750" s="31" t="n">
        <v>45721</v>
      </c>
      <c r="F750" s="32" t="s">
        <v>2078</v>
      </c>
      <c r="G750" s="32" t="s">
        <v>2088</v>
      </c>
      <c r="H750" s="32" t="s">
        <v>747</v>
      </c>
      <c r="I750" s="31" t="n">
        <v>45723</v>
      </c>
      <c r="J750" s="32" t="s">
        <v>2080</v>
      </c>
      <c r="K750" s="0" t="n">
        <v>2</v>
      </c>
      <c r="L750" s="32" t="s">
        <v>2081</v>
      </c>
      <c r="M750" s="32" t="s">
        <v>2189</v>
      </c>
      <c r="N750" s="0" t="n">
        <v>2</v>
      </c>
      <c r="O750" s="32" t="s">
        <v>748</v>
      </c>
      <c r="P750" s="32" t="s">
        <v>2175</v>
      </c>
      <c r="Q750" s="32" t="s">
        <v>2157</v>
      </c>
      <c r="R750" s="0" t="str">
        <f aca="false">IF(H750="GEN","GM",H750)</f>
        <v>GM</v>
      </c>
    </row>
    <row r="751" customFormat="false" ht="15" hidden="false" customHeight="false" outlineLevel="0" collapsed="false">
      <c r="A751" s="0" t="s">
        <v>3230</v>
      </c>
      <c r="B751" s="0" t="s">
        <v>3070</v>
      </c>
      <c r="C751" s="0" t="s">
        <v>1033</v>
      </c>
      <c r="D751" s="31" t="n">
        <v>22457</v>
      </c>
      <c r="E751" s="31" t="n">
        <v>45648</v>
      </c>
      <c r="F751" s="32" t="s">
        <v>2087</v>
      </c>
      <c r="G751" s="32" t="s">
        <v>2099</v>
      </c>
      <c r="H751" s="32" t="s">
        <v>818</v>
      </c>
      <c r="I751" s="31" t="n">
        <v>45652</v>
      </c>
      <c r="J751" s="32" t="s">
        <v>2080</v>
      </c>
      <c r="K751" s="0" t="n">
        <v>4</v>
      </c>
      <c r="L751" s="32" t="s">
        <v>2081</v>
      </c>
      <c r="M751" s="32" t="s">
        <v>2255</v>
      </c>
      <c r="N751" s="0" t="n">
        <v>6</v>
      </c>
      <c r="P751" s="32" t="s">
        <v>2117</v>
      </c>
      <c r="Q751" s="32" t="s">
        <v>2084</v>
      </c>
      <c r="R751" s="0" t="str">
        <f aca="false">IF(H751="GEN","GM",H751)</f>
        <v>OPH</v>
      </c>
    </row>
    <row r="752" customFormat="false" ht="15" hidden="false" customHeight="false" outlineLevel="0" collapsed="false">
      <c r="A752" s="0" t="s">
        <v>3231</v>
      </c>
      <c r="B752" s="0" t="s">
        <v>3232</v>
      </c>
      <c r="C752" s="0" t="s">
        <v>910</v>
      </c>
      <c r="D752" s="31" t="n">
        <v>16970</v>
      </c>
      <c r="E752" s="31" t="n">
        <v>45685</v>
      </c>
      <c r="F752" s="32" t="s">
        <v>2087</v>
      </c>
      <c r="G752" s="32" t="s">
        <v>2124</v>
      </c>
      <c r="H752" s="32" t="s">
        <v>785</v>
      </c>
      <c r="I752" s="31" t="n">
        <v>45687</v>
      </c>
      <c r="J752" s="32" t="s">
        <v>2080</v>
      </c>
      <c r="K752" s="0" t="n">
        <v>2</v>
      </c>
      <c r="L752" s="32" t="s">
        <v>2081</v>
      </c>
      <c r="M752" s="32" t="s">
        <v>2161</v>
      </c>
      <c r="N752" s="0" t="n">
        <v>2</v>
      </c>
      <c r="O752" s="32" t="s">
        <v>786</v>
      </c>
      <c r="P752" s="32" t="s">
        <v>2121</v>
      </c>
      <c r="Q752" s="32" t="s">
        <v>2096</v>
      </c>
      <c r="R752" s="0" t="str">
        <f aca="false">IF(H752="GEN","GM",H752)</f>
        <v>RS</v>
      </c>
    </row>
    <row r="753" customFormat="false" ht="15" hidden="false" customHeight="false" outlineLevel="0" collapsed="false">
      <c r="A753" s="0" t="s">
        <v>3233</v>
      </c>
      <c r="B753" s="0" t="s">
        <v>3008</v>
      </c>
      <c r="C753" s="0" t="s">
        <v>1453</v>
      </c>
      <c r="D753" s="31" t="n">
        <v>20180</v>
      </c>
      <c r="E753" s="31" t="n">
        <v>45667</v>
      </c>
      <c r="F753" s="32" t="s">
        <v>2087</v>
      </c>
      <c r="G753" s="32" t="s">
        <v>2088</v>
      </c>
      <c r="H753" s="32" t="s">
        <v>826</v>
      </c>
      <c r="I753" s="31" t="n">
        <v>45672</v>
      </c>
      <c r="J753" s="32" t="s">
        <v>2080</v>
      </c>
      <c r="K753" s="0" t="n">
        <v>5</v>
      </c>
      <c r="L753" s="32" t="s">
        <v>2081</v>
      </c>
      <c r="M753" s="32" t="s">
        <v>2212</v>
      </c>
      <c r="N753" s="0" t="n">
        <v>5</v>
      </c>
      <c r="O753" s="32" t="s">
        <v>827</v>
      </c>
      <c r="P753" s="32" t="s">
        <v>2133</v>
      </c>
      <c r="Q753" s="32" t="s">
        <v>2198</v>
      </c>
      <c r="R753" s="0" t="str">
        <f aca="false">IF(H753="GEN","GM",H753)</f>
        <v>RHE</v>
      </c>
    </row>
    <row r="754" customFormat="false" ht="15" hidden="false" customHeight="false" outlineLevel="0" collapsed="false">
      <c r="A754" s="0" t="s">
        <v>3234</v>
      </c>
      <c r="B754" s="0" t="s">
        <v>3235</v>
      </c>
      <c r="C754" s="0" t="s">
        <v>942</v>
      </c>
      <c r="D754" s="31" t="n">
        <v>36985</v>
      </c>
      <c r="E754" s="31" t="n">
        <v>45620</v>
      </c>
      <c r="F754" s="32" t="s">
        <v>2087</v>
      </c>
      <c r="G754" s="32" t="s">
        <v>2104</v>
      </c>
      <c r="H754" s="32" t="s">
        <v>802</v>
      </c>
      <c r="I754" s="31" t="n">
        <v>45625</v>
      </c>
      <c r="J754" s="32" t="s">
        <v>2080</v>
      </c>
      <c r="K754" s="0" t="n">
        <v>5</v>
      </c>
      <c r="L754" s="32" t="s">
        <v>2081</v>
      </c>
      <c r="M754" s="32" t="s">
        <v>2116</v>
      </c>
      <c r="N754" s="0" t="n">
        <v>5</v>
      </c>
      <c r="O754" s="32" t="s">
        <v>803</v>
      </c>
      <c r="P754" s="32" t="s">
        <v>2201</v>
      </c>
      <c r="Q754" s="32" t="s">
        <v>2157</v>
      </c>
      <c r="R754" s="0" t="str">
        <f aca="false">IF(H754="GEN","GM",H754)</f>
        <v>GYN</v>
      </c>
    </row>
    <row r="755" customFormat="false" ht="15" hidden="false" customHeight="false" outlineLevel="0" collapsed="false">
      <c r="A755" s="0" t="s">
        <v>3236</v>
      </c>
      <c r="B755" s="0" t="s">
        <v>3237</v>
      </c>
      <c r="C755" s="0" t="s">
        <v>2148</v>
      </c>
      <c r="D755" s="31" t="n">
        <v>13701</v>
      </c>
      <c r="E755" s="31" t="n">
        <v>45681</v>
      </c>
      <c r="F755" s="32" t="s">
        <v>2078</v>
      </c>
      <c r="G755" s="32" t="s">
        <v>2099</v>
      </c>
      <c r="H755" s="32" t="s">
        <v>766</v>
      </c>
      <c r="I755" s="31" t="n">
        <v>45684</v>
      </c>
      <c r="J755" s="32" t="s">
        <v>2080</v>
      </c>
      <c r="K755" s="0" t="n">
        <v>3</v>
      </c>
      <c r="L755" s="32" t="s">
        <v>2106</v>
      </c>
      <c r="M755" s="32" t="s">
        <v>2255</v>
      </c>
      <c r="N755" s="0" t="n">
        <v>3</v>
      </c>
      <c r="O755" s="32" t="s">
        <v>767</v>
      </c>
      <c r="P755" s="32" t="s">
        <v>2213</v>
      </c>
      <c r="Q755" s="32" t="s">
        <v>2091</v>
      </c>
      <c r="R755" s="0" t="str">
        <f aca="false">IF(H755="GEN","GM",H755)</f>
        <v>OR</v>
      </c>
    </row>
    <row r="756" customFormat="false" ht="15" hidden="false" customHeight="false" outlineLevel="0" collapsed="false">
      <c r="A756" s="0" t="s">
        <v>3238</v>
      </c>
      <c r="B756" s="0" t="s">
        <v>2958</v>
      </c>
      <c r="C756" s="0" t="s">
        <v>934</v>
      </c>
      <c r="D756" s="31" t="n">
        <v>34565</v>
      </c>
      <c r="E756" s="31" t="n">
        <v>45617</v>
      </c>
      <c r="F756" s="32" t="s">
        <v>2078</v>
      </c>
      <c r="G756" s="32" t="s">
        <v>2079</v>
      </c>
      <c r="H756" s="32" t="s">
        <v>810</v>
      </c>
      <c r="I756" s="31" t="n">
        <v>45620</v>
      </c>
      <c r="J756" s="32" t="s">
        <v>2160</v>
      </c>
      <c r="K756" s="0" t="n">
        <v>3</v>
      </c>
      <c r="L756" s="32" t="s">
        <v>2081</v>
      </c>
      <c r="M756" s="32" t="s">
        <v>2286</v>
      </c>
      <c r="N756" s="0" t="n">
        <v>3</v>
      </c>
      <c r="O756" s="32" t="s">
        <v>811</v>
      </c>
      <c r="P756" s="32" t="s">
        <v>2238</v>
      </c>
      <c r="Q756" s="32" t="s">
        <v>2125</v>
      </c>
      <c r="R756" s="0" t="str">
        <f aca="false">IF(H756="GEN","GM",H756)</f>
        <v>URO</v>
      </c>
    </row>
    <row r="757" customFormat="false" ht="15" hidden="false" customHeight="false" outlineLevel="0" collapsed="false">
      <c r="A757" s="0" t="s">
        <v>3239</v>
      </c>
      <c r="B757" s="0" t="s">
        <v>2205</v>
      </c>
      <c r="C757" s="0" t="s">
        <v>1460</v>
      </c>
      <c r="D757" s="31" t="n">
        <v>30754</v>
      </c>
      <c r="E757" s="31" t="n">
        <v>45571</v>
      </c>
      <c r="F757" s="32" t="s">
        <v>2087</v>
      </c>
      <c r="G757" s="32" t="s">
        <v>2099</v>
      </c>
      <c r="H757" s="32" t="s">
        <v>818</v>
      </c>
      <c r="I757" s="31" t="n">
        <v>45579</v>
      </c>
      <c r="J757" s="32" t="s">
        <v>2080</v>
      </c>
      <c r="K757" s="0" t="n">
        <v>8</v>
      </c>
      <c r="L757" s="32" t="s">
        <v>2081</v>
      </c>
      <c r="M757" s="32" t="s">
        <v>2161</v>
      </c>
      <c r="N757" s="0" t="n">
        <v>9</v>
      </c>
      <c r="O757" s="32" t="s">
        <v>819</v>
      </c>
      <c r="P757" s="32" t="s">
        <v>2238</v>
      </c>
      <c r="Q757" s="32" t="s">
        <v>2091</v>
      </c>
      <c r="R757" s="0" t="str">
        <f aca="false">IF(H757="GEN","GM",H757)</f>
        <v>OPH</v>
      </c>
    </row>
    <row r="758" customFormat="false" ht="15" hidden="false" customHeight="false" outlineLevel="0" collapsed="false">
      <c r="A758" s="0" t="s">
        <v>3240</v>
      </c>
      <c r="B758" s="0" t="s">
        <v>2982</v>
      </c>
      <c r="C758" s="0" t="s">
        <v>1410</v>
      </c>
      <c r="D758" s="31" t="n">
        <v>37208</v>
      </c>
      <c r="E758" s="31" t="n">
        <v>45691</v>
      </c>
      <c r="F758" s="32" t="s">
        <v>2087</v>
      </c>
      <c r="G758" s="32" t="s">
        <v>2099</v>
      </c>
      <c r="H758" s="32" t="s">
        <v>766</v>
      </c>
      <c r="I758" s="31" t="n">
        <v>45691</v>
      </c>
      <c r="J758" s="32" t="s">
        <v>2160</v>
      </c>
      <c r="K758" s="0" t="n">
        <v>0</v>
      </c>
      <c r="L758" s="32" t="s">
        <v>2081</v>
      </c>
      <c r="M758" s="32" t="s">
        <v>2110</v>
      </c>
      <c r="N758" s="0" t="n">
        <v>0</v>
      </c>
      <c r="O758" s="32" t="s">
        <v>767</v>
      </c>
      <c r="P758" s="32" t="s">
        <v>2095</v>
      </c>
      <c r="Q758" s="32" t="s">
        <v>2091</v>
      </c>
      <c r="R758" s="0" t="str">
        <f aca="false">IF(H758="GEN","GM",H758)</f>
        <v>OR</v>
      </c>
    </row>
    <row r="759" customFormat="false" ht="15" hidden="false" customHeight="false" outlineLevel="0" collapsed="false">
      <c r="A759" s="0" t="s">
        <v>3241</v>
      </c>
      <c r="B759" s="0" t="s">
        <v>2921</v>
      </c>
      <c r="C759" s="0" t="s">
        <v>934</v>
      </c>
      <c r="D759" s="31" t="n">
        <v>36858</v>
      </c>
      <c r="E759" s="31" t="n">
        <v>45646</v>
      </c>
      <c r="F759" s="32" t="s">
        <v>2078</v>
      </c>
      <c r="G759" s="32" t="s">
        <v>2079</v>
      </c>
      <c r="H759" s="32" t="s">
        <v>810</v>
      </c>
      <c r="I759" s="31" t="n">
        <v>45646</v>
      </c>
      <c r="J759" s="32" t="s">
        <v>2080</v>
      </c>
      <c r="K759" s="0" t="n">
        <v>0</v>
      </c>
      <c r="L759" s="32" t="s">
        <v>2081</v>
      </c>
      <c r="M759" s="32" t="s">
        <v>2212</v>
      </c>
      <c r="N759" s="0" t="n">
        <v>0</v>
      </c>
      <c r="O759" s="32" t="s">
        <v>811</v>
      </c>
      <c r="P759" s="32" t="s">
        <v>2149</v>
      </c>
      <c r="Q759" s="32" t="s">
        <v>2138</v>
      </c>
      <c r="R759" s="0" t="str">
        <f aca="false">IF(H759="GEN","GM",H759)</f>
        <v>URO</v>
      </c>
    </row>
    <row r="760" customFormat="false" ht="15" hidden="false" customHeight="false" outlineLevel="0" collapsed="false">
      <c r="A760" s="0" t="s">
        <v>3242</v>
      </c>
      <c r="B760" s="0" t="s">
        <v>2653</v>
      </c>
      <c r="C760" s="0" t="s">
        <v>878</v>
      </c>
      <c r="D760" s="31" t="n">
        <v>22688</v>
      </c>
      <c r="E760" s="31" t="n">
        <v>45657</v>
      </c>
      <c r="F760" s="32" t="s">
        <v>2078</v>
      </c>
      <c r="G760" s="32" t="s">
        <v>2088</v>
      </c>
      <c r="H760" s="32" t="s">
        <v>793</v>
      </c>
      <c r="I760" s="31" t="n">
        <v>45658</v>
      </c>
      <c r="J760" s="32" t="s">
        <v>2080</v>
      </c>
      <c r="K760" s="0" t="n">
        <v>1</v>
      </c>
      <c r="L760" s="32" t="s">
        <v>2081</v>
      </c>
      <c r="M760" s="32" t="s">
        <v>2195</v>
      </c>
      <c r="N760" s="0" t="n">
        <v>1</v>
      </c>
      <c r="O760" s="32" t="s">
        <v>794</v>
      </c>
      <c r="P760" s="32" t="s">
        <v>2222</v>
      </c>
      <c r="Q760" s="32" t="s">
        <v>2091</v>
      </c>
      <c r="R760" s="0" t="str">
        <f aca="false">IF(H760="GEN","GM",H760)</f>
        <v>EM</v>
      </c>
    </row>
    <row r="761" customFormat="false" ht="15" hidden="false" customHeight="false" outlineLevel="0" collapsed="false">
      <c r="A761" s="0" t="s">
        <v>3243</v>
      </c>
      <c r="B761" s="0" t="s">
        <v>2365</v>
      </c>
      <c r="C761" s="0" t="s">
        <v>1398</v>
      </c>
      <c r="D761" s="31" t="n">
        <v>15303</v>
      </c>
      <c r="E761" s="31" t="n">
        <v>45578</v>
      </c>
      <c r="F761" s="32" t="s">
        <v>2078</v>
      </c>
      <c r="G761" s="32" t="s">
        <v>2079</v>
      </c>
      <c r="H761" s="32" t="s">
        <v>776</v>
      </c>
      <c r="I761" s="31" t="n">
        <v>45579</v>
      </c>
      <c r="J761" s="32" t="s">
        <v>2080</v>
      </c>
      <c r="K761" s="0" t="n">
        <v>1</v>
      </c>
      <c r="L761" s="32" t="s">
        <v>2081</v>
      </c>
      <c r="M761" s="32" t="s">
        <v>2128</v>
      </c>
      <c r="N761" s="0" t="n">
        <v>1</v>
      </c>
      <c r="O761" s="32" t="s">
        <v>777</v>
      </c>
      <c r="P761" s="32" t="s">
        <v>2149</v>
      </c>
      <c r="Q761" s="32" t="s">
        <v>2198</v>
      </c>
      <c r="R761" s="0" t="str">
        <f aca="false">IF(H761="GEN","GM",H761)</f>
        <v>GS</v>
      </c>
    </row>
    <row r="762" customFormat="false" ht="15" hidden="false" customHeight="false" outlineLevel="0" collapsed="false">
      <c r="A762" s="0" t="s">
        <v>3244</v>
      </c>
      <c r="B762" s="0" t="s">
        <v>2659</v>
      </c>
      <c r="C762" s="0" t="s">
        <v>946</v>
      </c>
      <c r="D762" s="31" t="n">
        <v>25368</v>
      </c>
      <c r="E762" s="31" t="n">
        <v>45625</v>
      </c>
      <c r="F762" s="32" t="s">
        <v>2087</v>
      </c>
      <c r="G762" s="32" t="s">
        <v>2088</v>
      </c>
      <c r="H762" s="32" t="s">
        <v>826</v>
      </c>
      <c r="I762" s="31" t="n">
        <v>45632</v>
      </c>
      <c r="J762" s="32" t="s">
        <v>2105</v>
      </c>
      <c r="K762" s="0" t="n">
        <v>7</v>
      </c>
      <c r="L762" s="32" t="s">
        <v>2081</v>
      </c>
      <c r="M762" s="32" t="s">
        <v>2089</v>
      </c>
      <c r="N762" s="0" t="n">
        <v>7</v>
      </c>
      <c r="O762" s="32" t="s">
        <v>827</v>
      </c>
      <c r="P762" s="32" t="s">
        <v>2222</v>
      </c>
      <c r="Q762" s="32" t="s">
        <v>2170</v>
      </c>
      <c r="R762" s="0" t="str">
        <f aca="false">IF(H762="GEN","GM",H762)</f>
        <v>RHE</v>
      </c>
    </row>
    <row r="763" customFormat="false" ht="15" hidden="false" customHeight="false" outlineLevel="0" collapsed="false">
      <c r="A763" s="0" t="s">
        <v>3245</v>
      </c>
      <c r="B763" s="0" t="s">
        <v>2261</v>
      </c>
      <c r="C763" s="0" t="s">
        <v>1025</v>
      </c>
      <c r="D763" s="31" t="n">
        <v>20385</v>
      </c>
      <c r="E763" s="31" t="n">
        <v>45619</v>
      </c>
      <c r="F763" s="32" t="s">
        <v>2087</v>
      </c>
      <c r="G763" s="32" t="s">
        <v>2099</v>
      </c>
      <c r="H763" s="32" t="s">
        <v>818</v>
      </c>
      <c r="I763" s="31" t="n">
        <v>45625</v>
      </c>
      <c r="J763" s="32" t="s">
        <v>2080</v>
      </c>
      <c r="K763" s="0" t="n">
        <v>6</v>
      </c>
      <c r="L763" s="32" t="s">
        <v>2081</v>
      </c>
      <c r="M763" s="32" t="s">
        <v>2132</v>
      </c>
      <c r="N763" s="0" t="n">
        <v>6</v>
      </c>
      <c r="O763" s="32" t="s">
        <v>819</v>
      </c>
      <c r="P763" s="32" t="s">
        <v>2238</v>
      </c>
      <c r="Q763" s="32" t="s">
        <v>2157</v>
      </c>
      <c r="R763" s="0" t="str">
        <f aca="false">IF(H763="GEN","GM",H763)</f>
        <v>OPH</v>
      </c>
    </row>
    <row r="764" customFormat="false" ht="15" hidden="false" customHeight="false" outlineLevel="0" collapsed="false">
      <c r="A764" s="0" t="s">
        <v>3246</v>
      </c>
      <c r="B764" s="0" t="s">
        <v>2803</v>
      </c>
      <c r="C764" s="0" t="s">
        <v>922</v>
      </c>
      <c r="D764" s="31" t="n">
        <v>37730</v>
      </c>
      <c r="E764" s="31" t="n">
        <v>45664</v>
      </c>
      <c r="F764" s="32" t="s">
        <v>2078</v>
      </c>
      <c r="G764" s="32" t="s">
        <v>2079</v>
      </c>
      <c r="H764" s="32" t="s">
        <v>810</v>
      </c>
      <c r="I764" s="31" t="n">
        <v>45669</v>
      </c>
      <c r="J764" s="32" t="s">
        <v>2080</v>
      </c>
      <c r="K764" s="0" t="n">
        <v>5</v>
      </c>
      <c r="L764" s="32" t="s">
        <v>2081</v>
      </c>
      <c r="M764" s="32" t="s">
        <v>2100</v>
      </c>
      <c r="N764" s="0" t="n">
        <v>5</v>
      </c>
      <c r="O764" s="32" t="s">
        <v>811</v>
      </c>
      <c r="P764" s="32" t="s">
        <v>2117</v>
      </c>
      <c r="Q764" s="32" t="s">
        <v>2259</v>
      </c>
      <c r="R764" s="0" t="str">
        <f aca="false">IF(H764="GEN","GM",H764)</f>
        <v>URO</v>
      </c>
    </row>
    <row r="765" customFormat="false" ht="15" hidden="false" customHeight="false" outlineLevel="0" collapsed="false">
      <c r="A765" s="0" t="s">
        <v>3247</v>
      </c>
      <c r="B765" s="0" t="s">
        <v>2767</v>
      </c>
      <c r="C765" s="0" t="s">
        <v>878</v>
      </c>
      <c r="D765" s="31" t="n">
        <v>16337</v>
      </c>
      <c r="E765" s="31" t="n">
        <v>45591</v>
      </c>
      <c r="F765" s="32" t="s">
        <v>2078</v>
      </c>
      <c r="G765" s="32" t="s">
        <v>2115</v>
      </c>
      <c r="H765" s="32" t="s">
        <v>758</v>
      </c>
      <c r="I765" s="31" t="n">
        <v>45592</v>
      </c>
      <c r="J765" s="32" t="s">
        <v>2080</v>
      </c>
      <c r="K765" s="0" t="n">
        <v>1</v>
      </c>
      <c r="L765" s="32" t="s">
        <v>2081</v>
      </c>
      <c r="M765" s="32" t="s">
        <v>2100</v>
      </c>
      <c r="N765" s="0" t="n">
        <v>1</v>
      </c>
      <c r="O765" s="32" t="s">
        <v>759</v>
      </c>
      <c r="P765" s="32" t="s">
        <v>2142</v>
      </c>
      <c r="Q765" s="32" t="s">
        <v>2138</v>
      </c>
      <c r="R765" s="0" t="str">
        <f aca="false">IF(H765="GEN","GM",H765)</f>
        <v>CS</v>
      </c>
    </row>
    <row r="766" customFormat="false" ht="15" hidden="false" customHeight="false" outlineLevel="0" collapsed="false">
      <c r="A766" s="0" t="s">
        <v>3248</v>
      </c>
      <c r="B766" s="0" t="s">
        <v>2506</v>
      </c>
      <c r="C766" s="0" t="s">
        <v>1426</v>
      </c>
      <c r="D766" s="31" t="n">
        <v>31554</v>
      </c>
      <c r="E766" s="31" t="n">
        <v>45655</v>
      </c>
      <c r="F766" s="32" t="s">
        <v>2087</v>
      </c>
      <c r="G766" s="32" t="s">
        <v>2088</v>
      </c>
      <c r="H766" s="32" t="s">
        <v>747</v>
      </c>
      <c r="I766" s="31" t="n">
        <v>45667</v>
      </c>
      <c r="J766" s="32" t="s">
        <v>2080</v>
      </c>
      <c r="K766" s="0" t="n">
        <v>12</v>
      </c>
      <c r="L766" s="32" t="s">
        <v>2081</v>
      </c>
      <c r="M766" s="32" t="s">
        <v>2136</v>
      </c>
      <c r="N766" s="0" t="n">
        <v>12</v>
      </c>
      <c r="O766" s="32" t="s">
        <v>748</v>
      </c>
      <c r="P766" s="32" t="s">
        <v>2117</v>
      </c>
      <c r="Q766" s="32" t="s">
        <v>2157</v>
      </c>
      <c r="R766" s="0" t="str">
        <f aca="false">IF(H766="GEN","GM",H766)</f>
        <v>GM</v>
      </c>
    </row>
    <row r="767" customFormat="false" ht="15" hidden="false" customHeight="false" outlineLevel="0" collapsed="false">
      <c r="A767" s="0" t="s">
        <v>3249</v>
      </c>
      <c r="B767" s="0" t="s">
        <v>2140</v>
      </c>
      <c r="C767" s="0" t="s">
        <v>862</v>
      </c>
      <c r="D767" s="31" t="n">
        <v>27741</v>
      </c>
      <c r="E767" s="31" t="n">
        <v>45622</v>
      </c>
      <c r="F767" s="32" t="s">
        <v>2087</v>
      </c>
      <c r="G767" s="32" t="s">
        <v>2088</v>
      </c>
      <c r="H767" s="32" t="s">
        <v>747</v>
      </c>
      <c r="I767" s="31" t="n">
        <v>45625</v>
      </c>
      <c r="J767" s="32" t="s">
        <v>2160</v>
      </c>
      <c r="K767" s="0" t="n">
        <v>3</v>
      </c>
      <c r="L767" s="32" t="s">
        <v>2081</v>
      </c>
      <c r="M767" s="32" t="s">
        <v>2212</v>
      </c>
      <c r="N767" s="0" t="n">
        <v>3</v>
      </c>
      <c r="O767" s="32" t="s">
        <v>748</v>
      </c>
      <c r="P767" s="32" t="s">
        <v>2111</v>
      </c>
      <c r="Q767" s="32" t="s">
        <v>2259</v>
      </c>
      <c r="R767" s="0" t="str">
        <f aca="false">IF(H767="GEN","GM",H767)</f>
        <v>GM</v>
      </c>
    </row>
    <row r="768" customFormat="false" ht="15" hidden="false" customHeight="false" outlineLevel="0" collapsed="false">
      <c r="A768" s="0" t="s">
        <v>3250</v>
      </c>
      <c r="B768" s="0" t="s">
        <v>3251</v>
      </c>
      <c r="C768" s="0" t="s">
        <v>946</v>
      </c>
      <c r="D768" s="31" t="n">
        <v>25753</v>
      </c>
      <c r="E768" s="31" t="n">
        <v>45655</v>
      </c>
      <c r="F768" s="32" t="s">
        <v>2078</v>
      </c>
      <c r="G768" s="32" t="s">
        <v>2099</v>
      </c>
      <c r="H768" s="32" t="s">
        <v>766</v>
      </c>
      <c r="I768" s="31" t="n">
        <v>45656</v>
      </c>
      <c r="J768" s="32" t="s">
        <v>2080</v>
      </c>
      <c r="K768" s="0" t="n">
        <v>1</v>
      </c>
      <c r="L768" s="32" t="s">
        <v>2081</v>
      </c>
      <c r="M768" s="32" t="s">
        <v>2227</v>
      </c>
      <c r="N768" s="0" t="n">
        <v>1</v>
      </c>
      <c r="O768" s="32" t="s">
        <v>767</v>
      </c>
      <c r="P768" s="32" t="s">
        <v>2201</v>
      </c>
      <c r="Q768" s="32" t="s">
        <v>2157</v>
      </c>
      <c r="R768" s="0" t="str">
        <f aca="false">IF(H768="GEN","GM",H768)</f>
        <v>OR</v>
      </c>
    </row>
    <row r="769" customFormat="false" ht="15" hidden="false" customHeight="false" outlineLevel="0" collapsed="false">
      <c r="A769" s="0" t="s">
        <v>3252</v>
      </c>
      <c r="B769" s="0" t="s">
        <v>3253</v>
      </c>
      <c r="C769" s="0" t="s">
        <v>989</v>
      </c>
      <c r="D769" s="31" t="n">
        <v>28295</v>
      </c>
      <c r="E769" s="31" t="n">
        <v>45589</v>
      </c>
      <c r="F769" s="32" t="s">
        <v>2087</v>
      </c>
      <c r="G769" s="32" t="s">
        <v>2079</v>
      </c>
      <c r="H769" s="32" t="s">
        <v>810</v>
      </c>
      <c r="I769" s="31" t="n">
        <v>45592</v>
      </c>
      <c r="J769" s="32" t="s">
        <v>2160</v>
      </c>
      <c r="K769" s="0" t="n">
        <v>3</v>
      </c>
      <c r="L769" s="32" t="s">
        <v>2081</v>
      </c>
      <c r="M769" s="32" t="s">
        <v>2094</v>
      </c>
      <c r="N769" s="0" t="n">
        <v>3</v>
      </c>
      <c r="O769" s="32" t="s">
        <v>811</v>
      </c>
      <c r="P769" s="32" t="s">
        <v>2162</v>
      </c>
      <c r="Q769" s="32" t="s">
        <v>2084</v>
      </c>
      <c r="R769" s="0" t="str">
        <f aca="false">IF(H769="GEN","GM",H769)</f>
        <v>URO</v>
      </c>
    </row>
    <row r="770" customFormat="false" ht="15" hidden="false" customHeight="false" outlineLevel="0" collapsed="false">
      <c r="A770" s="0" t="s">
        <v>3254</v>
      </c>
      <c r="B770" s="0" t="s">
        <v>2257</v>
      </c>
      <c r="C770" s="0" t="s">
        <v>1001</v>
      </c>
      <c r="D770" s="31" t="n">
        <v>35130</v>
      </c>
      <c r="E770" s="31" t="n">
        <v>45625</v>
      </c>
      <c r="F770" s="32" t="s">
        <v>2087</v>
      </c>
      <c r="G770" s="32" t="s">
        <v>2124</v>
      </c>
      <c r="H770" s="32" t="s">
        <v>785</v>
      </c>
      <c r="I770" s="31" t="n">
        <v>45626</v>
      </c>
      <c r="J770" s="32" t="s">
        <v>2080</v>
      </c>
      <c r="K770" s="0" t="n">
        <v>1</v>
      </c>
      <c r="L770" s="32" t="s">
        <v>2081</v>
      </c>
      <c r="M770" s="32" t="s">
        <v>2212</v>
      </c>
      <c r="N770" s="0" t="n">
        <v>1</v>
      </c>
      <c r="O770" s="32" t="s">
        <v>786</v>
      </c>
      <c r="P770" s="32" t="s">
        <v>2213</v>
      </c>
      <c r="Q770" s="32" t="s">
        <v>2112</v>
      </c>
      <c r="R770" s="0" t="str">
        <f aca="false">IF(H770="GEN","GM",H770)</f>
        <v>RS</v>
      </c>
    </row>
    <row r="771" customFormat="false" ht="15" hidden="false" customHeight="false" outlineLevel="0" collapsed="false">
      <c r="A771" s="0" t="s">
        <v>3255</v>
      </c>
      <c r="B771" s="0" t="s">
        <v>2437</v>
      </c>
      <c r="C771" s="0" t="s">
        <v>902</v>
      </c>
      <c r="D771" s="31" t="n">
        <v>15793</v>
      </c>
      <c r="E771" s="31" t="n">
        <v>45677</v>
      </c>
      <c r="F771" s="32" t="s">
        <v>2087</v>
      </c>
      <c r="G771" s="32" t="s">
        <v>2124</v>
      </c>
      <c r="H771" s="32" t="s">
        <v>785</v>
      </c>
      <c r="I771" s="31" t="n">
        <v>45680</v>
      </c>
      <c r="J771" s="32" t="s">
        <v>2080</v>
      </c>
      <c r="K771" s="0" t="n">
        <v>3</v>
      </c>
      <c r="L771" s="32" t="s">
        <v>2081</v>
      </c>
      <c r="M771" s="32" t="s">
        <v>2132</v>
      </c>
      <c r="N771" s="0" t="n">
        <v>3</v>
      </c>
      <c r="O771" s="32" t="s">
        <v>786</v>
      </c>
      <c r="P771" s="32" t="s">
        <v>2162</v>
      </c>
      <c r="Q771" s="32" t="s">
        <v>2112</v>
      </c>
      <c r="R771" s="0" t="str">
        <f aca="false">IF(H771="GEN","GM",H771)</f>
        <v>RS</v>
      </c>
    </row>
    <row r="772" customFormat="false" ht="15" hidden="false" customHeight="false" outlineLevel="0" collapsed="false">
      <c r="A772" s="0" t="s">
        <v>3256</v>
      </c>
      <c r="B772" s="0" t="s">
        <v>3094</v>
      </c>
      <c r="C772" s="0" t="s">
        <v>1017</v>
      </c>
      <c r="D772" s="31" t="n">
        <v>35322</v>
      </c>
      <c r="E772" s="31" t="n">
        <v>45590</v>
      </c>
      <c r="F772" s="32" t="s">
        <v>2078</v>
      </c>
      <c r="G772" s="32" t="s">
        <v>2088</v>
      </c>
      <c r="H772" s="32" t="s">
        <v>747</v>
      </c>
      <c r="I772" s="31" t="n">
        <v>45590</v>
      </c>
      <c r="J772" s="32" t="s">
        <v>2080</v>
      </c>
      <c r="K772" s="0" t="n">
        <v>0</v>
      </c>
      <c r="L772" s="32" t="s">
        <v>2106</v>
      </c>
      <c r="M772" s="32" t="s">
        <v>2141</v>
      </c>
      <c r="N772" s="0" t="n">
        <v>0</v>
      </c>
      <c r="O772" s="32" t="s">
        <v>748</v>
      </c>
      <c r="P772" s="32" t="s">
        <v>2201</v>
      </c>
      <c r="Q772" s="32" t="s">
        <v>2153</v>
      </c>
      <c r="R772" s="0" t="str">
        <f aca="false">IF(H772="GEN","GM",H772)</f>
        <v>GM</v>
      </c>
    </row>
    <row r="773" customFormat="false" ht="15" hidden="false" customHeight="false" outlineLevel="0" collapsed="false">
      <c r="A773" s="0" t="s">
        <v>3257</v>
      </c>
      <c r="B773" s="0" t="s">
        <v>2690</v>
      </c>
      <c r="C773" s="0" t="s">
        <v>825</v>
      </c>
      <c r="D773" s="31" t="n">
        <v>30077</v>
      </c>
      <c r="E773" s="31" t="n">
        <v>45676</v>
      </c>
      <c r="F773" s="32" t="s">
        <v>2087</v>
      </c>
      <c r="G773" s="32" t="s">
        <v>2088</v>
      </c>
      <c r="H773" s="32" t="s">
        <v>747</v>
      </c>
      <c r="I773" s="31" t="n">
        <v>45684</v>
      </c>
      <c r="J773" s="32" t="s">
        <v>2080</v>
      </c>
      <c r="K773" s="0" t="n">
        <v>8</v>
      </c>
      <c r="L773" s="32" t="s">
        <v>2081</v>
      </c>
      <c r="M773" s="32" t="s">
        <v>2082</v>
      </c>
      <c r="N773" s="0" t="n">
        <v>8</v>
      </c>
      <c r="O773" s="32" t="s">
        <v>748</v>
      </c>
      <c r="P773" s="32" t="s">
        <v>2201</v>
      </c>
      <c r="Q773" s="32" t="s">
        <v>2138</v>
      </c>
      <c r="R773" s="0" t="str">
        <f aca="false">IF(H773="GEN","GM",H773)</f>
        <v>GM</v>
      </c>
    </row>
    <row r="774" customFormat="false" ht="15" hidden="false" customHeight="false" outlineLevel="0" collapsed="false">
      <c r="A774" s="0" t="s">
        <v>3258</v>
      </c>
      <c r="B774" s="0" t="s">
        <v>3144</v>
      </c>
      <c r="C774" s="0" t="s">
        <v>922</v>
      </c>
      <c r="D774" s="31" t="n">
        <v>27747</v>
      </c>
      <c r="E774" s="31" t="n">
        <v>45698</v>
      </c>
      <c r="F774" s="32" t="s">
        <v>2087</v>
      </c>
      <c r="G774" s="32" t="s">
        <v>2104</v>
      </c>
      <c r="H774" s="32" t="s">
        <v>802</v>
      </c>
      <c r="I774" s="31" t="n">
        <v>45700</v>
      </c>
      <c r="J774" s="32" t="s">
        <v>2080</v>
      </c>
      <c r="K774" s="0" t="n">
        <v>2</v>
      </c>
      <c r="L774" s="32" t="s">
        <v>2081</v>
      </c>
      <c r="M774" s="32" t="s">
        <v>2283</v>
      </c>
      <c r="N774" s="0" t="n">
        <v>2</v>
      </c>
      <c r="O774" s="32" t="s">
        <v>803</v>
      </c>
      <c r="P774" s="32" t="s">
        <v>2201</v>
      </c>
      <c r="Q774" s="32" t="s">
        <v>2138</v>
      </c>
      <c r="R774" s="0" t="str">
        <f aca="false">IF(H774="GEN","GM",H774)</f>
        <v>GYN</v>
      </c>
    </row>
    <row r="775" customFormat="false" ht="15" hidden="false" customHeight="false" outlineLevel="0" collapsed="false">
      <c r="A775" s="0" t="s">
        <v>3259</v>
      </c>
      <c r="B775" s="0" t="s">
        <v>2600</v>
      </c>
      <c r="C775" s="0" t="s">
        <v>825</v>
      </c>
      <c r="D775" s="31" t="n">
        <v>17997</v>
      </c>
      <c r="E775" s="31" t="n">
        <v>45612</v>
      </c>
      <c r="F775" s="32" t="s">
        <v>2087</v>
      </c>
      <c r="G775" s="32" t="s">
        <v>2079</v>
      </c>
      <c r="H775" s="32" t="s">
        <v>776</v>
      </c>
      <c r="I775" s="31" t="n">
        <v>45616</v>
      </c>
      <c r="J775" s="32" t="s">
        <v>2080</v>
      </c>
      <c r="K775" s="0" t="n">
        <v>4</v>
      </c>
      <c r="L775" s="32" t="s">
        <v>2081</v>
      </c>
      <c r="M775" s="32" t="s">
        <v>2094</v>
      </c>
      <c r="N775" s="0" t="n">
        <v>4</v>
      </c>
      <c r="O775" s="32" t="s">
        <v>777</v>
      </c>
      <c r="P775" s="32" t="s">
        <v>2142</v>
      </c>
      <c r="Q775" s="32" t="s">
        <v>2190</v>
      </c>
      <c r="R775" s="0" t="str">
        <f aca="false">IF(H775="GEN","GM",H775)</f>
        <v>GS</v>
      </c>
    </row>
    <row r="776" customFormat="false" ht="15" hidden="false" customHeight="false" outlineLevel="0" collapsed="false">
      <c r="A776" s="0" t="s">
        <v>3260</v>
      </c>
      <c r="B776" s="0" t="s">
        <v>2423</v>
      </c>
      <c r="C776" s="0" t="s">
        <v>1021</v>
      </c>
      <c r="D776" s="31" t="n">
        <v>32514</v>
      </c>
      <c r="E776" s="31" t="n">
        <v>45579</v>
      </c>
      <c r="F776" s="32" t="s">
        <v>2078</v>
      </c>
      <c r="G776" s="32" t="s">
        <v>2104</v>
      </c>
      <c r="H776" s="32" t="s">
        <v>802</v>
      </c>
      <c r="I776" s="31" t="n">
        <v>45583</v>
      </c>
      <c r="J776" s="32" t="s">
        <v>2080</v>
      </c>
      <c r="K776" s="0" t="n">
        <v>4</v>
      </c>
      <c r="L776" s="32" t="s">
        <v>2081</v>
      </c>
      <c r="M776" s="32" t="s">
        <v>2128</v>
      </c>
      <c r="N776" s="0" t="n">
        <v>4</v>
      </c>
      <c r="O776" s="32" t="s">
        <v>803</v>
      </c>
      <c r="P776" s="32" t="s">
        <v>2175</v>
      </c>
      <c r="Q776" s="32" t="s">
        <v>2190</v>
      </c>
      <c r="R776" s="0" t="str">
        <f aca="false">IF(H776="GEN","GM",H776)</f>
        <v>GYN</v>
      </c>
    </row>
    <row r="777" customFormat="false" ht="15" hidden="false" customHeight="false" outlineLevel="0" collapsed="false">
      <c r="A777" s="0" t="s">
        <v>3261</v>
      </c>
      <c r="B777" s="0" t="s">
        <v>3043</v>
      </c>
      <c r="C777" s="0" t="s">
        <v>837</v>
      </c>
      <c r="D777" s="31" t="n">
        <v>28465</v>
      </c>
      <c r="E777" s="31" t="n">
        <v>45582</v>
      </c>
      <c r="F777" s="32" t="s">
        <v>2160</v>
      </c>
      <c r="G777" s="32" t="s">
        <v>2104</v>
      </c>
      <c r="H777" s="32" t="s">
        <v>802</v>
      </c>
      <c r="I777" s="31" t="n">
        <v>45585</v>
      </c>
      <c r="J777" s="32" t="s">
        <v>2080</v>
      </c>
      <c r="K777" s="0" t="n">
        <v>3</v>
      </c>
      <c r="L777" s="32" t="s">
        <v>2081</v>
      </c>
      <c r="M777" s="32" t="s">
        <v>2195</v>
      </c>
      <c r="N777" s="0" t="n">
        <v>3</v>
      </c>
      <c r="O777" s="32" t="s">
        <v>803</v>
      </c>
      <c r="P777" s="32" t="s">
        <v>2137</v>
      </c>
      <c r="Q777" s="32" t="s">
        <v>2165</v>
      </c>
      <c r="R777" s="0" t="str">
        <f aca="false">IF(H777="GEN","GM",H777)</f>
        <v>GYN</v>
      </c>
    </row>
    <row r="778" customFormat="false" ht="15" hidden="false" customHeight="false" outlineLevel="0" collapsed="false">
      <c r="A778" s="0" t="s">
        <v>3262</v>
      </c>
      <c r="B778" s="0" t="s">
        <v>2205</v>
      </c>
      <c r="C778" s="0" t="s">
        <v>874</v>
      </c>
      <c r="D778" s="31" t="n">
        <v>26170</v>
      </c>
      <c r="E778" s="31" t="n">
        <v>45625</v>
      </c>
      <c r="F778" s="32" t="s">
        <v>2160</v>
      </c>
      <c r="G778" s="32" t="s">
        <v>2104</v>
      </c>
      <c r="H778" s="32" t="s">
        <v>802</v>
      </c>
      <c r="I778" s="31" t="n">
        <v>45629</v>
      </c>
      <c r="J778" s="32" t="s">
        <v>2080</v>
      </c>
      <c r="K778" s="0" t="n">
        <v>4</v>
      </c>
      <c r="L778" s="32" t="s">
        <v>2081</v>
      </c>
      <c r="M778" s="32" t="s">
        <v>2132</v>
      </c>
      <c r="N778" s="0" t="n">
        <v>4</v>
      </c>
      <c r="O778" s="32" t="s">
        <v>803</v>
      </c>
      <c r="P778" s="32" t="s">
        <v>2162</v>
      </c>
      <c r="Q778" s="32" t="s">
        <v>2157</v>
      </c>
      <c r="R778" s="0" t="str">
        <f aca="false">IF(H778="GEN","GM",H778)</f>
        <v>GYN</v>
      </c>
    </row>
    <row r="779" customFormat="false" ht="15" hidden="false" customHeight="false" outlineLevel="0" collapsed="false">
      <c r="A779" s="0" t="s">
        <v>3263</v>
      </c>
      <c r="B779" s="0" t="s">
        <v>2751</v>
      </c>
      <c r="C779" s="0" t="s">
        <v>1402</v>
      </c>
      <c r="D779" s="31" t="n">
        <v>16517</v>
      </c>
      <c r="E779" s="31" t="n">
        <v>45623</v>
      </c>
      <c r="F779" s="32" t="s">
        <v>2087</v>
      </c>
      <c r="G779" s="32" t="s">
        <v>2079</v>
      </c>
      <c r="H779" s="32" t="s">
        <v>776</v>
      </c>
      <c r="I779" s="31" t="n">
        <v>45626</v>
      </c>
      <c r="J779" s="32" t="s">
        <v>2080</v>
      </c>
      <c r="K779" s="0" t="n">
        <v>3</v>
      </c>
      <c r="L779" s="32" t="s">
        <v>2081</v>
      </c>
      <c r="M779" s="32" t="s">
        <v>2082</v>
      </c>
      <c r="N779" s="0" t="n">
        <v>3</v>
      </c>
      <c r="O779" s="32" t="s">
        <v>777</v>
      </c>
      <c r="P779" s="32" t="s">
        <v>2156</v>
      </c>
      <c r="Q779" s="32" t="s">
        <v>2118</v>
      </c>
      <c r="R779" s="0" t="str">
        <f aca="false">IF(H779="GEN","GM",H779)</f>
        <v>GS</v>
      </c>
    </row>
    <row r="780" customFormat="false" ht="15" hidden="false" customHeight="false" outlineLevel="0" collapsed="false">
      <c r="A780" s="0" t="s">
        <v>3264</v>
      </c>
      <c r="B780" s="0" t="s">
        <v>2292</v>
      </c>
      <c r="C780" s="0" t="s">
        <v>1410</v>
      </c>
      <c r="D780" s="31" t="n">
        <v>16257</v>
      </c>
      <c r="E780" s="31" t="n">
        <v>45697</v>
      </c>
      <c r="F780" s="32" t="s">
        <v>2078</v>
      </c>
      <c r="G780" s="32" t="s">
        <v>2099</v>
      </c>
      <c r="H780" s="32" t="s">
        <v>818</v>
      </c>
      <c r="I780" s="31" t="n">
        <v>45700</v>
      </c>
      <c r="J780" s="32" t="s">
        <v>2080</v>
      </c>
      <c r="K780" s="0" t="n">
        <v>3</v>
      </c>
      <c r="L780" s="32" t="s">
        <v>2106</v>
      </c>
      <c r="M780" s="32" t="s">
        <v>2141</v>
      </c>
      <c r="N780" s="0" t="n">
        <v>3</v>
      </c>
      <c r="O780" s="32" t="s">
        <v>819</v>
      </c>
      <c r="P780" s="32" t="s">
        <v>2213</v>
      </c>
      <c r="Q780" s="32" t="s">
        <v>2091</v>
      </c>
      <c r="R780" s="0" t="str">
        <f aca="false">IF(H780="GEN","GM",H780)</f>
        <v>OPH</v>
      </c>
    </row>
    <row r="781" customFormat="false" ht="15" hidden="false" customHeight="false" outlineLevel="0" collapsed="false">
      <c r="A781" s="0" t="s">
        <v>3265</v>
      </c>
      <c r="B781" s="0" t="s">
        <v>2086</v>
      </c>
      <c r="C781" s="0" t="s">
        <v>765</v>
      </c>
      <c r="D781" s="31" t="n">
        <v>19199</v>
      </c>
      <c r="E781" s="31" t="n">
        <v>45667</v>
      </c>
      <c r="F781" s="32" t="s">
        <v>2078</v>
      </c>
      <c r="G781" s="32" t="s">
        <v>2099</v>
      </c>
      <c r="H781" s="32" t="s">
        <v>766</v>
      </c>
      <c r="I781" s="31" t="n">
        <v>45671</v>
      </c>
      <c r="J781" s="32" t="s">
        <v>2080</v>
      </c>
      <c r="K781" s="0" t="n">
        <v>4</v>
      </c>
      <c r="L781" s="32" t="s">
        <v>2081</v>
      </c>
      <c r="M781" s="32" t="s">
        <v>2207</v>
      </c>
      <c r="N781" s="0" t="n">
        <v>4</v>
      </c>
      <c r="O781" s="32" t="s">
        <v>767</v>
      </c>
      <c r="P781" s="32" t="s">
        <v>2142</v>
      </c>
      <c r="Q781" s="32" t="s">
        <v>2165</v>
      </c>
      <c r="R781" s="0" t="str">
        <f aca="false">IF(H781="GEN","GM",H781)</f>
        <v>OR</v>
      </c>
    </row>
    <row r="782" customFormat="false" ht="15" hidden="false" customHeight="false" outlineLevel="0" collapsed="false">
      <c r="A782" s="0" t="s">
        <v>3266</v>
      </c>
      <c r="B782" s="0" t="s">
        <v>2923</v>
      </c>
      <c r="C782" s="0" t="s">
        <v>845</v>
      </c>
      <c r="D782" s="31" t="n">
        <v>34052</v>
      </c>
      <c r="E782" s="31" t="n">
        <v>45712</v>
      </c>
      <c r="F782" s="32" t="s">
        <v>2087</v>
      </c>
      <c r="G782" s="32" t="s">
        <v>2124</v>
      </c>
      <c r="H782" s="32" t="s">
        <v>785</v>
      </c>
      <c r="I782" s="31" t="n">
        <v>45714</v>
      </c>
      <c r="J782" s="32" t="s">
        <v>2080</v>
      </c>
      <c r="K782" s="0" t="n">
        <v>2</v>
      </c>
      <c r="L782" s="32" t="s">
        <v>2081</v>
      </c>
      <c r="M782" s="32" t="s">
        <v>2286</v>
      </c>
      <c r="N782" s="0" t="n">
        <v>2</v>
      </c>
      <c r="O782" s="32" t="s">
        <v>786</v>
      </c>
      <c r="P782" s="32" t="s">
        <v>2149</v>
      </c>
      <c r="Q782" s="32" t="s">
        <v>2138</v>
      </c>
      <c r="R782" s="0" t="str">
        <f aca="false">IF(H782="GEN","GM",H782)</f>
        <v>RS</v>
      </c>
    </row>
    <row r="783" customFormat="false" ht="15" hidden="false" customHeight="false" outlineLevel="0" collapsed="false">
      <c r="A783" s="0" t="s">
        <v>3267</v>
      </c>
      <c r="B783" s="0" t="s">
        <v>3268</v>
      </c>
      <c r="C783" s="0" t="s">
        <v>906</v>
      </c>
      <c r="D783" s="31" t="n">
        <v>17902</v>
      </c>
      <c r="E783" s="31" t="n">
        <v>45595</v>
      </c>
      <c r="F783" s="32" t="s">
        <v>2160</v>
      </c>
      <c r="G783" s="32" t="s">
        <v>2088</v>
      </c>
      <c r="H783" s="32" t="s">
        <v>793</v>
      </c>
      <c r="I783" s="31" t="n">
        <v>45599</v>
      </c>
      <c r="J783" s="32" t="s">
        <v>2080</v>
      </c>
      <c r="K783" s="0" t="n">
        <v>4</v>
      </c>
      <c r="L783" s="32" t="s">
        <v>2081</v>
      </c>
      <c r="M783" s="32" t="s">
        <v>2189</v>
      </c>
      <c r="N783" s="0" t="n">
        <v>4</v>
      </c>
      <c r="O783" s="32" t="s">
        <v>794</v>
      </c>
      <c r="P783" s="32" t="s">
        <v>2182</v>
      </c>
      <c r="Q783" s="32" t="s">
        <v>2241</v>
      </c>
      <c r="R783" s="0" t="str">
        <f aca="false">IF(H783="GEN","GM",H783)</f>
        <v>EM</v>
      </c>
    </row>
    <row r="784" customFormat="false" ht="15" hidden="false" customHeight="false" outlineLevel="0" collapsed="false">
      <c r="A784" s="0" t="s">
        <v>3269</v>
      </c>
      <c r="B784" s="0" t="s">
        <v>2301</v>
      </c>
      <c r="C784" s="0" t="s">
        <v>841</v>
      </c>
      <c r="D784" s="31" t="n">
        <v>25960</v>
      </c>
      <c r="E784" s="31" t="n">
        <v>45621</v>
      </c>
      <c r="F784" s="32" t="s">
        <v>2087</v>
      </c>
      <c r="G784" s="32" t="s">
        <v>2088</v>
      </c>
      <c r="H784" s="32" t="s">
        <v>747</v>
      </c>
      <c r="I784" s="31" t="n">
        <v>45622</v>
      </c>
      <c r="J784" s="32" t="s">
        <v>2080</v>
      </c>
      <c r="K784" s="0" t="n">
        <v>1</v>
      </c>
      <c r="L784" s="32" t="s">
        <v>2081</v>
      </c>
      <c r="M784" s="32" t="s">
        <v>2286</v>
      </c>
      <c r="N784" s="0" t="n">
        <v>1</v>
      </c>
      <c r="O784" s="32" t="s">
        <v>748</v>
      </c>
      <c r="P784" s="32" t="s">
        <v>2179</v>
      </c>
      <c r="Q784" s="32" t="s">
        <v>2096</v>
      </c>
      <c r="R784" s="0" t="str">
        <f aca="false">IF(H784="GEN","GM",H784)</f>
        <v>GM</v>
      </c>
    </row>
    <row r="785" customFormat="false" ht="15" hidden="false" customHeight="false" outlineLevel="0" collapsed="false">
      <c r="A785" s="0" t="s">
        <v>3270</v>
      </c>
      <c r="B785" s="0" t="s">
        <v>2114</v>
      </c>
      <c r="C785" s="0" t="s">
        <v>870</v>
      </c>
      <c r="D785" s="31" t="n">
        <v>37526</v>
      </c>
      <c r="E785" s="31" t="n">
        <v>45584</v>
      </c>
      <c r="F785" s="32" t="s">
        <v>2087</v>
      </c>
      <c r="G785" s="32" t="s">
        <v>2104</v>
      </c>
      <c r="H785" s="32" t="s">
        <v>802</v>
      </c>
      <c r="I785" s="31" t="n">
        <v>45592</v>
      </c>
      <c r="J785" s="32" t="s">
        <v>2080</v>
      </c>
      <c r="K785" s="0" t="n">
        <v>8</v>
      </c>
      <c r="L785" s="32" t="s">
        <v>2081</v>
      </c>
      <c r="M785" s="32" t="s">
        <v>2195</v>
      </c>
      <c r="N785" s="0" t="n">
        <v>8</v>
      </c>
      <c r="O785" s="32" t="s">
        <v>803</v>
      </c>
      <c r="P785" s="32" t="s">
        <v>2201</v>
      </c>
      <c r="Q785" s="32" t="s">
        <v>2244</v>
      </c>
      <c r="R785" s="0" t="str">
        <f aca="false">IF(H785="GEN","GM",H785)</f>
        <v>GYN</v>
      </c>
    </row>
    <row r="786" customFormat="false" ht="15" hidden="false" customHeight="false" outlineLevel="0" collapsed="false">
      <c r="A786" s="0" t="s">
        <v>3271</v>
      </c>
      <c r="B786" s="0" t="s">
        <v>2510</v>
      </c>
      <c r="C786" s="0" t="s">
        <v>1398</v>
      </c>
      <c r="D786" s="31" t="n">
        <v>17406</v>
      </c>
      <c r="E786" s="31" t="n">
        <v>45689</v>
      </c>
      <c r="F786" s="32" t="s">
        <v>2087</v>
      </c>
      <c r="G786" s="32" t="s">
        <v>2099</v>
      </c>
      <c r="H786" s="32" t="s">
        <v>818</v>
      </c>
      <c r="I786" s="31" t="n">
        <v>45690</v>
      </c>
      <c r="J786" s="32" t="s">
        <v>2080</v>
      </c>
      <c r="K786" s="0" t="n">
        <v>1</v>
      </c>
      <c r="L786" s="32" t="s">
        <v>2081</v>
      </c>
      <c r="M786" s="32" t="s">
        <v>2141</v>
      </c>
      <c r="N786" s="0" t="n">
        <v>1</v>
      </c>
      <c r="O786" s="32" t="s">
        <v>819</v>
      </c>
      <c r="P786" s="32" t="s">
        <v>2142</v>
      </c>
      <c r="R786" s="0" t="str">
        <f aca="false">IF(H786="GEN","GM",H786)</f>
        <v>OPH</v>
      </c>
    </row>
    <row r="787" customFormat="false" ht="15" hidden="false" customHeight="false" outlineLevel="0" collapsed="false">
      <c r="A787" s="0" t="s">
        <v>3272</v>
      </c>
      <c r="B787" s="0" t="s">
        <v>2698</v>
      </c>
      <c r="C787" s="0" t="s">
        <v>2206</v>
      </c>
      <c r="D787" s="31" t="n">
        <v>16925</v>
      </c>
      <c r="E787" s="31" t="n">
        <v>45600</v>
      </c>
      <c r="F787" s="32" t="s">
        <v>2078</v>
      </c>
      <c r="G787" s="32" t="s">
        <v>2079</v>
      </c>
      <c r="H787" s="32" t="s">
        <v>810</v>
      </c>
      <c r="I787" s="31" t="n">
        <v>45605</v>
      </c>
      <c r="J787" s="32" t="s">
        <v>2160</v>
      </c>
      <c r="K787" s="0" t="n">
        <v>5</v>
      </c>
      <c r="L787" s="32" t="s">
        <v>2081</v>
      </c>
      <c r="M787" s="32" t="s">
        <v>2255</v>
      </c>
      <c r="N787" s="0" t="n">
        <v>5</v>
      </c>
      <c r="O787" s="32" t="s">
        <v>811</v>
      </c>
      <c r="P787" s="32" t="s">
        <v>2238</v>
      </c>
      <c r="Q787" s="32" t="s">
        <v>2107</v>
      </c>
      <c r="R787" s="0" t="str">
        <f aca="false">IF(H787="GEN","GM",H787)</f>
        <v>URO</v>
      </c>
    </row>
    <row r="788" customFormat="false" ht="15" hidden="false" customHeight="false" outlineLevel="0" collapsed="false">
      <c r="A788" s="0" t="s">
        <v>3273</v>
      </c>
      <c r="B788" s="0" t="s">
        <v>2254</v>
      </c>
      <c r="C788" s="0" t="s">
        <v>1390</v>
      </c>
      <c r="D788" s="31" t="n">
        <v>26941</v>
      </c>
      <c r="E788" s="31" t="n">
        <v>45596</v>
      </c>
      <c r="F788" s="32" t="s">
        <v>2087</v>
      </c>
      <c r="G788" s="32" t="s">
        <v>2124</v>
      </c>
      <c r="H788" s="32" t="s">
        <v>785</v>
      </c>
      <c r="I788" s="31" t="n">
        <v>45599</v>
      </c>
      <c r="J788" s="32" t="s">
        <v>2080</v>
      </c>
      <c r="K788" s="0" t="n">
        <v>3</v>
      </c>
      <c r="L788" s="32" t="s">
        <v>2081</v>
      </c>
      <c r="M788" s="32" t="s">
        <v>2207</v>
      </c>
      <c r="N788" s="0" t="n">
        <v>3</v>
      </c>
      <c r="O788" s="32" t="s">
        <v>786</v>
      </c>
      <c r="P788" s="32" t="s">
        <v>2182</v>
      </c>
      <c r="Q788" s="32" t="s">
        <v>2091</v>
      </c>
      <c r="R788" s="0" t="str">
        <f aca="false">IF(H788="GEN","GM",H788)</f>
        <v>RS</v>
      </c>
    </row>
    <row r="789" customFormat="false" ht="15" hidden="false" customHeight="false" outlineLevel="0" collapsed="false">
      <c r="A789" s="0" t="s">
        <v>3274</v>
      </c>
      <c r="B789" s="0" t="s">
        <v>2907</v>
      </c>
      <c r="C789" s="0" t="s">
        <v>882</v>
      </c>
      <c r="D789" s="31" t="n">
        <v>36139</v>
      </c>
      <c r="E789" s="31" t="n">
        <v>45582</v>
      </c>
      <c r="F789" s="32" t="s">
        <v>2258</v>
      </c>
      <c r="G789" s="32" t="s">
        <v>2088</v>
      </c>
      <c r="H789" s="32" t="s">
        <v>793</v>
      </c>
      <c r="I789" s="31" t="n">
        <v>45592</v>
      </c>
      <c r="J789" s="32" t="s">
        <v>2080</v>
      </c>
      <c r="K789" s="0" t="n">
        <v>10</v>
      </c>
      <c r="L789" s="32" t="s">
        <v>2081</v>
      </c>
      <c r="M789" s="32" t="s">
        <v>2116</v>
      </c>
      <c r="N789" s="0" t="n">
        <v>10</v>
      </c>
      <c r="O789" s="32" t="s">
        <v>794</v>
      </c>
      <c r="P789" s="32" t="s">
        <v>2117</v>
      </c>
      <c r="Q789" s="32" t="s">
        <v>2107</v>
      </c>
      <c r="R789" s="0" t="str">
        <f aca="false">IF(H789="GEN","GM",H789)</f>
        <v>EM</v>
      </c>
    </row>
    <row r="790" customFormat="false" ht="15" hidden="false" customHeight="false" outlineLevel="0" collapsed="false">
      <c r="A790" s="0" t="s">
        <v>3275</v>
      </c>
      <c r="B790" s="0" t="s">
        <v>2361</v>
      </c>
      <c r="C790" s="0" t="s">
        <v>966</v>
      </c>
      <c r="D790" s="31" t="n">
        <v>33097</v>
      </c>
      <c r="E790" s="31" t="n">
        <v>45603</v>
      </c>
      <c r="F790" s="32" t="s">
        <v>2087</v>
      </c>
      <c r="G790" s="32" t="s">
        <v>2088</v>
      </c>
      <c r="H790" s="32" t="s">
        <v>793</v>
      </c>
      <c r="I790" s="31" t="n">
        <v>45611</v>
      </c>
      <c r="J790" s="32" t="s">
        <v>2080</v>
      </c>
      <c r="K790" s="0" t="n">
        <v>8</v>
      </c>
      <c r="L790" s="32" t="s">
        <v>2081</v>
      </c>
      <c r="M790" s="32" t="s">
        <v>2189</v>
      </c>
      <c r="N790" s="0" t="n">
        <v>8</v>
      </c>
      <c r="O790" s="32" t="s">
        <v>794</v>
      </c>
      <c r="Q790" s="32" t="s">
        <v>2241</v>
      </c>
      <c r="R790" s="0" t="str">
        <f aca="false">IF(H790="GEN","GM",H790)</f>
        <v>EM</v>
      </c>
    </row>
    <row r="791" customFormat="false" ht="15" hidden="false" customHeight="false" outlineLevel="0" collapsed="false">
      <c r="A791" s="0" t="s">
        <v>3276</v>
      </c>
      <c r="B791" s="0" t="s">
        <v>2514</v>
      </c>
      <c r="C791" s="0" t="s">
        <v>934</v>
      </c>
      <c r="D791" s="31" t="n">
        <v>17989</v>
      </c>
      <c r="E791" s="31" t="n">
        <v>45697</v>
      </c>
      <c r="F791" s="32" t="s">
        <v>2160</v>
      </c>
      <c r="G791" s="32" t="s">
        <v>2104</v>
      </c>
      <c r="H791" s="32" t="s">
        <v>802</v>
      </c>
      <c r="I791" s="31" t="n">
        <v>45701</v>
      </c>
      <c r="J791" s="32" t="s">
        <v>2080</v>
      </c>
      <c r="K791" s="0" t="n">
        <v>4</v>
      </c>
      <c r="L791" s="32" t="s">
        <v>2081</v>
      </c>
      <c r="M791" s="32" t="s">
        <v>2082</v>
      </c>
      <c r="N791" s="0" t="n">
        <v>4</v>
      </c>
      <c r="O791" s="32" t="s">
        <v>803</v>
      </c>
      <c r="Q791" s="32" t="s">
        <v>2118</v>
      </c>
      <c r="R791" s="0" t="str">
        <f aca="false">IF(H791="GEN","GM",H791)</f>
        <v>GYN</v>
      </c>
    </row>
    <row r="792" customFormat="false" ht="15" hidden="false" customHeight="false" outlineLevel="0" collapsed="false">
      <c r="A792" s="0" t="s">
        <v>3277</v>
      </c>
      <c r="B792" s="0" t="s">
        <v>2962</v>
      </c>
      <c r="C792" s="0" t="s">
        <v>849</v>
      </c>
      <c r="D792" s="31" t="n">
        <v>18442</v>
      </c>
      <c r="E792" s="31" t="n">
        <v>45605</v>
      </c>
      <c r="F792" s="32" t="s">
        <v>2087</v>
      </c>
      <c r="G792" s="32" t="s">
        <v>2099</v>
      </c>
      <c r="H792" s="32" t="s">
        <v>818</v>
      </c>
      <c r="I792" s="31" t="n">
        <v>45608</v>
      </c>
      <c r="J792" s="32" t="s">
        <v>2160</v>
      </c>
      <c r="K792" s="0" t="n">
        <v>3</v>
      </c>
      <c r="L792" s="32" t="s">
        <v>2081</v>
      </c>
      <c r="M792" s="32" t="s">
        <v>2189</v>
      </c>
      <c r="N792" s="0" t="n">
        <v>3</v>
      </c>
      <c r="O792" s="32" t="s">
        <v>819</v>
      </c>
      <c r="P792" s="32" t="s">
        <v>2156</v>
      </c>
      <c r="Q792" s="32" t="s">
        <v>2084</v>
      </c>
      <c r="R792" s="0" t="str">
        <f aca="false">IF(H792="GEN","GM",H792)</f>
        <v>OPH</v>
      </c>
    </row>
    <row r="793" customFormat="false" ht="15" hidden="false" customHeight="false" outlineLevel="0" collapsed="false">
      <c r="A793" s="0" t="s">
        <v>3278</v>
      </c>
      <c r="B793" s="0" t="s">
        <v>2237</v>
      </c>
      <c r="C793" s="0" t="s">
        <v>849</v>
      </c>
      <c r="D793" s="31" t="n">
        <v>24280</v>
      </c>
      <c r="E793" s="31" t="n">
        <v>45679</v>
      </c>
      <c r="F793" s="32" t="s">
        <v>2078</v>
      </c>
      <c r="G793" s="32" t="s">
        <v>2088</v>
      </c>
      <c r="H793" s="32" t="s">
        <v>793</v>
      </c>
      <c r="I793" s="31" t="n">
        <v>45685</v>
      </c>
      <c r="J793" s="32" t="s">
        <v>2080</v>
      </c>
      <c r="K793" s="0" t="n">
        <v>6</v>
      </c>
      <c r="L793" s="32" t="s">
        <v>2081</v>
      </c>
      <c r="M793" s="32" t="s">
        <v>2212</v>
      </c>
      <c r="N793" s="0" t="n">
        <v>6</v>
      </c>
      <c r="O793" s="32" t="s">
        <v>794</v>
      </c>
      <c r="P793" s="32" t="s">
        <v>2156</v>
      </c>
      <c r="Q793" s="32" t="s">
        <v>2244</v>
      </c>
      <c r="R793" s="0" t="str">
        <f aca="false">IF(H793="GEN","GM",H793)</f>
        <v>EM</v>
      </c>
    </row>
    <row r="794" customFormat="false" ht="15" hidden="false" customHeight="false" outlineLevel="0" collapsed="false">
      <c r="A794" s="0" t="s">
        <v>3279</v>
      </c>
      <c r="B794" s="0" t="s">
        <v>2402</v>
      </c>
      <c r="C794" s="0" t="s">
        <v>1410</v>
      </c>
      <c r="D794" s="31" t="n">
        <v>13547</v>
      </c>
      <c r="E794" s="31" t="n">
        <v>45651</v>
      </c>
      <c r="F794" s="32" t="s">
        <v>2087</v>
      </c>
      <c r="G794" s="32" t="s">
        <v>2088</v>
      </c>
      <c r="H794" s="32" t="s">
        <v>793</v>
      </c>
      <c r="I794" s="31" t="n">
        <v>45659</v>
      </c>
      <c r="J794" s="32" t="s">
        <v>2160</v>
      </c>
      <c r="K794" s="0" t="n">
        <v>8</v>
      </c>
      <c r="L794" s="32" t="s">
        <v>2081</v>
      </c>
      <c r="M794" s="32" t="s">
        <v>2195</v>
      </c>
      <c r="N794" s="0" t="n">
        <v>8</v>
      </c>
      <c r="O794" s="32" t="s">
        <v>794</v>
      </c>
      <c r="P794" s="32" t="s">
        <v>2201</v>
      </c>
      <c r="Q794" s="32" t="s">
        <v>2091</v>
      </c>
      <c r="R794" s="0" t="str">
        <f aca="false">IF(H794="GEN","GM",H794)</f>
        <v>EM</v>
      </c>
    </row>
    <row r="795" customFormat="false" ht="15" hidden="false" customHeight="false" outlineLevel="0" collapsed="false">
      <c r="A795" s="0" t="s">
        <v>3280</v>
      </c>
      <c r="B795" s="0" t="s">
        <v>2357</v>
      </c>
      <c r="C795" s="0" t="s">
        <v>906</v>
      </c>
      <c r="D795" s="31" t="n">
        <v>13704</v>
      </c>
      <c r="E795" s="31" t="n">
        <v>45595</v>
      </c>
      <c r="F795" s="32" t="s">
        <v>2087</v>
      </c>
      <c r="G795" s="32" t="s">
        <v>2088</v>
      </c>
      <c r="H795" s="32" t="s">
        <v>747</v>
      </c>
      <c r="I795" s="31" t="n">
        <v>45600</v>
      </c>
      <c r="J795" s="32" t="s">
        <v>2080</v>
      </c>
      <c r="K795" s="0" t="n">
        <v>5</v>
      </c>
      <c r="L795" s="32" t="s">
        <v>2081</v>
      </c>
      <c r="M795" s="32" t="s">
        <v>2227</v>
      </c>
      <c r="N795" s="0" t="n">
        <v>5</v>
      </c>
      <c r="O795" s="32" t="s">
        <v>748</v>
      </c>
      <c r="P795" s="32" t="s">
        <v>2111</v>
      </c>
      <c r="Q795" s="32" t="s">
        <v>2125</v>
      </c>
      <c r="R795" s="0" t="str">
        <f aca="false">IF(H795="GEN","GM",H795)</f>
        <v>GM</v>
      </c>
    </row>
    <row r="796" customFormat="false" ht="15" hidden="false" customHeight="false" outlineLevel="0" collapsed="false">
      <c r="A796" s="0" t="s">
        <v>3281</v>
      </c>
      <c r="B796" s="0" t="s">
        <v>3207</v>
      </c>
      <c r="C796" s="0" t="s">
        <v>985</v>
      </c>
      <c r="D796" s="31" t="n">
        <v>27388</v>
      </c>
      <c r="E796" s="31" t="n">
        <v>45673</v>
      </c>
      <c r="F796" s="32" t="s">
        <v>2078</v>
      </c>
      <c r="G796" s="32" t="s">
        <v>2099</v>
      </c>
      <c r="H796" s="32" t="s">
        <v>766</v>
      </c>
      <c r="I796" s="31" t="n">
        <v>45676</v>
      </c>
      <c r="J796" s="32" t="s">
        <v>2080</v>
      </c>
      <c r="K796" s="0" t="n">
        <v>3</v>
      </c>
      <c r="L796" s="32" t="s">
        <v>2081</v>
      </c>
      <c r="N796" s="0" t="n">
        <v>3</v>
      </c>
      <c r="O796" s="32" t="s">
        <v>767</v>
      </c>
      <c r="P796" s="32" t="s">
        <v>2179</v>
      </c>
      <c r="Q796" s="32" t="s">
        <v>2157</v>
      </c>
      <c r="R796" s="0" t="str">
        <f aca="false">IF(H796="GEN","GM",H796)</f>
        <v>OR</v>
      </c>
    </row>
    <row r="797" customFormat="false" ht="15" hidden="false" customHeight="false" outlineLevel="0" collapsed="false">
      <c r="A797" s="0" t="s">
        <v>3282</v>
      </c>
      <c r="B797" s="0" t="s">
        <v>3283</v>
      </c>
      <c r="C797" s="0" t="s">
        <v>930</v>
      </c>
      <c r="D797" s="31" t="n">
        <v>30165</v>
      </c>
      <c r="E797" s="31" t="n">
        <v>45673</v>
      </c>
      <c r="F797" s="32" t="s">
        <v>2078</v>
      </c>
      <c r="G797" s="32" t="s">
        <v>2079</v>
      </c>
      <c r="H797" s="32" t="s">
        <v>810</v>
      </c>
      <c r="I797" s="31" t="n">
        <v>45676</v>
      </c>
      <c r="J797" s="32" t="s">
        <v>2080</v>
      </c>
      <c r="K797" s="0" t="n">
        <v>3</v>
      </c>
      <c r="M797" s="32" t="s">
        <v>2100</v>
      </c>
      <c r="N797" s="0" t="n">
        <v>3</v>
      </c>
      <c r="O797" s="32" t="s">
        <v>811</v>
      </c>
      <c r="P797" s="32" t="s">
        <v>2117</v>
      </c>
      <c r="Q797" s="32" t="s">
        <v>2198</v>
      </c>
      <c r="R797" s="0" t="str">
        <f aca="false">IF(H797="GEN","GM",H797)</f>
        <v>URO</v>
      </c>
    </row>
    <row r="798" customFormat="false" ht="15" hidden="false" customHeight="false" outlineLevel="0" collapsed="false">
      <c r="A798" s="0" t="s">
        <v>3284</v>
      </c>
      <c r="B798" s="0" t="s">
        <v>2570</v>
      </c>
      <c r="C798" s="0" t="s">
        <v>946</v>
      </c>
      <c r="D798" s="31" t="n">
        <v>34209</v>
      </c>
      <c r="E798" s="31" t="n">
        <v>45602</v>
      </c>
      <c r="F798" s="32" t="s">
        <v>2087</v>
      </c>
      <c r="G798" s="32" t="s">
        <v>2088</v>
      </c>
      <c r="H798" s="32" t="s">
        <v>747</v>
      </c>
      <c r="I798" s="31" t="n">
        <v>45611</v>
      </c>
      <c r="J798" s="32" t="s">
        <v>2080</v>
      </c>
      <c r="K798" s="0" t="n">
        <v>9</v>
      </c>
      <c r="L798" s="32" t="s">
        <v>2081</v>
      </c>
      <c r="M798" s="32" t="s">
        <v>2094</v>
      </c>
      <c r="N798" s="0" t="n">
        <v>9</v>
      </c>
      <c r="O798" s="32" t="s">
        <v>748</v>
      </c>
      <c r="P798" s="32" t="s">
        <v>2133</v>
      </c>
      <c r="Q798" s="32" t="s">
        <v>2198</v>
      </c>
      <c r="R798" s="0" t="str">
        <f aca="false">IF(H798="GEN","GM",H798)</f>
        <v>GM</v>
      </c>
    </row>
    <row r="799" customFormat="false" ht="15" hidden="false" customHeight="false" outlineLevel="0" collapsed="false">
      <c r="A799" s="0" t="s">
        <v>3285</v>
      </c>
      <c r="B799" s="0" t="s">
        <v>3209</v>
      </c>
      <c r="C799" s="0" t="s">
        <v>775</v>
      </c>
      <c r="D799" s="31" t="n">
        <v>30768</v>
      </c>
      <c r="E799" s="31" t="n">
        <v>45627</v>
      </c>
      <c r="F799" s="32" t="s">
        <v>2087</v>
      </c>
      <c r="G799" s="32" t="s">
        <v>2124</v>
      </c>
      <c r="H799" s="32" t="s">
        <v>785</v>
      </c>
      <c r="I799" s="31" t="n">
        <v>45642</v>
      </c>
      <c r="J799" s="32" t="s">
        <v>2080</v>
      </c>
      <c r="K799" s="0" t="n">
        <v>15</v>
      </c>
      <c r="L799" s="32" t="s">
        <v>2081</v>
      </c>
      <c r="M799" s="32" t="s">
        <v>2094</v>
      </c>
      <c r="N799" s="0" t="n">
        <v>15</v>
      </c>
      <c r="O799" s="32" t="s">
        <v>786</v>
      </c>
      <c r="P799" s="32" t="s">
        <v>2201</v>
      </c>
      <c r="Q799" s="32" t="s">
        <v>2145</v>
      </c>
      <c r="R799" s="0" t="str">
        <f aca="false">IF(H799="GEN","GM",H799)</f>
        <v>RS</v>
      </c>
    </row>
    <row r="800" customFormat="false" ht="15" hidden="false" customHeight="false" outlineLevel="0" collapsed="false">
      <c r="A800" s="0" t="s">
        <v>3286</v>
      </c>
      <c r="B800" s="0" t="s">
        <v>2329</v>
      </c>
      <c r="C800" s="0" t="s">
        <v>1017</v>
      </c>
      <c r="D800" s="31" t="n">
        <v>31129</v>
      </c>
      <c r="E800" s="31" t="n">
        <v>45601</v>
      </c>
      <c r="F800" s="32" t="s">
        <v>2087</v>
      </c>
      <c r="G800" s="32" t="s">
        <v>2079</v>
      </c>
      <c r="H800" s="32" t="s">
        <v>810</v>
      </c>
      <c r="L800" s="32" t="s">
        <v>2081</v>
      </c>
      <c r="M800" s="32" t="s">
        <v>2207</v>
      </c>
      <c r="O800" s="32" t="s">
        <v>811</v>
      </c>
      <c r="P800" s="32" t="s">
        <v>2121</v>
      </c>
      <c r="Q800" s="32" t="s">
        <v>2165</v>
      </c>
      <c r="R800" s="0" t="str">
        <f aca="false">IF(H800="GEN","GM",H800)</f>
        <v>URO</v>
      </c>
    </row>
    <row r="801" customFormat="false" ht="15" hidden="false" customHeight="false" outlineLevel="0" collapsed="false">
      <c r="A801" s="0" t="s">
        <v>3287</v>
      </c>
      <c r="B801" s="0" t="s">
        <v>2240</v>
      </c>
      <c r="C801" s="0" t="s">
        <v>898</v>
      </c>
      <c r="D801" s="31" t="n">
        <v>34712</v>
      </c>
      <c r="E801" s="31" t="n">
        <v>45597</v>
      </c>
      <c r="F801" s="32" t="s">
        <v>2078</v>
      </c>
      <c r="G801" s="32" t="s">
        <v>2088</v>
      </c>
      <c r="H801" s="32" t="s">
        <v>793</v>
      </c>
      <c r="I801" s="31" t="n">
        <v>45602</v>
      </c>
      <c r="J801" s="32" t="s">
        <v>2080</v>
      </c>
      <c r="K801" s="0" t="n">
        <v>5</v>
      </c>
      <c r="M801" s="32" t="s">
        <v>2255</v>
      </c>
      <c r="N801" s="0" t="n">
        <v>5</v>
      </c>
      <c r="O801" s="32" t="s">
        <v>794</v>
      </c>
      <c r="P801" s="32" t="s">
        <v>2095</v>
      </c>
      <c r="Q801" s="32" t="s">
        <v>2244</v>
      </c>
      <c r="R801" s="0" t="str">
        <f aca="false">IF(H801="GEN","GM",H801)</f>
        <v>EM</v>
      </c>
    </row>
    <row r="802" customFormat="false" ht="15" hidden="false" customHeight="false" outlineLevel="0" collapsed="false">
      <c r="A802" s="0" t="s">
        <v>3288</v>
      </c>
      <c r="B802" s="0" t="s">
        <v>3289</v>
      </c>
      <c r="C802" s="0" t="s">
        <v>906</v>
      </c>
      <c r="D802" s="31" t="n">
        <v>35719</v>
      </c>
      <c r="E802" s="31" t="n">
        <v>45653</v>
      </c>
      <c r="F802" s="32" t="s">
        <v>2078</v>
      </c>
      <c r="G802" s="32" t="s">
        <v>2088</v>
      </c>
      <c r="H802" s="32" t="s">
        <v>747</v>
      </c>
      <c r="I802" s="31" t="n">
        <v>45655</v>
      </c>
      <c r="J802" s="32" t="s">
        <v>2080</v>
      </c>
      <c r="K802" s="0" t="n">
        <v>2</v>
      </c>
      <c r="L802" s="32" t="s">
        <v>2106</v>
      </c>
      <c r="M802" s="32" t="s">
        <v>2212</v>
      </c>
      <c r="N802" s="0" t="n">
        <v>2</v>
      </c>
      <c r="O802" s="32" t="s">
        <v>748</v>
      </c>
      <c r="P802" s="32" t="s">
        <v>2142</v>
      </c>
      <c r="Q802" s="32" t="s">
        <v>2138</v>
      </c>
      <c r="R802" s="0" t="str">
        <f aca="false">IF(H802="GEN","GM",H802)</f>
        <v>GM</v>
      </c>
    </row>
    <row r="803" customFormat="false" ht="15" hidden="false" customHeight="false" outlineLevel="0" collapsed="false">
      <c r="A803" s="0" t="s">
        <v>3290</v>
      </c>
      <c r="B803" s="0" t="s">
        <v>2524</v>
      </c>
      <c r="C803" s="0" t="s">
        <v>910</v>
      </c>
      <c r="D803" s="31" t="n">
        <v>12930</v>
      </c>
      <c r="E803" s="31" t="n">
        <v>45664</v>
      </c>
      <c r="F803" s="32" t="s">
        <v>2087</v>
      </c>
      <c r="G803" s="32" t="s">
        <v>2099</v>
      </c>
      <c r="H803" s="32" t="s">
        <v>766</v>
      </c>
      <c r="I803" s="31" t="n">
        <v>45669</v>
      </c>
      <c r="J803" s="32" t="s">
        <v>2080</v>
      </c>
      <c r="K803" s="0" t="n">
        <v>5</v>
      </c>
      <c r="L803" s="32" t="s">
        <v>2081</v>
      </c>
      <c r="M803" s="32" t="s">
        <v>2136</v>
      </c>
      <c r="N803" s="0" t="n">
        <v>7</v>
      </c>
      <c r="O803" s="32" t="s">
        <v>767</v>
      </c>
      <c r="P803" s="32" t="s">
        <v>2121</v>
      </c>
      <c r="Q803" s="32" t="s">
        <v>2198</v>
      </c>
      <c r="R803" s="0" t="str">
        <f aca="false">IF(H803="GEN","GM",H803)</f>
        <v>OR</v>
      </c>
    </row>
    <row r="804" customFormat="false" ht="15" hidden="false" customHeight="false" outlineLevel="0" collapsed="false">
      <c r="A804" s="0" t="s">
        <v>3291</v>
      </c>
      <c r="B804" s="0" t="s">
        <v>2577</v>
      </c>
      <c r="C804" s="0" t="s">
        <v>845</v>
      </c>
      <c r="D804" s="31" t="n">
        <v>16756</v>
      </c>
      <c r="E804" s="31" t="n">
        <v>45654</v>
      </c>
      <c r="F804" s="32" t="s">
        <v>2160</v>
      </c>
      <c r="G804" s="32" t="s">
        <v>2104</v>
      </c>
      <c r="H804" s="32" t="s">
        <v>802</v>
      </c>
      <c r="I804" s="31" t="n">
        <v>45657</v>
      </c>
      <c r="J804" s="32" t="s">
        <v>2080</v>
      </c>
      <c r="K804" s="0" t="n">
        <v>3</v>
      </c>
      <c r="L804" s="32" t="s">
        <v>2081</v>
      </c>
      <c r="M804" s="32" t="s">
        <v>2094</v>
      </c>
      <c r="N804" s="0" t="n">
        <v>3</v>
      </c>
      <c r="O804" s="32" t="s">
        <v>803</v>
      </c>
      <c r="P804" s="32" t="s">
        <v>2179</v>
      </c>
      <c r="Q804" s="32" t="s">
        <v>2153</v>
      </c>
      <c r="R804" s="0" t="str">
        <f aca="false">IF(H804="GEN","GM",H804)</f>
        <v>GYN</v>
      </c>
    </row>
    <row r="805" customFormat="false" ht="15" hidden="false" customHeight="false" outlineLevel="0" collapsed="false">
      <c r="A805" s="0" t="s">
        <v>3292</v>
      </c>
      <c r="B805" s="0" t="s">
        <v>2754</v>
      </c>
      <c r="C805" s="0" t="s">
        <v>857</v>
      </c>
      <c r="D805" s="31" t="n">
        <v>24160</v>
      </c>
      <c r="E805" s="31" t="n">
        <v>45664</v>
      </c>
      <c r="F805" s="32" t="s">
        <v>2078</v>
      </c>
      <c r="G805" s="32" t="s">
        <v>2099</v>
      </c>
      <c r="H805" s="32" t="s">
        <v>818</v>
      </c>
      <c r="I805" s="31" t="n">
        <v>45667</v>
      </c>
      <c r="J805" s="32" t="s">
        <v>2080</v>
      </c>
      <c r="K805" s="0" t="n">
        <v>3</v>
      </c>
      <c r="L805" s="32" t="s">
        <v>2081</v>
      </c>
      <c r="M805" s="32" t="s">
        <v>2286</v>
      </c>
      <c r="N805" s="0" t="n">
        <v>3</v>
      </c>
      <c r="O805" s="32" t="s">
        <v>819</v>
      </c>
      <c r="P805" s="32" t="s">
        <v>2133</v>
      </c>
      <c r="Q805" s="32" t="s">
        <v>2145</v>
      </c>
      <c r="R805" s="0" t="str">
        <f aca="false">IF(H805="GEN","GM",H805)</f>
        <v>OPH</v>
      </c>
    </row>
    <row r="806" customFormat="false" ht="15" hidden="false" customHeight="false" outlineLevel="0" collapsed="false">
      <c r="A806" s="0" t="s">
        <v>3293</v>
      </c>
      <c r="B806" s="0" t="s">
        <v>2197</v>
      </c>
      <c r="C806" s="0" t="s">
        <v>1390</v>
      </c>
      <c r="D806" s="31" t="n">
        <v>16478</v>
      </c>
      <c r="E806" s="31" t="n">
        <v>45652</v>
      </c>
      <c r="F806" s="32" t="s">
        <v>2087</v>
      </c>
      <c r="G806" s="32" t="s">
        <v>2088</v>
      </c>
      <c r="H806" s="32" t="s">
        <v>1391</v>
      </c>
      <c r="I806" s="31" t="n">
        <v>45658</v>
      </c>
      <c r="J806" s="32" t="s">
        <v>2080</v>
      </c>
      <c r="K806" s="0" t="n">
        <v>6</v>
      </c>
      <c r="L806" s="32" t="s">
        <v>2106</v>
      </c>
      <c r="M806" s="32" t="s">
        <v>2255</v>
      </c>
      <c r="N806" s="0" t="n">
        <v>6</v>
      </c>
      <c r="O806" s="32" t="s">
        <v>748</v>
      </c>
      <c r="P806" s="32" t="s">
        <v>2222</v>
      </c>
      <c r="Q806" s="32" t="s">
        <v>2157</v>
      </c>
      <c r="R806" s="0" t="str">
        <f aca="false">IF(H806="GEN","GM",H806)</f>
        <v>GM</v>
      </c>
    </row>
    <row r="807" customFormat="false" ht="15" hidden="false" customHeight="false" outlineLevel="0" collapsed="false">
      <c r="A807" s="0" t="s">
        <v>3294</v>
      </c>
      <c r="B807" s="0" t="s">
        <v>2306</v>
      </c>
      <c r="C807" s="0" t="s">
        <v>1426</v>
      </c>
      <c r="D807" s="31" t="n">
        <v>24884</v>
      </c>
      <c r="E807" s="31" t="n">
        <v>45653</v>
      </c>
      <c r="F807" s="32" t="s">
        <v>2087</v>
      </c>
      <c r="G807" s="32" t="s">
        <v>2104</v>
      </c>
      <c r="H807" s="32" t="s">
        <v>802</v>
      </c>
      <c r="I807" s="31" t="n">
        <v>45662</v>
      </c>
      <c r="J807" s="32" t="s">
        <v>2080</v>
      </c>
      <c r="K807" s="0" t="n">
        <v>9</v>
      </c>
      <c r="M807" s="32" t="s">
        <v>2212</v>
      </c>
      <c r="N807" s="0" t="n">
        <v>9</v>
      </c>
      <c r="O807" s="32" t="s">
        <v>803</v>
      </c>
      <c r="P807" s="32" t="s">
        <v>2182</v>
      </c>
      <c r="Q807" s="32" t="s">
        <v>2157</v>
      </c>
      <c r="R807" s="0" t="str">
        <f aca="false">IF(H807="GEN","GM",H807)</f>
        <v>GYN</v>
      </c>
    </row>
    <row r="808" customFormat="false" ht="15" hidden="false" customHeight="false" outlineLevel="0" collapsed="false">
      <c r="A808" s="0" t="s">
        <v>3295</v>
      </c>
      <c r="B808" s="0" t="s">
        <v>2197</v>
      </c>
      <c r="C808" s="0" t="s">
        <v>985</v>
      </c>
      <c r="D808" s="31" t="n">
        <v>15781</v>
      </c>
      <c r="E808" s="31" t="n">
        <v>45629</v>
      </c>
      <c r="F808" s="32" t="s">
        <v>2078</v>
      </c>
      <c r="G808" s="32" t="s">
        <v>2088</v>
      </c>
      <c r="H808" s="32" t="s">
        <v>793</v>
      </c>
      <c r="I808" s="31" t="n">
        <v>45631</v>
      </c>
      <c r="J808" s="32" t="s">
        <v>2080</v>
      </c>
      <c r="K808" s="0" t="n">
        <v>2</v>
      </c>
      <c r="L808" s="32" t="s">
        <v>2081</v>
      </c>
      <c r="M808" s="32" t="s">
        <v>2195</v>
      </c>
      <c r="N808" s="0" t="n">
        <v>2</v>
      </c>
      <c r="O808" s="32" t="s">
        <v>794</v>
      </c>
      <c r="P808" s="32" t="s">
        <v>2101</v>
      </c>
      <c r="Q808" s="32" t="s">
        <v>2190</v>
      </c>
      <c r="R808" s="0" t="str">
        <f aca="false">IF(H808="GEN","GM",H808)</f>
        <v>EM</v>
      </c>
    </row>
    <row r="809" customFormat="false" ht="15" hidden="false" customHeight="false" outlineLevel="0" collapsed="false">
      <c r="A809" s="0" t="s">
        <v>3296</v>
      </c>
      <c r="B809" s="0" t="s">
        <v>2547</v>
      </c>
      <c r="C809" s="0" t="s">
        <v>853</v>
      </c>
      <c r="D809" s="31" t="n">
        <v>13649</v>
      </c>
      <c r="E809" s="31" t="n">
        <v>45649</v>
      </c>
      <c r="F809" s="32" t="s">
        <v>2087</v>
      </c>
      <c r="G809" s="32" t="s">
        <v>2088</v>
      </c>
      <c r="H809" s="32" t="s">
        <v>826</v>
      </c>
      <c r="I809" s="31" t="n">
        <v>45652</v>
      </c>
      <c r="J809" s="32" t="s">
        <v>2080</v>
      </c>
      <c r="K809" s="0" t="n">
        <v>3</v>
      </c>
      <c r="L809" s="32" t="s">
        <v>2081</v>
      </c>
      <c r="M809" s="32" t="s">
        <v>2100</v>
      </c>
      <c r="N809" s="0" t="n">
        <v>3</v>
      </c>
      <c r="O809" s="32" t="s">
        <v>827</v>
      </c>
      <c r="P809" s="32" t="s">
        <v>2090</v>
      </c>
      <c r="Q809" s="32" t="s">
        <v>2125</v>
      </c>
      <c r="R809" s="0" t="str">
        <f aca="false">IF(H809="GEN","GM",H809)</f>
        <v>RHE</v>
      </c>
    </row>
    <row r="810" customFormat="false" ht="15" hidden="false" customHeight="false" outlineLevel="0" collapsed="false">
      <c r="A810" s="0" t="s">
        <v>3297</v>
      </c>
      <c r="B810" s="0" t="s">
        <v>2666</v>
      </c>
      <c r="C810" s="0" t="s">
        <v>922</v>
      </c>
      <c r="D810" s="31" t="n">
        <v>25265</v>
      </c>
      <c r="E810" s="31" t="n">
        <v>45567</v>
      </c>
      <c r="F810" s="32" t="s">
        <v>2078</v>
      </c>
      <c r="G810" s="32" t="s">
        <v>2104</v>
      </c>
      <c r="H810" s="32" t="s">
        <v>802</v>
      </c>
      <c r="I810" s="31" t="n">
        <v>45568</v>
      </c>
      <c r="J810" s="32" t="s">
        <v>2080</v>
      </c>
      <c r="K810" s="0" t="n">
        <v>1</v>
      </c>
      <c r="L810" s="32" t="s">
        <v>2081</v>
      </c>
      <c r="M810" s="32" t="s">
        <v>2141</v>
      </c>
      <c r="N810" s="0" t="n">
        <v>1</v>
      </c>
      <c r="O810" s="32" t="s">
        <v>803</v>
      </c>
      <c r="P810" s="32" t="s">
        <v>2175</v>
      </c>
      <c r="Q810" s="32" t="s">
        <v>2241</v>
      </c>
      <c r="R810" s="0" t="str">
        <f aca="false">IF(H810="GEN","GM",H810)</f>
        <v>GYN</v>
      </c>
    </row>
    <row r="811" customFormat="false" ht="15" hidden="false" customHeight="false" outlineLevel="0" collapsed="false">
      <c r="A811" s="0" t="s">
        <v>3298</v>
      </c>
      <c r="B811" s="0" t="s">
        <v>3289</v>
      </c>
      <c r="C811" s="0" t="s">
        <v>849</v>
      </c>
      <c r="D811" s="31" t="n">
        <v>37034</v>
      </c>
      <c r="E811" s="31" t="n">
        <v>45681</v>
      </c>
      <c r="F811" s="32" t="s">
        <v>2087</v>
      </c>
      <c r="G811" s="32" t="s">
        <v>2088</v>
      </c>
      <c r="H811" s="32" t="s">
        <v>826</v>
      </c>
      <c r="I811" s="31" t="n">
        <v>45685</v>
      </c>
      <c r="J811" s="32" t="s">
        <v>2307</v>
      </c>
      <c r="K811" s="0" t="n">
        <v>4</v>
      </c>
      <c r="L811" s="32" t="s">
        <v>2081</v>
      </c>
      <c r="M811" s="32" t="s">
        <v>2128</v>
      </c>
      <c r="N811" s="0" t="n">
        <v>4</v>
      </c>
      <c r="O811" s="32" t="s">
        <v>827</v>
      </c>
      <c r="P811" s="32" t="s">
        <v>2213</v>
      </c>
      <c r="Q811" s="32" t="s">
        <v>2125</v>
      </c>
      <c r="R811" s="0" t="str">
        <f aca="false">IF(H811="GEN","GM",H811)</f>
        <v>RHE</v>
      </c>
    </row>
    <row r="812" customFormat="false" ht="15" hidden="false" customHeight="false" outlineLevel="0" collapsed="false">
      <c r="A812" s="0" t="s">
        <v>3299</v>
      </c>
      <c r="B812" s="0" t="s">
        <v>2653</v>
      </c>
      <c r="C812" s="0" t="s">
        <v>1021</v>
      </c>
      <c r="D812" s="31" t="n">
        <v>13338</v>
      </c>
      <c r="E812" s="31" t="n">
        <v>45699</v>
      </c>
      <c r="F812" s="32" t="s">
        <v>2078</v>
      </c>
      <c r="G812" s="32" t="s">
        <v>2099</v>
      </c>
      <c r="H812" s="32" t="s">
        <v>766</v>
      </c>
      <c r="L812" s="32" t="s">
        <v>2081</v>
      </c>
      <c r="M812" s="32" t="s">
        <v>2110</v>
      </c>
      <c r="O812" s="32" t="s">
        <v>767</v>
      </c>
      <c r="P812" s="32" t="s">
        <v>2111</v>
      </c>
      <c r="Q812" s="32" t="s">
        <v>2244</v>
      </c>
      <c r="R812" s="0" t="str">
        <f aca="false">IF(H812="GEN","GM",H812)</f>
        <v>OR</v>
      </c>
    </row>
    <row r="813" customFormat="false" ht="15" hidden="false" customHeight="false" outlineLevel="0" collapsed="false">
      <c r="A813" s="0" t="s">
        <v>3300</v>
      </c>
      <c r="B813" s="0" t="s">
        <v>2421</v>
      </c>
      <c r="C813" s="0" t="s">
        <v>930</v>
      </c>
      <c r="D813" s="31" t="n">
        <v>18836</v>
      </c>
      <c r="E813" s="31" t="n">
        <v>45620</v>
      </c>
      <c r="F813" s="32" t="s">
        <v>2078</v>
      </c>
      <c r="G813" s="32" t="s">
        <v>2099</v>
      </c>
      <c r="H813" s="32" t="s">
        <v>818</v>
      </c>
      <c r="I813" s="31" t="n">
        <v>45622</v>
      </c>
      <c r="J813" s="32" t="s">
        <v>2080</v>
      </c>
      <c r="K813" s="0" t="n">
        <v>2</v>
      </c>
      <c r="L813" s="32" t="s">
        <v>2081</v>
      </c>
      <c r="M813" s="32" t="s">
        <v>2286</v>
      </c>
      <c r="N813" s="0" t="n">
        <v>2</v>
      </c>
      <c r="O813" s="32" t="s">
        <v>819</v>
      </c>
      <c r="P813" s="32" t="s">
        <v>2133</v>
      </c>
      <c r="Q813" s="32" t="s">
        <v>2138</v>
      </c>
      <c r="R813" s="0" t="str">
        <f aca="false">IF(H813="GEN","GM",H813)</f>
        <v>OPH</v>
      </c>
    </row>
    <row r="814" customFormat="false" ht="15" hidden="false" customHeight="false" outlineLevel="0" collapsed="false">
      <c r="A814" s="0" t="s">
        <v>3301</v>
      </c>
      <c r="B814" s="0" t="s">
        <v>3057</v>
      </c>
      <c r="C814" s="0" t="s">
        <v>1017</v>
      </c>
      <c r="D814" s="31" t="n">
        <v>19011</v>
      </c>
      <c r="E814" s="31" t="n">
        <v>45595</v>
      </c>
      <c r="F814" s="32" t="s">
        <v>2160</v>
      </c>
      <c r="G814" s="32" t="s">
        <v>2124</v>
      </c>
      <c r="H814" s="32" t="s">
        <v>785</v>
      </c>
      <c r="I814" s="31" t="n">
        <v>45603</v>
      </c>
      <c r="J814" s="32" t="s">
        <v>2080</v>
      </c>
      <c r="K814" s="0" t="n">
        <v>8</v>
      </c>
      <c r="L814" s="32" t="s">
        <v>2106</v>
      </c>
      <c r="M814" s="32" t="s">
        <v>2141</v>
      </c>
      <c r="N814" s="0" t="n">
        <v>8</v>
      </c>
      <c r="O814" s="32" t="s">
        <v>786</v>
      </c>
      <c r="P814" s="32" t="s">
        <v>2083</v>
      </c>
      <c r="Q814" s="32" t="s">
        <v>2096</v>
      </c>
      <c r="R814" s="0" t="str">
        <f aca="false">IF(H814="GEN","GM",H814)</f>
        <v>RS</v>
      </c>
    </row>
    <row r="815" customFormat="false" ht="15" hidden="false" customHeight="false" outlineLevel="0" collapsed="false">
      <c r="A815" s="0" t="s">
        <v>3302</v>
      </c>
      <c r="B815" s="0" t="s">
        <v>2707</v>
      </c>
      <c r="C815" s="0" t="s">
        <v>809</v>
      </c>
      <c r="D815" s="31" t="n">
        <v>37993</v>
      </c>
      <c r="E815" s="31" t="n">
        <v>45575</v>
      </c>
      <c r="F815" s="32" t="s">
        <v>2160</v>
      </c>
      <c r="G815" s="32" t="s">
        <v>2088</v>
      </c>
      <c r="H815" s="32" t="s">
        <v>826</v>
      </c>
      <c r="I815" s="31" t="n">
        <v>45578</v>
      </c>
      <c r="J815" s="32" t="s">
        <v>2080</v>
      </c>
      <c r="K815" s="0" t="n">
        <v>3</v>
      </c>
      <c r="L815" s="32" t="s">
        <v>2081</v>
      </c>
      <c r="M815" s="32" t="s">
        <v>2089</v>
      </c>
      <c r="N815" s="0" t="n">
        <v>3</v>
      </c>
      <c r="O815" s="32" t="s">
        <v>827</v>
      </c>
      <c r="P815" s="32" t="s">
        <v>2162</v>
      </c>
      <c r="Q815" s="32" t="s">
        <v>2145</v>
      </c>
      <c r="R815" s="0" t="str">
        <f aca="false">IF(H815="GEN","GM",H815)</f>
        <v>RHE</v>
      </c>
    </row>
    <row r="816" customFormat="false" ht="15" hidden="false" customHeight="false" outlineLevel="0" collapsed="false">
      <c r="A816" s="0" t="s">
        <v>3303</v>
      </c>
      <c r="B816" s="0" t="s">
        <v>2342</v>
      </c>
      <c r="C816" s="0" t="s">
        <v>1398</v>
      </c>
      <c r="D816" s="31" t="n">
        <v>27252</v>
      </c>
      <c r="E816" s="31" t="n">
        <v>45698</v>
      </c>
      <c r="F816" s="32" t="s">
        <v>2078</v>
      </c>
      <c r="G816" s="32" t="s">
        <v>2088</v>
      </c>
      <c r="H816" s="32" t="s">
        <v>747</v>
      </c>
      <c r="I816" s="31" t="n">
        <v>45704</v>
      </c>
      <c r="J816" s="32" t="s">
        <v>2080</v>
      </c>
      <c r="K816" s="0" t="n">
        <v>6</v>
      </c>
      <c r="L816" s="32" t="s">
        <v>2081</v>
      </c>
      <c r="M816" s="32" t="s">
        <v>2110</v>
      </c>
      <c r="N816" s="0" t="n">
        <v>6</v>
      </c>
      <c r="O816" s="32" t="s">
        <v>748</v>
      </c>
      <c r="P816" s="32" t="s">
        <v>2121</v>
      </c>
      <c r="Q816" s="32" t="s">
        <v>2157</v>
      </c>
      <c r="R816" s="0" t="str">
        <f aca="false">IF(H816="GEN","GM",H816)</f>
        <v>GM</v>
      </c>
    </row>
    <row r="817" customFormat="false" ht="15" hidden="false" customHeight="false" outlineLevel="0" collapsed="false">
      <c r="A817" s="0" t="s">
        <v>3304</v>
      </c>
      <c r="B817" s="0" t="s">
        <v>2312</v>
      </c>
      <c r="C817" s="0" t="s">
        <v>898</v>
      </c>
      <c r="D817" s="31" t="n">
        <v>35403</v>
      </c>
      <c r="E817" s="31" t="n">
        <v>45698</v>
      </c>
      <c r="F817" s="32" t="s">
        <v>2078</v>
      </c>
      <c r="G817" s="32" t="s">
        <v>2099</v>
      </c>
      <c r="H817" s="32" t="s">
        <v>818</v>
      </c>
      <c r="I817" s="31" t="n">
        <v>45706</v>
      </c>
      <c r="J817" s="32" t="s">
        <v>2080</v>
      </c>
      <c r="K817" s="0" t="n">
        <v>8</v>
      </c>
      <c r="L817" s="32" t="s">
        <v>2081</v>
      </c>
      <c r="M817" s="32" t="s">
        <v>2089</v>
      </c>
      <c r="N817" s="0" t="n">
        <v>8</v>
      </c>
      <c r="O817" s="32" t="s">
        <v>819</v>
      </c>
      <c r="P817" s="32" t="s">
        <v>2238</v>
      </c>
      <c r="Q817" s="32" t="s">
        <v>2241</v>
      </c>
      <c r="R817" s="0" t="str">
        <f aca="false">IF(H817="GEN","GM",H817)</f>
        <v>OPH</v>
      </c>
    </row>
    <row r="818" customFormat="false" ht="15" hidden="false" customHeight="false" outlineLevel="0" collapsed="false">
      <c r="A818" s="0" t="s">
        <v>3305</v>
      </c>
      <c r="B818" s="0" t="s">
        <v>2400</v>
      </c>
      <c r="C818" s="0" t="s">
        <v>1426</v>
      </c>
      <c r="D818" s="31" t="n">
        <v>22439</v>
      </c>
      <c r="E818" s="31" t="n">
        <v>45678</v>
      </c>
      <c r="F818" s="32" t="s">
        <v>2078</v>
      </c>
      <c r="G818" s="32" t="s">
        <v>2115</v>
      </c>
      <c r="H818" s="32" t="s">
        <v>758</v>
      </c>
      <c r="I818" s="31" t="n">
        <v>45681</v>
      </c>
      <c r="J818" s="32" t="s">
        <v>2307</v>
      </c>
      <c r="K818" s="0" t="n">
        <v>3</v>
      </c>
      <c r="L818" s="32" t="s">
        <v>2081</v>
      </c>
      <c r="M818" s="32" t="s">
        <v>2207</v>
      </c>
      <c r="N818" s="0" t="n">
        <v>3</v>
      </c>
      <c r="O818" s="32" t="s">
        <v>759</v>
      </c>
      <c r="P818" s="32" t="s">
        <v>2201</v>
      </c>
      <c r="Q818" s="32" t="s">
        <v>2259</v>
      </c>
      <c r="R818" s="0" t="str">
        <f aca="false">IF(H818="GEN","GM",H818)</f>
        <v>CS</v>
      </c>
    </row>
    <row r="819" customFormat="false" ht="15" hidden="false" customHeight="false" outlineLevel="0" collapsed="false">
      <c r="A819" s="0" t="s">
        <v>3306</v>
      </c>
      <c r="B819" s="0" t="s">
        <v>2363</v>
      </c>
      <c r="C819" s="0" t="s">
        <v>792</v>
      </c>
      <c r="D819" s="31" t="n">
        <v>16021</v>
      </c>
      <c r="E819" s="31" t="n">
        <v>45567</v>
      </c>
      <c r="F819" s="32" t="s">
        <v>2087</v>
      </c>
      <c r="G819" s="32" t="s">
        <v>2099</v>
      </c>
      <c r="H819" s="32" t="s">
        <v>818</v>
      </c>
      <c r="I819" s="32" t="s">
        <v>3307</v>
      </c>
      <c r="J819" s="32" t="s">
        <v>2160</v>
      </c>
      <c r="K819" s="0" t="n">
        <v>7</v>
      </c>
      <c r="L819" s="32" t="s">
        <v>2081</v>
      </c>
      <c r="M819" s="32" t="s">
        <v>2255</v>
      </c>
      <c r="N819" s="0" t="n">
        <v>7</v>
      </c>
      <c r="O819" s="32" t="s">
        <v>819</v>
      </c>
      <c r="P819" s="32" t="s">
        <v>2090</v>
      </c>
      <c r="Q819" s="32" t="s">
        <v>2084</v>
      </c>
      <c r="R819" s="0" t="str">
        <f aca="false">IF(H819="GEN","GM",H819)</f>
        <v>OPH</v>
      </c>
    </row>
    <row r="820" customFormat="false" ht="15" hidden="false" customHeight="false" outlineLevel="0" collapsed="false">
      <c r="A820" s="0" t="s">
        <v>3308</v>
      </c>
      <c r="B820" s="0" t="s">
        <v>3309</v>
      </c>
      <c r="C820" s="0" t="s">
        <v>809</v>
      </c>
      <c r="D820" s="31" t="n">
        <v>20611</v>
      </c>
      <c r="E820" s="31" t="n">
        <v>45705</v>
      </c>
      <c r="F820" s="32" t="s">
        <v>2087</v>
      </c>
      <c r="G820" s="32" t="s">
        <v>2115</v>
      </c>
      <c r="H820" s="32" t="s">
        <v>758</v>
      </c>
      <c r="I820" s="31" t="n">
        <v>45709</v>
      </c>
      <c r="J820" s="32" t="s">
        <v>2080</v>
      </c>
      <c r="K820" s="0" t="n">
        <v>4</v>
      </c>
      <c r="L820" s="32" t="s">
        <v>2081</v>
      </c>
      <c r="M820" s="32" t="s">
        <v>2132</v>
      </c>
      <c r="N820" s="0" t="n">
        <v>4</v>
      </c>
      <c r="P820" s="32" t="s">
        <v>2101</v>
      </c>
      <c r="Q820" s="32" t="s">
        <v>2241</v>
      </c>
      <c r="R820" s="0" t="str">
        <f aca="false">IF(H820="GEN","GM",H820)</f>
        <v>CS</v>
      </c>
    </row>
    <row r="821" customFormat="false" ht="15" hidden="false" customHeight="false" outlineLevel="0" collapsed="false">
      <c r="A821" s="0" t="s">
        <v>3310</v>
      </c>
      <c r="B821" s="0" t="s">
        <v>2306</v>
      </c>
      <c r="C821" s="0" t="s">
        <v>849</v>
      </c>
      <c r="D821" s="31" t="n">
        <v>18516</v>
      </c>
      <c r="E821" s="31" t="n">
        <v>45616</v>
      </c>
      <c r="F821" s="32" t="s">
        <v>2078</v>
      </c>
      <c r="G821" s="32" t="s">
        <v>2079</v>
      </c>
      <c r="H821" s="32" t="s">
        <v>810</v>
      </c>
      <c r="I821" s="32" t="s">
        <v>3311</v>
      </c>
      <c r="J821" s="32" t="s">
        <v>2160</v>
      </c>
      <c r="K821" s="0" t="n">
        <v>0</v>
      </c>
      <c r="L821" s="32" t="s">
        <v>2081</v>
      </c>
      <c r="M821" s="32" t="s">
        <v>2195</v>
      </c>
      <c r="N821" s="0" t="n">
        <v>0</v>
      </c>
      <c r="O821" s="32" t="s">
        <v>811</v>
      </c>
      <c r="P821" s="32" t="s">
        <v>2142</v>
      </c>
      <c r="Q821" s="32" t="s">
        <v>2241</v>
      </c>
      <c r="R821" s="0" t="str">
        <f aca="false">IF(H821="GEN","GM",H821)</f>
        <v>URO</v>
      </c>
    </row>
    <row r="822" customFormat="false" ht="15" hidden="false" customHeight="false" outlineLevel="0" collapsed="false">
      <c r="A822" s="0" t="s">
        <v>3312</v>
      </c>
      <c r="B822" s="0" t="s">
        <v>2391</v>
      </c>
      <c r="C822" s="0" t="s">
        <v>1398</v>
      </c>
      <c r="D822" s="31" t="n">
        <v>33820</v>
      </c>
      <c r="E822" s="31" t="n">
        <v>45715</v>
      </c>
      <c r="F822" s="32" t="s">
        <v>2087</v>
      </c>
      <c r="G822" s="32" t="s">
        <v>2104</v>
      </c>
      <c r="H822" s="32" t="s">
        <v>802</v>
      </c>
      <c r="I822" s="31" t="n">
        <v>45720</v>
      </c>
      <c r="J822" s="32" t="s">
        <v>2080</v>
      </c>
      <c r="K822" s="0" t="n">
        <v>5</v>
      </c>
      <c r="L822" s="32" t="s">
        <v>2081</v>
      </c>
      <c r="M822" s="32" t="s">
        <v>2161</v>
      </c>
      <c r="N822" s="0" t="n">
        <v>5</v>
      </c>
      <c r="O822" s="32" t="s">
        <v>803</v>
      </c>
      <c r="P822" s="32" t="s">
        <v>2133</v>
      </c>
      <c r="Q822" s="32" t="s">
        <v>2145</v>
      </c>
      <c r="R822" s="0" t="str">
        <f aca="false">IF(H822="GEN","GM",H822)</f>
        <v>GYN</v>
      </c>
    </row>
    <row r="823" customFormat="false" ht="15" hidden="false" customHeight="false" outlineLevel="0" collapsed="false">
      <c r="A823" s="0" t="s">
        <v>3313</v>
      </c>
      <c r="B823" s="0" t="s">
        <v>2837</v>
      </c>
      <c r="C823" s="0" t="s">
        <v>765</v>
      </c>
      <c r="D823" s="31" t="n">
        <v>29651</v>
      </c>
      <c r="E823" s="31" t="n">
        <v>45683</v>
      </c>
      <c r="F823" s="32" t="s">
        <v>2087</v>
      </c>
      <c r="G823" s="32" t="s">
        <v>2104</v>
      </c>
      <c r="H823" s="32" t="s">
        <v>802</v>
      </c>
      <c r="I823" s="31" t="n">
        <v>45688</v>
      </c>
      <c r="J823" s="32" t="s">
        <v>2160</v>
      </c>
      <c r="K823" s="0" t="n">
        <v>5</v>
      </c>
      <c r="L823" s="32" t="s">
        <v>2081</v>
      </c>
      <c r="N823" s="0" t="n">
        <v>7</v>
      </c>
      <c r="O823" s="32" t="s">
        <v>803</v>
      </c>
      <c r="P823" s="32" t="s">
        <v>2142</v>
      </c>
      <c r="Q823" s="32" t="s">
        <v>2241</v>
      </c>
      <c r="R823" s="0" t="str">
        <f aca="false">IF(H823="GEN","GM",H823)</f>
        <v>GYN</v>
      </c>
    </row>
    <row r="824" customFormat="false" ht="15" hidden="false" customHeight="false" outlineLevel="0" collapsed="false">
      <c r="A824" s="0" t="s">
        <v>3314</v>
      </c>
      <c r="B824" s="0" t="s">
        <v>3315</v>
      </c>
      <c r="C824" s="0" t="s">
        <v>1390</v>
      </c>
      <c r="D824" s="31" t="n">
        <v>17940</v>
      </c>
      <c r="E824" s="31" t="n">
        <v>45673</v>
      </c>
      <c r="F824" s="32" t="s">
        <v>2078</v>
      </c>
      <c r="G824" s="32" t="s">
        <v>2088</v>
      </c>
      <c r="H824" s="32" t="s">
        <v>1391</v>
      </c>
      <c r="I824" s="31" t="n">
        <v>45673</v>
      </c>
      <c r="J824" s="32" t="s">
        <v>2080</v>
      </c>
      <c r="K824" s="0" t="n">
        <v>0</v>
      </c>
      <c r="L824" s="32" t="s">
        <v>2081</v>
      </c>
      <c r="M824" s="32" t="s">
        <v>2136</v>
      </c>
      <c r="N824" s="0" t="n">
        <v>0</v>
      </c>
      <c r="O824" s="32" t="s">
        <v>748</v>
      </c>
      <c r="P824" s="32" t="s">
        <v>2156</v>
      </c>
      <c r="Q824" s="32" t="s">
        <v>2170</v>
      </c>
      <c r="R824" s="0" t="str">
        <f aca="false">IF(H824="GEN","GM",H824)</f>
        <v>GM</v>
      </c>
    </row>
    <row r="825" customFormat="false" ht="15" hidden="false" customHeight="false" outlineLevel="0" collapsed="false">
      <c r="A825" s="0" t="s">
        <v>3316</v>
      </c>
      <c r="B825" s="0" t="s">
        <v>2398</v>
      </c>
      <c r="C825" s="0" t="s">
        <v>977</v>
      </c>
      <c r="D825" s="31" t="n">
        <v>35481</v>
      </c>
      <c r="E825" s="31" t="n">
        <v>45630</v>
      </c>
      <c r="F825" s="32" t="s">
        <v>2078</v>
      </c>
      <c r="G825" s="32" t="s">
        <v>2104</v>
      </c>
      <c r="H825" s="32" t="s">
        <v>802</v>
      </c>
      <c r="I825" s="31" t="n">
        <v>45632</v>
      </c>
      <c r="J825" s="32" t="s">
        <v>2160</v>
      </c>
      <c r="K825" s="0" t="n">
        <v>2</v>
      </c>
      <c r="L825" s="32" t="s">
        <v>2081</v>
      </c>
      <c r="M825" s="32" t="s">
        <v>2141</v>
      </c>
      <c r="N825" s="0" t="n">
        <v>2</v>
      </c>
      <c r="O825" s="32" t="s">
        <v>803</v>
      </c>
      <c r="P825" s="32" t="s">
        <v>2238</v>
      </c>
      <c r="Q825" s="32" t="s">
        <v>2241</v>
      </c>
      <c r="R825" s="0" t="str">
        <f aca="false">IF(H825="GEN","GM",H825)</f>
        <v>GYN</v>
      </c>
    </row>
    <row r="826" customFormat="false" ht="15" hidden="false" customHeight="false" outlineLevel="0" collapsed="false">
      <c r="A826" s="0" t="s">
        <v>3317</v>
      </c>
      <c r="B826" s="0" t="s">
        <v>3318</v>
      </c>
      <c r="C826" s="0" t="s">
        <v>866</v>
      </c>
      <c r="D826" s="31" t="n">
        <v>36960</v>
      </c>
      <c r="E826" s="31" t="n">
        <v>45693</v>
      </c>
      <c r="F826" s="32" t="s">
        <v>2078</v>
      </c>
      <c r="G826" s="32" t="s">
        <v>2088</v>
      </c>
      <c r="H826" s="32" t="s">
        <v>826</v>
      </c>
      <c r="I826" s="31" t="n">
        <v>45696</v>
      </c>
      <c r="J826" s="32" t="s">
        <v>2080</v>
      </c>
      <c r="K826" s="0" t="n">
        <v>3</v>
      </c>
      <c r="L826" s="32" t="s">
        <v>2081</v>
      </c>
      <c r="M826" s="32" t="s">
        <v>2286</v>
      </c>
      <c r="N826" s="0" t="n">
        <v>3</v>
      </c>
      <c r="O826" s="32" t="s">
        <v>827</v>
      </c>
      <c r="P826" s="32" t="s">
        <v>2133</v>
      </c>
      <c r="Q826" s="32" t="s">
        <v>2138</v>
      </c>
      <c r="R826" s="0" t="str">
        <f aca="false">IF(H826="GEN","GM",H826)</f>
        <v>RHE</v>
      </c>
    </row>
    <row r="827" customFormat="false" ht="15" hidden="false" customHeight="false" outlineLevel="0" collapsed="false">
      <c r="A827" s="0" t="s">
        <v>3319</v>
      </c>
      <c r="B827" s="0" t="s">
        <v>2751</v>
      </c>
      <c r="C827" s="0" t="s">
        <v>934</v>
      </c>
      <c r="D827" s="31" t="n">
        <v>22356</v>
      </c>
      <c r="E827" s="31" t="n">
        <v>45626</v>
      </c>
      <c r="F827" s="32" t="s">
        <v>2087</v>
      </c>
      <c r="G827" s="32" t="s">
        <v>2088</v>
      </c>
      <c r="H827" s="32" t="s">
        <v>747</v>
      </c>
      <c r="I827" s="31" t="n">
        <v>45629</v>
      </c>
      <c r="J827" s="32" t="s">
        <v>2080</v>
      </c>
      <c r="K827" s="0" t="n">
        <v>3</v>
      </c>
      <c r="L827" s="32" t="s">
        <v>2081</v>
      </c>
      <c r="M827" s="32" t="s">
        <v>2283</v>
      </c>
      <c r="N827" s="0" t="n">
        <v>3</v>
      </c>
      <c r="O827" s="32" t="s">
        <v>748</v>
      </c>
      <c r="P827" s="32" t="s">
        <v>2179</v>
      </c>
      <c r="Q827" s="32" t="s">
        <v>2112</v>
      </c>
      <c r="R827" s="0" t="str">
        <f aca="false">IF(H827="GEN","GM",H827)</f>
        <v>GM</v>
      </c>
    </row>
    <row r="828" customFormat="false" ht="15" hidden="false" customHeight="false" outlineLevel="0" collapsed="false">
      <c r="A828" s="0" t="s">
        <v>3320</v>
      </c>
      <c r="B828" s="0" t="s">
        <v>3321</v>
      </c>
      <c r="C828" s="0" t="s">
        <v>2148</v>
      </c>
      <c r="D828" s="31" t="n">
        <v>33485</v>
      </c>
      <c r="E828" s="31" t="n">
        <v>45730</v>
      </c>
      <c r="F828" s="32" t="s">
        <v>2087</v>
      </c>
      <c r="G828" s="32" t="s">
        <v>2099</v>
      </c>
      <c r="H828" s="32" t="s">
        <v>818</v>
      </c>
      <c r="I828" s="31" t="n">
        <v>45744</v>
      </c>
      <c r="J828" s="32" t="s">
        <v>2080</v>
      </c>
      <c r="K828" s="0" t="n">
        <v>14</v>
      </c>
      <c r="L828" s="32" t="s">
        <v>2081</v>
      </c>
      <c r="M828" s="32" t="s">
        <v>2161</v>
      </c>
      <c r="N828" s="0" t="n">
        <v>14</v>
      </c>
      <c r="O828" s="32" t="s">
        <v>819</v>
      </c>
      <c r="P828" s="32" t="s">
        <v>2179</v>
      </c>
      <c r="Q828" s="32" t="s">
        <v>2084</v>
      </c>
      <c r="R828" s="0" t="str">
        <f aca="false">IF(H828="GEN","GM",H828)</f>
        <v>OPH</v>
      </c>
    </row>
    <row r="829" customFormat="false" ht="15" hidden="false" customHeight="false" outlineLevel="0" collapsed="false">
      <c r="A829" s="0" t="s">
        <v>3322</v>
      </c>
      <c r="B829" s="0" t="s">
        <v>2209</v>
      </c>
      <c r="C829" s="0" t="s">
        <v>918</v>
      </c>
      <c r="D829" s="31" t="n">
        <v>32330</v>
      </c>
      <c r="E829" s="31" t="n">
        <v>45728</v>
      </c>
      <c r="F829" s="32" t="s">
        <v>2087</v>
      </c>
      <c r="G829" s="32" t="s">
        <v>2115</v>
      </c>
      <c r="H829" s="32" t="s">
        <v>758</v>
      </c>
      <c r="I829" s="31" t="n">
        <v>45731</v>
      </c>
      <c r="J829" s="32" t="s">
        <v>2160</v>
      </c>
      <c r="K829" s="0" t="n">
        <v>3</v>
      </c>
      <c r="L829" s="32" t="s">
        <v>2081</v>
      </c>
      <c r="M829" s="32" t="s">
        <v>2141</v>
      </c>
      <c r="N829" s="0" t="n">
        <v>3</v>
      </c>
      <c r="O829" s="32" t="s">
        <v>759</v>
      </c>
      <c r="P829" s="32" t="s">
        <v>2090</v>
      </c>
      <c r="Q829" s="32" t="s">
        <v>2179</v>
      </c>
      <c r="R829" s="0" t="str">
        <f aca="false">IF(H829="GEN","GM",H829)</f>
        <v>CS</v>
      </c>
    </row>
    <row r="830" customFormat="false" ht="15" hidden="false" customHeight="false" outlineLevel="0" collapsed="false">
      <c r="A830" s="0" t="s">
        <v>3323</v>
      </c>
      <c r="B830" s="0" t="s">
        <v>2502</v>
      </c>
      <c r="C830" s="0" t="s">
        <v>2148</v>
      </c>
      <c r="D830" s="31" t="n">
        <v>22975</v>
      </c>
      <c r="E830" s="31" t="n">
        <v>45724</v>
      </c>
      <c r="F830" s="32" t="s">
        <v>2087</v>
      </c>
      <c r="G830" s="32" t="s">
        <v>2079</v>
      </c>
      <c r="H830" s="32" t="s">
        <v>810</v>
      </c>
      <c r="I830" s="31" t="n">
        <v>45728</v>
      </c>
      <c r="J830" s="32" t="s">
        <v>2080</v>
      </c>
      <c r="K830" s="0" t="n">
        <v>4</v>
      </c>
      <c r="L830" s="32" t="s">
        <v>2081</v>
      </c>
      <c r="M830" s="32" t="s">
        <v>2255</v>
      </c>
      <c r="N830" s="0" t="n">
        <v>4</v>
      </c>
      <c r="O830" s="32" t="s">
        <v>811</v>
      </c>
      <c r="P830" s="32" t="s">
        <v>2175</v>
      </c>
      <c r="Q830" s="32" t="s">
        <v>2138</v>
      </c>
      <c r="R830" s="0" t="str">
        <f aca="false">IF(H830="GEN","GM",H830)</f>
        <v>URO</v>
      </c>
    </row>
    <row r="831" customFormat="false" ht="15" hidden="false" customHeight="false" outlineLevel="0" collapsed="false">
      <c r="A831" s="0" t="s">
        <v>3324</v>
      </c>
      <c r="B831" s="0" t="s">
        <v>2512</v>
      </c>
      <c r="C831" s="0" t="s">
        <v>1398</v>
      </c>
      <c r="D831" s="31" t="n">
        <v>17426</v>
      </c>
      <c r="E831" s="31" t="n">
        <v>45670</v>
      </c>
      <c r="F831" s="32" t="s">
        <v>2087</v>
      </c>
      <c r="G831" s="32" t="s">
        <v>2099</v>
      </c>
      <c r="H831" s="32" t="s">
        <v>818</v>
      </c>
      <c r="I831" s="31" t="n">
        <v>45680</v>
      </c>
      <c r="J831" s="32" t="s">
        <v>2080</v>
      </c>
      <c r="K831" s="0" t="n">
        <v>10</v>
      </c>
      <c r="L831" s="32" t="s">
        <v>2081</v>
      </c>
      <c r="M831" s="32" t="s">
        <v>2207</v>
      </c>
      <c r="N831" s="0" t="n">
        <v>10</v>
      </c>
      <c r="O831" s="32" t="s">
        <v>819</v>
      </c>
      <c r="P831" s="32" t="s">
        <v>2133</v>
      </c>
      <c r="Q831" s="32" t="s">
        <v>2190</v>
      </c>
      <c r="R831" s="0" t="str">
        <f aca="false">IF(H831="GEN","GM",H831)</f>
        <v>OPH</v>
      </c>
    </row>
    <row r="832" customFormat="false" ht="15" hidden="false" customHeight="false" outlineLevel="0" collapsed="false">
      <c r="A832" s="0" t="s">
        <v>3325</v>
      </c>
      <c r="B832" s="0" t="s">
        <v>2372</v>
      </c>
      <c r="C832" s="0" t="s">
        <v>1460</v>
      </c>
      <c r="D832" s="31" t="n">
        <v>36544</v>
      </c>
      <c r="E832" s="31" t="n">
        <v>45649</v>
      </c>
      <c r="F832" s="32" t="s">
        <v>2087</v>
      </c>
      <c r="G832" s="32" t="s">
        <v>2115</v>
      </c>
      <c r="H832" s="32" t="s">
        <v>758</v>
      </c>
      <c r="I832" s="31" t="n">
        <v>45651</v>
      </c>
      <c r="J832" s="32" t="s">
        <v>2080</v>
      </c>
      <c r="K832" s="0" t="n">
        <v>2</v>
      </c>
      <c r="M832" s="32" t="s">
        <v>2128</v>
      </c>
      <c r="N832" s="0" t="n">
        <v>2</v>
      </c>
      <c r="O832" s="32" t="s">
        <v>759</v>
      </c>
      <c r="P832" s="32" t="s">
        <v>2083</v>
      </c>
      <c r="Q832" s="32" t="s">
        <v>2112</v>
      </c>
      <c r="R832" s="0" t="str">
        <f aca="false">IF(H832="GEN","GM",H832)</f>
        <v>CS</v>
      </c>
    </row>
    <row r="833" customFormat="false" ht="15" hidden="false" customHeight="false" outlineLevel="0" collapsed="false">
      <c r="A833" s="0" t="s">
        <v>3326</v>
      </c>
      <c r="B833" s="0" t="s">
        <v>2411</v>
      </c>
      <c r="C833" s="0" t="s">
        <v>1398</v>
      </c>
      <c r="D833" s="31" t="n">
        <v>34407</v>
      </c>
      <c r="E833" s="31" t="n">
        <v>45614</v>
      </c>
      <c r="F833" s="32" t="s">
        <v>2078</v>
      </c>
      <c r="G833" s="32" t="s">
        <v>2079</v>
      </c>
      <c r="H833" s="32" t="s">
        <v>810</v>
      </c>
      <c r="I833" s="31" t="n">
        <v>45620</v>
      </c>
      <c r="J833" s="32" t="s">
        <v>2080</v>
      </c>
      <c r="K833" s="0" t="n">
        <v>6</v>
      </c>
      <c r="L833" s="32" t="s">
        <v>2081</v>
      </c>
      <c r="M833" s="32" t="s">
        <v>2136</v>
      </c>
      <c r="N833" s="0" t="n">
        <v>6</v>
      </c>
      <c r="O833" s="32" t="s">
        <v>811</v>
      </c>
      <c r="P833" s="32" t="s">
        <v>2133</v>
      </c>
      <c r="Q833" s="32" t="s">
        <v>2125</v>
      </c>
      <c r="R833" s="0" t="str">
        <f aca="false">IF(H833="GEN","GM",H833)</f>
        <v>URO</v>
      </c>
    </row>
    <row r="834" customFormat="false" ht="15" hidden="false" customHeight="false" outlineLevel="0" collapsed="false">
      <c r="A834" s="0" t="s">
        <v>3327</v>
      </c>
      <c r="B834" s="0" t="s">
        <v>2329</v>
      </c>
      <c r="C834" s="0" t="s">
        <v>977</v>
      </c>
      <c r="D834" s="31" t="n">
        <v>31224</v>
      </c>
      <c r="E834" s="31" t="n">
        <v>45644</v>
      </c>
      <c r="F834" s="32" t="s">
        <v>2078</v>
      </c>
      <c r="G834" s="32" t="s">
        <v>2115</v>
      </c>
      <c r="H834" s="32" t="s">
        <v>758</v>
      </c>
      <c r="I834" s="31" t="n">
        <v>45647</v>
      </c>
      <c r="J834" s="32" t="s">
        <v>2080</v>
      </c>
      <c r="K834" s="0" t="n">
        <v>3</v>
      </c>
      <c r="L834" s="32" t="s">
        <v>2081</v>
      </c>
      <c r="M834" s="32" t="s">
        <v>2207</v>
      </c>
      <c r="N834" s="0" t="n">
        <v>3</v>
      </c>
      <c r="O834" s="32" t="s">
        <v>759</v>
      </c>
      <c r="P834" s="32" t="s">
        <v>2149</v>
      </c>
      <c r="Q834" s="32" t="s">
        <v>2091</v>
      </c>
      <c r="R834" s="0" t="str">
        <f aca="false">IF(H834="GEN","GM",H834)</f>
        <v>CS</v>
      </c>
    </row>
    <row r="835" customFormat="false" ht="15" hidden="false" customHeight="false" outlineLevel="0" collapsed="false">
      <c r="A835" s="0" t="s">
        <v>3328</v>
      </c>
      <c r="B835" s="0" t="s">
        <v>2285</v>
      </c>
      <c r="C835" s="0" t="s">
        <v>910</v>
      </c>
      <c r="D835" s="31" t="n">
        <v>13593</v>
      </c>
      <c r="E835" s="31" t="n">
        <v>45730</v>
      </c>
      <c r="F835" s="32" t="s">
        <v>2078</v>
      </c>
      <c r="G835" s="32" t="s">
        <v>2099</v>
      </c>
      <c r="H835" s="32" t="s">
        <v>766</v>
      </c>
      <c r="I835" s="31" t="n">
        <v>45733</v>
      </c>
      <c r="J835" s="32" t="s">
        <v>2080</v>
      </c>
      <c r="K835" s="0" t="n">
        <v>3</v>
      </c>
      <c r="L835" s="32" t="s">
        <v>2081</v>
      </c>
      <c r="M835" s="32" t="s">
        <v>2207</v>
      </c>
      <c r="N835" s="0" t="n">
        <v>3</v>
      </c>
      <c r="P835" s="32" t="s">
        <v>2162</v>
      </c>
      <c r="Q835" s="32" t="s">
        <v>2153</v>
      </c>
      <c r="R835" s="0" t="str">
        <f aca="false">IF(H835="GEN","GM",H835)</f>
        <v>OR</v>
      </c>
    </row>
    <row r="836" customFormat="false" ht="15" hidden="false" customHeight="false" outlineLevel="0" collapsed="false">
      <c r="A836" s="0" t="s">
        <v>3329</v>
      </c>
      <c r="B836" s="0" t="s">
        <v>2837</v>
      </c>
      <c r="C836" s="0" t="s">
        <v>993</v>
      </c>
      <c r="D836" s="31" t="n">
        <v>20455</v>
      </c>
      <c r="E836" s="31" t="n">
        <v>45664</v>
      </c>
      <c r="F836" s="32" t="s">
        <v>2087</v>
      </c>
      <c r="G836" s="32" t="s">
        <v>2099</v>
      </c>
      <c r="H836" s="32" t="s">
        <v>766</v>
      </c>
      <c r="I836" s="31" t="n">
        <v>45669</v>
      </c>
      <c r="J836" s="32" t="s">
        <v>2160</v>
      </c>
      <c r="K836" s="0" t="n">
        <v>5</v>
      </c>
      <c r="L836" s="32" t="s">
        <v>2081</v>
      </c>
      <c r="M836" s="32" t="s">
        <v>2141</v>
      </c>
      <c r="N836" s="0" t="n">
        <v>5</v>
      </c>
      <c r="O836" s="32" t="s">
        <v>767</v>
      </c>
      <c r="P836" s="32" t="s">
        <v>2083</v>
      </c>
      <c r="Q836" s="32" t="s">
        <v>2241</v>
      </c>
      <c r="R836" s="0" t="str">
        <f aca="false">IF(H836="GEN","GM",H836)</f>
        <v>OR</v>
      </c>
    </row>
    <row r="837" customFormat="false" ht="15" hidden="false" customHeight="false" outlineLevel="0" collapsed="false">
      <c r="A837" s="0" t="s">
        <v>3330</v>
      </c>
      <c r="B837" s="0" t="s">
        <v>2840</v>
      </c>
      <c r="C837" s="0" t="s">
        <v>934</v>
      </c>
      <c r="D837" s="31" t="n">
        <v>27232</v>
      </c>
      <c r="E837" s="31" t="n">
        <v>45631</v>
      </c>
      <c r="F837" s="32" t="s">
        <v>2160</v>
      </c>
      <c r="G837" s="32" t="s">
        <v>2104</v>
      </c>
      <c r="H837" s="32" t="s">
        <v>802</v>
      </c>
      <c r="I837" s="31" t="n">
        <v>45632</v>
      </c>
      <c r="J837" s="32" t="s">
        <v>2080</v>
      </c>
      <c r="K837" s="0" t="n">
        <v>1</v>
      </c>
      <c r="L837" s="32" t="s">
        <v>2081</v>
      </c>
      <c r="M837" s="32" t="s">
        <v>2286</v>
      </c>
      <c r="N837" s="0" t="n">
        <v>1</v>
      </c>
      <c r="O837" s="32" t="s">
        <v>803</v>
      </c>
      <c r="P837" s="32" t="s">
        <v>2182</v>
      </c>
      <c r="Q837" s="32" t="s">
        <v>2091</v>
      </c>
      <c r="R837" s="0" t="str">
        <f aca="false">IF(H837="GEN","GM",H837)</f>
        <v>GYN</v>
      </c>
    </row>
    <row r="838" customFormat="false" ht="15" hidden="false" customHeight="false" outlineLevel="0" collapsed="false">
      <c r="A838" s="0" t="s">
        <v>3331</v>
      </c>
      <c r="B838" s="0" t="s">
        <v>2952</v>
      </c>
      <c r="C838" s="0" t="s">
        <v>894</v>
      </c>
      <c r="D838" s="31" t="n">
        <v>25453</v>
      </c>
      <c r="E838" s="31" t="n">
        <v>45727</v>
      </c>
      <c r="F838" s="32" t="s">
        <v>2087</v>
      </c>
      <c r="G838" s="32" t="s">
        <v>2088</v>
      </c>
      <c r="H838" s="32" t="s">
        <v>793</v>
      </c>
      <c r="I838" s="31" t="n">
        <v>45729</v>
      </c>
      <c r="J838" s="32" t="s">
        <v>2080</v>
      </c>
      <c r="K838" s="0" t="n">
        <v>2</v>
      </c>
      <c r="L838" s="32" t="s">
        <v>2081</v>
      </c>
      <c r="M838" s="32" t="s">
        <v>2136</v>
      </c>
      <c r="N838" s="0" t="n">
        <v>2</v>
      </c>
      <c r="O838" s="32" t="s">
        <v>794</v>
      </c>
      <c r="Q838" s="32" t="s">
        <v>2241</v>
      </c>
      <c r="R838" s="0" t="str">
        <f aca="false">IF(H838="GEN","GM",H838)</f>
        <v>EM</v>
      </c>
    </row>
    <row r="839" customFormat="false" ht="15" hidden="false" customHeight="false" outlineLevel="0" collapsed="false">
      <c r="A839" s="0" t="s">
        <v>3332</v>
      </c>
      <c r="B839" s="0" t="s">
        <v>2733</v>
      </c>
      <c r="C839" s="0" t="s">
        <v>874</v>
      </c>
      <c r="D839" s="31" t="n">
        <v>32068</v>
      </c>
      <c r="E839" s="31" t="n">
        <v>45676</v>
      </c>
      <c r="F839" s="32" t="s">
        <v>2078</v>
      </c>
      <c r="G839" s="32" t="s">
        <v>2124</v>
      </c>
      <c r="H839" s="32" t="s">
        <v>785</v>
      </c>
      <c r="I839" s="31" t="n">
        <v>45686</v>
      </c>
      <c r="J839" s="32" t="s">
        <v>2080</v>
      </c>
      <c r="K839" s="0" t="n">
        <v>10</v>
      </c>
      <c r="L839" s="32" t="s">
        <v>2081</v>
      </c>
      <c r="M839" s="32" t="s">
        <v>2283</v>
      </c>
      <c r="N839" s="0" t="n">
        <v>10</v>
      </c>
      <c r="O839" s="32" t="s">
        <v>786</v>
      </c>
      <c r="P839" s="32" t="s">
        <v>2156</v>
      </c>
      <c r="Q839" s="32" t="s">
        <v>2084</v>
      </c>
      <c r="R839" s="0" t="str">
        <f aca="false">IF(H839="GEN","GM",H839)</f>
        <v>RS</v>
      </c>
    </row>
    <row r="840" customFormat="false" ht="15" hidden="false" customHeight="false" outlineLevel="0" collapsed="false">
      <c r="A840" s="0" t="s">
        <v>3333</v>
      </c>
      <c r="B840" s="0" t="s">
        <v>2638</v>
      </c>
      <c r="C840" s="0" t="s">
        <v>1029</v>
      </c>
      <c r="D840" s="31" t="n">
        <v>22042</v>
      </c>
      <c r="E840" s="31" t="n">
        <v>45624</v>
      </c>
      <c r="F840" s="32" t="s">
        <v>2087</v>
      </c>
      <c r="G840" s="32" t="s">
        <v>2088</v>
      </c>
      <c r="H840" s="32" t="s">
        <v>826</v>
      </c>
      <c r="I840" s="31" t="n">
        <v>45633</v>
      </c>
      <c r="J840" s="32" t="s">
        <v>2105</v>
      </c>
      <c r="K840" s="0" t="n">
        <v>9</v>
      </c>
      <c r="L840" s="32" t="s">
        <v>2081</v>
      </c>
      <c r="M840" s="32" t="s">
        <v>2141</v>
      </c>
      <c r="N840" s="0" t="n">
        <v>9</v>
      </c>
      <c r="O840" s="32" t="s">
        <v>827</v>
      </c>
      <c r="P840" s="32" t="s">
        <v>2111</v>
      </c>
      <c r="Q840" s="32" t="s">
        <v>2179</v>
      </c>
      <c r="R840" s="0" t="str">
        <f aca="false">IF(H840="GEN","GM",H840)</f>
        <v>RHE</v>
      </c>
    </row>
    <row r="841" customFormat="false" ht="15" hidden="false" customHeight="false" outlineLevel="0" collapsed="false">
      <c r="A841" s="0" t="s">
        <v>3334</v>
      </c>
      <c r="B841" s="0" t="s">
        <v>3335</v>
      </c>
      <c r="C841" s="0" t="s">
        <v>977</v>
      </c>
      <c r="D841" s="31" t="n">
        <v>14554</v>
      </c>
      <c r="E841" s="31" t="n">
        <v>45709</v>
      </c>
      <c r="F841" s="32" t="s">
        <v>2087</v>
      </c>
      <c r="G841" s="32" t="s">
        <v>2088</v>
      </c>
      <c r="H841" s="32" t="s">
        <v>793</v>
      </c>
      <c r="I841" s="31" t="n">
        <v>45710</v>
      </c>
      <c r="J841" s="32" t="s">
        <v>2080</v>
      </c>
      <c r="K841" s="0" t="n">
        <v>1</v>
      </c>
      <c r="L841" s="32" t="s">
        <v>2081</v>
      </c>
      <c r="M841" s="32" t="s">
        <v>2132</v>
      </c>
      <c r="N841" s="0" t="n">
        <v>1</v>
      </c>
      <c r="O841" s="32" t="s">
        <v>794</v>
      </c>
      <c r="P841" s="32" t="s">
        <v>2117</v>
      </c>
      <c r="Q841" s="32" t="s">
        <v>2125</v>
      </c>
      <c r="R841" s="0" t="str">
        <f aca="false">IF(H841="GEN","GM",H841)</f>
        <v>EM</v>
      </c>
    </row>
    <row r="842" customFormat="false" ht="15" hidden="false" customHeight="false" outlineLevel="0" collapsed="false">
      <c r="A842" s="0" t="s">
        <v>3336</v>
      </c>
      <c r="B842" s="0" t="s">
        <v>2677</v>
      </c>
      <c r="C842" s="0" t="s">
        <v>849</v>
      </c>
      <c r="D842" s="31" t="n">
        <v>19471</v>
      </c>
      <c r="E842" s="31" t="n">
        <v>45683</v>
      </c>
      <c r="F842" s="32" t="s">
        <v>2078</v>
      </c>
      <c r="G842" s="32" t="s">
        <v>2099</v>
      </c>
      <c r="H842" s="32" t="s">
        <v>766</v>
      </c>
      <c r="I842" s="31" t="n">
        <v>45687</v>
      </c>
      <c r="J842" s="32" t="s">
        <v>2080</v>
      </c>
      <c r="K842" s="0" t="n">
        <v>4</v>
      </c>
      <c r="L842" s="32" t="s">
        <v>2081</v>
      </c>
      <c r="M842" s="32" t="s">
        <v>2100</v>
      </c>
      <c r="N842" s="0" t="n">
        <v>4</v>
      </c>
      <c r="O842" s="32" t="s">
        <v>767</v>
      </c>
      <c r="P842" s="32" t="s">
        <v>2162</v>
      </c>
      <c r="Q842" s="32" t="s">
        <v>2091</v>
      </c>
      <c r="R842" s="0" t="str">
        <f aca="false">IF(H842="GEN","GM",H842)</f>
        <v>OR</v>
      </c>
    </row>
    <row r="843" customFormat="false" ht="15" hidden="false" customHeight="false" outlineLevel="0" collapsed="false">
      <c r="A843" s="0" t="s">
        <v>3337</v>
      </c>
      <c r="B843" s="0" t="s">
        <v>3338</v>
      </c>
      <c r="C843" s="0" t="s">
        <v>926</v>
      </c>
      <c r="D843" s="31" t="n">
        <v>32899</v>
      </c>
      <c r="E843" s="31" t="n">
        <v>45736</v>
      </c>
      <c r="F843" s="32" t="s">
        <v>2087</v>
      </c>
      <c r="G843" s="32" t="s">
        <v>2079</v>
      </c>
      <c r="H843" s="32" t="s">
        <v>776</v>
      </c>
      <c r="I843" s="31" t="n">
        <v>45745</v>
      </c>
      <c r="J843" s="32" t="s">
        <v>2080</v>
      </c>
      <c r="K843" s="0" t="n">
        <v>9</v>
      </c>
      <c r="L843" s="32" t="s">
        <v>2081</v>
      </c>
      <c r="M843" s="32" t="s">
        <v>2100</v>
      </c>
      <c r="N843" s="0" t="n">
        <v>9</v>
      </c>
      <c r="O843" s="32" t="s">
        <v>777</v>
      </c>
      <c r="P843" s="32" t="s">
        <v>2121</v>
      </c>
      <c r="Q843" s="32" t="s">
        <v>2153</v>
      </c>
      <c r="R843" s="0" t="str">
        <f aca="false">IF(H843="GEN","GM",H843)</f>
        <v>GS</v>
      </c>
    </row>
    <row r="844" customFormat="false" ht="15" hidden="false" customHeight="false" outlineLevel="0" collapsed="false">
      <c r="A844" s="0" t="s">
        <v>3339</v>
      </c>
      <c r="B844" s="0" t="s">
        <v>3340</v>
      </c>
      <c r="C844" s="0" t="s">
        <v>862</v>
      </c>
      <c r="D844" s="31" t="n">
        <v>17117</v>
      </c>
      <c r="E844" s="31" t="n">
        <v>45591</v>
      </c>
      <c r="F844" s="32" t="s">
        <v>2087</v>
      </c>
      <c r="G844" s="32" t="s">
        <v>2099</v>
      </c>
      <c r="H844" s="32" t="s">
        <v>766</v>
      </c>
      <c r="I844" s="31" t="n">
        <v>45593</v>
      </c>
      <c r="J844" s="32" t="s">
        <v>2080</v>
      </c>
      <c r="K844" s="0" t="n">
        <v>2</v>
      </c>
      <c r="L844" s="32" t="s">
        <v>2081</v>
      </c>
      <c r="M844" s="32" t="s">
        <v>2283</v>
      </c>
      <c r="N844" s="0" t="n">
        <v>2</v>
      </c>
      <c r="O844" s="32" t="s">
        <v>767</v>
      </c>
      <c r="P844" s="32" t="s">
        <v>2090</v>
      </c>
      <c r="Q844" s="32" t="s">
        <v>2179</v>
      </c>
      <c r="R844" s="0" t="str">
        <f aca="false">IF(H844="GEN","GM",H844)</f>
        <v>OR</v>
      </c>
    </row>
    <row r="845" customFormat="false" ht="15" hidden="false" customHeight="false" outlineLevel="0" collapsed="false">
      <c r="A845" s="0" t="s">
        <v>3341</v>
      </c>
      <c r="B845" s="0" t="s">
        <v>3342</v>
      </c>
      <c r="C845" s="0" t="s">
        <v>966</v>
      </c>
      <c r="D845" s="31" t="n">
        <v>16277</v>
      </c>
      <c r="E845" s="31" t="n">
        <v>45704</v>
      </c>
      <c r="F845" s="32" t="s">
        <v>2087</v>
      </c>
      <c r="G845" s="32" t="s">
        <v>2088</v>
      </c>
      <c r="H845" s="32" t="s">
        <v>793</v>
      </c>
      <c r="I845" s="31" t="n">
        <v>45706</v>
      </c>
      <c r="J845" s="32" t="s">
        <v>2080</v>
      </c>
      <c r="K845" s="0" t="n">
        <v>2</v>
      </c>
      <c r="L845" s="32" t="s">
        <v>2081</v>
      </c>
      <c r="M845" s="32" t="s">
        <v>2089</v>
      </c>
      <c r="N845" s="0" t="n">
        <v>2</v>
      </c>
      <c r="O845" s="32" t="s">
        <v>794</v>
      </c>
      <c r="P845" s="32" t="s">
        <v>2090</v>
      </c>
      <c r="Q845" s="32" t="s">
        <v>2145</v>
      </c>
      <c r="R845" s="0" t="str">
        <f aca="false">IF(H845="GEN","GM",H845)</f>
        <v>EM</v>
      </c>
    </row>
    <row r="846" customFormat="false" ht="15" hidden="false" customHeight="false" outlineLevel="0" collapsed="false">
      <c r="A846" s="0" t="s">
        <v>3343</v>
      </c>
      <c r="B846" s="0" t="s">
        <v>2421</v>
      </c>
      <c r="C846" s="0" t="s">
        <v>970</v>
      </c>
      <c r="D846" s="31" t="n">
        <v>17116</v>
      </c>
      <c r="E846" s="31" t="n">
        <v>45603</v>
      </c>
      <c r="F846" s="32" t="s">
        <v>2087</v>
      </c>
      <c r="G846" s="32" t="s">
        <v>2079</v>
      </c>
      <c r="H846" s="32" t="s">
        <v>776</v>
      </c>
      <c r="I846" s="31" t="n">
        <v>45607</v>
      </c>
      <c r="J846" s="32" t="s">
        <v>2080</v>
      </c>
      <c r="K846" s="0" t="n">
        <v>4</v>
      </c>
      <c r="L846" s="32" t="s">
        <v>2081</v>
      </c>
      <c r="M846" s="32" t="s">
        <v>2161</v>
      </c>
      <c r="N846" s="0" t="n">
        <v>4</v>
      </c>
      <c r="O846" s="32" t="s">
        <v>777</v>
      </c>
      <c r="P846" s="32" t="s">
        <v>2083</v>
      </c>
      <c r="Q846" s="32" t="s">
        <v>2096</v>
      </c>
      <c r="R846" s="0" t="str">
        <f aca="false">IF(H846="GEN","GM",H846)</f>
        <v>GS</v>
      </c>
    </row>
    <row r="847" customFormat="false" ht="15" hidden="false" customHeight="false" outlineLevel="0" collapsed="false">
      <c r="A847" s="0" t="s">
        <v>3344</v>
      </c>
      <c r="B847" s="0" t="s">
        <v>2454</v>
      </c>
      <c r="C847" s="0" t="s">
        <v>833</v>
      </c>
      <c r="D847" s="31" t="n">
        <v>37232</v>
      </c>
      <c r="E847" s="31" t="n">
        <v>45575</v>
      </c>
      <c r="F847" s="32" t="s">
        <v>2087</v>
      </c>
      <c r="G847" s="32" t="s">
        <v>2088</v>
      </c>
      <c r="H847" s="32" t="s">
        <v>793</v>
      </c>
      <c r="I847" s="31" t="n">
        <v>45580</v>
      </c>
      <c r="J847" s="32" t="s">
        <v>2080</v>
      </c>
      <c r="K847" s="0" t="n">
        <v>5</v>
      </c>
      <c r="L847" s="32" t="s">
        <v>2106</v>
      </c>
      <c r="M847" s="32" t="s">
        <v>2128</v>
      </c>
      <c r="N847" s="0" t="n">
        <v>5</v>
      </c>
      <c r="O847" s="32" t="s">
        <v>794</v>
      </c>
      <c r="P847" s="32" t="s">
        <v>2149</v>
      </c>
      <c r="Q847" s="32" t="s">
        <v>2198</v>
      </c>
      <c r="R847" s="0" t="str">
        <f aca="false">IF(H847="GEN","GM",H847)</f>
        <v>EM</v>
      </c>
    </row>
    <row r="848" customFormat="false" ht="15" hidden="false" customHeight="false" outlineLevel="0" collapsed="false">
      <c r="A848" s="0" t="s">
        <v>3345</v>
      </c>
      <c r="B848" s="0" t="s">
        <v>2632</v>
      </c>
      <c r="C848" s="0" t="s">
        <v>1025</v>
      </c>
      <c r="D848" s="31" t="n">
        <v>22722</v>
      </c>
      <c r="E848" s="31" t="n">
        <v>45694</v>
      </c>
      <c r="F848" s="32" t="s">
        <v>2078</v>
      </c>
      <c r="G848" s="32" t="s">
        <v>2088</v>
      </c>
      <c r="H848" s="32" t="s">
        <v>826</v>
      </c>
      <c r="I848" s="31" t="n">
        <v>45696</v>
      </c>
      <c r="J848" s="32" t="s">
        <v>2080</v>
      </c>
      <c r="K848" s="0" t="n">
        <v>2</v>
      </c>
      <c r="L848" s="32" t="s">
        <v>2081</v>
      </c>
      <c r="M848" s="32" t="s">
        <v>2136</v>
      </c>
      <c r="N848" s="0" t="n">
        <v>2</v>
      </c>
      <c r="O848" s="32" t="s">
        <v>827</v>
      </c>
      <c r="P848" s="32" t="s">
        <v>2137</v>
      </c>
      <c r="Q848" s="32" t="s">
        <v>2259</v>
      </c>
      <c r="R848" s="0" t="str">
        <f aca="false">IF(H848="GEN","GM",H848)</f>
        <v>RHE</v>
      </c>
    </row>
    <row r="849" customFormat="false" ht="15" hidden="false" customHeight="false" outlineLevel="0" collapsed="false">
      <c r="A849" s="0" t="s">
        <v>3346</v>
      </c>
      <c r="B849" s="0" t="s">
        <v>2327</v>
      </c>
      <c r="C849" s="0" t="s">
        <v>1025</v>
      </c>
      <c r="D849" s="31" t="n">
        <v>35445</v>
      </c>
      <c r="E849" s="31" t="n">
        <v>45616</v>
      </c>
      <c r="F849" s="32" t="s">
        <v>2087</v>
      </c>
      <c r="G849" s="32" t="s">
        <v>2088</v>
      </c>
      <c r="H849" s="32" t="s">
        <v>826</v>
      </c>
      <c r="I849" s="31" t="n">
        <v>45617</v>
      </c>
      <c r="J849" s="32" t="s">
        <v>2160</v>
      </c>
      <c r="K849" s="0" t="n">
        <v>1</v>
      </c>
      <c r="L849" s="32" t="s">
        <v>2081</v>
      </c>
      <c r="M849" s="32" t="s">
        <v>2152</v>
      </c>
      <c r="N849" s="0" t="n">
        <v>1</v>
      </c>
      <c r="O849" s="32" t="s">
        <v>827</v>
      </c>
      <c r="P849" s="32" t="s">
        <v>2117</v>
      </c>
      <c r="Q849" s="32" t="s">
        <v>2244</v>
      </c>
      <c r="R849" s="0" t="str">
        <f aca="false">IF(H849="GEN","GM",H849)</f>
        <v>RHE</v>
      </c>
    </row>
    <row r="850" customFormat="false" ht="15" hidden="false" customHeight="false" outlineLevel="0" collapsed="false">
      <c r="A850" s="0" t="s">
        <v>3347</v>
      </c>
      <c r="B850" s="0" t="s">
        <v>2803</v>
      </c>
      <c r="C850" s="0" t="s">
        <v>809</v>
      </c>
      <c r="D850" s="31" t="n">
        <v>20739</v>
      </c>
      <c r="E850" s="31" t="n">
        <v>45568</v>
      </c>
      <c r="F850" s="32" t="s">
        <v>2087</v>
      </c>
      <c r="G850" s="32" t="s">
        <v>2079</v>
      </c>
      <c r="H850" s="32" t="s">
        <v>776</v>
      </c>
      <c r="I850" s="31" t="n">
        <v>45573</v>
      </c>
      <c r="J850" s="32" t="s">
        <v>2080</v>
      </c>
      <c r="K850" s="0" t="n">
        <v>5</v>
      </c>
      <c r="L850" s="32" t="s">
        <v>2106</v>
      </c>
      <c r="M850" s="32" t="s">
        <v>2110</v>
      </c>
      <c r="N850" s="0" t="n">
        <v>5</v>
      </c>
      <c r="O850" s="32" t="s">
        <v>777</v>
      </c>
      <c r="P850" s="32" t="s">
        <v>2182</v>
      </c>
      <c r="Q850" s="32" t="s">
        <v>2091</v>
      </c>
      <c r="R850" s="0" t="str">
        <f aca="false">IF(H850="GEN","GM",H850)</f>
        <v>GS</v>
      </c>
    </row>
    <row r="851" customFormat="false" ht="15" hidden="false" customHeight="false" outlineLevel="0" collapsed="false">
      <c r="A851" s="0" t="s">
        <v>3348</v>
      </c>
      <c r="B851" s="0" t="s">
        <v>2257</v>
      </c>
      <c r="C851" s="0" t="s">
        <v>857</v>
      </c>
      <c r="D851" s="31" t="n">
        <v>33666</v>
      </c>
      <c r="E851" s="31" t="n">
        <v>45581</v>
      </c>
      <c r="F851" s="32" t="s">
        <v>2078</v>
      </c>
      <c r="G851" s="32" t="s">
        <v>2115</v>
      </c>
      <c r="H851" s="32" t="s">
        <v>758</v>
      </c>
      <c r="I851" s="31" t="n">
        <v>45582</v>
      </c>
      <c r="J851" s="32" t="s">
        <v>2080</v>
      </c>
      <c r="K851" s="0" t="n">
        <v>1</v>
      </c>
      <c r="L851" s="32" t="s">
        <v>2081</v>
      </c>
      <c r="M851" s="32" t="s">
        <v>2152</v>
      </c>
      <c r="N851" s="0" t="n">
        <v>1</v>
      </c>
      <c r="O851" s="32" t="s">
        <v>759</v>
      </c>
      <c r="P851" s="32" t="s">
        <v>2238</v>
      </c>
      <c r="Q851" s="32" t="s">
        <v>2157</v>
      </c>
      <c r="R851" s="0" t="str">
        <f aca="false">IF(H851="GEN","GM",H851)</f>
        <v>CS</v>
      </c>
    </row>
    <row r="852" customFormat="false" ht="15" hidden="false" customHeight="false" outlineLevel="0" collapsed="false">
      <c r="A852" s="0" t="s">
        <v>3349</v>
      </c>
      <c r="B852" s="0" t="s">
        <v>2446</v>
      </c>
      <c r="C852" s="0" t="s">
        <v>1009</v>
      </c>
      <c r="D852" s="31" t="n">
        <v>13258</v>
      </c>
      <c r="E852" s="31" t="n">
        <v>45719</v>
      </c>
      <c r="F852" s="32" t="s">
        <v>2087</v>
      </c>
      <c r="G852" s="32" t="s">
        <v>2079</v>
      </c>
      <c r="H852" s="32" t="s">
        <v>810</v>
      </c>
      <c r="I852" s="31" t="n">
        <v>45719</v>
      </c>
      <c r="J852" s="32" t="s">
        <v>2080</v>
      </c>
      <c r="K852" s="0" t="n">
        <v>0</v>
      </c>
      <c r="L852" s="32" t="s">
        <v>2106</v>
      </c>
      <c r="M852" s="32" t="s">
        <v>2189</v>
      </c>
      <c r="N852" s="0" t="n">
        <v>0</v>
      </c>
      <c r="O852" s="32" t="s">
        <v>811</v>
      </c>
      <c r="P852" s="32" t="s">
        <v>2121</v>
      </c>
      <c r="Q852" s="32" t="s">
        <v>2244</v>
      </c>
      <c r="R852" s="0" t="str">
        <f aca="false">IF(H852="GEN","GM",H852)</f>
        <v>URO</v>
      </c>
    </row>
    <row r="853" customFormat="false" ht="15" hidden="false" customHeight="false" outlineLevel="0" collapsed="false">
      <c r="A853" s="0" t="s">
        <v>3350</v>
      </c>
      <c r="B853" s="0" t="s">
        <v>2628</v>
      </c>
      <c r="C853" s="0" t="s">
        <v>914</v>
      </c>
      <c r="D853" s="31" t="n">
        <v>25458</v>
      </c>
      <c r="E853" s="31" t="n">
        <v>45612</v>
      </c>
      <c r="F853" s="32" t="s">
        <v>2087</v>
      </c>
      <c r="G853" s="32" t="s">
        <v>2099</v>
      </c>
      <c r="H853" s="32" t="s">
        <v>818</v>
      </c>
      <c r="L853" s="32" t="s">
        <v>2081</v>
      </c>
      <c r="M853" s="32" t="s">
        <v>2128</v>
      </c>
      <c r="O853" s="32" t="s">
        <v>819</v>
      </c>
      <c r="P853" s="32" t="s">
        <v>2238</v>
      </c>
      <c r="Q853" s="32" t="s">
        <v>2198</v>
      </c>
      <c r="R853" s="0" t="str">
        <f aca="false">IF(H853="GEN","GM",H853)</f>
        <v>OPH</v>
      </c>
    </row>
    <row r="854" customFormat="false" ht="15" hidden="false" customHeight="false" outlineLevel="0" collapsed="false">
      <c r="A854" s="0" t="s">
        <v>3351</v>
      </c>
      <c r="B854" s="0" t="s">
        <v>3318</v>
      </c>
      <c r="C854" s="0" t="s">
        <v>1009</v>
      </c>
      <c r="D854" s="31" t="n">
        <v>34778</v>
      </c>
      <c r="E854" s="31" t="n">
        <v>45693</v>
      </c>
      <c r="F854" s="32" t="s">
        <v>2078</v>
      </c>
      <c r="G854" s="32" t="s">
        <v>2115</v>
      </c>
      <c r="H854" s="32" t="s">
        <v>758</v>
      </c>
      <c r="I854" s="31" t="n">
        <v>45694</v>
      </c>
      <c r="J854" s="32" t="s">
        <v>2080</v>
      </c>
      <c r="K854" s="0" t="n">
        <v>1</v>
      </c>
      <c r="L854" s="32" t="s">
        <v>2081</v>
      </c>
      <c r="M854" s="32" t="s">
        <v>2132</v>
      </c>
      <c r="N854" s="0" t="n">
        <v>1</v>
      </c>
      <c r="O854" s="32" t="s">
        <v>759</v>
      </c>
      <c r="P854" s="32" t="s">
        <v>2133</v>
      </c>
      <c r="Q854" s="32" t="s">
        <v>2259</v>
      </c>
      <c r="R854" s="0" t="str">
        <f aca="false">IF(H854="GEN","GM",H854)</f>
        <v>CS</v>
      </c>
    </row>
    <row r="855" customFormat="false" ht="15" hidden="false" customHeight="false" outlineLevel="0" collapsed="false">
      <c r="A855" s="0" t="s">
        <v>3352</v>
      </c>
      <c r="B855" s="0" t="s">
        <v>3353</v>
      </c>
      <c r="C855" s="0" t="s">
        <v>1021</v>
      </c>
      <c r="D855" s="31" t="n">
        <v>38078</v>
      </c>
      <c r="E855" s="31" t="n">
        <v>45700</v>
      </c>
      <c r="F855" s="32" t="s">
        <v>2078</v>
      </c>
      <c r="G855" s="32" t="s">
        <v>2079</v>
      </c>
      <c r="H855" s="32" t="s">
        <v>810</v>
      </c>
      <c r="I855" s="31" t="n">
        <v>45702</v>
      </c>
      <c r="J855" s="32" t="s">
        <v>2080</v>
      </c>
      <c r="K855" s="0" t="n">
        <v>2</v>
      </c>
      <c r="L855" s="32" t="s">
        <v>2081</v>
      </c>
      <c r="M855" s="32" t="s">
        <v>2227</v>
      </c>
      <c r="N855" s="0" t="n">
        <v>2</v>
      </c>
      <c r="O855" s="32" t="s">
        <v>811</v>
      </c>
      <c r="P855" s="32" t="s">
        <v>2142</v>
      </c>
      <c r="Q855" s="32" t="s">
        <v>2096</v>
      </c>
      <c r="R855" s="0" t="str">
        <f aca="false">IF(H855="GEN","GM",H855)</f>
        <v>URO</v>
      </c>
    </row>
    <row r="856" customFormat="false" ht="15" hidden="false" customHeight="false" outlineLevel="0" collapsed="false">
      <c r="A856" s="0" t="s">
        <v>3354</v>
      </c>
      <c r="B856" s="0" t="s">
        <v>2657</v>
      </c>
      <c r="C856" s="0" t="s">
        <v>898</v>
      </c>
      <c r="D856" s="31" t="n">
        <v>22656</v>
      </c>
      <c r="E856" s="31" t="n">
        <v>45642</v>
      </c>
      <c r="F856" s="32" t="s">
        <v>2160</v>
      </c>
      <c r="G856" s="32" t="s">
        <v>2079</v>
      </c>
      <c r="H856" s="32" t="s">
        <v>810</v>
      </c>
      <c r="I856" s="31" t="n">
        <v>45645</v>
      </c>
      <c r="J856" s="32" t="s">
        <v>2080</v>
      </c>
      <c r="K856" s="0" t="n">
        <v>3</v>
      </c>
      <c r="L856" s="32" t="s">
        <v>2081</v>
      </c>
      <c r="M856" s="32" t="s">
        <v>2255</v>
      </c>
      <c r="N856" s="0" t="n">
        <v>3</v>
      </c>
      <c r="O856" s="32" t="s">
        <v>811</v>
      </c>
      <c r="P856" s="32" t="s">
        <v>2111</v>
      </c>
      <c r="Q856" s="32" t="s">
        <v>2084</v>
      </c>
      <c r="R856" s="0" t="str">
        <f aca="false">IF(H856="GEN","GM",H856)</f>
        <v>URO</v>
      </c>
    </row>
    <row r="857" customFormat="false" ht="15" hidden="false" customHeight="false" outlineLevel="0" collapsed="false">
      <c r="A857" s="0" t="s">
        <v>3355</v>
      </c>
      <c r="B857" s="0" t="s">
        <v>2746</v>
      </c>
      <c r="C857" s="0" t="s">
        <v>1460</v>
      </c>
      <c r="D857" s="31" t="n">
        <v>35071</v>
      </c>
      <c r="E857" s="31" t="n">
        <v>45622</v>
      </c>
      <c r="F857" s="32" t="s">
        <v>2078</v>
      </c>
      <c r="G857" s="32" t="s">
        <v>3356</v>
      </c>
      <c r="H857" s="32" t="s">
        <v>776</v>
      </c>
      <c r="I857" s="31" t="n">
        <v>45624</v>
      </c>
      <c r="J857" s="32" t="s">
        <v>2080</v>
      </c>
      <c r="K857" s="0" t="n">
        <v>2</v>
      </c>
      <c r="L857" s="32" t="s">
        <v>2081</v>
      </c>
      <c r="M857" s="32" t="s">
        <v>2110</v>
      </c>
      <c r="N857" s="0" t="n">
        <v>2</v>
      </c>
      <c r="O857" s="32" t="s">
        <v>777</v>
      </c>
      <c r="P857" s="32" t="s">
        <v>2117</v>
      </c>
      <c r="Q857" s="32" t="s">
        <v>2259</v>
      </c>
      <c r="R857" s="0" t="str">
        <f aca="false">IF(H857="GEN","GM",H857)</f>
        <v>GS</v>
      </c>
    </row>
    <row r="858" customFormat="false" ht="15" hidden="false" customHeight="false" outlineLevel="0" collapsed="false">
      <c r="A858" s="0" t="s">
        <v>3357</v>
      </c>
      <c r="B858" s="0" t="s">
        <v>2109</v>
      </c>
      <c r="C858" s="0" t="s">
        <v>962</v>
      </c>
      <c r="D858" s="31" t="n">
        <v>23134</v>
      </c>
      <c r="E858" s="31" t="n">
        <v>45714</v>
      </c>
      <c r="F858" s="32" t="s">
        <v>2078</v>
      </c>
      <c r="G858" s="32" t="s">
        <v>2104</v>
      </c>
      <c r="H858" s="32" t="s">
        <v>802</v>
      </c>
      <c r="I858" s="31" t="n">
        <v>45715</v>
      </c>
      <c r="J858" s="32" t="s">
        <v>2080</v>
      </c>
      <c r="K858" s="0" t="n">
        <v>1</v>
      </c>
      <c r="L858" s="32" t="s">
        <v>2081</v>
      </c>
      <c r="M858" s="32" t="s">
        <v>2128</v>
      </c>
      <c r="N858" s="0" t="n">
        <v>1</v>
      </c>
      <c r="O858" s="32" t="s">
        <v>803</v>
      </c>
      <c r="P858" s="32" t="s">
        <v>2133</v>
      </c>
      <c r="Q858" s="32" t="s">
        <v>2244</v>
      </c>
      <c r="R858" s="0" t="str">
        <f aca="false">IF(H858="GEN","GM",H858)</f>
        <v>GYN</v>
      </c>
    </row>
    <row r="859" customFormat="false" ht="15" hidden="false" customHeight="false" outlineLevel="0" collapsed="false">
      <c r="A859" s="0" t="s">
        <v>3358</v>
      </c>
      <c r="B859" s="0" t="s">
        <v>2522</v>
      </c>
      <c r="C859" s="0" t="s">
        <v>1453</v>
      </c>
      <c r="D859" s="31" t="n">
        <v>24761</v>
      </c>
      <c r="E859" s="31" t="n">
        <v>45600</v>
      </c>
      <c r="F859" s="32" t="s">
        <v>2087</v>
      </c>
      <c r="G859" s="32" t="s">
        <v>2088</v>
      </c>
      <c r="H859" s="32" t="s">
        <v>826</v>
      </c>
      <c r="I859" s="31" t="n">
        <v>45601</v>
      </c>
      <c r="J859" s="32" t="s">
        <v>2160</v>
      </c>
      <c r="K859" s="0" t="n">
        <v>1</v>
      </c>
      <c r="L859" s="32" t="s">
        <v>2081</v>
      </c>
      <c r="M859" s="32" t="s">
        <v>2152</v>
      </c>
      <c r="N859" s="0" t="n">
        <v>1</v>
      </c>
      <c r="O859" s="32" t="s">
        <v>827</v>
      </c>
      <c r="P859" s="32" t="s">
        <v>2111</v>
      </c>
      <c r="Q859" s="32" t="s">
        <v>2153</v>
      </c>
      <c r="R859" s="0" t="str">
        <f aca="false">IF(H859="GEN","GM",H859)</f>
        <v>RHE</v>
      </c>
    </row>
    <row r="860" customFormat="false" ht="15" hidden="false" customHeight="false" outlineLevel="0" collapsed="false">
      <c r="A860" s="0" t="s">
        <v>3359</v>
      </c>
      <c r="B860" s="0" t="s">
        <v>2494</v>
      </c>
      <c r="C860" s="0" t="s">
        <v>954</v>
      </c>
      <c r="D860" s="31" t="n">
        <v>31871</v>
      </c>
      <c r="E860" s="31" t="n">
        <v>45659</v>
      </c>
      <c r="F860" s="32" t="s">
        <v>2160</v>
      </c>
      <c r="G860" s="32" t="s">
        <v>2115</v>
      </c>
      <c r="H860" s="32" t="s">
        <v>758</v>
      </c>
      <c r="I860" s="31" t="n">
        <v>45667</v>
      </c>
      <c r="J860" s="32" t="s">
        <v>2160</v>
      </c>
      <c r="K860" s="0" t="n">
        <v>8</v>
      </c>
      <c r="L860" s="32" t="s">
        <v>2081</v>
      </c>
      <c r="M860" s="32" t="s">
        <v>2152</v>
      </c>
      <c r="N860" s="0" t="n">
        <v>8</v>
      </c>
      <c r="O860" s="32" t="s">
        <v>759</v>
      </c>
      <c r="P860" s="32" t="s">
        <v>2238</v>
      </c>
      <c r="Q860" s="32" t="s">
        <v>2112</v>
      </c>
      <c r="R860" s="0" t="str">
        <f aca="false">IF(H860="GEN","GM",H860)</f>
        <v>CS</v>
      </c>
    </row>
    <row r="861" customFormat="false" ht="15" hidden="false" customHeight="false" outlineLevel="0" collapsed="false">
      <c r="A861" s="0" t="s">
        <v>3360</v>
      </c>
      <c r="B861" s="0" t="s">
        <v>3309</v>
      </c>
      <c r="C861" s="0" t="s">
        <v>801</v>
      </c>
      <c r="D861" s="31" t="n">
        <v>31296</v>
      </c>
      <c r="E861" s="31" t="n">
        <v>45614</v>
      </c>
      <c r="F861" s="32" t="s">
        <v>2087</v>
      </c>
      <c r="G861" s="32" t="s">
        <v>2088</v>
      </c>
      <c r="H861" s="32" t="s">
        <v>747</v>
      </c>
      <c r="I861" s="31" t="n">
        <v>45621</v>
      </c>
      <c r="J861" s="32" t="s">
        <v>2080</v>
      </c>
      <c r="K861" s="0" t="n">
        <v>7</v>
      </c>
      <c r="L861" s="32" t="s">
        <v>2081</v>
      </c>
      <c r="M861" s="32" t="s">
        <v>2100</v>
      </c>
      <c r="N861" s="0" t="n">
        <v>7</v>
      </c>
      <c r="O861" s="32" t="s">
        <v>748</v>
      </c>
      <c r="P861" s="32" t="s">
        <v>2222</v>
      </c>
      <c r="Q861" s="32" t="s">
        <v>2125</v>
      </c>
      <c r="R861" s="0" t="str">
        <f aca="false">IF(H861="GEN","GM",H861)</f>
        <v>GM</v>
      </c>
    </row>
    <row r="862" customFormat="false" ht="15" hidden="false" customHeight="false" outlineLevel="0" collapsed="false">
      <c r="A862" s="0" t="s">
        <v>3361</v>
      </c>
      <c r="B862" s="0" t="s">
        <v>2604</v>
      </c>
      <c r="C862" s="0" t="s">
        <v>809</v>
      </c>
      <c r="D862" s="31" t="n">
        <v>24341</v>
      </c>
      <c r="E862" s="31" t="n">
        <v>45694</v>
      </c>
      <c r="F862" s="32" t="s">
        <v>2078</v>
      </c>
      <c r="G862" s="32" t="s">
        <v>2124</v>
      </c>
      <c r="H862" s="32" t="s">
        <v>785</v>
      </c>
      <c r="I862" s="31" t="n">
        <v>45695</v>
      </c>
      <c r="J862" s="32" t="s">
        <v>2080</v>
      </c>
      <c r="K862" s="0" t="n">
        <v>1</v>
      </c>
      <c r="L862" s="32" t="s">
        <v>2081</v>
      </c>
      <c r="M862" s="32" t="s">
        <v>2100</v>
      </c>
      <c r="N862" s="0" t="n">
        <v>1</v>
      </c>
      <c r="O862" s="32" t="s">
        <v>786</v>
      </c>
      <c r="P862" s="32" t="s">
        <v>2162</v>
      </c>
      <c r="Q862" s="32" t="s">
        <v>2198</v>
      </c>
      <c r="R862" s="0" t="str">
        <f aca="false">IF(H862="GEN","GM",H862)</f>
        <v>RS</v>
      </c>
    </row>
    <row r="863" customFormat="false" ht="15" hidden="false" customHeight="false" outlineLevel="0" collapsed="false">
      <c r="A863" s="0" t="s">
        <v>3362</v>
      </c>
      <c r="B863" s="0" t="s">
        <v>2304</v>
      </c>
      <c r="C863" s="0" t="s">
        <v>845</v>
      </c>
      <c r="D863" s="31" t="n">
        <v>33361</v>
      </c>
      <c r="E863" s="31" t="n">
        <v>45631</v>
      </c>
      <c r="F863" s="32" t="s">
        <v>2087</v>
      </c>
      <c r="G863" s="32" t="s">
        <v>2099</v>
      </c>
      <c r="H863" s="32" t="s">
        <v>818</v>
      </c>
      <c r="I863" s="31" t="n">
        <v>45638</v>
      </c>
      <c r="J863" s="32" t="s">
        <v>2307</v>
      </c>
      <c r="K863" s="0" t="n">
        <v>7</v>
      </c>
      <c r="L863" s="32" t="s">
        <v>2081</v>
      </c>
      <c r="M863" s="32" t="s">
        <v>2082</v>
      </c>
      <c r="N863" s="0" t="n">
        <v>7</v>
      </c>
      <c r="O863" s="32" t="s">
        <v>819</v>
      </c>
      <c r="P863" s="32" t="s">
        <v>2133</v>
      </c>
      <c r="Q863" s="32" t="s">
        <v>2107</v>
      </c>
      <c r="R863" s="0" t="str">
        <f aca="false">IF(H863="GEN","GM",H863)</f>
        <v>OPH</v>
      </c>
    </row>
    <row r="864" customFormat="false" ht="15" hidden="false" customHeight="false" outlineLevel="0" collapsed="false">
      <c r="A864" s="0" t="s">
        <v>3363</v>
      </c>
      <c r="B864" s="0" t="s">
        <v>3364</v>
      </c>
      <c r="C864" s="0" t="s">
        <v>2206</v>
      </c>
      <c r="D864" s="31" t="n">
        <v>24631</v>
      </c>
      <c r="E864" s="31" t="n">
        <v>45686</v>
      </c>
      <c r="F864" s="32" t="s">
        <v>2078</v>
      </c>
      <c r="G864" s="32" t="s">
        <v>2088</v>
      </c>
      <c r="H864" s="32" t="s">
        <v>747</v>
      </c>
      <c r="I864" s="31" t="n">
        <v>45689</v>
      </c>
      <c r="J864" s="32" t="s">
        <v>2080</v>
      </c>
      <c r="K864" s="0" t="n">
        <v>3</v>
      </c>
      <c r="L864" s="32" t="s">
        <v>2081</v>
      </c>
      <c r="M864" s="32" t="s">
        <v>2128</v>
      </c>
      <c r="N864" s="0" t="n">
        <v>3</v>
      </c>
      <c r="O864" s="32" t="s">
        <v>748</v>
      </c>
      <c r="P864" s="32" t="s">
        <v>2201</v>
      </c>
      <c r="Q864" s="32" t="s">
        <v>2084</v>
      </c>
      <c r="R864" s="0" t="str">
        <f aca="false">IF(H864="GEN","GM",H864)</f>
        <v>GM</v>
      </c>
    </row>
    <row r="865" customFormat="false" ht="15" hidden="false" customHeight="false" outlineLevel="0" collapsed="false">
      <c r="A865" s="0" t="s">
        <v>3365</v>
      </c>
      <c r="B865" s="0" t="s">
        <v>2423</v>
      </c>
      <c r="C865" s="0" t="s">
        <v>882</v>
      </c>
      <c r="D865" s="31" t="n">
        <v>17761</v>
      </c>
      <c r="E865" s="31" t="n">
        <v>45583</v>
      </c>
      <c r="F865" s="32" t="s">
        <v>2087</v>
      </c>
      <c r="G865" s="32" t="s">
        <v>2115</v>
      </c>
      <c r="H865" s="32" t="s">
        <v>758</v>
      </c>
      <c r="I865" s="31" t="n">
        <v>45591</v>
      </c>
      <c r="J865" s="32" t="s">
        <v>2080</v>
      </c>
      <c r="K865" s="0" t="n">
        <v>8</v>
      </c>
      <c r="L865" s="32" t="s">
        <v>2081</v>
      </c>
      <c r="M865" s="32" t="s">
        <v>2195</v>
      </c>
      <c r="N865" s="0" t="n">
        <v>8</v>
      </c>
      <c r="O865" s="32" t="s">
        <v>759</v>
      </c>
      <c r="P865" s="32" t="s">
        <v>2101</v>
      </c>
      <c r="Q865" s="32" t="s">
        <v>2096</v>
      </c>
      <c r="R865" s="0" t="str">
        <f aca="false">IF(H865="GEN","GM",H865)</f>
        <v>CS</v>
      </c>
    </row>
    <row r="866" customFormat="false" ht="15" hidden="false" customHeight="false" outlineLevel="0" collapsed="false">
      <c r="A866" s="0" t="s">
        <v>3366</v>
      </c>
      <c r="B866" s="0" t="s">
        <v>2299</v>
      </c>
      <c r="C866" s="0" t="s">
        <v>841</v>
      </c>
      <c r="D866" s="31" t="n">
        <v>37598</v>
      </c>
      <c r="E866" s="31" t="n">
        <v>45646</v>
      </c>
      <c r="F866" s="32" t="s">
        <v>2087</v>
      </c>
      <c r="G866" s="32" t="s">
        <v>2079</v>
      </c>
      <c r="H866" s="32" t="s">
        <v>776</v>
      </c>
      <c r="L866" s="32" t="s">
        <v>2081</v>
      </c>
      <c r="M866" s="32" t="s">
        <v>2195</v>
      </c>
      <c r="O866" s="32" t="s">
        <v>777</v>
      </c>
      <c r="P866" s="32" t="s">
        <v>2213</v>
      </c>
      <c r="Q866" s="32" t="s">
        <v>2190</v>
      </c>
      <c r="R866" s="0" t="str">
        <f aca="false">IF(H866="GEN","GM",H866)</f>
        <v>GS</v>
      </c>
    </row>
    <row r="867" customFormat="false" ht="15" hidden="false" customHeight="false" outlineLevel="0" collapsed="false">
      <c r="A867" s="0" t="s">
        <v>3367</v>
      </c>
      <c r="B867" s="0" t="s">
        <v>2299</v>
      </c>
      <c r="C867" s="0" t="s">
        <v>870</v>
      </c>
      <c r="D867" s="31" t="n">
        <v>13962</v>
      </c>
      <c r="E867" s="31" t="n">
        <v>45678</v>
      </c>
      <c r="F867" s="32" t="s">
        <v>2078</v>
      </c>
      <c r="G867" s="32" t="s">
        <v>2088</v>
      </c>
      <c r="H867" s="32" t="s">
        <v>793</v>
      </c>
      <c r="I867" s="31" t="n">
        <v>45680</v>
      </c>
      <c r="J867" s="32" t="s">
        <v>2080</v>
      </c>
      <c r="K867" s="0" t="n">
        <v>2</v>
      </c>
      <c r="L867" s="32" t="s">
        <v>2081</v>
      </c>
      <c r="M867" s="32" t="s">
        <v>2141</v>
      </c>
      <c r="N867" s="0" t="n">
        <v>2</v>
      </c>
      <c r="O867" s="32" t="s">
        <v>794</v>
      </c>
      <c r="P867" s="32" t="s">
        <v>2095</v>
      </c>
      <c r="Q867" s="32" t="s">
        <v>2096</v>
      </c>
      <c r="R867" s="0" t="str">
        <f aca="false">IF(H867="GEN","GM",H867)</f>
        <v>EM</v>
      </c>
    </row>
    <row r="868" customFormat="false" ht="15" hidden="false" customHeight="false" outlineLevel="0" collapsed="false">
      <c r="A868" s="0" t="s">
        <v>3368</v>
      </c>
      <c r="B868" s="0" t="s">
        <v>2220</v>
      </c>
      <c r="C868" s="0" t="s">
        <v>817</v>
      </c>
      <c r="D868" s="31" t="n">
        <v>21764</v>
      </c>
      <c r="E868" s="31" t="n">
        <v>45589</v>
      </c>
      <c r="F868" s="32" t="s">
        <v>2078</v>
      </c>
      <c r="G868" s="32" t="s">
        <v>2099</v>
      </c>
      <c r="H868" s="32" t="s">
        <v>766</v>
      </c>
      <c r="I868" s="31" t="n">
        <v>45592</v>
      </c>
      <c r="J868" s="32" t="s">
        <v>2080</v>
      </c>
      <c r="K868" s="0" t="n">
        <v>3</v>
      </c>
      <c r="L868" s="32" t="s">
        <v>2081</v>
      </c>
      <c r="M868" s="32" t="s">
        <v>2089</v>
      </c>
      <c r="N868" s="0" t="n">
        <v>3</v>
      </c>
      <c r="O868" s="32" t="s">
        <v>767</v>
      </c>
      <c r="P868" s="32" t="s">
        <v>2083</v>
      </c>
      <c r="Q868" s="32" t="s">
        <v>2198</v>
      </c>
      <c r="R868" s="0" t="str">
        <f aca="false">IF(H868="GEN","GM",H868)</f>
        <v>OR</v>
      </c>
    </row>
    <row r="869" customFormat="false" ht="15" hidden="false" customHeight="false" outlineLevel="0" collapsed="false">
      <c r="A869" s="0" t="s">
        <v>3369</v>
      </c>
      <c r="B869" s="0" t="s">
        <v>2460</v>
      </c>
      <c r="C869" s="0" t="s">
        <v>784</v>
      </c>
      <c r="D869" s="31" t="n">
        <v>20926</v>
      </c>
      <c r="E869" s="31" t="n">
        <v>45719</v>
      </c>
      <c r="F869" s="32" t="s">
        <v>2078</v>
      </c>
      <c r="G869" s="32" t="s">
        <v>2088</v>
      </c>
      <c r="H869" s="32" t="s">
        <v>826</v>
      </c>
      <c r="I869" s="31" t="n">
        <v>45720</v>
      </c>
      <c r="J869" s="32" t="s">
        <v>2080</v>
      </c>
      <c r="K869" s="0" t="n">
        <v>1</v>
      </c>
      <c r="L869" s="32" t="s">
        <v>2106</v>
      </c>
      <c r="M869" s="32" t="s">
        <v>2089</v>
      </c>
      <c r="N869" s="0" t="n">
        <v>1</v>
      </c>
      <c r="O869" s="32" t="s">
        <v>827</v>
      </c>
      <c r="P869" s="32" t="s">
        <v>2111</v>
      </c>
      <c r="Q869" s="32" t="s">
        <v>2198</v>
      </c>
      <c r="R869" s="0" t="str">
        <f aca="false">IF(H869="GEN","GM",H869)</f>
        <v>RHE</v>
      </c>
    </row>
    <row r="870" customFormat="false" ht="15" hidden="false" customHeight="false" outlineLevel="0" collapsed="false">
      <c r="A870" s="0" t="s">
        <v>3370</v>
      </c>
      <c r="B870" s="0" t="s">
        <v>2772</v>
      </c>
      <c r="C870" s="0" t="s">
        <v>870</v>
      </c>
      <c r="D870" s="31" t="n">
        <v>26311</v>
      </c>
      <c r="E870" s="31" t="n">
        <v>45642</v>
      </c>
      <c r="F870" s="32" t="s">
        <v>2078</v>
      </c>
      <c r="G870" s="32" t="s">
        <v>2079</v>
      </c>
      <c r="H870" s="32" t="s">
        <v>776</v>
      </c>
      <c r="I870" s="31" t="n">
        <v>45645</v>
      </c>
      <c r="J870" s="32" t="s">
        <v>2080</v>
      </c>
      <c r="K870" s="0" t="n">
        <v>3</v>
      </c>
      <c r="L870" s="32" t="s">
        <v>2081</v>
      </c>
      <c r="M870" s="32" t="s">
        <v>2161</v>
      </c>
      <c r="N870" s="0" t="n">
        <v>3</v>
      </c>
      <c r="O870" s="32" t="s">
        <v>777</v>
      </c>
      <c r="P870" s="32" t="s">
        <v>2179</v>
      </c>
      <c r="Q870" s="32" t="s">
        <v>2145</v>
      </c>
      <c r="R870" s="0" t="str">
        <f aca="false">IF(H870="GEN","GM",H870)</f>
        <v>GS</v>
      </c>
    </row>
    <row r="871" customFormat="false" ht="15" hidden="false" customHeight="false" outlineLevel="0" collapsed="false">
      <c r="A871" s="0" t="s">
        <v>3371</v>
      </c>
      <c r="B871" s="0" t="s">
        <v>2460</v>
      </c>
      <c r="C871" s="0" t="s">
        <v>938</v>
      </c>
      <c r="D871" s="31" t="n">
        <v>24459</v>
      </c>
      <c r="E871" s="31" t="n">
        <v>45681</v>
      </c>
      <c r="F871" s="32" t="s">
        <v>2078</v>
      </c>
      <c r="G871" s="32" t="s">
        <v>2099</v>
      </c>
      <c r="H871" s="32" t="s">
        <v>766</v>
      </c>
      <c r="I871" s="31" t="n">
        <v>45683</v>
      </c>
      <c r="J871" s="32" t="s">
        <v>2080</v>
      </c>
      <c r="K871" s="0" t="n">
        <v>2</v>
      </c>
      <c r="L871" s="32" t="s">
        <v>2081</v>
      </c>
      <c r="M871" s="32" t="s">
        <v>2161</v>
      </c>
      <c r="N871" s="0" t="n">
        <v>2</v>
      </c>
      <c r="O871" s="32" t="s">
        <v>767</v>
      </c>
      <c r="P871" s="32" t="s">
        <v>2117</v>
      </c>
      <c r="Q871" s="32" t="s">
        <v>2084</v>
      </c>
      <c r="R871" s="0" t="str">
        <f aca="false">IF(H871="GEN","GM",H871)</f>
        <v>OR</v>
      </c>
    </row>
    <row r="872" customFormat="false" ht="15" hidden="false" customHeight="false" outlineLevel="0" collapsed="false">
      <c r="A872" s="0" t="s">
        <v>3372</v>
      </c>
      <c r="B872" s="0" t="s">
        <v>3090</v>
      </c>
      <c r="C872" s="0" t="s">
        <v>918</v>
      </c>
      <c r="D872" s="31" t="n">
        <v>32809</v>
      </c>
      <c r="E872" s="31" t="n">
        <v>45686</v>
      </c>
      <c r="F872" s="32" t="s">
        <v>2160</v>
      </c>
      <c r="G872" s="32" t="s">
        <v>2079</v>
      </c>
      <c r="H872" s="32" t="s">
        <v>776</v>
      </c>
      <c r="I872" s="31" t="n">
        <v>45690</v>
      </c>
      <c r="J872" s="32" t="s">
        <v>2080</v>
      </c>
      <c r="K872" s="0" t="n">
        <v>4</v>
      </c>
      <c r="L872" s="32" t="s">
        <v>2081</v>
      </c>
      <c r="M872" s="32" t="s">
        <v>2110</v>
      </c>
      <c r="N872" s="0" t="n">
        <v>4</v>
      </c>
      <c r="O872" s="32" t="s">
        <v>777</v>
      </c>
      <c r="P872" s="32" t="s">
        <v>2149</v>
      </c>
      <c r="Q872" s="32" t="s">
        <v>2170</v>
      </c>
      <c r="R872" s="0" t="str">
        <f aca="false">IF(H872="GEN","GM",H872)</f>
        <v>GS</v>
      </c>
    </row>
    <row r="873" customFormat="false" ht="15" hidden="false" customHeight="false" outlineLevel="0" collapsed="false">
      <c r="A873" s="0" t="s">
        <v>3373</v>
      </c>
      <c r="B873" s="0" t="s">
        <v>2423</v>
      </c>
      <c r="C873" s="0" t="s">
        <v>1001</v>
      </c>
      <c r="D873" s="31" t="n">
        <v>30573</v>
      </c>
      <c r="E873" s="31" t="n">
        <v>45670</v>
      </c>
      <c r="F873" s="32" t="s">
        <v>2078</v>
      </c>
      <c r="G873" s="32" t="s">
        <v>2088</v>
      </c>
      <c r="H873" s="32" t="s">
        <v>826</v>
      </c>
      <c r="I873" s="31" t="n">
        <v>45673</v>
      </c>
      <c r="J873" s="32" t="s">
        <v>2080</v>
      </c>
      <c r="K873" s="0" t="n">
        <v>3</v>
      </c>
      <c r="L873" s="32" t="s">
        <v>2106</v>
      </c>
      <c r="M873" s="32" t="s">
        <v>2161</v>
      </c>
      <c r="N873" s="0" t="n">
        <v>3</v>
      </c>
      <c r="O873" s="32" t="s">
        <v>827</v>
      </c>
      <c r="P873" s="32" t="s">
        <v>2238</v>
      </c>
      <c r="Q873" s="32" t="s">
        <v>2179</v>
      </c>
      <c r="R873" s="0" t="str">
        <f aca="false">IF(H873="GEN","GM",H873)</f>
        <v>RHE</v>
      </c>
    </row>
    <row r="874" customFormat="false" ht="15" hidden="false" customHeight="false" outlineLevel="0" collapsed="false">
      <c r="A874" s="0" t="s">
        <v>3374</v>
      </c>
      <c r="B874" s="0" t="s">
        <v>2186</v>
      </c>
      <c r="C874" s="0" t="s">
        <v>1025</v>
      </c>
      <c r="D874" s="31" t="n">
        <v>17697</v>
      </c>
      <c r="E874" s="31" t="n">
        <v>45704</v>
      </c>
      <c r="F874" s="32" t="s">
        <v>2087</v>
      </c>
      <c r="G874" s="32" t="s">
        <v>3356</v>
      </c>
      <c r="H874" s="32" t="s">
        <v>793</v>
      </c>
      <c r="I874" s="31" t="n">
        <v>45710</v>
      </c>
      <c r="J874" s="32" t="s">
        <v>2080</v>
      </c>
      <c r="K874" s="0" t="n">
        <v>6</v>
      </c>
      <c r="L874" s="32" t="s">
        <v>2081</v>
      </c>
      <c r="M874" s="32" t="s">
        <v>2195</v>
      </c>
      <c r="N874" s="0" t="n">
        <v>6</v>
      </c>
      <c r="O874" s="32" t="s">
        <v>794</v>
      </c>
      <c r="P874" s="32" t="s">
        <v>2175</v>
      </c>
      <c r="Q874" s="32" t="s">
        <v>2198</v>
      </c>
      <c r="R874" s="0" t="str">
        <f aca="false">IF(H874="GEN","GM",H874)</f>
        <v>EM</v>
      </c>
    </row>
    <row r="875" customFormat="false" ht="15" hidden="false" customHeight="false" outlineLevel="0" collapsed="false">
      <c r="A875" s="0" t="s">
        <v>3375</v>
      </c>
      <c r="B875" s="0" t="s">
        <v>3077</v>
      </c>
      <c r="C875" s="0" t="s">
        <v>765</v>
      </c>
      <c r="D875" s="31" t="n">
        <v>25744</v>
      </c>
      <c r="E875" s="31" t="n">
        <v>45624</v>
      </c>
      <c r="F875" s="32" t="s">
        <v>2087</v>
      </c>
      <c r="G875" s="32" t="s">
        <v>2104</v>
      </c>
      <c r="H875" s="32" t="s">
        <v>802</v>
      </c>
      <c r="I875" s="31" t="n">
        <v>45628</v>
      </c>
      <c r="J875" s="32" t="s">
        <v>2080</v>
      </c>
      <c r="K875" s="0" t="n">
        <v>4</v>
      </c>
      <c r="L875" s="32" t="s">
        <v>2081</v>
      </c>
      <c r="M875" s="32" t="s">
        <v>2152</v>
      </c>
      <c r="N875" s="0" t="n">
        <v>4</v>
      </c>
      <c r="O875" s="32" t="s">
        <v>803</v>
      </c>
      <c r="P875" s="32" t="s">
        <v>2083</v>
      </c>
      <c r="Q875" s="32" t="s">
        <v>2129</v>
      </c>
      <c r="R875" s="0" t="str">
        <f aca="false">IF(H875="GEN","GM",H875)</f>
        <v>GYN</v>
      </c>
    </row>
    <row r="876" customFormat="false" ht="15" hidden="false" customHeight="false" outlineLevel="0" collapsed="false">
      <c r="A876" s="0" t="s">
        <v>3376</v>
      </c>
      <c r="B876" s="0" t="s">
        <v>2663</v>
      </c>
      <c r="C876" s="0" t="s">
        <v>809</v>
      </c>
      <c r="D876" s="31" t="n">
        <v>23996</v>
      </c>
      <c r="E876" s="31" t="n">
        <v>45643</v>
      </c>
      <c r="F876" s="32" t="s">
        <v>2087</v>
      </c>
      <c r="G876" s="32" t="s">
        <v>2099</v>
      </c>
      <c r="H876" s="32" t="s">
        <v>766</v>
      </c>
      <c r="I876" s="31" t="n">
        <v>45647</v>
      </c>
      <c r="J876" s="32" t="s">
        <v>2160</v>
      </c>
      <c r="K876" s="0" t="n">
        <v>4</v>
      </c>
      <c r="L876" s="32" t="s">
        <v>2081</v>
      </c>
      <c r="M876" s="32" t="s">
        <v>2152</v>
      </c>
      <c r="N876" s="0" t="n">
        <v>4</v>
      </c>
      <c r="O876" s="32" t="s">
        <v>767</v>
      </c>
      <c r="P876" s="32" t="s">
        <v>2133</v>
      </c>
      <c r="Q876" s="32" t="s">
        <v>2170</v>
      </c>
      <c r="R876" s="0" t="str">
        <f aca="false">IF(H876="GEN","GM",H876)</f>
        <v>OR</v>
      </c>
    </row>
    <row r="877" customFormat="false" ht="15" hidden="false" customHeight="false" outlineLevel="0" collapsed="false">
      <c r="A877" s="0" t="s">
        <v>3377</v>
      </c>
      <c r="C877" s="0" t="s">
        <v>833</v>
      </c>
      <c r="D877" s="31" t="n">
        <v>13574</v>
      </c>
      <c r="E877" s="31" t="n">
        <v>45722</v>
      </c>
      <c r="F877" s="32" t="s">
        <v>2087</v>
      </c>
      <c r="G877" s="32" t="s">
        <v>2088</v>
      </c>
      <c r="H877" s="32" t="s">
        <v>826</v>
      </c>
      <c r="L877" s="32" t="s">
        <v>2081</v>
      </c>
      <c r="M877" s="32" t="s">
        <v>2110</v>
      </c>
      <c r="O877" s="32" t="s">
        <v>827</v>
      </c>
      <c r="P877" s="32" t="s">
        <v>2137</v>
      </c>
      <c r="Q877" s="32" t="s">
        <v>2129</v>
      </c>
      <c r="R877" s="0" t="str">
        <f aca="false">IF(H877="GEN","GM",H877)</f>
        <v>RHE</v>
      </c>
    </row>
    <row r="878" customFormat="false" ht="15" hidden="false" customHeight="false" outlineLevel="0" collapsed="false">
      <c r="A878" s="0" t="s">
        <v>3378</v>
      </c>
      <c r="B878" s="0" t="s">
        <v>2666</v>
      </c>
      <c r="C878" s="0" t="s">
        <v>993</v>
      </c>
      <c r="D878" s="31" t="n">
        <v>27946</v>
      </c>
      <c r="E878" s="31" t="n">
        <v>45638</v>
      </c>
      <c r="F878" s="32" t="s">
        <v>2078</v>
      </c>
      <c r="G878" s="32" t="s">
        <v>2104</v>
      </c>
      <c r="H878" s="32" t="s">
        <v>802</v>
      </c>
      <c r="I878" s="31" t="n">
        <v>45639</v>
      </c>
      <c r="J878" s="32" t="s">
        <v>2080</v>
      </c>
      <c r="K878" s="0" t="n">
        <v>1</v>
      </c>
      <c r="L878" s="32" t="s">
        <v>2081</v>
      </c>
      <c r="M878" s="32" t="s">
        <v>2110</v>
      </c>
      <c r="N878" s="0" t="n">
        <v>1</v>
      </c>
      <c r="O878" s="32" t="s">
        <v>803</v>
      </c>
      <c r="P878" s="32" t="s">
        <v>2175</v>
      </c>
      <c r="Q878" s="32" t="s">
        <v>2129</v>
      </c>
      <c r="R878" s="0" t="str">
        <f aca="false">IF(H878="GEN","GM",H878)</f>
        <v>GYN</v>
      </c>
    </row>
    <row r="879" customFormat="false" ht="15" hidden="false" customHeight="false" outlineLevel="0" collapsed="false">
      <c r="A879" s="0" t="s">
        <v>3379</v>
      </c>
      <c r="B879" s="0" t="s">
        <v>2492</v>
      </c>
      <c r="C879" s="0" t="s">
        <v>801</v>
      </c>
      <c r="D879" s="31" t="n">
        <v>33721</v>
      </c>
      <c r="E879" s="31" t="n">
        <v>45675</v>
      </c>
      <c r="F879" s="32" t="s">
        <v>2078</v>
      </c>
      <c r="G879" s="32" t="s">
        <v>2124</v>
      </c>
      <c r="H879" s="32" t="s">
        <v>785</v>
      </c>
      <c r="I879" s="31" t="n">
        <v>45676</v>
      </c>
      <c r="J879" s="32" t="s">
        <v>2080</v>
      </c>
      <c r="K879" s="0" t="n">
        <v>1</v>
      </c>
      <c r="L879" s="32" t="s">
        <v>2081</v>
      </c>
      <c r="M879" s="32" t="s">
        <v>2152</v>
      </c>
      <c r="N879" s="0" t="n">
        <v>1</v>
      </c>
      <c r="O879" s="32" t="s">
        <v>786</v>
      </c>
      <c r="P879" s="32" t="s">
        <v>2117</v>
      </c>
      <c r="Q879" s="32" t="s">
        <v>2241</v>
      </c>
      <c r="R879" s="0" t="str">
        <f aca="false">IF(H879="GEN","GM",H879)</f>
        <v>RS</v>
      </c>
    </row>
    <row r="880" customFormat="false" ht="15" hidden="false" customHeight="false" outlineLevel="0" collapsed="false">
      <c r="A880" s="0" t="s">
        <v>3380</v>
      </c>
      <c r="B880" s="0" t="s">
        <v>3010</v>
      </c>
      <c r="C880" s="0" t="s">
        <v>985</v>
      </c>
      <c r="D880" s="31" t="n">
        <v>25517</v>
      </c>
      <c r="E880" s="31" t="n">
        <v>45614</v>
      </c>
      <c r="F880" s="32" t="s">
        <v>2087</v>
      </c>
      <c r="G880" s="32" t="s">
        <v>2088</v>
      </c>
      <c r="H880" s="32" t="s">
        <v>793</v>
      </c>
      <c r="I880" s="31" t="n">
        <v>45617</v>
      </c>
      <c r="J880" s="32" t="s">
        <v>2160</v>
      </c>
      <c r="K880" s="0" t="n">
        <v>3</v>
      </c>
      <c r="L880" s="32" t="s">
        <v>2081</v>
      </c>
      <c r="M880" s="32" t="s">
        <v>2100</v>
      </c>
      <c r="N880" s="0" t="n">
        <v>3</v>
      </c>
      <c r="O880" s="32" t="s">
        <v>794</v>
      </c>
      <c r="Q880" s="32" t="s">
        <v>2118</v>
      </c>
      <c r="R880" s="0" t="str">
        <f aca="false">IF(H880="GEN","GM",H880)</f>
        <v>EM</v>
      </c>
    </row>
    <row r="881" customFormat="false" ht="15" hidden="false" customHeight="false" outlineLevel="0" collapsed="false">
      <c r="A881" s="0" t="s">
        <v>3381</v>
      </c>
      <c r="B881" s="0" t="s">
        <v>2294</v>
      </c>
      <c r="C881" s="0" t="s">
        <v>833</v>
      </c>
      <c r="D881" s="31" t="n">
        <v>27317</v>
      </c>
      <c r="E881" s="31" t="n">
        <v>45619</v>
      </c>
      <c r="F881" s="32" t="s">
        <v>2078</v>
      </c>
      <c r="G881" s="32" t="s">
        <v>2115</v>
      </c>
      <c r="H881" s="32" t="s">
        <v>758</v>
      </c>
      <c r="I881" s="31" t="n">
        <v>45622</v>
      </c>
      <c r="J881" s="32" t="s">
        <v>2080</v>
      </c>
      <c r="K881" s="0" t="n">
        <v>3</v>
      </c>
      <c r="L881" s="32" t="s">
        <v>2081</v>
      </c>
      <c r="M881" s="32" t="s">
        <v>2255</v>
      </c>
      <c r="N881" s="0" t="n">
        <v>3</v>
      </c>
      <c r="O881" s="32" t="s">
        <v>759</v>
      </c>
      <c r="P881" s="32" t="s">
        <v>2175</v>
      </c>
      <c r="Q881" s="32" t="s">
        <v>2145</v>
      </c>
      <c r="R881" s="0" t="str">
        <f aca="false">IF(H881="GEN","GM",H881)</f>
        <v>CS</v>
      </c>
    </row>
    <row r="882" customFormat="false" ht="15" hidden="false" customHeight="false" outlineLevel="0" collapsed="false">
      <c r="A882" s="0" t="s">
        <v>3382</v>
      </c>
      <c r="B882" s="0" t="s">
        <v>2304</v>
      </c>
      <c r="C882" s="0" t="s">
        <v>918</v>
      </c>
      <c r="D882" s="31" t="n">
        <v>37428</v>
      </c>
      <c r="E882" s="31" t="n">
        <v>45599</v>
      </c>
      <c r="F882" s="32" t="s">
        <v>2087</v>
      </c>
      <c r="G882" s="32" t="s">
        <v>2099</v>
      </c>
      <c r="H882" s="32" t="s">
        <v>766</v>
      </c>
      <c r="I882" s="31" t="n">
        <v>45610</v>
      </c>
      <c r="J882" s="32" t="s">
        <v>2080</v>
      </c>
      <c r="K882" s="0" t="n">
        <v>11</v>
      </c>
      <c r="L882" s="32" t="s">
        <v>2106</v>
      </c>
      <c r="M882" s="32" t="s">
        <v>2128</v>
      </c>
      <c r="N882" s="0" t="n">
        <v>11</v>
      </c>
      <c r="O882" s="32" t="s">
        <v>767</v>
      </c>
      <c r="P882" s="32" t="s">
        <v>2238</v>
      </c>
      <c r="Q882" s="32" t="s">
        <v>2244</v>
      </c>
      <c r="R882" s="0" t="str">
        <f aca="false">IF(H882="GEN","GM",H882)</f>
        <v>OR</v>
      </c>
    </row>
    <row r="883" customFormat="false" ht="15" hidden="false" customHeight="false" outlineLevel="0" collapsed="false">
      <c r="A883" s="0" t="s">
        <v>3383</v>
      </c>
      <c r="B883" s="0" t="s">
        <v>2200</v>
      </c>
      <c r="C883" s="0" t="s">
        <v>981</v>
      </c>
      <c r="D883" s="31" t="n">
        <v>32176</v>
      </c>
      <c r="E883" s="31" t="n">
        <v>45586</v>
      </c>
      <c r="F883" s="32" t="s">
        <v>2087</v>
      </c>
      <c r="G883" s="32" t="s">
        <v>2088</v>
      </c>
      <c r="H883" s="32" t="s">
        <v>826</v>
      </c>
      <c r="I883" s="31" t="n">
        <v>45587</v>
      </c>
      <c r="J883" s="32" t="s">
        <v>2080</v>
      </c>
      <c r="K883" s="0" t="n">
        <v>1</v>
      </c>
      <c r="L883" s="32" t="s">
        <v>2081</v>
      </c>
      <c r="M883" s="32" t="s">
        <v>2195</v>
      </c>
      <c r="N883" s="0" t="n">
        <v>1</v>
      </c>
      <c r="O883" s="32" t="s">
        <v>827</v>
      </c>
      <c r="P883" s="32" t="s">
        <v>2182</v>
      </c>
      <c r="Q883" s="32" t="s">
        <v>2179</v>
      </c>
      <c r="R883" s="0" t="str">
        <f aca="false">IF(H883="GEN","GM",H883)</f>
        <v>RHE</v>
      </c>
    </row>
    <row r="884" customFormat="false" ht="15" hidden="false" customHeight="false" outlineLevel="0" collapsed="false">
      <c r="A884" s="0" t="s">
        <v>3384</v>
      </c>
      <c r="B884" s="0" t="s">
        <v>2310</v>
      </c>
      <c r="C884" s="0" t="s">
        <v>746</v>
      </c>
      <c r="D884" s="31" t="n">
        <v>25917</v>
      </c>
      <c r="E884" s="31" t="n">
        <v>45723</v>
      </c>
      <c r="F884" s="32" t="s">
        <v>2087</v>
      </c>
      <c r="G884" s="32" t="s">
        <v>2104</v>
      </c>
      <c r="H884" s="32" t="s">
        <v>802</v>
      </c>
      <c r="I884" s="31" t="n">
        <v>45723</v>
      </c>
      <c r="J884" s="32" t="s">
        <v>2080</v>
      </c>
      <c r="K884" s="0" t="n">
        <v>0</v>
      </c>
      <c r="M884" s="32" t="s">
        <v>2286</v>
      </c>
      <c r="N884" s="0" t="n">
        <v>0</v>
      </c>
      <c r="O884" s="32" t="s">
        <v>803</v>
      </c>
      <c r="P884" s="32" t="s">
        <v>2213</v>
      </c>
      <c r="Q884" s="32" t="s">
        <v>2190</v>
      </c>
      <c r="R884" s="0" t="str">
        <f aca="false">IF(H884="GEN","GM",H884)</f>
        <v>GYN</v>
      </c>
    </row>
    <row r="885" customFormat="false" ht="15" hidden="false" customHeight="false" outlineLevel="0" collapsed="false">
      <c r="A885" s="0" t="s">
        <v>3385</v>
      </c>
      <c r="C885" s="0" t="s">
        <v>886</v>
      </c>
      <c r="D885" s="31" t="n">
        <v>21411</v>
      </c>
      <c r="E885" s="31" t="n">
        <v>45674</v>
      </c>
      <c r="F885" s="32" t="s">
        <v>2087</v>
      </c>
      <c r="G885" s="32" t="s">
        <v>2079</v>
      </c>
      <c r="H885" s="32" t="s">
        <v>810</v>
      </c>
      <c r="I885" s="31" t="n">
        <v>45676</v>
      </c>
      <c r="J885" s="32" t="s">
        <v>2080</v>
      </c>
      <c r="K885" s="0" t="n">
        <v>2</v>
      </c>
      <c r="L885" s="32" t="s">
        <v>2106</v>
      </c>
      <c r="M885" s="32" t="s">
        <v>2136</v>
      </c>
      <c r="N885" s="0" t="n">
        <v>2</v>
      </c>
      <c r="O885" s="32" t="s">
        <v>811</v>
      </c>
      <c r="P885" s="32" t="s">
        <v>2162</v>
      </c>
      <c r="Q885" s="32" t="s">
        <v>2091</v>
      </c>
      <c r="R885" s="0" t="str">
        <f aca="false">IF(H885="GEN","GM",H885)</f>
        <v>URO</v>
      </c>
    </row>
    <row r="886" customFormat="false" ht="15" hidden="false" customHeight="false" outlineLevel="0" collapsed="false">
      <c r="A886" s="0" t="s">
        <v>3386</v>
      </c>
      <c r="B886" s="0" t="s">
        <v>2331</v>
      </c>
      <c r="C886" s="0" t="s">
        <v>1414</v>
      </c>
      <c r="D886" s="31" t="n">
        <v>28558</v>
      </c>
      <c r="E886" s="31" t="n">
        <v>45570</v>
      </c>
      <c r="F886" s="32" t="s">
        <v>2087</v>
      </c>
      <c r="G886" s="32" t="s">
        <v>2088</v>
      </c>
      <c r="H886" s="32" t="s">
        <v>747</v>
      </c>
      <c r="I886" s="31" t="n">
        <v>45580</v>
      </c>
      <c r="J886" s="32" t="s">
        <v>2307</v>
      </c>
      <c r="K886" s="0" t="n">
        <v>10</v>
      </c>
      <c r="L886" s="32" t="s">
        <v>2081</v>
      </c>
      <c r="M886" s="32" t="s">
        <v>2152</v>
      </c>
      <c r="N886" s="0" t="n">
        <v>10</v>
      </c>
      <c r="O886" s="32" t="s">
        <v>748</v>
      </c>
      <c r="P886" s="32" t="s">
        <v>2182</v>
      </c>
      <c r="Q886" s="32" t="s">
        <v>2153</v>
      </c>
      <c r="R886" s="0" t="str">
        <f aca="false">IF(H886="GEN","GM",H886)</f>
        <v>GM</v>
      </c>
    </row>
    <row r="887" customFormat="false" ht="15" hidden="false" customHeight="false" outlineLevel="0" collapsed="false">
      <c r="A887" s="0" t="s">
        <v>3387</v>
      </c>
      <c r="B887" s="0" t="s">
        <v>2485</v>
      </c>
      <c r="C887" s="0" t="s">
        <v>841</v>
      </c>
      <c r="D887" s="31" t="n">
        <v>22319</v>
      </c>
      <c r="E887" s="31" t="n">
        <v>45673</v>
      </c>
      <c r="F887" s="32" t="s">
        <v>2087</v>
      </c>
      <c r="G887" s="32" t="s">
        <v>2088</v>
      </c>
      <c r="H887" s="32" t="s">
        <v>747</v>
      </c>
      <c r="I887" s="31" t="n">
        <v>45679</v>
      </c>
      <c r="J887" s="32" t="s">
        <v>2080</v>
      </c>
      <c r="K887" s="0" t="n">
        <v>6</v>
      </c>
      <c r="L887" s="32" t="s">
        <v>2081</v>
      </c>
      <c r="M887" s="32" t="s">
        <v>2100</v>
      </c>
      <c r="N887" s="0" t="n">
        <v>6</v>
      </c>
      <c r="O887" s="32" t="s">
        <v>748</v>
      </c>
      <c r="P887" s="32" t="s">
        <v>2083</v>
      </c>
      <c r="Q887" s="32" t="s">
        <v>2125</v>
      </c>
      <c r="R887" s="0" t="str">
        <f aca="false">IF(H887="GEN","GM",H887)</f>
        <v>GM</v>
      </c>
    </row>
    <row r="888" customFormat="false" ht="15" hidden="false" customHeight="false" outlineLevel="0" collapsed="false">
      <c r="A888" s="0" t="s">
        <v>3388</v>
      </c>
      <c r="B888" s="0" t="s">
        <v>2584</v>
      </c>
      <c r="C888" s="0" t="s">
        <v>1453</v>
      </c>
      <c r="D888" s="31" t="n">
        <v>27020</v>
      </c>
      <c r="E888" s="31" t="n">
        <v>45698</v>
      </c>
      <c r="F888" s="32" t="s">
        <v>2087</v>
      </c>
      <c r="G888" s="32" t="s">
        <v>2099</v>
      </c>
      <c r="H888" s="32" t="s">
        <v>818</v>
      </c>
      <c r="I888" s="31" t="n">
        <v>45705</v>
      </c>
      <c r="J888" s="32" t="s">
        <v>2080</v>
      </c>
      <c r="K888" s="0" t="n">
        <v>7</v>
      </c>
      <c r="L888" s="32" t="s">
        <v>2081</v>
      </c>
      <c r="M888" s="32" t="s">
        <v>2132</v>
      </c>
      <c r="N888" s="0" t="n">
        <v>7</v>
      </c>
      <c r="O888" s="32" t="s">
        <v>819</v>
      </c>
      <c r="P888" s="32" t="s">
        <v>2095</v>
      </c>
      <c r="Q888" s="32" t="s">
        <v>2179</v>
      </c>
      <c r="R888" s="0" t="str">
        <f aca="false">IF(H888="GEN","GM",H888)</f>
        <v>OPH</v>
      </c>
    </row>
    <row r="889" customFormat="false" ht="15" hidden="false" customHeight="false" outlineLevel="0" collapsed="false">
      <c r="A889" s="0" t="s">
        <v>3389</v>
      </c>
      <c r="B889" s="0" t="s">
        <v>2354</v>
      </c>
      <c r="C889" s="0" t="s">
        <v>894</v>
      </c>
      <c r="D889" s="31" t="n">
        <v>37679</v>
      </c>
      <c r="E889" s="31" t="n">
        <v>45610</v>
      </c>
      <c r="F889" s="32" t="s">
        <v>2078</v>
      </c>
      <c r="G889" s="32" t="s">
        <v>2124</v>
      </c>
      <c r="H889" s="32" t="s">
        <v>785</v>
      </c>
      <c r="I889" s="31" t="n">
        <v>45612</v>
      </c>
      <c r="J889" s="32" t="s">
        <v>2160</v>
      </c>
      <c r="K889" s="0" t="n">
        <v>2</v>
      </c>
      <c r="L889" s="32" t="s">
        <v>2081</v>
      </c>
      <c r="M889" s="32" t="s">
        <v>2128</v>
      </c>
      <c r="N889" s="0" t="n">
        <v>2</v>
      </c>
      <c r="O889" s="32" t="s">
        <v>786</v>
      </c>
      <c r="P889" s="32" t="s">
        <v>2121</v>
      </c>
      <c r="Q889" s="32" t="s">
        <v>2190</v>
      </c>
      <c r="R889" s="0" t="str">
        <f aca="false">IF(H889="GEN","GM",H889)</f>
        <v>RS</v>
      </c>
    </row>
    <row r="890" customFormat="false" ht="15" hidden="false" customHeight="false" outlineLevel="0" collapsed="false">
      <c r="A890" s="0" t="s">
        <v>3390</v>
      </c>
      <c r="B890" s="0" t="s">
        <v>2618</v>
      </c>
      <c r="C890" s="0" t="s">
        <v>942</v>
      </c>
      <c r="D890" s="31" t="n">
        <v>16843</v>
      </c>
      <c r="E890" s="31" t="n">
        <v>45616</v>
      </c>
      <c r="F890" s="32" t="s">
        <v>2087</v>
      </c>
      <c r="G890" s="32" t="s">
        <v>2088</v>
      </c>
      <c r="H890" s="32" t="s">
        <v>793</v>
      </c>
      <c r="I890" s="31" t="n">
        <v>45624</v>
      </c>
      <c r="J890" s="32" t="s">
        <v>2080</v>
      </c>
      <c r="K890" s="0" t="n">
        <v>8</v>
      </c>
      <c r="M890" s="32" t="s">
        <v>2286</v>
      </c>
      <c r="N890" s="0" t="n">
        <v>8</v>
      </c>
      <c r="O890" s="32" t="s">
        <v>794</v>
      </c>
      <c r="P890" s="32" t="s">
        <v>2121</v>
      </c>
      <c r="Q890" s="32" t="s">
        <v>2244</v>
      </c>
      <c r="R890" s="0" t="str">
        <f aca="false">IF(H890="GEN","GM",H890)</f>
        <v>EM</v>
      </c>
    </row>
    <row r="891" customFormat="false" ht="15" hidden="false" customHeight="false" outlineLevel="0" collapsed="false">
      <c r="A891" s="0" t="s">
        <v>3391</v>
      </c>
      <c r="B891" s="0" t="s">
        <v>2577</v>
      </c>
      <c r="C891" s="0" t="s">
        <v>2148</v>
      </c>
      <c r="D891" s="31" t="n">
        <v>26993</v>
      </c>
      <c r="E891" s="31" t="n">
        <v>45649</v>
      </c>
      <c r="F891" s="32" t="s">
        <v>2078</v>
      </c>
      <c r="G891" s="32" t="s">
        <v>2104</v>
      </c>
      <c r="H891" s="32" t="s">
        <v>802</v>
      </c>
      <c r="I891" s="31" t="n">
        <v>45658</v>
      </c>
      <c r="J891" s="32" t="s">
        <v>2080</v>
      </c>
      <c r="K891" s="0" t="n">
        <v>9</v>
      </c>
      <c r="L891" s="32" t="s">
        <v>2081</v>
      </c>
      <c r="M891" s="32" t="s">
        <v>2161</v>
      </c>
      <c r="N891" s="0" t="n">
        <v>9</v>
      </c>
      <c r="O891" s="32" t="s">
        <v>803</v>
      </c>
      <c r="P891" s="32" t="s">
        <v>2201</v>
      </c>
      <c r="Q891" s="32" t="s">
        <v>2244</v>
      </c>
      <c r="R891" s="0" t="str">
        <f aca="false">IF(H891="GEN","GM",H891)</f>
        <v>GYN</v>
      </c>
    </row>
    <row r="892" customFormat="false" ht="15" hidden="false" customHeight="false" outlineLevel="0" collapsed="false">
      <c r="A892" s="0" t="s">
        <v>3392</v>
      </c>
      <c r="B892" s="0" t="s">
        <v>2127</v>
      </c>
      <c r="C892" s="0" t="s">
        <v>845</v>
      </c>
      <c r="D892" s="31" t="n">
        <v>13700</v>
      </c>
      <c r="E892" s="31" t="n">
        <v>45581</v>
      </c>
      <c r="F892" s="32" t="s">
        <v>2087</v>
      </c>
      <c r="G892" s="32" t="s">
        <v>2104</v>
      </c>
      <c r="H892" s="32" t="s">
        <v>802</v>
      </c>
      <c r="I892" s="31" t="n">
        <v>45590</v>
      </c>
      <c r="J892" s="32" t="s">
        <v>2080</v>
      </c>
      <c r="K892" s="0" t="n">
        <v>9</v>
      </c>
      <c r="L892" s="32" t="s">
        <v>2081</v>
      </c>
      <c r="M892" s="32" t="s">
        <v>2152</v>
      </c>
      <c r="N892" s="0" t="n">
        <v>9</v>
      </c>
      <c r="O892" s="32" t="s">
        <v>803</v>
      </c>
      <c r="P892" s="32" t="s">
        <v>2222</v>
      </c>
      <c r="Q892" s="32" t="s">
        <v>2118</v>
      </c>
      <c r="R892" s="0" t="str">
        <f aca="false">IF(H892="GEN","GM",H892)</f>
        <v>GYN</v>
      </c>
    </row>
    <row r="893" customFormat="false" ht="15" hidden="false" customHeight="false" outlineLevel="0" collapsed="false">
      <c r="A893" s="0" t="s">
        <v>3393</v>
      </c>
      <c r="B893" s="0" t="s">
        <v>3253</v>
      </c>
      <c r="C893" s="0" t="s">
        <v>1001</v>
      </c>
      <c r="D893" s="31" t="n">
        <v>20785</v>
      </c>
      <c r="E893" s="31" t="n">
        <v>45615</v>
      </c>
      <c r="F893" s="32" t="s">
        <v>2078</v>
      </c>
      <c r="G893" s="32" t="s">
        <v>2104</v>
      </c>
      <c r="H893" s="32" t="s">
        <v>802</v>
      </c>
      <c r="I893" s="31" t="n">
        <v>45618</v>
      </c>
      <c r="J893" s="32" t="s">
        <v>2080</v>
      </c>
      <c r="K893" s="0" t="n">
        <v>3</v>
      </c>
      <c r="L893" s="32" t="s">
        <v>2081</v>
      </c>
      <c r="M893" s="32" t="s">
        <v>2212</v>
      </c>
      <c r="N893" s="0" t="n">
        <v>3</v>
      </c>
      <c r="O893" s="32" t="s">
        <v>803</v>
      </c>
      <c r="P893" s="32" t="s">
        <v>2201</v>
      </c>
      <c r="Q893" s="32" t="s">
        <v>2091</v>
      </c>
      <c r="R893" s="0" t="str">
        <f aca="false">IF(H893="GEN","GM",H893)</f>
        <v>GYN</v>
      </c>
    </row>
    <row r="894" customFormat="false" ht="15" hidden="false" customHeight="false" outlineLevel="0" collapsed="false">
      <c r="A894" s="0" t="s">
        <v>3394</v>
      </c>
      <c r="B894" s="0" t="s">
        <v>2456</v>
      </c>
      <c r="C894" s="0" t="s">
        <v>775</v>
      </c>
      <c r="D894" s="31" t="n">
        <v>14937</v>
      </c>
      <c r="E894" s="31" t="n">
        <v>45614</v>
      </c>
      <c r="F894" s="32" t="s">
        <v>2087</v>
      </c>
      <c r="G894" s="32" t="s">
        <v>2088</v>
      </c>
      <c r="H894" s="32" t="s">
        <v>826</v>
      </c>
      <c r="I894" s="31" t="n">
        <v>45618</v>
      </c>
      <c r="J894" s="32" t="s">
        <v>2080</v>
      </c>
      <c r="K894" s="0" t="n">
        <v>4</v>
      </c>
      <c r="L894" s="32" t="s">
        <v>2106</v>
      </c>
      <c r="M894" s="32" t="s">
        <v>2116</v>
      </c>
      <c r="N894" s="0" t="n">
        <v>4</v>
      </c>
      <c r="O894" s="32" t="s">
        <v>827</v>
      </c>
      <c r="P894" s="32" t="s">
        <v>2111</v>
      </c>
      <c r="Q894" s="32" t="s">
        <v>2118</v>
      </c>
      <c r="R894" s="0" t="str">
        <f aca="false">IF(H894="GEN","GM",H894)</f>
        <v>RHE</v>
      </c>
    </row>
    <row r="895" customFormat="false" ht="15" hidden="false" customHeight="false" outlineLevel="0" collapsed="false">
      <c r="A895" s="0" t="s">
        <v>3395</v>
      </c>
      <c r="B895" s="0" t="s">
        <v>3396</v>
      </c>
      <c r="C895" s="0" t="s">
        <v>792</v>
      </c>
      <c r="D895" s="31" t="n">
        <v>26177</v>
      </c>
      <c r="E895" s="31" t="n">
        <v>45657</v>
      </c>
      <c r="F895" s="32" t="s">
        <v>2078</v>
      </c>
      <c r="G895" s="32" t="s">
        <v>2099</v>
      </c>
      <c r="H895" s="32" t="s">
        <v>766</v>
      </c>
      <c r="I895" s="31" t="n">
        <v>45662</v>
      </c>
      <c r="J895" s="32" t="s">
        <v>2307</v>
      </c>
      <c r="K895" s="0" t="n">
        <v>5</v>
      </c>
      <c r="L895" s="32" t="s">
        <v>2106</v>
      </c>
      <c r="M895" s="32" t="s">
        <v>2189</v>
      </c>
      <c r="N895" s="0" t="n">
        <v>5</v>
      </c>
      <c r="O895" s="32" t="s">
        <v>767</v>
      </c>
      <c r="P895" s="32" t="s">
        <v>2222</v>
      </c>
      <c r="Q895" s="32" t="s">
        <v>2112</v>
      </c>
      <c r="R895" s="0" t="str">
        <f aca="false">IF(H895="GEN","GM",H895)</f>
        <v>OR</v>
      </c>
    </row>
    <row r="896" customFormat="false" ht="15" hidden="false" customHeight="false" outlineLevel="0" collapsed="false">
      <c r="A896" s="0" t="s">
        <v>3397</v>
      </c>
      <c r="B896" s="0" t="s">
        <v>3398</v>
      </c>
      <c r="C896" s="0" t="s">
        <v>898</v>
      </c>
      <c r="D896" s="31" t="n">
        <v>14289</v>
      </c>
      <c r="E896" s="31" t="n">
        <v>45709</v>
      </c>
      <c r="F896" s="32" t="s">
        <v>2078</v>
      </c>
      <c r="G896" s="32" t="s">
        <v>2104</v>
      </c>
      <c r="H896" s="32" t="s">
        <v>802</v>
      </c>
      <c r="I896" s="31" t="n">
        <v>45711</v>
      </c>
      <c r="J896" s="32" t="s">
        <v>2080</v>
      </c>
      <c r="K896" s="0" t="n">
        <v>2</v>
      </c>
      <c r="L896" s="32" t="s">
        <v>2081</v>
      </c>
      <c r="M896" s="32" t="s">
        <v>2132</v>
      </c>
      <c r="N896" s="0" t="n">
        <v>2</v>
      </c>
      <c r="O896" s="32" t="s">
        <v>803</v>
      </c>
      <c r="P896" s="32" t="s">
        <v>2133</v>
      </c>
      <c r="Q896" s="32" t="s">
        <v>2244</v>
      </c>
      <c r="R896" s="0" t="str">
        <f aca="false">IF(H896="GEN","GM",H896)</f>
        <v>GYN</v>
      </c>
    </row>
    <row r="897" customFormat="false" ht="15" hidden="false" customHeight="false" outlineLevel="0" collapsed="false">
      <c r="A897" s="0" t="s">
        <v>3399</v>
      </c>
      <c r="B897" s="0" t="s">
        <v>3066</v>
      </c>
      <c r="C897" s="0" t="s">
        <v>765</v>
      </c>
      <c r="D897" s="31" t="n">
        <v>16859</v>
      </c>
      <c r="E897" s="31" t="n">
        <v>45736</v>
      </c>
      <c r="F897" s="32" t="s">
        <v>2087</v>
      </c>
      <c r="G897" s="32" t="s">
        <v>2124</v>
      </c>
      <c r="H897" s="32" t="s">
        <v>785</v>
      </c>
      <c r="I897" s="31" t="n">
        <v>45742</v>
      </c>
      <c r="J897" s="32" t="s">
        <v>2080</v>
      </c>
      <c r="K897" s="0" t="n">
        <v>6</v>
      </c>
      <c r="L897" s="32" t="s">
        <v>2081</v>
      </c>
      <c r="M897" s="32" t="s">
        <v>2189</v>
      </c>
      <c r="N897" s="0" t="n">
        <v>6</v>
      </c>
      <c r="O897" s="32" t="s">
        <v>786</v>
      </c>
      <c r="P897" s="32" t="s">
        <v>2222</v>
      </c>
      <c r="Q897" s="32" t="s">
        <v>2112</v>
      </c>
      <c r="R897" s="0" t="str">
        <f aca="false">IF(H897="GEN","GM",H897)</f>
        <v>RS</v>
      </c>
    </row>
    <row r="898" customFormat="false" ht="15" hidden="false" customHeight="false" outlineLevel="0" collapsed="false">
      <c r="A898" s="0" t="s">
        <v>3400</v>
      </c>
      <c r="B898" s="0" t="s">
        <v>2363</v>
      </c>
      <c r="C898" s="0" t="s">
        <v>878</v>
      </c>
      <c r="D898" s="31" t="n">
        <v>26422</v>
      </c>
      <c r="E898" s="31" t="n">
        <v>45625</v>
      </c>
      <c r="F898" s="32" t="s">
        <v>2087</v>
      </c>
      <c r="G898" s="32" t="s">
        <v>2088</v>
      </c>
      <c r="H898" s="32" t="s">
        <v>826</v>
      </c>
      <c r="I898" s="31" t="n">
        <v>45628</v>
      </c>
      <c r="J898" s="32" t="s">
        <v>2080</v>
      </c>
      <c r="K898" s="0" t="n">
        <v>3</v>
      </c>
      <c r="L898" s="32" t="s">
        <v>2081</v>
      </c>
      <c r="M898" s="32" t="s">
        <v>2094</v>
      </c>
      <c r="N898" s="0" t="n">
        <v>3</v>
      </c>
      <c r="O898" s="32" t="s">
        <v>827</v>
      </c>
      <c r="P898" s="32" t="s">
        <v>2201</v>
      </c>
      <c r="Q898" s="32" t="s">
        <v>2157</v>
      </c>
      <c r="R898" s="0" t="str">
        <f aca="false">IF(H898="GEN","GM",H898)</f>
        <v>RHE</v>
      </c>
    </row>
    <row r="899" customFormat="false" ht="15" hidden="false" customHeight="false" outlineLevel="0" collapsed="false">
      <c r="A899" s="0" t="s">
        <v>3401</v>
      </c>
      <c r="B899" s="0" t="s">
        <v>2123</v>
      </c>
      <c r="C899" s="0" t="s">
        <v>1453</v>
      </c>
      <c r="D899" s="31" t="n">
        <v>31733</v>
      </c>
      <c r="E899" s="31" t="n">
        <v>45608</v>
      </c>
      <c r="F899" s="32" t="s">
        <v>2087</v>
      </c>
      <c r="G899" s="32" t="s">
        <v>2104</v>
      </c>
      <c r="H899" s="32" t="s">
        <v>802</v>
      </c>
      <c r="I899" s="31" t="n">
        <v>45611</v>
      </c>
      <c r="J899" s="32" t="s">
        <v>2080</v>
      </c>
      <c r="K899" s="0" t="n">
        <v>3</v>
      </c>
      <c r="L899" s="32" t="s">
        <v>2081</v>
      </c>
      <c r="M899" s="32" t="s">
        <v>2082</v>
      </c>
      <c r="N899" s="0" t="n">
        <v>3</v>
      </c>
      <c r="O899" s="32" t="s">
        <v>803</v>
      </c>
      <c r="P899" s="32" t="s">
        <v>2201</v>
      </c>
      <c r="Q899" s="32" t="s">
        <v>2107</v>
      </c>
      <c r="R899" s="0" t="str">
        <f aca="false">IF(H899="GEN","GM",H899)</f>
        <v>GYN</v>
      </c>
    </row>
    <row r="900" customFormat="false" ht="15" hidden="false" customHeight="false" outlineLevel="0" collapsed="false">
      <c r="A900" s="0" t="s">
        <v>3402</v>
      </c>
      <c r="B900" s="0" t="s">
        <v>2952</v>
      </c>
      <c r="C900" s="0" t="s">
        <v>966</v>
      </c>
      <c r="D900" s="31" t="n">
        <v>32775</v>
      </c>
      <c r="E900" s="31" t="n">
        <v>45692</v>
      </c>
      <c r="F900" s="32" t="s">
        <v>2078</v>
      </c>
      <c r="G900" s="32" t="s">
        <v>2104</v>
      </c>
      <c r="H900" s="32" t="s">
        <v>802</v>
      </c>
      <c r="I900" s="31" t="n">
        <v>45694</v>
      </c>
      <c r="J900" s="32" t="s">
        <v>2080</v>
      </c>
      <c r="K900" s="0" t="n">
        <v>2</v>
      </c>
      <c r="L900" s="32" t="s">
        <v>2081</v>
      </c>
      <c r="M900" s="32" t="s">
        <v>2128</v>
      </c>
      <c r="N900" s="0" t="n">
        <v>2</v>
      </c>
      <c r="O900" s="32" t="s">
        <v>803</v>
      </c>
      <c r="P900" s="32" t="s">
        <v>2201</v>
      </c>
      <c r="Q900" s="32" t="s">
        <v>2179</v>
      </c>
      <c r="R900" s="0" t="str">
        <f aca="false">IF(H900="GEN","GM",H900)</f>
        <v>GYN</v>
      </c>
    </row>
    <row r="901" customFormat="false" ht="15" hidden="false" customHeight="false" outlineLevel="0" collapsed="false">
      <c r="A901" s="0" t="s">
        <v>3403</v>
      </c>
      <c r="B901" s="0" t="s">
        <v>2411</v>
      </c>
      <c r="C901" s="0" t="s">
        <v>958</v>
      </c>
      <c r="D901" s="31" t="n">
        <v>29185</v>
      </c>
      <c r="E901" s="31" t="n">
        <v>45703</v>
      </c>
      <c r="F901" s="32" t="s">
        <v>2087</v>
      </c>
      <c r="G901" s="32" t="s">
        <v>2099</v>
      </c>
      <c r="H901" s="32" t="s">
        <v>818</v>
      </c>
      <c r="I901" s="31" t="n">
        <v>45709</v>
      </c>
      <c r="J901" s="32" t="s">
        <v>2080</v>
      </c>
      <c r="K901" s="0" t="n">
        <v>6</v>
      </c>
      <c r="L901" s="32" t="s">
        <v>2081</v>
      </c>
      <c r="M901" s="32" t="s">
        <v>2207</v>
      </c>
      <c r="N901" s="0" t="n">
        <v>6</v>
      </c>
      <c r="O901" s="32" t="s">
        <v>819</v>
      </c>
      <c r="P901" s="32" t="s">
        <v>2083</v>
      </c>
      <c r="Q901" s="32" t="s">
        <v>2259</v>
      </c>
      <c r="R901" s="0" t="str">
        <f aca="false">IF(H901="GEN","GM",H901)</f>
        <v>OPH</v>
      </c>
    </row>
    <row r="902" customFormat="false" ht="15" hidden="false" customHeight="false" outlineLevel="0" collapsed="false">
      <c r="A902" s="0" t="s">
        <v>3404</v>
      </c>
      <c r="B902" s="0" t="s">
        <v>2120</v>
      </c>
      <c r="C902" s="0" t="s">
        <v>1390</v>
      </c>
      <c r="D902" s="31" t="n">
        <v>32639</v>
      </c>
      <c r="E902" s="31" t="n">
        <v>45657</v>
      </c>
      <c r="F902" s="32" t="s">
        <v>2078</v>
      </c>
      <c r="G902" s="32" t="s">
        <v>2088</v>
      </c>
      <c r="H902" s="32" t="s">
        <v>793</v>
      </c>
      <c r="I902" s="31" t="n">
        <v>45661</v>
      </c>
      <c r="J902" s="32" t="s">
        <v>2080</v>
      </c>
      <c r="K902" s="0" t="n">
        <v>4</v>
      </c>
      <c r="L902" s="32" t="s">
        <v>2081</v>
      </c>
      <c r="M902" s="32" t="s">
        <v>2283</v>
      </c>
      <c r="N902" s="0" t="n">
        <v>4</v>
      </c>
      <c r="O902" s="32" t="s">
        <v>794</v>
      </c>
      <c r="P902" s="32" t="s">
        <v>2162</v>
      </c>
      <c r="Q902" s="32" t="s">
        <v>2165</v>
      </c>
      <c r="R902" s="0" t="str">
        <f aca="false">IF(H902="GEN","GM",H902)</f>
        <v>EM</v>
      </c>
    </row>
    <row r="903" customFormat="false" ht="15" hidden="false" customHeight="false" outlineLevel="0" collapsed="false">
      <c r="A903" s="0" t="s">
        <v>3405</v>
      </c>
      <c r="B903" s="0" t="s">
        <v>3335</v>
      </c>
      <c r="C903" s="0" t="s">
        <v>997</v>
      </c>
      <c r="D903" s="31" t="n">
        <v>21553</v>
      </c>
      <c r="E903" s="31" t="n">
        <v>45598</v>
      </c>
      <c r="F903" s="32" t="s">
        <v>2087</v>
      </c>
      <c r="G903" s="32" t="s">
        <v>2099</v>
      </c>
      <c r="H903" s="32" t="s">
        <v>766</v>
      </c>
      <c r="I903" s="31" t="n">
        <v>45602</v>
      </c>
      <c r="J903" s="32" t="s">
        <v>2080</v>
      </c>
      <c r="K903" s="0" t="n">
        <v>4</v>
      </c>
      <c r="L903" s="32" t="s">
        <v>2081</v>
      </c>
      <c r="M903" s="32" t="s">
        <v>2116</v>
      </c>
      <c r="N903" s="0" t="n">
        <v>4</v>
      </c>
      <c r="O903" s="32" t="s">
        <v>767</v>
      </c>
      <c r="P903" s="32" t="s">
        <v>2182</v>
      </c>
      <c r="Q903" s="32" t="s">
        <v>2244</v>
      </c>
      <c r="R903" s="0" t="str">
        <f aca="false">IF(H903="GEN","GM",H903)</f>
        <v>OR</v>
      </c>
    </row>
    <row r="904" customFormat="false" ht="15" hidden="false" customHeight="false" outlineLevel="0" collapsed="false">
      <c r="A904" s="0" t="s">
        <v>3406</v>
      </c>
      <c r="B904" s="0" t="s">
        <v>2321</v>
      </c>
      <c r="C904" s="0" t="s">
        <v>934</v>
      </c>
      <c r="D904" s="31" t="n">
        <v>13247</v>
      </c>
      <c r="E904" s="31" t="n">
        <v>45627</v>
      </c>
      <c r="F904" s="32" t="s">
        <v>2087</v>
      </c>
      <c r="G904" s="32" t="s">
        <v>2088</v>
      </c>
      <c r="H904" s="32" t="s">
        <v>793</v>
      </c>
      <c r="I904" s="31" t="n">
        <v>45630</v>
      </c>
      <c r="J904" s="32" t="s">
        <v>2105</v>
      </c>
      <c r="K904" s="0" t="n">
        <v>3</v>
      </c>
      <c r="L904" s="32" t="s">
        <v>2081</v>
      </c>
      <c r="M904" s="32" t="s">
        <v>2212</v>
      </c>
      <c r="N904" s="0" t="n">
        <v>3</v>
      </c>
      <c r="O904" s="32" t="s">
        <v>794</v>
      </c>
      <c r="P904" s="32" t="s">
        <v>2201</v>
      </c>
      <c r="Q904" s="32" t="s">
        <v>2157</v>
      </c>
      <c r="R904" s="0" t="str">
        <f aca="false">IF(H904="GEN","GM",H904)</f>
        <v>EM</v>
      </c>
    </row>
    <row r="905" customFormat="false" ht="15" hidden="false" customHeight="false" outlineLevel="0" collapsed="false">
      <c r="A905" s="0" t="s">
        <v>3407</v>
      </c>
      <c r="B905" s="0" t="s">
        <v>3408</v>
      </c>
      <c r="C905" s="0" t="s">
        <v>1001</v>
      </c>
      <c r="D905" s="31" t="n">
        <v>19211</v>
      </c>
      <c r="E905" s="31" t="n">
        <v>45642</v>
      </c>
      <c r="F905" s="32" t="s">
        <v>2078</v>
      </c>
      <c r="G905" s="32" t="s">
        <v>2079</v>
      </c>
      <c r="H905" s="32" t="s">
        <v>776</v>
      </c>
      <c r="I905" s="31" t="n">
        <v>45645</v>
      </c>
      <c r="J905" s="32" t="s">
        <v>2080</v>
      </c>
      <c r="K905" s="0" t="n">
        <v>3</v>
      </c>
      <c r="L905" s="32" t="s">
        <v>2081</v>
      </c>
      <c r="M905" s="32" t="s">
        <v>2110</v>
      </c>
      <c r="N905" s="0" t="n">
        <v>3</v>
      </c>
      <c r="O905" s="32" t="s">
        <v>777</v>
      </c>
      <c r="P905" s="32" t="s">
        <v>2175</v>
      </c>
      <c r="Q905" s="32" t="s">
        <v>2244</v>
      </c>
      <c r="R905" s="0" t="str">
        <f aca="false">IF(H905="GEN","GM",H905)</f>
        <v>GS</v>
      </c>
    </row>
    <row r="906" customFormat="false" ht="15" hidden="false" customHeight="false" outlineLevel="0" collapsed="false">
      <c r="A906" s="0" t="s">
        <v>3409</v>
      </c>
      <c r="B906" s="0" t="s">
        <v>3253</v>
      </c>
      <c r="C906" s="0" t="s">
        <v>958</v>
      </c>
      <c r="D906" s="31" t="n">
        <v>22897</v>
      </c>
      <c r="E906" s="31" t="n">
        <v>45606</v>
      </c>
      <c r="F906" s="32" t="s">
        <v>2087</v>
      </c>
      <c r="G906" s="32" t="s">
        <v>2088</v>
      </c>
      <c r="H906" s="32" t="s">
        <v>793</v>
      </c>
      <c r="I906" s="31" t="n">
        <v>45609</v>
      </c>
      <c r="J906" s="32" t="s">
        <v>2080</v>
      </c>
      <c r="K906" s="0" t="n">
        <v>3</v>
      </c>
      <c r="L906" s="32" t="s">
        <v>2081</v>
      </c>
      <c r="N906" s="0" t="n">
        <v>3</v>
      </c>
      <c r="O906" s="32" t="s">
        <v>794</v>
      </c>
      <c r="P906" s="32" t="s">
        <v>2111</v>
      </c>
      <c r="Q906" s="32" t="s">
        <v>2241</v>
      </c>
      <c r="R906" s="0" t="str">
        <f aca="false">IF(H906="GEN","GM",H906)</f>
        <v>EM</v>
      </c>
    </row>
    <row r="907" customFormat="false" ht="15" hidden="false" customHeight="false" outlineLevel="0" collapsed="false">
      <c r="A907" s="0" t="s">
        <v>3410</v>
      </c>
      <c r="B907" s="0" t="s">
        <v>2765</v>
      </c>
      <c r="C907" s="0" t="s">
        <v>2225</v>
      </c>
      <c r="D907" s="31" t="n">
        <v>17457</v>
      </c>
      <c r="E907" s="31" t="n">
        <v>45636</v>
      </c>
      <c r="F907" s="32" t="s">
        <v>2078</v>
      </c>
      <c r="G907" s="32" t="s">
        <v>2088</v>
      </c>
      <c r="H907" s="32" t="s">
        <v>793</v>
      </c>
      <c r="I907" s="31" t="n">
        <v>45638</v>
      </c>
      <c r="J907" s="32" t="s">
        <v>2080</v>
      </c>
      <c r="K907" s="0" t="n">
        <v>2</v>
      </c>
      <c r="L907" s="32" t="s">
        <v>2081</v>
      </c>
      <c r="M907" s="32" t="s">
        <v>2132</v>
      </c>
      <c r="N907" s="0" t="n">
        <v>2</v>
      </c>
      <c r="O907" s="32" t="s">
        <v>794</v>
      </c>
      <c r="P907" s="32" t="s">
        <v>2083</v>
      </c>
      <c r="Q907" s="32" t="s">
        <v>2112</v>
      </c>
      <c r="R907" s="0" t="str">
        <f aca="false">IF(H907="GEN","GM",H907)</f>
        <v>EM</v>
      </c>
    </row>
    <row r="908" customFormat="false" ht="15" hidden="false" customHeight="false" outlineLevel="0" collapsed="false">
      <c r="A908" s="0" t="s">
        <v>3411</v>
      </c>
      <c r="B908" s="0" t="s">
        <v>3396</v>
      </c>
      <c r="C908" s="0" t="s">
        <v>954</v>
      </c>
      <c r="D908" s="31" t="n">
        <v>14458</v>
      </c>
      <c r="E908" s="31" t="n">
        <v>45619</v>
      </c>
      <c r="F908" s="32" t="s">
        <v>2078</v>
      </c>
      <c r="G908" s="32" t="s">
        <v>2088</v>
      </c>
      <c r="H908" s="32" t="s">
        <v>826</v>
      </c>
      <c r="I908" s="31" t="n">
        <v>45622</v>
      </c>
      <c r="J908" s="32" t="s">
        <v>2080</v>
      </c>
      <c r="K908" s="0" t="n">
        <v>3</v>
      </c>
      <c r="L908" s="32" t="s">
        <v>2081</v>
      </c>
      <c r="M908" s="32" t="s">
        <v>2110</v>
      </c>
      <c r="N908" s="0" t="n">
        <v>3</v>
      </c>
      <c r="O908" s="32" t="s">
        <v>827</v>
      </c>
      <c r="P908" s="32" t="s">
        <v>2095</v>
      </c>
      <c r="Q908" s="32" t="s">
        <v>2084</v>
      </c>
      <c r="R908" s="0" t="str">
        <f aca="false">IF(H908="GEN","GM",H908)</f>
        <v>RHE</v>
      </c>
    </row>
    <row r="909" customFormat="false" ht="15" hidden="false" customHeight="false" outlineLevel="0" collapsed="false">
      <c r="A909" s="0" t="s">
        <v>3412</v>
      </c>
      <c r="B909" s="0" t="s">
        <v>2470</v>
      </c>
      <c r="C909" s="0" t="s">
        <v>914</v>
      </c>
      <c r="D909" s="31" t="n">
        <v>26707</v>
      </c>
      <c r="E909" s="31" t="n">
        <v>45578</v>
      </c>
      <c r="F909" s="32" t="s">
        <v>2078</v>
      </c>
      <c r="G909" s="32" t="s">
        <v>2079</v>
      </c>
      <c r="H909" s="32" t="s">
        <v>810</v>
      </c>
      <c r="I909" s="31" t="n">
        <v>45579</v>
      </c>
      <c r="J909" s="32" t="s">
        <v>2080</v>
      </c>
      <c r="K909" s="0" t="n">
        <v>1</v>
      </c>
      <c r="L909" s="32" t="s">
        <v>2081</v>
      </c>
      <c r="M909" s="32" t="s">
        <v>2189</v>
      </c>
      <c r="N909" s="0" t="n">
        <v>1</v>
      </c>
      <c r="O909" s="32" t="s">
        <v>811</v>
      </c>
      <c r="P909" s="32" t="s">
        <v>2137</v>
      </c>
      <c r="Q909" s="32" t="s">
        <v>2118</v>
      </c>
      <c r="R909" s="0" t="str">
        <f aca="false">IF(H909="GEN","GM",H909)</f>
        <v>URO</v>
      </c>
    </row>
    <row r="910" customFormat="false" ht="15" hidden="false" customHeight="false" outlineLevel="0" collapsed="false">
      <c r="A910" s="0" t="s">
        <v>3413</v>
      </c>
      <c r="B910" s="0" t="s">
        <v>2271</v>
      </c>
      <c r="C910" s="0" t="s">
        <v>966</v>
      </c>
      <c r="D910" s="31" t="n">
        <v>31536</v>
      </c>
      <c r="E910" s="31" t="n">
        <v>45650</v>
      </c>
      <c r="F910" s="32" t="s">
        <v>2078</v>
      </c>
      <c r="G910" s="32" t="s">
        <v>2079</v>
      </c>
      <c r="H910" s="32" t="s">
        <v>810</v>
      </c>
      <c r="I910" s="31" t="n">
        <v>45655</v>
      </c>
      <c r="J910" s="32" t="s">
        <v>2080</v>
      </c>
      <c r="K910" s="0" t="n">
        <v>5</v>
      </c>
      <c r="L910" s="32" t="s">
        <v>2081</v>
      </c>
      <c r="M910" s="32" t="s">
        <v>2141</v>
      </c>
      <c r="N910" s="0" t="n">
        <v>5</v>
      </c>
      <c r="O910" s="32" t="s">
        <v>811</v>
      </c>
      <c r="P910" s="32" t="s">
        <v>2095</v>
      </c>
      <c r="Q910" s="32" t="s">
        <v>2165</v>
      </c>
      <c r="R910" s="0" t="str">
        <f aca="false">IF(H910="GEN","GM",H910)</f>
        <v>URO</v>
      </c>
    </row>
    <row r="911" customFormat="false" ht="15" hidden="false" customHeight="false" outlineLevel="0" collapsed="false">
      <c r="A911" s="0" t="s">
        <v>3414</v>
      </c>
      <c r="B911" s="0" t="s">
        <v>2563</v>
      </c>
      <c r="C911" s="0" t="s">
        <v>1414</v>
      </c>
      <c r="D911" s="31" t="n">
        <v>17485</v>
      </c>
      <c r="E911" s="31" t="n">
        <v>45729</v>
      </c>
      <c r="F911" s="32" t="s">
        <v>2078</v>
      </c>
      <c r="G911" s="32" t="s">
        <v>2099</v>
      </c>
      <c r="H911" s="32" t="s">
        <v>818</v>
      </c>
      <c r="I911" s="31" t="n">
        <v>45730</v>
      </c>
      <c r="J911" s="32" t="s">
        <v>2080</v>
      </c>
      <c r="K911" s="0" t="n">
        <v>1</v>
      </c>
      <c r="L911" s="32" t="s">
        <v>2081</v>
      </c>
      <c r="M911" s="32" t="s">
        <v>2136</v>
      </c>
      <c r="N911" s="0" t="n">
        <v>1</v>
      </c>
      <c r="O911" s="32" t="s">
        <v>819</v>
      </c>
      <c r="P911" s="32" t="s">
        <v>2133</v>
      </c>
      <c r="Q911" s="32" t="s">
        <v>2112</v>
      </c>
      <c r="R911" s="0" t="str">
        <f aca="false">IF(H911="GEN","GM",H911)</f>
        <v>OPH</v>
      </c>
    </row>
    <row r="912" customFormat="false" ht="15" hidden="false" customHeight="false" outlineLevel="0" collapsed="false">
      <c r="A912" s="0" t="s">
        <v>3415</v>
      </c>
      <c r="B912" s="0" t="s">
        <v>2728</v>
      </c>
      <c r="C912" s="0" t="s">
        <v>1390</v>
      </c>
      <c r="D912" s="31" t="n">
        <v>35790</v>
      </c>
      <c r="E912" s="31" t="n">
        <v>45712</v>
      </c>
      <c r="F912" s="32" t="s">
        <v>2087</v>
      </c>
      <c r="G912" s="32" t="s">
        <v>2115</v>
      </c>
      <c r="H912" s="32" t="s">
        <v>758</v>
      </c>
      <c r="I912" s="31" t="n">
        <v>45715</v>
      </c>
      <c r="J912" s="32" t="s">
        <v>2080</v>
      </c>
      <c r="K912" s="0" t="n">
        <v>3</v>
      </c>
      <c r="L912" s="32" t="s">
        <v>2081</v>
      </c>
      <c r="M912" s="32" t="s">
        <v>2161</v>
      </c>
      <c r="N912" s="0" t="n">
        <v>3</v>
      </c>
      <c r="O912" s="32" t="s">
        <v>759</v>
      </c>
      <c r="P912" s="32" t="s">
        <v>2121</v>
      </c>
      <c r="Q912" s="32" t="s">
        <v>2138</v>
      </c>
      <c r="R912" s="0" t="str">
        <f aca="false">IF(H912="GEN","GM",H912)</f>
        <v>CS</v>
      </c>
    </row>
    <row r="913" customFormat="false" ht="15" hidden="false" customHeight="false" outlineLevel="0" collapsed="false">
      <c r="A913" s="0" t="s">
        <v>3416</v>
      </c>
      <c r="B913" s="0" t="s">
        <v>2496</v>
      </c>
      <c r="C913" s="0" t="s">
        <v>792</v>
      </c>
      <c r="D913" s="31" t="n">
        <v>17769</v>
      </c>
      <c r="E913" s="31" t="n">
        <v>45574</v>
      </c>
      <c r="F913" s="32" t="s">
        <v>2078</v>
      </c>
      <c r="G913" s="32" t="s">
        <v>2088</v>
      </c>
      <c r="H913" s="32" t="s">
        <v>826</v>
      </c>
      <c r="I913" s="31" t="n">
        <v>45576</v>
      </c>
      <c r="J913" s="32" t="s">
        <v>2160</v>
      </c>
      <c r="K913" s="0" t="n">
        <v>2</v>
      </c>
      <c r="L913" s="32" t="s">
        <v>2081</v>
      </c>
      <c r="M913" s="32" t="s">
        <v>2212</v>
      </c>
      <c r="N913" s="0" t="n">
        <v>2</v>
      </c>
      <c r="O913" s="32" t="s">
        <v>827</v>
      </c>
      <c r="P913" s="32" t="s">
        <v>2090</v>
      </c>
      <c r="Q913" s="32" t="s">
        <v>2091</v>
      </c>
      <c r="R913" s="0" t="str">
        <f aca="false">IF(H913="GEN","GM",H913)</f>
        <v>RHE</v>
      </c>
    </row>
    <row r="914" customFormat="false" ht="15" hidden="false" customHeight="false" outlineLevel="0" collapsed="false">
      <c r="A914" s="0" t="s">
        <v>3417</v>
      </c>
      <c r="B914" s="0" t="s">
        <v>2679</v>
      </c>
      <c r="C914" s="0" t="s">
        <v>918</v>
      </c>
      <c r="D914" s="31" t="n">
        <v>29337</v>
      </c>
      <c r="E914" s="31" t="n">
        <v>45700</v>
      </c>
      <c r="F914" s="32" t="s">
        <v>2078</v>
      </c>
      <c r="G914" s="32" t="s">
        <v>2088</v>
      </c>
      <c r="H914" s="32" t="s">
        <v>793</v>
      </c>
      <c r="I914" s="31" t="n">
        <v>45703</v>
      </c>
      <c r="J914" s="32" t="s">
        <v>2080</v>
      </c>
      <c r="K914" s="0" t="n">
        <v>3</v>
      </c>
      <c r="L914" s="32" t="s">
        <v>2081</v>
      </c>
      <c r="M914" s="32" t="s">
        <v>2212</v>
      </c>
      <c r="N914" s="0" t="n">
        <v>3</v>
      </c>
      <c r="O914" s="32" t="s">
        <v>794</v>
      </c>
      <c r="Q914" s="32" t="s">
        <v>2198</v>
      </c>
      <c r="R914" s="0" t="str">
        <f aca="false">IF(H914="GEN","GM",H914)</f>
        <v>EM</v>
      </c>
    </row>
    <row r="915" customFormat="false" ht="15" hidden="false" customHeight="false" outlineLevel="0" collapsed="false">
      <c r="A915" s="0" t="s">
        <v>3418</v>
      </c>
      <c r="B915" s="0" t="s">
        <v>2252</v>
      </c>
      <c r="C915" s="0" t="s">
        <v>950</v>
      </c>
      <c r="D915" s="31" t="n">
        <v>20688</v>
      </c>
      <c r="E915" s="31" t="n">
        <v>45623</v>
      </c>
      <c r="F915" s="32" t="s">
        <v>2078</v>
      </c>
      <c r="G915" s="32" t="s">
        <v>2104</v>
      </c>
      <c r="H915" s="32" t="s">
        <v>802</v>
      </c>
      <c r="I915" s="31" t="n">
        <v>45625</v>
      </c>
      <c r="J915" s="32" t="s">
        <v>2080</v>
      </c>
      <c r="K915" s="0" t="n">
        <v>2</v>
      </c>
      <c r="L915" s="32" t="s">
        <v>2081</v>
      </c>
      <c r="M915" s="32" t="s">
        <v>2089</v>
      </c>
      <c r="N915" s="0" t="n">
        <v>2</v>
      </c>
      <c r="O915" s="32" t="s">
        <v>803</v>
      </c>
      <c r="P915" s="32" t="s">
        <v>2111</v>
      </c>
      <c r="Q915" s="32" t="s">
        <v>2244</v>
      </c>
      <c r="R915" s="0" t="str">
        <f aca="false">IF(H915="GEN","GM",H915)</f>
        <v>GYN</v>
      </c>
    </row>
    <row r="916" customFormat="false" ht="15" hidden="false" customHeight="false" outlineLevel="0" collapsed="false">
      <c r="A916" s="0" t="s">
        <v>3419</v>
      </c>
      <c r="B916" s="0" t="s">
        <v>3318</v>
      </c>
      <c r="C916" s="0" t="s">
        <v>1017</v>
      </c>
      <c r="D916" s="31" t="n">
        <v>29856</v>
      </c>
      <c r="E916" s="31" t="n">
        <v>45612</v>
      </c>
      <c r="F916" s="32" t="s">
        <v>2078</v>
      </c>
      <c r="G916" s="32" t="s">
        <v>2099</v>
      </c>
      <c r="H916" s="32" t="s">
        <v>818</v>
      </c>
      <c r="I916" s="31" t="n">
        <v>45618</v>
      </c>
      <c r="J916" s="32" t="s">
        <v>2080</v>
      </c>
      <c r="K916" s="0" t="n">
        <v>6</v>
      </c>
      <c r="L916" s="32" t="s">
        <v>2081</v>
      </c>
      <c r="M916" s="32" t="s">
        <v>2116</v>
      </c>
      <c r="N916" s="0" t="n">
        <v>6</v>
      </c>
      <c r="O916" s="32" t="s">
        <v>819</v>
      </c>
      <c r="P916" s="32" t="s">
        <v>2222</v>
      </c>
      <c r="Q916" s="32" t="s">
        <v>2157</v>
      </c>
      <c r="R916" s="0" t="str">
        <f aca="false">IF(H916="GEN","GM",H916)</f>
        <v>OPH</v>
      </c>
    </row>
    <row r="917" customFormat="false" ht="15" hidden="false" customHeight="false" outlineLevel="0" collapsed="false">
      <c r="A917" s="0" t="s">
        <v>3420</v>
      </c>
      <c r="B917" s="0" t="s">
        <v>2506</v>
      </c>
      <c r="C917" s="0" t="s">
        <v>857</v>
      </c>
      <c r="D917" s="31" t="n">
        <v>21978</v>
      </c>
      <c r="E917" s="31" t="n">
        <v>45587</v>
      </c>
      <c r="F917" s="32" t="s">
        <v>2078</v>
      </c>
      <c r="G917" s="32" t="s">
        <v>2088</v>
      </c>
      <c r="H917" s="32" t="s">
        <v>793</v>
      </c>
      <c r="I917" s="31" t="n">
        <v>45593</v>
      </c>
      <c r="J917" s="32" t="s">
        <v>2080</v>
      </c>
      <c r="K917" s="0" t="n">
        <v>6</v>
      </c>
      <c r="L917" s="32" t="s">
        <v>2081</v>
      </c>
      <c r="M917" s="32" t="s">
        <v>2094</v>
      </c>
      <c r="N917" s="0" t="n">
        <v>6</v>
      </c>
      <c r="O917" s="32" t="s">
        <v>794</v>
      </c>
      <c r="P917" s="32" t="s">
        <v>2213</v>
      </c>
      <c r="Q917" s="32" t="s">
        <v>2084</v>
      </c>
      <c r="R917" s="0" t="str">
        <f aca="false">IF(H917="GEN","GM",H917)</f>
        <v>EM</v>
      </c>
    </row>
    <row r="918" customFormat="false" ht="15" hidden="false" customHeight="false" outlineLevel="0" collapsed="false">
      <c r="A918" s="0" t="s">
        <v>3421</v>
      </c>
      <c r="B918" s="0" t="s">
        <v>3289</v>
      </c>
      <c r="C918" s="0" t="s">
        <v>954</v>
      </c>
      <c r="D918" s="31" t="n">
        <v>25691</v>
      </c>
      <c r="E918" s="31" t="n">
        <v>45653</v>
      </c>
      <c r="F918" s="32" t="s">
        <v>2078</v>
      </c>
      <c r="G918" s="32" t="s">
        <v>2099</v>
      </c>
      <c r="H918" s="32" t="s">
        <v>818</v>
      </c>
      <c r="I918" s="31" t="n">
        <v>45654</v>
      </c>
      <c r="J918" s="32" t="s">
        <v>2080</v>
      </c>
      <c r="K918" s="0" t="n">
        <v>1</v>
      </c>
      <c r="L918" s="32" t="s">
        <v>2081</v>
      </c>
      <c r="M918" s="32" t="s">
        <v>2152</v>
      </c>
      <c r="N918" s="0" t="n">
        <v>1</v>
      </c>
      <c r="O918" s="32" t="s">
        <v>819</v>
      </c>
      <c r="P918" s="32" t="s">
        <v>2095</v>
      </c>
      <c r="Q918" s="32" t="s">
        <v>2170</v>
      </c>
      <c r="R918" s="0" t="str">
        <f aca="false">IF(H918="GEN","GM",H918)</f>
        <v>OPH</v>
      </c>
    </row>
    <row r="919" customFormat="false" ht="15" hidden="false" customHeight="false" outlineLevel="0" collapsed="false">
      <c r="A919" s="0" t="s">
        <v>3422</v>
      </c>
      <c r="B919" s="0" t="s">
        <v>2485</v>
      </c>
      <c r="C919" s="0" t="s">
        <v>841</v>
      </c>
      <c r="D919" s="31" t="n">
        <v>37769</v>
      </c>
      <c r="E919" s="31" t="n">
        <v>45632</v>
      </c>
      <c r="F919" s="32" t="s">
        <v>2087</v>
      </c>
      <c r="G919" s="32" t="s">
        <v>2099</v>
      </c>
      <c r="H919" s="32" t="s">
        <v>766</v>
      </c>
      <c r="I919" s="31" t="n">
        <v>45637</v>
      </c>
      <c r="J919" s="32" t="s">
        <v>2080</v>
      </c>
      <c r="K919" s="0" t="n">
        <v>5</v>
      </c>
      <c r="L919" s="32" t="s">
        <v>2081</v>
      </c>
      <c r="M919" s="32" t="s">
        <v>2227</v>
      </c>
      <c r="N919" s="0" t="n">
        <v>4</v>
      </c>
      <c r="O919" s="32" t="s">
        <v>767</v>
      </c>
      <c r="P919" s="32" t="s">
        <v>2222</v>
      </c>
      <c r="Q919" s="32" t="s">
        <v>2241</v>
      </c>
      <c r="R919" s="0" t="str">
        <f aca="false">IF(H919="GEN","GM",H919)</f>
        <v>OR</v>
      </c>
    </row>
    <row r="920" customFormat="false" ht="15" hidden="false" customHeight="false" outlineLevel="0" collapsed="false">
      <c r="A920" s="0" t="s">
        <v>3423</v>
      </c>
      <c r="B920" s="0" t="s">
        <v>3424</v>
      </c>
      <c r="C920" s="0" t="s">
        <v>792</v>
      </c>
      <c r="D920" s="31" t="n">
        <v>13353</v>
      </c>
      <c r="E920" s="31" t="n">
        <v>45720</v>
      </c>
      <c r="F920" s="32" t="s">
        <v>2087</v>
      </c>
      <c r="G920" s="32" t="s">
        <v>2079</v>
      </c>
      <c r="H920" s="32" t="s">
        <v>776</v>
      </c>
      <c r="I920" s="31" t="n">
        <v>45723</v>
      </c>
      <c r="J920" s="32" t="s">
        <v>2080</v>
      </c>
      <c r="K920" s="0" t="n">
        <v>3</v>
      </c>
      <c r="L920" s="32" t="s">
        <v>2081</v>
      </c>
      <c r="M920" s="32" t="s">
        <v>2152</v>
      </c>
      <c r="N920" s="0" t="n">
        <v>3</v>
      </c>
      <c r="O920" s="32" t="s">
        <v>777</v>
      </c>
      <c r="P920" s="32" t="s">
        <v>2222</v>
      </c>
      <c r="Q920" s="32" t="s">
        <v>2157</v>
      </c>
      <c r="R920" s="0" t="str">
        <f aca="false">IF(H920="GEN","GM",H920)</f>
        <v>GS</v>
      </c>
    </row>
    <row r="921" customFormat="false" ht="15" hidden="false" customHeight="false" outlineLevel="0" collapsed="false">
      <c r="A921" s="0" t="s">
        <v>3425</v>
      </c>
      <c r="B921" s="0" t="s">
        <v>2235</v>
      </c>
      <c r="C921" s="0" t="s">
        <v>2178</v>
      </c>
      <c r="D921" s="31" t="n">
        <v>23019</v>
      </c>
      <c r="E921" s="31" t="n">
        <v>45631</v>
      </c>
      <c r="F921" s="32" t="s">
        <v>2087</v>
      </c>
      <c r="G921" s="32" t="s">
        <v>2124</v>
      </c>
      <c r="H921" s="32" t="s">
        <v>785</v>
      </c>
      <c r="I921" s="31" t="n">
        <v>45636</v>
      </c>
      <c r="J921" s="32" t="s">
        <v>2080</v>
      </c>
      <c r="K921" s="0" t="n">
        <v>5</v>
      </c>
      <c r="L921" s="32" t="s">
        <v>2081</v>
      </c>
      <c r="M921" s="32" t="s">
        <v>2141</v>
      </c>
      <c r="N921" s="0" t="n">
        <v>5</v>
      </c>
      <c r="O921" s="32" t="s">
        <v>786</v>
      </c>
      <c r="P921" s="32" t="s">
        <v>2213</v>
      </c>
      <c r="Q921" s="32" t="s">
        <v>2112</v>
      </c>
      <c r="R921" s="0" t="str">
        <f aca="false">IF(H921="GEN","GM",H921)</f>
        <v>RS</v>
      </c>
    </row>
    <row r="922" customFormat="false" ht="15" hidden="false" customHeight="false" outlineLevel="0" collapsed="false">
      <c r="A922" s="0" t="s">
        <v>3426</v>
      </c>
      <c r="B922" s="0" t="s">
        <v>2310</v>
      </c>
      <c r="C922" s="0" t="s">
        <v>757</v>
      </c>
      <c r="D922" s="31" t="n">
        <v>23502</v>
      </c>
      <c r="E922" s="31" t="n">
        <v>45579</v>
      </c>
      <c r="F922" s="32" t="s">
        <v>2078</v>
      </c>
      <c r="G922" s="32" t="s">
        <v>2115</v>
      </c>
      <c r="H922" s="32" t="s">
        <v>758</v>
      </c>
      <c r="I922" s="31" t="n">
        <v>45580</v>
      </c>
      <c r="J922" s="32" t="s">
        <v>2080</v>
      </c>
      <c r="K922" s="0" t="n">
        <v>1</v>
      </c>
      <c r="L922" s="32" t="s">
        <v>2081</v>
      </c>
      <c r="M922" s="32" t="s">
        <v>2141</v>
      </c>
      <c r="N922" s="0" t="n">
        <v>1</v>
      </c>
      <c r="O922" s="32" t="s">
        <v>759</v>
      </c>
      <c r="P922" s="32" t="s">
        <v>2101</v>
      </c>
      <c r="Q922" s="32" t="s">
        <v>2259</v>
      </c>
      <c r="R922" s="0" t="str">
        <f aca="false">IF(H922="GEN","GM",H922)</f>
        <v>CS</v>
      </c>
    </row>
    <row r="923" customFormat="false" ht="15" hidden="false" customHeight="false" outlineLevel="0" collapsed="false">
      <c r="A923" s="0" t="s">
        <v>3427</v>
      </c>
      <c r="B923" s="0" t="s">
        <v>2218</v>
      </c>
      <c r="C923" s="0" t="s">
        <v>997</v>
      </c>
      <c r="D923" s="31" t="n">
        <v>19151</v>
      </c>
      <c r="E923" s="31" t="n">
        <v>45572</v>
      </c>
      <c r="F923" s="32" t="s">
        <v>2258</v>
      </c>
      <c r="G923" s="32" t="s">
        <v>2099</v>
      </c>
      <c r="H923" s="32" t="s">
        <v>766</v>
      </c>
      <c r="I923" s="31" t="n">
        <v>45575</v>
      </c>
      <c r="J923" s="32" t="s">
        <v>2368</v>
      </c>
      <c r="K923" s="0" t="n">
        <v>3</v>
      </c>
      <c r="L923" s="32" t="s">
        <v>2081</v>
      </c>
      <c r="M923" s="32" t="s">
        <v>2212</v>
      </c>
      <c r="N923" s="0" t="n">
        <v>3</v>
      </c>
      <c r="O923" s="32" t="s">
        <v>767</v>
      </c>
      <c r="P923" s="32" t="s">
        <v>2222</v>
      </c>
      <c r="Q923" s="32" t="s">
        <v>2096</v>
      </c>
      <c r="R923" s="0" t="str">
        <f aca="false">IF(H923="GEN","GM",H923)</f>
        <v>OR</v>
      </c>
    </row>
    <row r="924" customFormat="false" ht="15" hidden="false" customHeight="false" outlineLevel="0" collapsed="false">
      <c r="A924" s="0" t="s">
        <v>3428</v>
      </c>
      <c r="B924" s="0" t="s">
        <v>2177</v>
      </c>
      <c r="C924" s="0" t="s">
        <v>1005</v>
      </c>
      <c r="D924" s="31" t="n">
        <v>29806</v>
      </c>
      <c r="E924" s="31" t="n">
        <v>45712</v>
      </c>
      <c r="F924" s="32" t="s">
        <v>2087</v>
      </c>
      <c r="G924" s="32" t="s">
        <v>2124</v>
      </c>
      <c r="H924" s="32" t="s">
        <v>785</v>
      </c>
      <c r="I924" s="31" t="n">
        <v>45714</v>
      </c>
      <c r="J924" s="32" t="s">
        <v>2080</v>
      </c>
      <c r="K924" s="0" t="n">
        <v>2</v>
      </c>
      <c r="L924" s="32" t="s">
        <v>2081</v>
      </c>
      <c r="M924" s="32" t="s">
        <v>2152</v>
      </c>
      <c r="N924" s="0" t="n">
        <v>2</v>
      </c>
      <c r="O924" s="32" t="s">
        <v>786</v>
      </c>
      <c r="P924" s="32" t="s">
        <v>2238</v>
      </c>
      <c r="Q924" s="32" t="s">
        <v>2112</v>
      </c>
      <c r="R924" s="0" t="str">
        <f aca="false">IF(H924="GEN","GM",H924)</f>
        <v>RS</v>
      </c>
    </row>
    <row r="925" customFormat="false" ht="15" hidden="false" customHeight="false" outlineLevel="0" collapsed="false">
      <c r="A925" s="0" t="s">
        <v>3429</v>
      </c>
      <c r="B925" s="0" t="s">
        <v>2494</v>
      </c>
      <c r="C925" s="0" t="s">
        <v>1398</v>
      </c>
      <c r="D925" s="31" t="n">
        <v>13251</v>
      </c>
      <c r="E925" s="31" t="n">
        <v>45690</v>
      </c>
      <c r="F925" s="32" t="s">
        <v>2087</v>
      </c>
      <c r="G925" s="32" t="s">
        <v>2079</v>
      </c>
      <c r="H925" s="32" t="s">
        <v>810</v>
      </c>
      <c r="I925" s="31" t="n">
        <v>45695</v>
      </c>
      <c r="J925" s="32" t="s">
        <v>2080</v>
      </c>
      <c r="K925" s="0" t="n">
        <v>5</v>
      </c>
      <c r="L925" s="32" t="s">
        <v>2081</v>
      </c>
      <c r="M925" s="32" t="s">
        <v>2227</v>
      </c>
      <c r="N925" s="0" t="n">
        <v>4</v>
      </c>
      <c r="O925" s="32" t="s">
        <v>811</v>
      </c>
      <c r="P925" s="32" t="s">
        <v>2133</v>
      </c>
      <c r="Q925" s="32" t="s">
        <v>2084</v>
      </c>
      <c r="R925" s="0" t="str">
        <f aca="false">IF(H925="GEN","GM",H925)</f>
        <v>URO</v>
      </c>
    </row>
    <row r="926" customFormat="false" ht="15" hidden="false" customHeight="false" outlineLevel="0" collapsed="false">
      <c r="A926" s="0" t="s">
        <v>3430</v>
      </c>
      <c r="B926" s="0" t="s">
        <v>2357</v>
      </c>
      <c r="C926" s="0" t="s">
        <v>958</v>
      </c>
      <c r="D926" s="31" t="n">
        <v>22386</v>
      </c>
      <c r="E926" s="31" t="n">
        <v>45683</v>
      </c>
      <c r="F926" s="32" t="s">
        <v>2078</v>
      </c>
      <c r="G926" s="32" t="s">
        <v>2099</v>
      </c>
      <c r="H926" s="32" t="s">
        <v>818</v>
      </c>
      <c r="I926" s="31" t="n">
        <v>45685</v>
      </c>
      <c r="J926" s="32" t="s">
        <v>2080</v>
      </c>
      <c r="K926" s="0" t="n">
        <v>2</v>
      </c>
      <c r="L926" s="32" t="s">
        <v>2081</v>
      </c>
      <c r="M926" s="32" t="s">
        <v>2128</v>
      </c>
      <c r="N926" s="0" t="n">
        <v>2</v>
      </c>
      <c r="O926" s="32" t="s">
        <v>819</v>
      </c>
      <c r="P926" s="32" t="s">
        <v>2149</v>
      </c>
      <c r="Q926" s="32" t="s">
        <v>2107</v>
      </c>
      <c r="R926" s="0" t="str">
        <f aca="false">IF(H926="GEN","GM",H926)</f>
        <v>OPH</v>
      </c>
    </row>
    <row r="927" customFormat="false" ht="15" hidden="false" customHeight="false" outlineLevel="0" collapsed="false">
      <c r="A927" s="0" t="s">
        <v>3431</v>
      </c>
      <c r="B927" s="0" t="s">
        <v>2991</v>
      </c>
      <c r="C927" s="0" t="s">
        <v>792</v>
      </c>
      <c r="D927" s="31" t="n">
        <v>23473</v>
      </c>
      <c r="E927" s="31" t="n">
        <v>45693</v>
      </c>
      <c r="F927" s="32" t="s">
        <v>2078</v>
      </c>
      <c r="G927" s="32" t="s">
        <v>2079</v>
      </c>
      <c r="H927" s="32" t="s">
        <v>810</v>
      </c>
      <c r="I927" s="31" t="n">
        <v>45698</v>
      </c>
      <c r="J927" s="32" t="s">
        <v>2368</v>
      </c>
      <c r="K927" s="0" t="n">
        <v>5</v>
      </c>
      <c r="L927" s="32" t="s">
        <v>2081</v>
      </c>
      <c r="M927" s="32" t="s">
        <v>2136</v>
      </c>
      <c r="N927" s="0" t="n">
        <v>5</v>
      </c>
      <c r="O927" s="32" t="s">
        <v>811</v>
      </c>
      <c r="P927" s="32" t="s">
        <v>2162</v>
      </c>
      <c r="Q927" s="32" t="s">
        <v>2259</v>
      </c>
      <c r="R927" s="0" t="str">
        <f aca="false">IF(H927="GEN","GM",H927)</f>
        <v>URO</v>
      </c>
    </row>
    <row r="928" customFormat="false" ht="15" hidden="false" customHeight="false" outlineLevel="0" collapsed="false">
      <c r="A928" s="0" t="s">
        <v>3432</v>
      </c>
      <c r="B928" s="0" t="s">
        <v>2823</v>
      </c>
      <c r="C928" s="0" t="s">
        <v>942</v>
      </c>
      <c r="D928" s="31" t="n">
        <v>20303</v>
      </c>
      <c r="E928" s="31" t="n">
        <v>45642</v>
      </c>
      <c r="F928" s="32" t="s">
        <v>2087</v>
      </c>
      <c r="G928" s="32" t="s">
        <v>2088</v>
      </c>
      <c r="H928" s="32" t="s">
        <v>793</v>
      </c>
      <c r="I928" s="31" t="n">
        <v>45649</v>
      </c>
      <c r="J928" s="32" t="s">
        <v>2080</v>
      </c>
      <c r="K928" s="0" t="n">
        <v>7</v>
      </c>
      <c r="L928" s="32" t="s">
        <v>2081</v>
      </c>
      <c r="M928" s="32" t="s">
        <v>2195</v>
      </c>
      <c r="N928" s="0" t="n">
        <v>7</v>
      </c>
      <c r="O928" s="32" t="s">
        <v>794</v>
      </c>
      <c r="P928" s="32" t="s">
        <v>2175</v>
      </c>
      <c r="Q928" s="32" t="s">
        <v>2153</v>
      </c>
      <c r="R928" s="0" t="str">
        <f aca="false">IF(H928="GEN","GM",H928)</f>
        <v>EM</v>
      </c>
    </row>
    <row r="929" customFormat="false" ht="15" hidden="false" customHeight="false" outlineLevel="0" collapsed="false">
      <c r="A929" s="0" t="s">
        <v>3433</v>
      </c>
      <c r="B929" s="0" t="s">
        <v>2800</v>
      </c>
      <c r="C929" s="0" t="s">
        <v>870</v>
      </c>
      <c r="D929" s="31" t="n">
        <v>20658</v>
      </c>
      <c r="E929" s="31" t="n">
        <v>45632</v>
      </c>
      <c r="F929" s="32" t="s">
        <v>2087</v>
      </c>
      <c r="G929" s="32" t="s">
        <v>2088</v>
      </c>
      <c r="H929" s="32" t="s">
        <v>747</v>
      </c>
      <c r="I929" s="31" t="n">
        <v>45643</v>
      </c>
      <c r="J929" s="32" t="s">
        <v>2368</v>
      </c>
      <c r="K929" s="0" t="n">
        <v>11</v>
      </c>
      <c r="L929" s="32" t="s">
        <v>2081</v>
      </c>
      <c r="M929" s="32" t="s">
        <v>2255</v>
      </c>
      <c r="N929" s="0" t="n">
        <v>11</v>
      </c>
      <c r="O929" s="32" t="s">
        <v>748</v>
      </c>
      <c r="P929" s="32" t="s">
        <v>2222</v>
      </c>
      <c r="Q929" s="32" t="s">
        <v>2118</v>
      </c>
      <c r="R929" s="0" t="str">
        <f aca="false">IF(H929="GEN","GM",H929)</f>
        <v>GM</v>
      </c>
    </row>
    <row r="930" customFormat="false" ht="15" hidden="false" customHeight="false" outlineLevel="0" collapsed="false">
      <c r="A930" s="0" t="s">
        <v>3434</v>
      </c>
      <c r="B930" s="0" t="s">
        <v>2913</v>
      </c>
      <c r="C930" s="0" t="s">
        <v>1021</v>
      </c>
      <c r="D930" s="31" t="n">
        <v>33465</v>
      </c>
      <c r="E930" s="31" t="n">
        <v>45670</v>
      </c>
      <c r="F930" s="32" t="s">
        <v>2087</v>
      </c>
      <c r="G930" s="32" t="s">
        <v>2079</v>
      </c>
      <c r="H930" s="32" t="s">
        <v>776</v>
      </c>
      <c r="I930" s="31" t="n">
        <v>45672</v>
      </c>
      <c r="J930" s="32" t="s">
        <v>2080</v>
      </c>
      <c r="K930" s="0" t="n">
        <v>2</v>
      </c>
      <c r="L930" s="32" t="s">
        <v>2081</v>
      </c>
      <c r="M930" s="32" t="s">
        <v>2136</v>
      </c>
      <c r="N930" s="0" t="n">
        <v>2</v>
      </c>
      <c r="O930" s="32" t="s">
        <v>777</v>
      </c>
      <c r="P930" s="32" t="s">
        <v>2175</v>
      </c>
      <c r="Q930" s="32" t="s">
        <v>2259</v>
      </c>
      <c r="R930" s="0" t="str">
        <f aca="false">IF(H930="GEN","GM",H930)</f>
        <v>GS</v>
      </c>
    </row>
    <row r="931" customFormat="false" ht="15" hidden="false" customHeight="false" outlineLevel="0" collapsed="false">
      <c r="A931" s="0" t="s">
        <v>3435</v>
      </c>
      <c r="B931" s="0" t="s">
        <v>2462</v>
      </c>
      <c r="C931" s="0" t="s">
        <v>784</v>
      </c>
      <c r="D931" s="31" t="n">
        <v>32041</v>
      </c>
      <c r="E931" s="31" t="n">
        <v>45579</v>
      </c>
      <c r="F931" s="32" t="s">
        <v>2087</v>
      </c>
      <c r="G931" s="32" t="s">
        <v>2079</v>
      </c>
      <c r="H931" s="32" t="s">
        <v>776</v>
      </c>
      <c r="I931" s="31" t="n">
        <v>45586</v>
      </c>
      <c r="J931" s="32" t="s">
        <v>2080</v>
      </c>
      <c r="K931" s="0" t="n">
        <v>7</v>
      </c>
      <c r="L931" s="32" t="s">
        <v>2081</v>
      </c>
      <c r="M931" s="32" t="s">
        <v>2227</v>
      </c>
      <c r="N931" s="0" t="n">
        <v>7</v>
      </c>
      <c r="O931" s="32" t="s">
        <v>777</v>
      </c>
      <c r="P931" s="32" t="s">
        <v>2213</v>
      </c>
      <c r="R931" s="0" t="str">
        <f aca="false">IF(H931="GEN","GM",H931)</f>
        <v>GS</v>
      </c>
    </row>
    <row r="932" customFormat="false" ht="15" hidden="false" customHeight="false" outlineLevel="0" collapsed="false">
      <c r="A932" s="0" t="s">
        <v>3436</v>
      </c>
      <c r="B932" s="0" t="s">
        <v>2850</v>
      </c>
      <c r="C932" s="0" t="s">
        <v>857</v>
      </c>
      <c r="D932" s="31" t="n">
        <v>21716</v>
      </c>
      <c r="E932" s="31" t="n">
        <v>45653</v>
      </c>
      <c r="F932" s="32" t="s">
        <v>2087</v>
      </c>
      <c r="G932" s="32" t="s">
        <v>2088</v>
      </c>
      <c r="H932" s="32" t="s">
        <v>826</v>
      </c>
      <c r="I932" s="31" t="n">
        <v>45655</v>
      </c>
      <c r="J932" s="32" t="s">
        <v>2160</v>
      </c>
      <c r="K932" s="0" t="n">
        <v>2</v>
      </c>
      <c r="L932" s="32" t="s">
        <v>2081</v>
      </c>
      <c r="M932" s="32" t="s">
        <v>2152</v>
      </c>
      <c r="N932" s="0" t="n">
        <v>2</v>
      </c>
      <c r="O932" s="32" t="s">
        <v>827</v>
      </c>
      <c r="P932" s="32" t="s">
        <v>2083</v>
      </c>
      <c r="Q932" s="32" t="s">
        <v>2107</v>
      </c>
      <c r="R932" s="0" t="str">
        <f aca="false">IF(H932="GEN","GM",H932)</f>
        <v>RHE</v>
      </c>
    </row>
    <row r="933" customFormat="false" ht="15" hidden="false" customHeight="false" outlineLevel="0" collapsed="false">
      <c r="A933" s="0" t="s">
        <v>3437</v>
      </c>
      <c r="B933" s="0" t="s">
        <v>2794</v>
      </c>
      <c r="C933" s="0" t="s">
        <v>1453</v>
      </c>
      <c r="D933" s="31" t="n">
        <v>13276</v>
      </c>
      <c r="E933" s="31" t="n">
        <v>45629</v>
      </c>
      <c r="F933" s="32" t="s">
        <v>2078</v>
      </c>
      <c r="G933" s="32" t="s">
        <v>2099</v>
      </c>
      <c r="H933" s="32" t="s">
        <v>766</v>
      </c>
      <c r="I933" s="31" t="n">
        <v>45637</v>
      </c>
      <c r="J933" s="32" t="s">
        <v>2307</v>
      </c>
      <c r="K933" s="0" t="n">
        <v>8</v>
      </c>
      <c r="L933" s="32" t="s">
        <v>2081</v>
      </c>
      <c r="M933" s="32" t="s">
        <v>2152</v>
      </c>
      <c r="N933" s="0" t="n">
        <v>8</v>
      </c>
      <c r="P933" s="32" t="s">
        <v>2149</v>
      </c>
      <c r="Q933" s="32" t="s">
        <v>2091</v>
      </c>
      <c r="R933" s="0" t="str">
        <f aca="false">IF(H933="GEN","GM",H933)</f>
        <v>OR</v>
      </c>
    </row>
    <row r="934" customFormat="false" ht="15" hidden="false" customHeight="false" outlineLevel="0" collapsed="false">
      <c r="A934" s="0" t="s">
        <v>3438</v>
      </c>
      <c r="B934" s="0" t="s">
        <v>2690</v>
      </c>
      <c r="C934" s="0" t="s">
        <v>857</v>
      </c>
      <c r="D934" s="31" t="n">
        <v>20493</v>
      </c>
      <c r="E934" s="31" t="n">
        <v>45649</v>
      </c>
      <c r="F934" s="32" t="s">
        <v>2087</v>
      </c>
      <c r="G934" s="32" t="s">
        <v>2115</v>
      </c>
      <c r="H934" s="32" t="s">
        <v>758</v>
      </c>
      <c r="I934" s="31" t="n">
        <v>45653</v>
      </c>
      <c r="J934" s="32" t="s">
        <v>2105</v>
      </c>
      <c r="K934" s="0" t="n">
        <v>4</v>
      </c>
      <c r="L934" s="32" t="s">
        <v>2081</v>
      </c>
      <c r="M934" s="32" t="s">
        <v>2100</v>
      </c>
      <c r="N934" s="0" t="n">
        <v>4</v>
      </c>
      <c r="O934" s="32" t="s">
        <v>759</v>
      </c>
      <c r="P934" s="32" t="s">
        <v>2222</v>
      </c>
      <c r="Q934" s="32" t="s">
        <v>2241</v>
      </c>
      <c r="R934" s="0" t="str">
        <f aca="false">IF(H934="GEN","GM",H934)</f>
        <v>CS</v>
      </c>
    </row>
    <row r="935" customFormat="false" ht="15" hidden="false" customHeight="false" outlineLevel="0" collapsed="false">
      <c r="A935" s="0" t="s">
        <v>3439</v>
      </c>
      <c r="B935" s="0" t="s">
        <v>2723</v>
      </c>
      <c r="C935" s="0" t="s">
        <v>950</v>
      </c>
      <c r="D935" s="31" t="n">
        <v>29773</v>
      </c>
      <c r="E935" s="31" t="n">
        <v>45675</v>
      </c>
      <c r="F935" s="32" t="s">
        <v>2087</v>
      </c>
      <c r="G935" s="32" t="s">
        <v>2088</v>
      </c>
      <c r="H935" s="32" t="s">
        <v>826</v>
      </c>
      <c r="I935" s="31" t="n">
        <v>45675</v>
      </c>
      <c r="J935" s="32" t="s">
        <v>2368</v>
      </c>
      <c r="K935" s="0" t="n">
        <v>0</v>
      </c>
      <c r="L935" s="32" t="s">
        <v>2081</v>
      </c>
      <c r="M935" s="32" t="s">
        <v>2100</v>
      </c>
      <c r="N935" s="0" t="n">
        <v>0</v>
      </c>
      <c r="O935" s="32" t="s">
        <v>827</v>
      </c>
      <c r="P935" s="32" t="s">
        <v>2142</v>
      </c>
      <c r="Q935" s="32" t="s">
        <v>2125</v>
      </c>
      <c r="R935" s="0" t="str">
        <f aca="false">IF(H935="GEN","GM",H935)</f>
        <v>RHE</v>
      </c>
    </row>
    <row r="936" customFormat="false" ht="15" hidden="false" customHeight="false" outlineLevel="0" collapsed="false">
      <c r="A936" s="0" t="s">
        <v>3440</v>
      </c>
      <c r="B936" s="0" t="s">
        <v>2449</v>
      </c>
      <c r="C936" s="0" t="s">
        <v>874</v>
      </c>
      <c r="D936" s="31" t="n">
        <v>12839</v>
      </c>
      <c r="E936" s="31" t="n">
        <v>45693</v>
      </c>
      <c r="F936" s="32" t="s">
        <v>2087</v>
      </c>
      <c r="G936" s="32" t="s">
        <v>2124</v>
      </c>
      <c r="H936" s="32" t="s">
        <v>785</v>
      </c>
      <c r="I936" s="31" t="n">
        <v>45698</v>
      </c>
      <c r="J936" s="32" t="s">
        <v>2080</v>
      </c>
      <c r="K936" s="0" t="n">
        <v>5</v>
      </c>
      <c r="L936" s="32" t="s">
        <v>2081</v>
      </c>
      <c r="M936" s="32" t="s">
        <v>2141</v>
      </c>
      <c r="N936" s="0" t="n">
        <v>5</v>
      </c>
      <c r="O936" s="32" t="s">
        <v>786</v>
      </c>
      <c r="P936" s="32" t="s">
        <v>2175</v>
      </c>
      <c r="Q936" s="32" t="s">
        <v>2190</v>
      </c>
      <c r="R936" s="0" t="str">
        <f aca="false">IF(H936="GEN","GM",H936)</f>
        <v>RS</v>
      </c>
    </row>
    <row r="937" customFormat="false" ht="15" hidden="false" customHeight="false" outlineLevel="0" collapsed="false">
      <c r="A937" s="0" t="s">
        <v>3441</v>
      </c>
      <c r="B937" s="0" t="s">
        <v>3442</v>
      </c>
      <c r="C937" s="0" t="s">
        <v>878</v>
      </c>
      <c r="D937" s="31" t="n">
        <v>15094</v>
      </c>
      <c r="E937" s="31" t="n">
        <v>45614</v>
      </c>
      <c r="F937" s="32" t="s">
        <v>2087</v>
      </c>
      <c r="G937" s="32" t="s">
        <v>2088</v>
      </c>
      <c r="H937" s="32" t="s">
        <v>793</v>
      </c>
      <c r="I937" s="31" t="n">
        <v>45616</v>
      </c>
      <c r="J937" s="32" t="s">
        <v>2105</v>
      </c>
      <c r="K937" s="0" t="n">
        <v>2</v>
      </c>
      <c r="L937" s="32" t="s">
        <v>2081</v>
      </c>
      <c r="M937" s="32" t="s">
        <v>2141</v>
      </c>
      <c r="N937" s="0" t="n">
        <v>2</v>
      </c>
      <c r="O937" s="32" t="s">
        <v>794</v>
      </c>
      <c r="P937" s="32" t="s">
        <v>2238</v>
      </c>
      <c r="Q937" s="32" t="s">
        <v>2084</v>
      </c>
      <c r="R937" s="0" t="str">
        <f aca="false">IF(H937="GEN","GM",H937)</f>
        <v>EM</v>
      </c>
    </row>
    <row r="938" customFormat="false" ht="15" hidden="false" customHeight="false" outlineLevel="0" collapsed="false">
      <c r="A938" s="0" t="s">
        <v>3443</v>
      </c>
      <c r="B938" s="0" t="s">
        <v>3444</v>
      </c>
      <c r="C938" s="0" t="s">
        <v>1001</v>
      </c>
      <c r="D938" s="31" t="n">
        <v>35470</v>
      </c>
      <c r="E938" s="31" t="n">
        <v>45590</v>
      </c>
      <c r="F938" s="32" t="s">
        <v>2087</v>
      </c>
      <c r="G938" s="32" t="s">
        <v>2115</v>
      </c>
      <c r="H938" s="32" t="s">
        <v>758</v>
      </c>
      <c r="I938" s="31" t="n">
        <v>45593</v>
      </c>
      <c r="J938" s="32" t="s">
        <v>2080</v>
      </c>
      <c r="K938" s="0" t="n">
        <v>3</v>
      </c>
      <c r="L938" s="32" t="s">
        <v>2106</v>
      </c>
      <c r="M938" s="32" t="s">
        <v>2286</v>
      </c>
      <c r="N938" s="0" t="n">
        <v>3</v>
      </c>
      <c r="O938" s="32" t="s">
        <v>759</v>
      </c>
      <c r="P938" s="32" t="s">
        <v>2179</v>
      </c>
      <c r="Q938" s="32" t="s">
        <v>2259</v>
      </c>
      <c r="R938" s="0" t="str">
        <f aca="false">IF(H938="GEN","GM",H938)</f>
        <v>CS</v>
      </c>
    </row>
    <row r="939" customFormat="false" ht="15" hidden="false" customHeight="false" outlineLevel="0" collapsed="false">
      <c r="A939" s="0" t="s">
        <v>3445</v>
      </c>
      <c r="B939" s="0" t="s">
        <v>3211</v>
      </c>
      <c r="C939" s="0" t="s">
        <v>857</v>
      </c>
      <c r="D939" s="31" t="n">
        <v>23855</v>
      </c>
      <c r="E939" s="31" t="n">
        <v>45688</v>
      </c>
      <c r="F939" s="32" t="s">
        <v>2078</v>
      </c>
      <c r="G939" s="32" t="s">
        <v>2088</v>
      </c>
      <c r="H939" s="32" t="s">
        <v>747</v>
      </c>
      <c r="I939" s="31" t="n">
        <v>45691</v>
      </c>
      <c r="J939" s="32" t="s">
        <v>2080</v>
      </c>
      <c r="K939" s="0" t="n">
        <v>3</v>
      </c>
      <c r="L939" s="32" t="s">
        <v>2081</v>
      </c>
      <c r="M939" s="32" t="s">
        <v>2286</v>
      </c>
      <c r="N939" s="0" t="n">
        <v>3</v>
      </c>
      <c r="O939" s="32" t="s">
        <v>748</v>
      </c>
      <c r="P939" s="32" t="s">
        <v>2162</v>
      </c>
      <c r="Q939" s="32" t="s">
        <v>2198</v>
      </c>
      <c r="R939" s="0" t="str">
        <f aca="false">IF(H939="GEN","GM",H939)</f>
        <v>GM</v>
      </c>
    </row>
    <row r="940" customFormat="false" ht="15" hidden="false" customHeight="false" outlineLevel="0" collapsed="false">
      <c r="A940" s="0" t="s">
        <v>3446</v>
      </c>
      <c r="B940" s="0" t="s">
        <v>3185</v>
      </c>
      <c r="C940" s="0" t="s">
        <v>1033</v>
      </c>
      <c r="D940" s="31" t="n">
        <v>28347</v>
      </c>
      <c r="E940" s="31" t="n">
        <v>45685</v>
      </c>
      <c r="F940" s="32" t="s">
        <v>2087</v>
      </c>
      <c r="G940" s="32" t="s">
        <v>2124</v>
      </c>
      <c r="H940" s="32" t="s">
        <v>785</v>
      </c>
      <c r="I940" s="31" t="n">
        <v>45692</v>
      </c>
      <c r="J940" s="32" t="s">
        <v>2080</v>
      </c>
      <c r="K940" s="0" t="n">
        <v>7</v>
      </c>
      <c r="L940" s="32" t="s">
        <v>2081</v>
      </c>
      <c r="M940" s="32" t="s">
        <v>2128</v>
      </c>
      <c r="N940" s="0" t="n">
        <v>7</v>
      </c>
      <c r="O940" s="32" t="s">
        <v>786</v>
      </c>
      <c r="P940" s="32" t="s">
        <v>2137</v>
      </c>
      <c r="Q940" s="32" t="s">
        <v>2129</v>
      </c>
      <c r="R940" s="0" t="str">
        <f aca="false">IF(H940="GEN","GM",H940)</f>
        <v>RS</v>
      </c>
    </row>
    <row r="941" customFormat="false" ht="15" hidden="false" customHeight="false" outlineLevel="0" collapsed="false">
      <c r="A941" s="0" t="s">
        <v>3447</v>
      </c>
      <c r="B941" s="0" t="s">
        <v>3084</v>
      </c>
      <c r="C941" s="0" t="s">
        <v>1398</v>
      </c>
      <c r="D941" s="31" t="n">
        <v>20585</v>
      </c>
      <c r="E941" s="31" t="n">
        <v>45684</v>
      </c>
      <c r="F941" s="32" t="s">
        <v>2078</v>
      </c>
      <c r="G941" s="32" t="s">
        <v>2088</v>
      </c>
      <c r="H941" s="32" t="s">
        <v>793</v>
      </c>
      <c r="I941" s="31" t="n">
        <v>45687</v>
      </c>
      <c r="J941" s="32" t="s">
        <v>2080</v>
      </c>
      <c r="K941" s="0" t="n">
        <v>3</v>
      </c>
      <c r="L941" s="32" t="s">
        <v>2081</v>
      </c>
      <c r="M941" s="32" t="s">
        <v>2116</v>
      </c>
      <c r="N941" s="0" t="n">
        <v>3</v>
      </c>
      <c r="O941" s="32" t="s">
        <v>794</v>
      </c>
      <c r="P941" s="32" t="s">
        <v>2179</v>
      </c>
      <c r="Q941" s="32" t="s">
        <v>2190</v>
      </c>
      <c r="R941" s="0" t="str">
        <f aca="false">IF(H941="GEN","GM",H941)</f>
        <v>EM</v>
      </c>
    </row>
    <row r="942" customFormat="false" ht="15" hidden="false" customHeight="false" outlineLevel="0" collapsed="false">
      <c r="A942" s="0" t="s">
        <v>3448</v>
      </c>
      <c r="B942" s="0" t="s">
        <v>3449</v>
      </c>
      <c r="C942" s="0" t="s">
        <v>930</v>
      </c>
      <c r="D942" s="31" t="n">
        <v>37926</v>
      </c>
      <c r="E942" s="31" t="n">
        <v>45578</v>
      </c>
      <c r="F942" s="32" t="s">
        <v>2087</v>
      </c>
      <c r="G942" s="32" t="s">
        <v>2104</v>
      </c>
      <c r="H942" s="32" t="s">
        <v>802</v>
      </c>
      <c r="L942" s="32" t="s">
        <v>2081</v>
      </c>
      <c r="M942" s="32" t="s">
        <v>2100</v>
      </c>
      <c r="O942" s="32" t="s">
        <v>803</v>
      </c>
      <c r="P942" s="32" t="s">
        <v>2182</v>
      </c>
      <c r="Q942" s="32" t="s">
        <v>2118</v>
      </c>
      <c r="R942" s="0" t="str">
        <f aca="false">IF(H942="GEN","GM",H942)</f>
        <v>GYN</v>
      </c>
    </row>
    <row r="943" customFormat="false" ht="15" hidden="false" customHeight="false" outlineLevel="0" collapsed="false">
      <c r="A943" s="0" t="s">
        <v>3450</v>
      </c>
      <c r="B943" s="0" t="s">
        <v>2550</v>
      </c>
      <c r="C943" s="0" t="s">
        <v>862</v>
      </c>
      <c r="D943" s="31" t="n">
        <v>18788</v>
      </c>
      <c r="E943" s="31" t="n">
        <v>45587</v>
      </c>
      <c r="F943" s="32" t="s">
        <v>2087</v>
      </c>
      <c r="G943" s="32" t="s">
        <v>2088</v>
      </c>
      <c r="H943" s="32" t="s">
        <v>826</v>
      </c>
      <c r="I943" s="31" t="n">
        <v>45593</v>
      </c>
      <c r="J943" s="32" t="s">
        <v>2105</v>
      </c>
      <c r="K943" s="0" t="n">
        <v>6</v>
      </c>
      <c r="L943" s="32" t="s">
        <v>2081</v>
      </c>
      <c r="M943" s="32" t="s">
        <v>2082</v>
      </c>
      <c r="N943" s="0" t="n">
        <v>6</v>
      </c>
      <c r="O943" s="32" t="s">
        <v>827</v>
      </c>
      <c r="P943" s="32" t="s">
        <v>2101</v>
      </c>
      <c r="Q943" s="32" t="s">
        <v>2190</v>
      </c>
      <c r="R943" s="0" t="str">
        <f aca="false">IF(H943="GEN","GM",H943)</f>
        <v>RHE</v>
      </c>
    </row>
    <row r="944" customFormat="false" ht="15" hidden="false" customHeight="false" outlineLevel="0" collapsed="false">
      <c r="A944" s="0" t="s">
        <v>3451</v>
      </c>
      <c r="B944" s="0" t="s">
        <v>3268</v>
      </c>
      <c r="C944" s="0" t="s">
        <v>1009</v>
      </c>
      <c r="D944" s="31" t="n">
        <v>13170</v>
      </c>
      <c r="E944" s="31" t="n">
        <v>45650</v>
      </c>
      <c r="F944" s="32" t="s">
        <v>2078</v>
      </c>
      <c r="G944" s="32" t="s">
        <v>2088</v>
      </c>
      <c r="H944" s="32" t="s">
        <v>826</v>
      </c>
      <c r="I944" s="31" t="n">
        <v>45653</v>
      </c>
      <c r="J944" s="32" t="s">
        <v>2080</v>
      </c>
      <c r="K944" s="0" t="n">
        <v>3</v>
      </c>
      <c r="L944" s="32" t="s">
        <v>2081</v>
      </c>
      <c r="M944" s="32" t="s">
        <v>2094</v>
      </c>
      <c r="N944" s="0" t="n">
        <v>3</v>
      </c>
      <c r="O944" s="32" t="s">
        <v>827</v>
      </c>
      <c r="P944" s="32" t="s">
        <v>2182</v>
      </c>
      <c r="Q944" s="32" t="s">
        <v>2241</v>
      </c>
      <c r="R944" s="0" t="str">
        <f aca="false">IF(H944="GEN","GM",H944)</f>
        <v>RHE</v>
      </c>
    </row>
    <row r="945" customFormat="false" ht="15" hidden="false" customHeight="false" outlineLevel="0" collapsed="false">
      <c r="A945" s="0" t="s">
        <v>3452</v>
      </c>
      <c r="B945" s="0" t="s">
        <v>3211</v>
      </c>
      <c r="C945" s="0" t="s">
        <v>918</v>
      </c>
      <c r="D945" s="31" t="n">
        <v>13580</v>
      </c>
      <c r="E945" s="31" t="n">
        <v>45669</v>
      </c>
      <c r="F945" s="32" t="s">
        <v>2078</v>
      </c>
      <c r="G945" s="32" t="s">
        <v>2124</v>
      </c>
      <c r="H945" s="32" t="s">
        <v>785</v>
      </c>
      <c r="I945" s="31" t="n">
        <v>45671</v>
      </c>
      <c r="J945" s="32" t="s">
        <v>2080</v>
      </c>
      <c r="K945" s="0" t="n">
        <v>2</v>
      </c>
      <c r="L945" s="32" t="s">
        <v>2106</v>
      </c>
      <c r="M945" s="32" t="s">
        <v>2136</v>
      </c>
      <c r="N945" s="0" t="n">
        <v>2</v>
      </c>
      <c r="O945" s="32" t="s">
        <v>786</v>
      </c>
      <c r="P945" s="32" t="s">
        <v>2142</v>
      </c>
      <c r="Q945" s="32" t="s">
        <v>2096</v>
      </c>
      <c r="R945" s="0" t="str">
        <f aca="false">IF(H945="GEN","GM",H945)</f>
        <v>RS</v>
      </c>
    </row>
    <row r="946" customFormat="false" ht="15" hidden="false" customHeight="false" outlineLevel="0" collapsed="false">
      <c r="A946" s="0" t="s">
        <v>3453</v>
      </c>
      <c r="B946" s="0" t="s">
        <v>2333</v>
      </c>
      <c r="C946" s="0" t="s">
        <v>958</v>
      </c>
      <c r="D946" s="31" t="n">
        <v>27536</v>
      </c>
      <c r="E946" s="31" t="n">
        <v>45719</v>
      </c>
      <c r="F946" s="32" t="s">
        <v>2087</v>
      </c>
      <c r="G946" s="32" t="s">
        <v>2079</v>
      </c>
      <c r="H946" s="32" t="s">
        <v>776</v>
      </c>
      <c r="I946" s="31" t="n">
        <v>45721</v>
      </c>
      <c r="J946" s="32" t="s">
        <v>2080</v>
      </c>
      <c r="K946" s="0" t="n">
        <v>2</v>
      </c>
      <c r="L946" s="32" t="s">
        <v>2081</v>
      </c>
      <c r="M946" s="32" t="s">
        <v>2195</v>
      </c>
      <c r="N946" s="0" t="n">
        <v>2</v>
      </c>
      <c r="O946" s="32" t="s">
        <v>777</v>
      </c>
      <c r="P946" s="32" t="s">
        <v>2095</v>
      </c>
      <c r="Q946" s="32" t="s">
        <v>2157</v>
      </c>
      <c r="R946" s="0" t="str">
        <f aca="false">IF(H946="GEN","GM",H946)</f>
        <v>GS</v>
      </c>
    </row>
    <row r="947" customFormat="false" ht="15" hidden="false" customHeight="false" outlineLevel="0" collapsed="false">
      <c r="A947" s="0" t="s">
        <v>3454</v>
      </c>
      <c r="B947" s="0" t="s">
        <v>2391</v>
      </c>
      <c r="C947" s="0" t="s">
        <v>886</v>
      </c>
      <c r="D947" s="31" t="n">
        <v>28931</v>
      </c>
      <c r="E947" s="31" t="n">
        <v>45696</v>
      </c>
      <c r="F947" s="32" t="s">
        <v>2087</v>
      </c>
      <c r="G947" s="32" t="s">
        <v>2079</v>
      </c>
      <c r="H947" s="32" t="s">
        <v>776</v>
      </c>
      <c r="I947" s="31" t="n">
        <v>45697</v>
      </c>
      <c r="J947" s="32" t="s">
        <v>2080</v>
      </c>
      <c r="K947" s="0" t="n">
        <v>1</v>
      </c>
      <c r="L947" s="32" t="s">
        <v>2081</v>
      </c>
      <c r="M947" s="32" t="s">
        <v>2132</v>
      </c>
      <c r="N947" s="0" t="n">
        <v>1</v>
      </c>
      <c r="O947" s="32" t="s">
        <v>777</v>
      </c>
      <c r="P947" s="32" t="s">
        <v>2121</v>
      </c>
      <c r="Q947" s="32" t="s">
        <v>2190</v>
      </c>
      <c r="R947" s="0" t="str">
        <f aca="false">IF(H947="GEN","GM",H947)</f>
        <v>GS</v>
      </c>
    </row>
    <row r="948" customFormat="false" ht="15" hidden="false" customHeight="false" outlineLevel="0" collapsed="false">
      <c r="A948" s="0" t="s">
        <v>3455</v>
      </c>
      <c r="B948" s="0" t="s">
        <v>2348</v>
      </c>
      <c r="C948" s="0" t="s">
        <v>2225</v>
      </c>
      <c r="D948" s="31" t="n">
        <v>37779</v>
      </c>
      <c r="E948" s="31" t="n">
        <v>45584</v>
      </c>
      <c r="F948" s="32" t="s">
        <v>2087</v>
      </c>
      <c r="G948" s="32" t="s">
        <v>2079</v>
      </c>
      <c r="H948" s="32" t="s">
        <v>776</v>
      </c>
      <c r="I948" s="31" t="n">
        <v>45587</v>
      </c>
      <c r="J948" s="32" t="s">
        <v>2080</v>
      </c>
      <c r="K948" s="0" t="n">
        <v>3</v>
      </c>
      <c r="L948" s="32" t="s">
        <v>2081</v>
      </c>
      <c r="M948" s="32" t="s">
        <v>2100</v>
      </c>
      <c r="N948" s="0" t="n">
        <v>3</v>
      </c>
      <c r="O948" s="32" t="s">
        <v>777</v>
      </c>
      <c r="P948" s="32" t="s">
        <v>2095</v>
      </c>
      <c r="Q948" s="32" t="s">
        <v>2084</v>
      </c>
      <c r="R948" s="0" t="str">
        <f aca="false">IF(H948="GEN","GM",H948)</f>
        <v>GS</v>
      </c>
    </row>
    <row r="949" customFormat="false" ht="15" hidden="false" customHeight="false" outlineLevel="0" collapsed="false">
      <c r="A949" s="0" t="s">
        <v>3456</v>
      </c>
      <c r="B949" s="0" t="s">
        <v>2683</v>
      </c>
      <c r="C949" s="0" t="s">
        <v>946</v>
      </c>
      <c r="D949" s="31" t="n">
        <v>28681</v>
      </c>
      <c r="E949" s="31" t="n">
        <v>45588</v>
      </c>
      <c r="F949" s="32" t="s">
        <v>2078</v>
      </c>
      <c r="G949" s="32" t="s">
        <v>2099</v>
      </c>
      <c r="H949" s="32" t="s">
        <v>766</v>
      </c>
      <c r="I949" s="31" t="n">
        <v>45589</v>
      </c>
      <c r="J949" s="32" t="s">
        <v>2080</v>
      </c>
      <c r="K949" s="0" t="n">
        <v>1</v>
      </c>
      <c r="L949" s="32" t="s">
        <v>2081</v>
      </c>
      <c r="M949" s="32" t="s">
        <v>2212</v>
      </c>
      <c r="N949" s="0" t="n">
        <v>1</v>
      </c>
      <c r="O949" s="32" t="s">
        <v>767</v>
      </c>
      <c r="P949" s="32" t="s">
        <v>2175</v>
      </c>
      <c r="Q949" s="32" t="s">
        <v>2107</v>
      </c>
      <c r="R949" s="0" t="str">
        <f aca="false">IF(H949="GEN","GM",H949)</f>
        <v>OR</v>
      </c>
    </row>
    <row r="950" customFormat="false" ht="15" hidden="false" customHeight="false" outlineLevel="0" collapsed="false">
      <c r="A950" s="0" t="s">
        <v>3457</v>
      </c>
      <c r="B950" s="0" t="s">
        <v>2840</v>
      </c>
      <c r="C950" s="0" t="s">
        <v>817</v>
      </c>
      <c r="D950" s="31" t="n">
        <v>34741</v>
      </c>
      <c r="E950" s="31" t="n">
        <v>45666</v>
      </c>
      <c r="F950" s="32" t="s">
        <v>2087</v>
      </c>
      <c r="G950" s="32" t="s">
        <v>2079</v>
      </c>
      <c r="H950" s="32" t="s">
        <v>810</v>
      </c>
      <c r="I950" s="31" t="n">
        <v>45669</v>
      </c>
      <c r="J950" s="32" t="s">
        <v>2080</v>
      </c>
      <c r="K950" s="0" t="n">
        <v>3</v>
      </c>
      <c r="L950" s="32" t="s">
        <v>2081</v>
      </c>
      <c r="M950" s="32" t="s">
        <v>2255</v>
      </c>
      <c r="N950" s="0" t="n">
        <v>3</v>
      </c>
      <c r="O950" s="32" t="s">
        <v>811</v>
      </c>
      <c r="P950" s="32" t="s">
        <v>2238</v>
      </c>
      <c r="Q950" s="32" t="s">
        <v>2091</v>
      </c>
      <c r="R950" s="0" t="str">
        <f aca="false">IF(H950="GEN","GM",H950)</f>
        <v>URO</v>
      </c>
    </row>
    <row r="951" customFormat="false" ht="15" hidden="false" customHeight="false" outlineLevel="0" collapsed="false">
      <c r="A951" s="0" t="s">
        <v>3458</v>
      </c>
      <c r="B951" s="0" t="s">
        <v>2991</v>
      </c>
      <c r="C951" s="0" t="s">
        <v>954</v>
      </c>
      <c r="D951" s="31" t="n">
        <v>18656</v>
      </c>
      <c r="E951" s="31" t="n">
        <v>45646</v>
      </c>
      <c r="F951" s="32" t="s">
        <v>2087</v>
      </c>
      <c r="G951" s="32" t="s">
        <v>2088</v>
      </c>
      <c r="H951" s="32" t="s">
        <v>793</v>
      </c>
      <c r="I951" s="31" t="n">
        <v>45651</v>
      </c>
      <c r="J951" s="32" t="s">
        <v>2080</v>
      </c>
      <c r="K951" s="0" t="n">
        <v>5</v>
      </c>
      <c r="L951" s="32" t="s">
        <v>2106</v>
      </c>
      <c r="M951" s="32" t="s">
        <v>2089</v>
      </c>
      <c r="N951" s="0" t="n">
        <v>5</v>
      </c>
      <c r="O951" s="32" t="s">
        <v>794</v>
      </c>
      <c r="P951" s="32" t="s">
        <v>2182</v>
      </c>
      <c r="Q951" s="32" t="s">
        <v>2138</v>
      </c>
      <c r="R951" s="0" t="str">
        <f aca="false">IF(H951="GEN","GM",H951)</f>
        <v>EM</v>
      </c>
    </row>
    <row r="952" customFormat="false" ht="15" hidden="false" customHeight="false" outlineLevel="0" collapsed="false">
      <c r="A952" s="0" t="s">
        <v>3459</v>
      </c>
      <c r="B952" s="0" t="s">
        <v>2606</v>
      </c>
      <c r="C952" s="0" t="s">
        <v>784</v>
      </c>
      <c r="D952" s="31" t="n">
        <v>17535</v>
      </c>
      <c r="E952" s="31" t="n">
        <v>45719</v>
      </c>
      <c r="F952" s="32" t="s">
        <v>2087</v>
      </c>
      <c r="G952" s="32" t="s">
        <v>2115</v>
      </c>
      <c r="H952" s="32" t="s">
        <v>758</v>
      </c>
      <c r="I952" s="31" t="n">
        <v>45721</v>
      </c>
      <c r="J952" s="32" t="s">
        <v>2080</v>
      </c>
      <c r="K952" s="0" t="n">
        <v>2</v>
      </c>
      <c r="L952" s="32" t="s">
        <v>2081</v>
      </c>
      <c r="M952" s="32" t="s">
        <v>2082</v>
      </c>
      <c r="N952" s="0" t="n">
        <v>2</v>
      </c>
      <c r="O952" s="32" t="s">
        <v>759</v>
      </c>
      <c r="P952" s="32" t="s">
        <v>2090</v>
      </c>
      <c r="Q952" s="32" t="s">
        <v>2091</v>
      </c>
      <c r="R952" s="0" t="str">
        <f aca="false">IF(H952="GEN","GM",H952)</f>
        <v>CS</v>
      </c>
    </row>
    <row r="953" customFormat="false" ht="15" hidden="false" customHeight="false" outlineLevel="0" collapsed="false">
      <c r="A953" s="0" t="s">
        <v>3460</v>
      </c>
      <c r="B953" s="0" t="s">
        <v>2995</v>
      </c>
      <c r="C953" s="0" t="s">
        <v>1426</v>
      </c>
      <c r="D953" s="31" t="n">
        <v>29268</v>
      </c>
      <c r="E953" s="31" t="n">
        <v>45575</v>
      </c>
      <c r="F953" s="32" t="s">
        <v>2087</v>
      </c>
      <c r="G953" s="32" t="s">
        <v>2088</v>
      </c>
      <c r="H953" s="32" t="s">
        <v>826</v>
      </c>
      <c r="I953" s="31" t="n">
        <v>45580</v>
      </c>
      <c r="J953" s="32" t="s">
        <v>2160</v>
      </c>
      <c r="K953" s="0" t="n">
        <v>5</v>
      </c>
      <c r="L953" s="32" t="s">
        <v>2081</v>
      </c>
      <c r="N953" s="0" t="n">
        <v>5</v>
      </c>
      <c r="O953" s="32" t="s">
        <v>827</v>
      </c>
      <c r="P953" s="32" t="s">
        <v>2137</v>
      </c>
      <c r="Q953" s="32" t="s">
        <v>2190</v>
      </c>
      <c r="R953" s="0" t="str">
        <f aca="false">IF(H953="GEN","GM",H953)</f>
        <v>RHE</v>
      </c>
    </row>
    <row r="954" customFormat="false" ht="15" hidden="false" customHeight="false" outlineLevel="0" collapsed="false">
      <c r="A954" s="0" t="s">
        <v>3461</v>
      </c>
      <c r="B954" s="0" t="s">
        <v>2742</v>
      </c>
      <c r="C954" s="0" t="s">
        <v>942</v>
      </c>
      <c r="D954" s="31" t="n">
        <v>33684</v>
      </c>
      <c r="E954" s="31" t="n">
        <v>45623</v>
      </c>
      <c r="F954" s="32" t="s">
        <v>2078</v>
      </c>
      <c r="G954" s="32" t="s">
        <v>2104</v>
      </c>
      <c r="H954" s="32" t="s">
        <v>802</v>
      </c>
      <c r="I954" s="31" t="n">
        <v>45627</v>
      </c>
      <c r="J954" s="32" t="s">
        <v>2080</v>
      </c>
      <c r="K954" s="0" t="n">
        <v>4</v>
      </c>
      <c r="L954" s="32" t="s">
        <v>2081</v>
      </c>
      <c r="M954" s="32" t="s">
        <v>2128</v>
      </c>
      <c r="N954" s="0" t="n">
        <v>4</v>
      </c>
      <c r="O954" s="32" t="s">
        <v>803</v>
      </c>
      <c r="P954" s="32" t="s">
        <v>2095</v>
      </c>
      <c r="Q954" s="32" t="s">
        <v>2165</v>
      </c>
      <c r="R954" s="0" t="str">
        <f aca="false">IF(H954="GEN","GM",H954)</f>
        <v>GYN</v>
      </c>
    </row>
    <row r="955" customFormat="false" ht="15" hidden="false" customHeight="false" outlineLevel="0" collapsed="false">
      <c r="A955" s="0" t="s">
        <v>3462</v>
      </c>
      <c r="B955" s="0" t="s">
        <v>2834</v>
      </c>
      <c r="C955" s="0" t="s">
        <v>2148</v>
      </c>
      <c r="D955" s="31" t="n">
        <v>22477</v>
      </c>
      <c r="E955" s="31" t="n">
        <v>45700</v>
      </c>
      <c r="F955" s="32" t="s">
        <v>2087</v>
      </c>
      <c r="G955" s="32" t="s">
        <v>2088</v>
      </c>
      <c r="H955" s="32" t="s">
        <v>826</v>
      </c>
      <c r="I955" s="31" t="n">
        <v>45704</v>
      </c>
      <c r="J955" s="32" t="s">
        <v>2160</v>
      </c>
      <c r="K955" s="0" t="n">
        <v>4</v>
      </c>
      <c r="L955" s="32" t="s">
        <v>2081</v>
      </c>
      <c r="M955" s="32" t="s">
        <v>2283</v>
      </c>
      <c r="N955" s="0" t="n">
        <v>4</v>
      </c>
      <c r="O955" s="32" t="s">
        <v>827</v>
      </c>
      <c r="P955" s="32" t="s">
        <v>2117</v>
      </c>
      <c r="Q955" s="32" t="s">
        <v>2165</v>
      </c>
      <c r="R955" s="0" t="str">
        <f aca="false">IF(H955="GEN","GM",H955)</f>
        <v>RHE</v>
      </c>
    </row>
    <row r="956" customFormat="false" ht="15" hidden="false" customHeight="false" outlineLevel="0" collapsed="false">
      <c r="A956" s="0" t="s">
        <v>3463</v>
      </c>
      <c r="B956" s="0" t="s">
        <v>2826</v>
      </c>
      <c r="C956" s="0" t="s">
        <v>837</v>
      </c>
      <c r="D956" s="31" t="n">
        <v>36181</v>
      </c>
      <c r="E956" s="31" t="n">
        <v>45654</v>
      </c>
      <c r="F956" s="32" t="s">
        <v>2087</v>
      </c>
      <c r="G956" s="32" t="s">
        <v>2088</v>
      </c>
      <c r="H956" s="32" t="s">
        <v>747</v>
      </c>
      <c r="I956" s="31" t="n">
        <v>45657</v>
      </c>
      <c r="J956" s="32" t="s">
        <v>2160</v>
      </c>
      <c r="K956" s="0" t="n">
        <v>3</v>
      </c>
      <c r="L956" s="32" t="s">
        <v>2081</v>
      </c>
      <c r="M956" s="32" t="s">
        <v>2100</v>
      </c>
      <c r="N956" s="0" t="n">
        <v>3</v>
      </c>
      <c r="O956" s="32" t="s">
        <v>748</v>
      </c>
      <c r="P956" s="32" t="s">
        <v>2137</v>
      </c>
      <c r="Q956" s="32" t="s">
        <v>2259</v>
      </c>
      <c r="R956" s="0" t="str">
        <f aca="false">IF(H956="GEN","GM",H956)</f>
        <v>GM</v>
      </c>
    </row>
    <row r="957" customFormat="false" ht="15" hidden="false" customHeight="false" outlineLevel="0" collapsed="false">
      <c r="A957" s="0" t="s">
        <v>3464</v>
      </c>
      <c r="B957" s="0" t="s">
        <v>3031</v>
      </c>
      <c r="C957" s="0" t="s">
        <v>938</v>
      </c>
      <c r="D957" s="31" t="n">
        <v>38586</v>
      </c>
      <c r="E957" s="31" t="n">
        <v>45661</v>
      </c>
      <c r="F957" s="32" t="s">
        <v>2078</v>
      </c>
      <c r="G957" s="32" t="s">
        <v>2099</v>
      </c>
      <c r="H957" s="32" t="s">
        <v>766</v>
      </c>
      <c r="I957" s="31" t="n">
        <v>45668</v>
      </c>
      <c r="J957" s="32" t="s">
        <v>2080</v>
      </c>
      <c r="K957" s="0" t="n">
        <v>7</v>
      </c>
      <c r="L957" s="32" t="s">
        <v>2081</v>
      </c>
      <c r="M957" s="32" t="s">
        <v>2283</v>
      </c>
      <c r="N957" s="0" t="n">
        <v>7</v>
      </c>
      <c r="O957" s="32" t="s">
        <v>767</v>
      </c>
      <c r="P957" s="32" t="s">
        <v>2095</v>
      </c>
      <c r="Q957" s="32" t="s">
        <v>2091</v>
      </c>
      <c r="R957" s="0" t="str">
        <f aca="false">IF(H957="GEN","GM",H957)</f>
        <v>OR</v>
      </c>
    </row>
    <row r="958" customFormat="false" ht="15" hidden="false" customHeight="false" outlineLevel="0" collapsed="false">
      <c r="A958" s="0" t="s">
        <v>3465</v>
      </c>
      <c r="B958" s="0" t="s">
        <v>2655</v>
      </c>
      <c r="C958" s="0" t="s">
        <v>1029</v>
      </c>
      <c r="D958" s="31" t="n">
        <v>24002</v>
      </c>
      <c r="E958" s="31" t="n">
        <v>45638</v>
      </c>
      <c r="F958" s="32" t="s">
        <v>2087</v>
      </c>
      <c r="G958" s="32" t="s">
        <v>2079</v>
      </c>
      <c r="H958" s="32" t="s">
        <v>776</v>
      </c>
      <c r="I958" s="31" t="n">
        <v>45640</v>
      </c>
      <c r="J958" s="32" t="s">
        <v>2080</v>
      </c>
      <c r="K958" s="0" t="n">
        <v>2</v>
      </c>
      <c r="L958" s="32" t="s">
        <v>2081</v>
      </c>
      <c r="M958" s="32" t="s">
        <v>2132</v>
      </c>
      <c r="N958" s="0" t="n">
        <v>2</v>
      </c>
      <c r="O958" s="32" t="s">
        <v>777</v>
      </c>
      <c r="P958" s="32" t="s">
        <v>2137</v>
      </c>
      <c r="Q958" s="32" t="s">
        <v>2084</v>
      </c>
      <c r="R958" s="0" t="str">
        <f aca="false">IF(H958="GEN","GM",H958)</f>
        <v>GS</v>
      </c>
    </row>
    <row r="959" customFormat="false" ht="15" hidden="false" customHeight="false" outlineLevel="0" collapsed="false">
      <c r="A959" s="0" t="s">
        <v>3466</v>
      </c>
      <c r="B959" s="0" t="s">
        <v>3467</v>
      </c>
      <c r="C959" s="0" t="s">
        <v>1005</v>
      </c>
      <c r="D959" s="31" t="n">
        <v>27528</v>
      </c>
      <c r="E959" s="31" t="n">
        <v>45662</v>
      </c>
      <c r="F959" s="32" t="s">
        <v>2087</v>
      </c>
      <c r="G959" s="32" t="s">
        <v>2079</v>
      </c>
      <c r="H959" s="32" t="s">
        <v>776</v>
      </c>
      <c r="I959" s="31" t="n">
        <v>45664</v>
      </c>
      <c r="J959" s="32" t="s">
        <v>2080</v>
      </c>
      <c r="K959" s="0" t="n">
        <v>2</v>
      </c>
      <c r="L959" s="32" t="s">
        <v>2106</v>
      </c>
      <c r="M959" s="32" t="s">
        <v>2195</v>
      </c>
      <c r="N959" s="0" t="n">
        <v>3</v>
      </c>
      <c r="O959" s="32" t="s">
        <v>777</v>
      </c>
      <c r="P959" s="32" t="s">
        <v>2149</v>
      </c>
      <c r="Q959" s="32" t="s">
        <v>2129</v>
      </c>
      <c r="R959" s="0" t="str">
        <f aca="false">IF(H959="GEN","GM",H959)</f>
        <v>GS</v>
      </c>
    </row>
    <row r="960" customFormat="false" ht="15" hidden="false" customHeight="false" outlineLevel="0" collapsed="false">
      <c r="A960" s="0" t="s">
        <v>3468</v>
      </c>
      <c r="B960" s="0" t="s">
        <v>2917</v>
      </c>
      <c r="C960" s="0" t="s">
        <v>833</v>
      </c>
      <c r="D960" s="31" t="n">
        <v>30213</v>
      </c>
      <c r="E960" s="31" t="n">
        <v>45695</v>
      </c>
      <c r="F960" s="32" t="s">
        <v>2087</v>
      </c>
      <c r="G960" s="32" t="s">
        <v>2099</v>
      </c>
      <c r="H960" s="32" t="s">
        <v>818</v>
      </c>
      <c r="L960" s="32" t="s">
        <v>2081</v>
      </c>
      <c r="M960" s="32" t="s">
        <v>2152</v>
      </c>
      <c r="O960" s="32" t="s">
        <v>819</v>
      </c>
      <c r="P960" s="32" t="s">
        <v>2121</v>
      </c>
      <c r="Q960" s="32" t="s">
        <v>2190</v>
      </c>
      <c r="R960" s="0" t="str">
        <f aca="false">IF(H960="GEN","GM",H960)</f>
        <v>OPH</v>
      </c>
    </row>
    <row r="961" customFormat="false" ht="15" hidden="false" customHeight="false" outlineLevel="0" collapsed="false">
      <c r="A961" s="0" t="s">
        <v>3469</v>
      </c>
      <c r="B961" s="0" t="s">
        <v>2419</v>
      </c>
      <c r="C961" s="0" t="s">
        <v>934</v>
      </c>
      <c r="D961" s="31" t="n">
        <v>35754</v>
      </c>
      <c r="E961" s="31" t="n">
        <v>45687</v>
      </c>
      <c r="F961" s="32" t="s">
        <v>2078</v>
      </c>
      <c r="G961" s="32" t="s">
        <v>2079</v>
      </c>
      <c r="H961" s="32" t="s">
        <v>776</v>
      </c>
      <c r="I961" s="31" t="n">
        <v>45689</v>
      </c>
      <c r="J961" s="32" t="s">
        <v>2080</v>
      </c>
      <c r="K961" s="0" t="n">
        <v>2</v>
      </c>
      <c r="L961" s="32" t="s">
        <v>2081</v>
      </c>
      <c r="M961" s="32" t="s">
        <v>2189</v>
      </c>
      <c r="N961" s="0" t="n">
        <v>2</v>
      </c>
      <c r="O961" s="32" t="s">
        <v>777</v>
      </c>
      <c r="P961" s="32" t="s">
        <v>2201</v>
      </c>
      <c r="Q961" s="32" t="s">
        <v>2084</v>
      </c>
      <c r="R961" s="0" t="str">
        <f aca="false">IF(H961="GEN","GM",H961)</f>
        <v>GS</v>
      </c>
    </row>
    <row r="962" customFormat="false" ht="15" hidden="false" customHeight="false" outlineLevel="0" collapsed="false">
      <c r="A962" s="0" t="s">
        <v>3470</v>
      </c>
      <c r="B962" s="0" t="s">
        <v>2816</v>
      </c>
      <c r="C962" s="0" t="s">
        <v>918</v>
      </c>
      <c r="D962" s="31" t="n">
        <v>34439</v>
      </c>
      <c r="E962" s="31" t="n">
        <v>45594</v>
      </c>
      <c r="F962" s="32" t="s">
        <v>2078</v>
      </c>
      <c r="G962" s="32" t="s">
        <v>2079</v>
      </c>
      <c r="H962" s="32" t="s">
        <v>776</v>
      </c>
      <c r="I962" s="31" t="n">
        <v>45600</v>
      </c>
      <c r="J962" s="32" t="s">
        <v>2080</v>
      </c>
      <c r="K962" s="0" t="n">
        <v>6</v>
      </c>
      <c r="L962" s="32" t="s">
        <v>2081</v>
      </c>
      <c r="M962" s="32" t="s">
        <v>2132</v>
      </c>
      <c r="N962" s="0" t="n">
        <v>6</v>
      </c>
      <c r="O962" s="32" t="s">
        <v>777</v>
      </c>
      <c r="P962" s="32" t="s">
        <v>2182</v>
      </c>
      <c r="R962" s="0" t="str">
        <f aca="false">IF(H962="GEN","GM",H962)</f>
        <v>GS</v>
      </c>
    </row>
    <row r="963" customFormat="false" ht="15" hidden="false" customHeight="false" outlineLevel="0" collapsed="false">
      <c r="A963" s="0" t="s">
        <v>3471</v>
      </c>
      <c r="B963" s="0" t="s">
        <v>2575</v>
      </c>
      <c r="C963" s="0" t="s">
        <v>1414</v>
      </c>
      <c r="D963" s="31" t="n">
        <v>18321</v>
      </c>
      <c r="E963" s="31" t="n">
        <v>45734</v>
      </c>
      <c r="F963" s="32" t="s">
        <v>2087</v>
      </c>
      <c r="G963" s="32" t="s">
        <v>2088</v>
      </c>
      <c r="H963" s="32" t="s">
        <v>793</v>
      </c>
      <c r="I963" s="31" t="n">
        <v>45739</v>
      </c>
      <c r="J963" s="32" t="s">
        <v>2080</v>
      </c>
      <c r="K963" s="0" t="n">
        <v>5</v>
      </c>
      <c r="L963" s="32" t="s">
        <v>2106</v>
      </c>
      <c r="M963" s="32" t="s">
        <v>2189</v>
      </c>
      <c r="N963" s="0" t="n">
        <v>5</v>
      </c>
      <c r="O963" s="32" t="s">
        <v>794</v>
      </c>
      <c r="P963" s="32" t="s">
        <v>2238</v>
      </c>
      <c r="Q963" s="32" t="s">
        <v>2170</v>
      </c>
      <c r="R963" s="0" t="str">
        <f aca="false">IF(H963="GEN","GM",H963)</f>
        <v>EM</v>
      </c>
    </row>
    <row r="964" customFormat="false" ht="15" hidden="false" customHeight="false" outlineLevel="0" collapsed="false">
      <c r="A964" s="0" t="s">
        <v>3472</v>
      </c>
      <c r="B964" s="0" t="s">
        <v>2224</v>
      </c>
      <c r="C964" s="0" t="s">
        <v>845</v>
      </c>
      <c r="D964" s="31" t="n">
        <v>27040</v>
      </c>
      <c r="E964" s="31" t="n">
        <v>45716</v>
      </c>
      <c r="F964" s="32" t="s">
        <v>2087</v>
      </c>
      <c r="G964" s="32" t="s">
        <v>2088</v>
      </c>
      <c r="H964" s="32" t="s">
        <v>793</v>
      </c>
      <c r="I964" s="31" t="n">
        <v>45721</v>
      </c>
      <c r="J964" s="32" t="s">
        <v>2080</v>
      </c>
      <c r="K964" s="0" t="n">
        <v>5</v>
      </c>
      <c r="L964" s="32" t="s">
        <v>2106</v>
      </c>
      <c r="M964" s="32" t="s">
        <v>2227</v>
      </c>
      <c r="N964" s="0" t="n">
        <v>5</v>
      </c>
      <c r="O964" s="32" t="s">
        <v>794</v>
      </c>
      <c r="P964" s="32" t="s">
        <v>2142</v>
      </c>
      <c r="Q964" s="32" t="s">
        <v>2145</v>
      </c>
      <c r="R964" s="0" t="str">
        <f aca="false">IF(H964="GEN","GM",H964)</f>
        <v>EM</v>
      </c>
    </row>
    <row r="965" customFormat="false" ht="15" hidden="false" customHeight="false" outlineLevel="0" collapsed="false">
      <c r="A965" s="0" t="s">
        <v>3473</v>
      </c>
      <c r="B965" s="0" t="s">
        <v>2965</v>
      </c>
      <c r="C965" s="0" t="s">
        <v>926</v>
      </c>
      <c r="D965" s="31" t="n">
        <v>29411</v>
      </c>
      <c r="E965" s="31" t="n">
        <v>45686</v>
      </c>
      <c r="F965" s="32" t="s">
        <v>2078</v>
      </c>
      <c r="G965" s="32" t="s">
        <v>2099</v>
      </c>
      <c r="H965" s="32" t="s">
        <v>766</v>
      </c>
      <c r="I965" s="31" t="n">
        <v>45689</v>
      </c>
      <c r="J965" s="32" t="s">
        <v>2080</v>
      </c>
      <c r="K965" s="0" t="n">
        <v>3</v>
      </c>
      <c r="L965" s="32" t="s">
        <v>2081</v>
      </c>
      <c r="M965" s="32" t="s">
        <v>2128</v>
      </c>
      <c r="N965" s="0" t="n">
        <v>3</v>
      </c>
      <c r="O965" s="32" t="s">
        <v>767</v>
      </c>
      <c r="Q965" s="32" t="s">
        <v>2129</v>
      </c>
      <c r="R965" s="0" t="str">
        <f aca="false">IF(H965="GEN","GM",H965)</f>
        <v>OR</v>
      </c>
    </row>
    <row r="966" customFormat="false" ht="15" hidden="false" customHeight="false" outlineLevel="0" collapsed="false">
      <c r="A966" s="0" t="s">
        <v>3474</v>
      </c>
      <c r="B966" s="0" t="s">
        <v>2246</v>
      </c>
      <c r="C966" s="0" t="s">
        <v>910</v>
      </c>
      <c r="D966" s="31" t="n">
        <v>31401</v>
      </c>
      <c r="E966" s="31" t="n">
        <v>45664</v>
      </c>
      <c r="F966" s="32" t="s">
        <v>2078</v>
      </c>
      <c r="G966" s="32" t="s">
        <v>2104</v>
      </c>
      <c r="H966" s="32" t="s">
        <v>802</v>
      </c>
      <c r="I966" s="31" t="n">
        <v>45664</v>
      </c>
      <c r="J966" s="32" t="s">
        <v>2080</v>
      </c>
      <c r="K966" s="0" t="n">
        <v>0</v>
      </c>
      <c r="L966" s="32" t="s">
        <v>2106</v>
      </c>
      <c r="M966" s="32" t="s">
        <v>2227</v>
      </c>
      <c r="N966" s="0" t="n">
        <v>0</v>
      </c>
      <c r="O966" s="32" t="s">
        <v>803</v>
      </c>
      <c r="P966" s="32" t="s">
        <v>2090</v>
      </c>
      <c r="Q966" s="32" t="s">
        <v>2179</v>
      </c>
      <c r="R966" s="0" t="str">
        <f aca="false">IF(H966="GEN","GM",H966)</f>
        <v>GYN</v>
      </c>
    </row>
    <row r="967" customFormat="false" ht="15" hidden="false" customHeight="false" outlineLevel="0" collapsed="false">
      <c r="A967" s="0" t="s">
        <v>3475</v>
      </c>
      <c r="B967" s="0" t="s">
        <v>2301</v>
      </c>
      <c r="C967" s="0" t="s">
        <v>1001</v>
      </c>
      <c r="D967" s="31" t="n">
        <v>28259</v>
      </c>
      <c r="E967" s="31" t="n">
        <v>45678</v>
      </c>
      <c r="F967" s="32" t="s">
        <v>2087</v>
      </c>
      <c r="G967" s="32" t="s">
        <v>2088</v>
      </c>
      <c r="H967" s="32" t="s">
        <v>747</v>
      </c>
      <c r="I967" s="31" t="n">
        <v>45681</v>
      </c>
      <c r="J967" s="32" t="s">
        <v>2080</v>
      </c>
      <c r="K967" s="0" t="n">
        <v>3</v>
      </c>
      <c r="L967" s="32" t="s">
        <v>2081</v>
      </c>
      <c r="M967" s="32" t="s">
        <v>2116</v>
      </c>
      <c r="N967" s="0" t="n">
        <v>3</v>
      </c>
      <c r="O967" s="32" t="s">
        <v>748</v>
      </c>
      <c r="Q967" s="32" t="s">
        <v>2129</v>
      </c>
      <c r="R967" s="0" t="str">
        <f aca="false">IF(H967="GEN","GM",H967)</f>
        <v>GM</v>
      </c>
    </row>
    <row r="968" customFormat="false" ht="15" hidden="false" customHeight="false" outlineLevel="0" collapsed="false">
      <c r="A968" s="0" t="s">
        <v>3476</v>
      </c>
      <c r="B968" s="0" t="s">
        <v>2246</v>
      </c>
      <c r="C968" s="0" t="s">
        <v>775</v>
      </c>
      <c r="D968" s="31" t="n">
        <v>15214</v>
      </c>
      <c r="E968" s="31" t="n">
        <v>45645</v>
      </c>
      <c r="F968" s="32" t="s">
        <v>2087</v>
      </c>
      <c r="G968" s="32" t="s">
        <v>2079</v>
      </c>
      <c r="H968" s="32" t="s">
        <v>776</v>
      </c>
      <c r="I968" s="31" t="n">
        <v>45649</v>
      </c>
      <c r="J968" s="32" t="s">
        <v>2307</v>
      </c>
      <c r="K968" s="0" t="n">
        <v>4</v>
      </c>
      <c r="L968" s="32" t="s">
        <v>2106</v>
      </c>
      <c r="M968" s="32" t="s">
        <v>2255</v>
      </c>
      <c r="N968" s="0" t="n">
        <v>4</v>
      </c>
      <c r="O968" s="32" t="s">
        <v>777</v>
      </c>
      <c r="P968" s="32" t="s">
        <v>2179</v>
      </c>
      <c r="Q968" s="32" t="s">
        <v>2084</v>
      </c>
      <c r="R968" s="0" t="str">
        <f aca="false">IF(H968="GEN","GM",H968)</f>
        <v>GS</v>
      </c>
    </row>
    <row r="969" customFormat="false" ht="15" hidden="false" customHeight="false" outlineLevel="0" collapsed="false">
      <c r="A969" s="0" t="s">
        <v>3477</v>
      </c>
      <c r="B969" s="0" t="s">
        <v>3057</v>
      </c>
      <c r="C969" s="0" t="s">
        <v>942</v>
      </c>
      <c r="D969" s="31" t="n">
        <v>16964</v>
      </c>
      <c r="E969" s="31" t="n">
        <v>45643</v>
      </c>
      <c r="F969" s="32" t="s">
        <v>2087</v>
      </c>
      <c r="G969" s="32" t="s">
        <v>2079</v>
      </c>
      <c r="H969" s="32" t="s">
        <v>776</v>
      </c>
      <c r="I969" s="31" t="n">
        <v>45648</v>
      </c>
      <c r="J969" s="32" t="s">
        <v>2307</v>
      </c>
      <c r="K969" s="0" t="n">
        <v>5</v>
      </c>
      <c r="L969" s="32" t="s">
        <v>2081</v>
      </c>
      <c r="M969" s="32" t="s">
        <v>2141</v>
      </c>
      <c r="N969" s="0" t="n">
        <v>5</v>
      </c>
      <c r="O969" s="32" t="s">
        <v>777</v>
      </c>
      <c r="P969" s="32" t="s">
        <v>2090</v>
      </c>
      <c r="R969" s="0" t="str">
        <f aca="false">IF(H969="GEN","GM",H969)</f>
        <v>GS</v>
      </c>
    </row>
    <row r="970" customFormat="false" ht="15" hidden="false" customHeight="false" outlineLevel="0" collapsed="false">
      <c r="A970" s="0" t="s">
        <v>3478</v>
      </c>
      <c r="B970" s="0" t="s">
        <v>2354</v>
      </c>
      <c r="C970" s="0" t="s">
        <v>950</v>
      </c>
      <c r="D970" s="31" t="n">
        <v>21387</v>
      </c>
      <c r="E970" s="31" t="n">
        <v>45723</v>
      </c>
      <c r="F970" s="32" t="s">
        <v>2078</v>
      </c>
      <c r="G970" s="32" t="s">
        <v>2104</v>
      </c>
      <c r="H970" s="32" t="s">
        <v>802</v>
      </c>
      <c r="I970" s="31" t="n">
        <v>45725</v>
      </c>
      <c r="J970" s="32" t="s">
        <v>2105</v>
      </c>
      <c r="K970" s="0" t="n">
        <v>2</v>
      </c>
      <c r="L970" s="32" t="s">
        <v>2081</v>
      </c>
      <c r="M970" s="32" t="s">
        <v>2189</v>
      </c>
      <c r="N970" s="0" t="n">
        <v>2</v>
      </c>
      <c r="O970" s="32" t="s">
        <v>803</v>
      </c>
      <c r="P970" s="32" t="s">
        <v>2201</v>
      </c>
      <c r="Q970" s="32" t="s">
        <v>2170</v>
      </c>
      <c r="R970" s="0" t="str">
        <f aca="false">IF(H970="GEN","GM",H970)</f>
        <v>GYN</v>
      </c>
    </row>
    <row r="971" customFormat="false" ht="15" hidden="false" customHeight="false" outlineLevel="0" collapsed="false">
      <c r="A971" s="0" t="s">
        <v>3479</v>
      </c>
      <c r="B971" s="0" t="s">
        <v>2522</v>
      </c>
      <c r="C971" s="0" t="s">
        <v>989</v>
      </c>
      <c r="D971" s="31" t="n">
        <v>28437</v>
      </c>
      <c r="E971" s="31" t="n">
        <v>45632</v>
      </c>
      <c r="F971" s="32" t="s">
        <v>2087</v>
      </c>
      <c r="G971" s="32" t="s">
        <v>2104</v>
      </c>
      <c r="H971" s="32" t="s">
        <v>802</v>
      </c>
      <c r="I971" s="31" t="n">
        <v>45637</v>
      </c>
      <c r="J971" s="32" t="s">
        <v>2080</v>
      </c>
      <c r="K971" s="0" t="n">
        <v>5</v>
      </c>
      <c r="L971" s="32" t="s">
        <v>2081</v>
      </c>
      <c r="M971" s="32" t="s">
        <v>2283</v>
      </c>
      <c r="N971" s="0" t="n">
        <v>5</v>
      </c>
      <c r="O971" s="32" t="s">
        <v>803</v>
      </c>
      <c r="P971" s="32" t="s">
        <v>2175</v>
      </c>
      <c r="Q971" s="32" t="s">
        <v>2165</v>
      </c>
      <c r="R971" s="0" t="str">
        <f aca="false">IF(H971="GEN","GM",H971)</f>
        <v>GYN</v>
      </c>
    </row>
    <row r="972" customFormat="false" ht="15" hidden="false" customHeight="false" outlineLevel="0" collapsed="false">
      <c r="A972" s="0" t="s">
        <v>3480</v>
      </c>
      <c r="B972" s="0" t="s">
        <v>3481</v>
      </c>
      <c r="C972" s="0" t="s">
        <v>1033</v>
      </c>
      <c r="D972" s="31" t="n">
        <v>18682</v>
      </c>
      <c r="E972" s="31" t="n">
        <v>45614</v>
      </c>
      <c r="F972" s="32" t="s">
        <v>2078</v>
      </c>
      <c r="G972" s="32" t="s">
        <v>2088</v>
      </c>
      <c r="H972" s="32" t="s">
        <v>747</v>
      </c>
      <c r="I972" s="31" t="n">
        <v>45620</v>
      </c>
      <c r="J972" s="32" t="s">
        <v>2080</v>
      </c>
      <c r="K972" s="0" t="n">
        <v>6</v>
      </c>
      <c r="L972" s="32" t="s">
        <v>2081</v>
      </c>
      <c r="M972" s="32" t="s">
        <v>2195</v>
      </c>
      <c r="N972" s="0" t="n">
        <v>6</v>
      </c>
      <c r="O972" s="32" t="s">
        <v>748</v>
      </c>
      <c r="P972" s="32" t="s">
        <v>2083</v>
      </c>
      <c r="Q972" s="32" t="s">
        <v>2165</v>
      </c>
      <c r="R972" s="0" t="str">
        <f aca="false">IF(H972="GEN","GM",H972)</f>
        <v>GM</v>
      </c>
    </row>
    <row r="973" customFormat="false" ht="15" hidden="false" customHeight="false" outlineLevel="0" collapsed="false">
      <c r="A973" s="0" t="s">
        <v>3482</v>
      </c>
      <c r="B973" s="0" t="s">
        <v>3214</v>
      </c>
      <c r="C973" s="0" t="s">
        <v>914</v>
      </c>
      <c r="D973" s="31" t="n">
        <v>24781</v>
      </c>
      <c r="E973" s="31" t="n">
        <v>45715</v>
      </c>
      <c r="F973" s="32" t="s">
        <v>2087</v>
      </c>
      <c r="G973" s="32" t="s">
        <v>2099</v>
      </c>
      <c r="H973" s="32" t="s">
        <v>818</v>
      </c>
      <c r="I973" s="31" t="n">
        <v>45727</v>
      </c>
      <c r="J973" s="32" t="s">
        <v>2160</v>
      </c>
      <c r="K973" s="0" t="n">
        <v>12</v>
      </c>
      <c r="L973" s="32" t="s">
        <v>2081</v>
      </c>
      <c r="M973" s="32" t="s">
        <v>2141</v>
      </c>
      <c r="N973" s="0" t="n">
        <v>12</v>
      </c>
      <c r="O973" s="32" t="s">
        <v>819</v>
      </c>
      <c r="P973" s="32" t="s">
        <v>2238</v>
      </c>
      <c r="Q973" s="32" t="s">
        <v>2259</v>
      </c>
      <c r="R973" s="0" t="str">
        <f aca="false">IF(H973="GEN","GM",H973)</f>
        <v>OPH</v>
      </c>
    </row>
    <row r="974" customFormat="false" ht="15" hidden="false" customHeight="false" outlineLevel="0" collapsed="false">
      <c r="A974" s="0" t="s">
        <v>3483</v>
      </c>
      <c r="B974" s="0" t="s">
        <v>3077</v>
      </c>
      <c r="C974" s="0" t="s">
        <v>1013</v>
      </c>
      <c r="D974" s="31" t="n">
        <v>16256</v>
      </c>
      <c r="E974" s="31" t="n">
        <v>45726</v>
      </c>
      <c r="F974" s="32" t="s">
        <v>2087</v>
      </c>
      <c r="G974" s="32" t="s">
        <v>2124</v>
      </c>
      <c r="H974" s="32" t="s">
        <v>785</v>
      </c>
      <c r="I974" s="31" t="n">
        <v>45730</v>
      </c>
      <c r="J974" s="32" t="s">
        <v>2080</v>
      </c>
      <c r="K974" s="0" t="n">
        <v>4</v>
      </c>
      <c r="L974" s="32" t="s">
        <v>2081</v>
      </c>
      <c r="M974" s="32" t="s">
        <v>2195</v>
      </c>
      <c r="N974" s="0" t="n">
        <v>4</v>
      </c>
      <c r="O974" s="32" t="s">
        <v>786</v>
      </c>
      <c r="P974" s="32" t="s">
        <v>2133</v>
      </c>
      <c r="Q974" s="32" t="s">
        <v>2112</v>
      </c>
      <c r="R974" s="0" t="str">
        <f aca="false">IF(H974="GEN","GM",H974)</f>
        <v>RS</v>
      </c>
    </row>
    <row r="975" customFormat="false" ht="15" hidden="false" customHeight="false" outlineLevel="0" collapsed="false">
      <c r="A975" s="0" t="s">
        <v>3484</v>
      </c>
      <c r="B975" s="0" t="s">
        <v>2995</v>
      </c>
      <c r="C975" s="0" t="s">
        <v>2206</v>
      </c>
      <c r="D975" s="31" t="n">
        <v>31629</v>
      </c>
      <c r="E975" s="31" t="n">
        <v>45701</v>
      </c>
      <c r="F975" s="32" t="s">
        <v>2078</v>
      </c>
      <c r="G975" s="32" t="s">
        <v>2115</v>
      </c>
      <c r="H975" s="32" t="s">
        <v>758</v>
      </c>
      <c r="I975" s="31" t="n">
        <v>45702</v>
      </c>
      <c r="J975" s="32" t="s">
        <v>2080</v>
      </c>
      <c r="K975" s="0" t="n">
        <v>1</v>
      </c>
      <c r="L975" s="32" t="s">
        <v>2081</v>
      </c>
      <c r="M975" s="32" t="s">
        <v>2094</v>
      </c>
      <c r="N975" s="0" t="n">
        <v>1</v>
      </c>
      <c r="O975" s="32" t="s">
        <v>759</v>
      </c>
      <c r="P975" s="32" t="s">
        <v>2238</v>
      </c>
      <c r="Q975" s="32" t="s">
        <v>2198</v>
      </c>
      <c r="R975" s="0" t="str">
        <f aca="false">IF(H975="GEN","GM",H975)</f>
        <v>CS</v>
      </c>
    </row>
    <row r="976" customFormat="false" ht="15" hidden="false" customHeight="false" outlineLevel="0" collapsed="false">
      <c r="A976" s="0" t="s">
        <v>3485</v>
      </c>
      <c r="B976" s="0" t="s">
        <v>2707</v>
      </c>
      <c r="C976" s="0" t="s">
        <v>2148</v>
      </c>
      <c r="D976" s="31" t="n">
        <v>19054</v>
      </c>
      <c r="E976" s="31" t="n">
        <v>45639</v>
      </c>
      <c r="F976" s="32" t="s">
        <v>2078</v>
      </c>
      <c r="G976" s="32" t="s">
        <v>2099</v>
      </c>
      <c r="H976" s="32" t="s">
        <v>818</v>
      </c>
      <c r="I976" s="31" t="n">
        <v>45640</v>
      </c>
      <c r="J976" s="32" t="s">
        <v>2080</v>
      </c>
      <c r="K976" s="0" t="n">
        <v>1</v>
      </c>
      <c r="L976" s="32" t="s">
        <v>2081</v>
      </c>
      <c r="M976" s="32" t="s">
        <v>2255</v>
      </c>
      <c r="N976" s="0" t="n">
        <v>1</v>
      </c>
      <c r="O976" s="32" t="s">
        <v>819</v>
      </c>
      <c r="P976" s="32" t="s">
        <v>2182</v>
      </c>
      <c r="Q976" s="32" t="s">
        <v>2145</v>
      </c>
      <c r="R976" s="0" t="str">
        <f aca="false">IF(H976="GEN","GM",H976)</f>
        <v>OPH</v>
      </c>
    </row>
    <row r="977" customFormat="false" ht="15" hidden="false" customHeight="false" outlineLevel="0" collapsed="false">
      <c r="A977" s="0" t="s">
        <v>3486</v>
      </c>
      <c r="B977" s="0" t="s">
        <v>3321</v>
      </c>
      <c r="C977" s="0" t="s">
        <v>1005</v>
      </c>
      <c r="D977" s="31" t="n">
        <v>34524</v>
      </c>
      <c r="E977" s="31" t="n">
        <v>45712</v>
      </c>
      <c r="F977" s="32" t="s">
        <v>2078</v>
      </c>
      <c r="G977" s="32" t="s">
        <v>2079</v>
      </c>
      <c r="H977" s="32" t="s">
        <v>776</v>
      </c>
      <c r="I977" s="31" t="n">
        <v>45716</v>
      </c>
      <c r="J977" s="32" t="s">
        <v>2080</v>
      </c>
      <c r="K977" s="0" t="n">
        <v>4</v>
      </c>
      <c r="L977" s="32" t="s">
        <v>2081</v>
      </c>
      <c r="M977" s="32" t="s">
        <v>2082</v>
      </c>
      <c r="N977" s="0" t="n">
        <v>4</v>
      </c>
      <c r="O977" s="32" t="s">
        <v>777</v>
      </c>
      <c r="P977" s="32" t="s">
        <v>2117</v>
      </c>
      <c r="Q977" s="32" t="s">
        <v>2107</v>
      </c>
      <c r="R977" s="0" t="str">
        <f aca="false">IF(H977="GEN","GM",H977)</f>
        <v>GS</v>
      </c>
    </row>
    <row r="978" customFormat="false" ht="15" hidden="false" customHeight="false" outlineLevel="0" collapsed="false">
      <c r="A978" s="0" t="s">
        <v>3487</v>
      </c>
      <c r="B978" s="0" t="s">
        <v>2982</v>
      </c>
      <c r="C978" s="0" t="s">
        <v>958</v>
      </c>
      <c r="D978" s="31" t="n">
        <v>20525</v>
      </c>
      <c r="E978" s="31" t="n">
        <v>45637</v>
      </c>
      <c r="F978" s="32" t="s">
        <v>2078</v>
      </c>
      <c r="G978" s="32" t="s">
        <v>2124</v>
      </c>
      <c r="H978" s="32" t="s">
        <v>785</v>
      </c>
      <c r="I978" s="31" t="n">
        <v>45641</v>
      </c>
      <c r="J978" s="32" t="s">
        <v>2080</v>
      </c>
      <c r="K978" s="0" t="n">
        <v>4</v>
      </c>
      <c r="L978" s="32" t="s">
        <v>2081</v>
      </c>
      <c r="M978" s="32" t="s">
        <v>2082</v>
      </c>
      <c r="N978" s="0" t="n">
        <v>4</v>
      </c>
      <c r="O978" s="32" t="s">
        <v>786</v>
      </c>
      <c r="P978" s="32" t="s">
        <v>2090</v>
      </c>
      <c r="Q978" s="32" t="s">
        <v>2107</v>
      </c>
      <c r="R978" s="0" t="str">
        <f aca="false">IF(H978="GEN","GM",H978)</f>
        <v>RS</v>
      </c>
    </row>
    <row r="979" customFormat="false" ht="15" hidden="false" customHeight="false" outlineLevel="0" collapsed="false">
      <c r="A979" s="0" t="s">
        <v>3488</v>
      </c>
      <c r="B979" s="0" t="s">
        <v>2698</v>
      </c>
      <c r="C979" s="0" t="s">
        <v>775</v>
      </c>
      <c r="D979" s="31" t="n">
        <v>28019</v>
      </c>
      <c r="E979" s="31" t="n">
        <v>45580</v>
      </c>
      <c r="F979" s="32" t="s">
        <v>2087</v>
      </c>
      <c r="G979" s="32" t="s">
        <v>2088</v>
      </c>
      <c r="H979" s="32" t="s">
        <v>793</v>
      </c>
      <c r="I979" s="31" t="n">
        <v>45586</v>
      </c>
      <c r="J979" s="32" t="s">
        <v>2080</v>
      </c>
      <c r="K979" s="0" t="n">
        <v>6</v>
      </c>
      <c r="L979" s="32" t="s">
        <v>2081</v>
      </c>
      <c r="M979" s="32" t="s">
        <v>2082</v>
      </c>
      <c r="N979" s="0" t="n">
        <v>6</v>
      </c>
      <c r="O979" s="32" t="s">
        <v>794</v>
      </c>
      <c r="P979" s="32" t="s">
        <v>2111</v>
      </c>
      <c r="Q979" s="32" t="s">
        <v>2084</v>
      </c>
      <c r="R979" s="0" t="str">
        <f aca="false">IF(H979="GEN","GM",H979)</f>
        <v>EM</v>
      </c>
    </row>
    <row r="980" customFormat="false" ht="15" hidden="false" customHeight="false" outlineLevel="0" collapsed="false">
      <c r="A980" s="0" t="s">
        <v>3489</v>
      </c>
      <c r="B980" s="0" t="s">
        <v>2337</v>
      </c>
      <c r="C980" s="0" t="s">
        <v>1005</v>
      </c>
      <c r="D980" s="31" t="n">
        <v>21167</v>
      </c>
      <c r="E980" s="31" t="n">
        <v>45584</v>
      </c>
      <c r="F980" s="32" t="s">
        <v>2078</v>
      </c>
      <c r="G980" s="32" t="s">
        <v>2099</v>
      </c>
      <c r="H980" s="32" t="s">
        <v>766</v>
      </c>
      <c r="L980" s="32" t="s">
        <v>2081</v>
      </c>
      <c r="M980" s="32" t="s">
        <v>2128</v>
      </c>
      <c r="O980" s="32" t="s">
        <v>767</v>
      </c>
      <c r="P980" s="32" t="s">
        <v>2137</v>
      </c>
      <c r="Q980" s="32" t="s">
        <v>2129</v>
      </c>
      <c r="R980" s="0" t="str">
        <f aca="false">IF(H980="GEN","GM",H980)</f>
        <v>OR</v>
      </c>
    </row>
    <row r="981" customFormat="false" ht="15" hidden="false" customHeight="false" outlineLevel="0" collapsed="false">
      <c r="A981" s="0" t="s">
        <v>3490</v>
      </c>
      <c r="B981" s="0" t="s">
        <v>2630</v>
      </c>
      <c r="C981" s="0" t="s">
        <v>894</v>
      </c>
      <c r="D981" s="31" t="n">
        <v>29461</v>
      </c>
      <c r="E981" s="31" t="n">
        <v>45587</v>
      </c>
      <c r="F981" s="32" t="s">
        <v>2087</v>
      </c>
      <c r="G981" s="32" t="s">
        <v>2099</v>
      </c>
      <c r="H981" s="32" t="s">
        <v>766</v>
      </c>
      <c r="I981" s="31" t="n">
        <v>45588</v>
      </c>
      <c r="J981" s="32" t="s">
        <v>2080</v>
      </c>
      <c r="K981" s="0" t="n">
        <v>1</v>
      </c>
      <c r="L981" s="32" t="s">
        <v>2081</v>
      </c>
      <c r="M981" s="32" t="s">
        <v>2227</v>
      </c>
      <c r="N981" s="0" t="n">
        <v>1</v>
      </c>
      <c r="O981" s="32" t="s">
        <v>767</v>
      </c>
      <c r="P981" s="32" t="s">
        <v>2149</v>
      </c>
      <c r="Q981" s="32" t="s">
        <v>2153</v>
      </c>
      <c r="R981" s="0" t="str">
        <f aca="false">IF(H981="GEN","GM",H981)</f>
        <v>OR</v>
      </c>
    </row>
    <row r="982" customFormat="false" ht="15" hidden="false" customHeight="false" outlineLevel="0" collapsed="false">
      <c r="A982" s="0" t="s">
        <v>3491</v>
      </c>
      <c r="B982" s="0" t="s">
        <v>2847</v>
      </c>
      <c r="C982" s="0" t="s">
        <v>874</v>
      </c>
      <c r="D982" s="31" t="n">
        <v>22372</v>
      </c>
      <c r="E982" s="31" t="n">
        <v>45603</v>
      </c>
      <c r="F982" s="32" t="s">
        <v>2087</v>
      </c>
      <c r="G982" s="32" t="s">
        <v>2079</v>
      </c>
      <c r="H982" s="32" t="s">
        <v>776</v>
      </c>
      <c r="I982" s="31" t="n">
        <v>45607</v>
      </c>
      <c r="J982" s="32" t="s">
        <v>2080</v>
      </c>
      <c r="K982" s="0" t="n">
        <v>4</v>
      </c>
      <c r="L982" s="32" t="s">
        <v>2081</v>
      </c>
      <c r="M982" s="32" t="s">
        <v>2082</v>
      </c>
      <c r="N982" s="0" t="n">
        <v>5</v>
      </c>
      <c r="O982" s="32" t="s">
        <v>777</v>
      </c>
      <c r="P982" s="32" t="s">
        <v>2222</v>
      </c>
      <c r="Q982" s="32" t="s">
        <v>2145</v>
      </c>
      <c r="R982" s="0" t="str">
        <f aca="false">IF(H982="GEN","GM",H982)</f>
        <v>GS</v>
      </c>
    </row>
    <row r="983" customFormat="false" ht="15" hidden="false" customHeight="false" outlineLevel="0" collapsed="false">
      <c r="A983" s="0" t="s">
        <v>3492</v>
      </c>
      <c r="B983" s="0" t="s">
        <v>2545</v>
      </c>
      <c r="C983" s="0" t="s">
        <v>1013</v>
      </c>
      <c r="D983" s="31" t="n">
        <v>29359</v>
      </c>
      <c r="E983" s="31" t="n">
        <v>45680</v>
      </c>
      <c r="F983" s="32" t="s">
        <v>2078</v>
      </c>
      <c r="G983" s="32" t="s">
        <v>2079</v>
      </c>
      <c r="H983" s="32" t="s">
        <v>810</v>
      </c>
      <c r="I983" s="31" t="n">
        <v>45685</v>
      </c>
      <c r="J983" s="32" t="s">
        <v>2080</v>
      </c>
      <c r="K983" s="0" t="n">
        <v>5</v>
      </c>
      <c r="L983" s="32" t="s">
        <v>2081</v>
      </c>
      <c r="M983" s="32" t="s">
        <v>2255</v>
      </c>
      <c r="N983" s="0" t="n">
        <v>5</v>
      </c>
      <c r="O983" s="32" t="s">
        <v>811</v>
      </c>
      <c r="P983" s="32" t="s">
        <v>2162</v>
      </c>
      <c r="Q983" s="32" t="s">
        <v>2157</v>
      </c>
      <c r="R983" s="0" t="str">
        <f aca="false">IF(H983="GEN","GM",H983)</f>
        <v>URO</v>
      </c>
    </row>
    <row r="984" customFormat="false" ht="15" hidden="false" customHeight="false" outlineLevel="0" collapsed="false">
      <c r="A984" s="0" t="s">
        <v>3493</v>
      </c>
      <c r="B984" s="0" t="s">
        <v>3077</v>
      </c>
      <c r="C984" s="0" t="s">
        <v>977</v>
      </c>
      <c r="D984" s="31" t="n">
        <v>28178</v>
      </c>
      <c r="E984" s="31" t="n">
        <v>45643</v>
      </c>
      <c r="F984" s="32" t="s">
        <v>2087</v>
      </c>
      <c r="G984" s="32" t="s">
        <v>2115</v>
      </c>
      <c r="H984" s="32" t="s">
        <v>758</v>
      </c>
      <c r="I984" s="31" t="n">
        <v>45648</v>
      </c>
      <c r="J984" s="32" t="s">
        <v>2080</v>
      </c>
      <c r="K984" s="0" t="n">
        <v>5</v>
      </c>
      <c r="L984" s="32" t="s">
        <v>2081</v>
      </c>
      <c r="N984" s="0" t="n">
        <v>5</v>
      </c>
      <c r="O984" s="32" t="s">
        <v>759</v>
      </c>
      <c r="P984" s="32" t="s">
        <v>2201</v>
      </c>
      <c r="Q984" s="32" t="s">
        <v>2107</v>
      </c>
      <c r="R984" s="0" t="str">
        <f aca="false">IF(H984="GEN","GM",H984)</f>
        <v>CS</v>
      </c>
    </row>
    <row r="985" customFormat="false" ht="15" hidden="false" customHeight="false" outlineLevel="0" collapsed="false">
      <c r="A985" s="0" t="s">
        <v>3494</v>
      </c>
      <c r="B985" s="0" t="s">
        <v>2659</v>
      </c>
      <c r="C985" s="0" t="s">
        <v>746</v>
      </c>
      <c r="D985" s="31" t="n">
        <v>21863</v>
      </c>
      <c r="E985" s="31" t="n">
        <v>45618</v>
      </c>
      <c r="F985" s="32" t="s">
        <v>2087</v>
      </c>
      <c r="G985" s="32" t="s">
        <v>2079</v>
      </c>
      <c r="H985" s="32" t="s">
        <v>776</v>
      </c>
      <c r="I985" s="31" t="n">
        <v>45622</v>
      </c>
      <c r="J985" s="32" t="s">
        <v>2080</v>
      </c>
      <c r="K985" s="0" t="n">
        <v>4</v>
      </c>
      <c r="L985" s="32" t="s">
        <v>2081</v>
      </c>
      <c r="M985" s="32" t="s">
        <v>2132</v>
      </c>
      <c r="N985" s="0" t="n">
        <v>4</v>
      </c>
      <c r="O985" s="32" t="s">
        <v>777</v>
      </c>
      <c r="P985" s="32" t="s">
        <v>2182</v>
      </c>
      <c r="Q985" s="32" t="s">
        <v>2198</v>
      </c>
      <c r="R985" s="0" t="str">
        <f aca="false">IF(H985="GEN","GM",H985)</f>
        <v>GS</v>
      </c>
    </row>
    <row r="986" customFormat="false" ht="15" hidden="false" customHeight="false" outlineLevel="0" collapsed="false">
      <c r="A986" s="0" t="s">
        <v>3495</v>
      </c>
      <c r="B986" s="0" t="s">
        <v>2077</v>
      </c>
      <c r="C986" s="0" t="s">
        <v>757</v>
      </c>
      <c r="D986" s="31" t="n">
        <v>24225</v>
      </c>
      <c r="E986" s="31" t="n">
        <v>45591</v>
      </c>
      <c r="F986" s="32" t="s">
        <v>2078</v>
      </c>
      <c r="G986" s="32" t="s">
        <v>2124</v>
      </c>
      <c r="H986" s="32" t="s">
        <v>785</v>
      </c>
      <c r="I986" s="31" t="n">
        <v>45593</v>
      </c>
      <c r="J986" s="32" t="s">
        <v>2080</v>
      </c>
      <c r="K986" s="0" t="n">
        <v>2</v>
      </c>
      <c r="L986" s="32" t="s">
        <v>2081</v>
      </c>
      <c r="M986" s="32" t="s">
        <v>2082</v>
      </c>
      <c r="N986" s="0" t="n">
        <v>2</v>
      </c>
      <c r="O986" s="32" t="s">
        <v>786</v>
      </c>
      <c r="P986" s="32" t="s">
        <v>2142</v>
      </c>
      <c r="Q986" s="32" t="s">
        <v>2118</v>
      </c>
      <c r="R986" s="0" t="str">
        <f aca="false">IF(H986="GEN","GM",H986)</f>
        <v>RS</v>
      </c>
    </row>
    <row r="987" customFormat="false" ht="15" hidden="false" customHeight="false" outlineLevel="0" collapsed="false">
      <c r="A987" s="0" t="s">
        <v>3496</v>
      </c>
      <c r="B987" s="0" t="s">
        <v>2672</v>
      </c>
      <c r="C987" s="0" t="s">
        <v>746</v>
      </c>
      <c r="D987" s="31" t="n">
        <v>18752</v>
      </c>
      <c r="E987" s="31" t="n">
        <v>45712</v>
      </c>
      <c r="F987" s="32" t="s">
        <v>2258</v>
      </c>
      <c r="G987" s="32" t="s">
        <v>2088</v>
      </c>
      <c r="H987" s="32" t="s">
        <v>747</v>
      </c>
      <c r="I987" s="31" t="n">
        <v>45720</v>
      </c>
      <c r="J987" s="32" t="s">
        <v>2080</v>
      </c>
      <c r="K987" s="0" t="n">
        <v>8</v>
      </c>
      <c r="L987" s="32" t="s">
        <v>2081</v>
      </c>
      <c r="M987" s="32" t="s">
        <v>2207</v>
      </c>
      <c r="N987" s="0" t="n">
        <v>8</v>
      </c>
      <c r="O987" s="32" t="s">
        <v>748</v>
      </c>
      <c r="P987" s="32" t="s">
        <v>2156</v>
      </c>
      <c r="Q987" s="32" t="s">
        <v>2244</v>
      </c>
      <c r="R987" s="0" t="str">
        <f aca="false">IF(H987="GEN","GM",H987)</f>
        <v>GM</v>
      </c>
    </row>
    <row r="988" customFormat="false" ht="15" hidden="false" customHeight="false" outlineLevel="0" collapsed="false">
      <c r="A988" s="0" t="s">
        <v>3497</v>
      </c>
      <c r="B988" s="0" t="s">
        <v>2800</v>
      </c>
      <c r="C988" s="0" t="s">
        <v>1021</v>
      </c>
      <c r="D988" s="31" t="n">
        <v>26766</v>
      </c>
      <c r="E988" s="31" t="n">
        <v>45653</v>
      </c>
      <c r="F988" s="32" t="s">
        <v>2087</v>
      </c>
      <c r="G988" s="32" t="s">
        <v>2124</v>
      </c>
      <c r="H988" s="32" t="s">
        <v>785</v>
      </c>
      <c r="I988" s="31" t="n">
        <v>45659</v>
      </c>
      <c r="J988" s="32" t="s">
        <v>2080</v>
      </c>
      <c r="K988" s="0" t="n">
        <v>6</v>
      </c>
      <c r="L988" s="32" t="s">
        <v>2081</v>
      </c>
      <c r="M988" s="32" t="s">
        <v>2116</v>
      </c>
      <c r="N988" s="0" t="n">
        <v>6</v>
      </c>
      <c r="O988" s="32" t="s">
        <v>786</v>
      </c>
      <c r="P988" s="32" t="s">
        <v>2101</v>
      </c>
      <c r="Q988" s="32" t="s">
        <v>2129</v>
      </c>
      <c r="R988" s="0" t="str">
        <f aca="false">IF(H988="GEN","GM",H988)</f>
        <v>RS</v>
      </c>
    </row>
    <row r="989" customFormat="false" ht="15" hidden="false" customHeight="false" outlineLevel="0" collapsed="false">
      <c r="A989" s="0" t="s">
        <v>3498</v>
      </c>
      <c r="B989" s="0" t="s">
        <v>2679</v>
      </c>
      <c r="C989" s="0" t="s">
        <v>792</v>
      </c>
      <c r="D989" s="31" t="n">
        <v>23057</v>
      </c>
      <c r="E989" s="31" t="n">
        <v>45657</v>
      </c>
      <c r="F989" s="32" t="s">
        <v>2078</v>
      </c>
      <c r="G989" s="32" t="s">
        <v>2079</v>
      </c>
      <c r="H989" s="32" t="s">
        <v>776</v>
      </c>
      <c r="I989" s="31" t="n">
        <v>45661</v>
      </c>
      <c r="J989" s="32" t="s">
        <v>2080</v>
      </c>
      <c r="K989" s="0" t="n">
        <v>4</v>
      </c>
      <c r="L989" s="32" t="s">
        <v>2081</v>
      </c>
      <c r="M989" s="32" t="s">
        <v>2195</v>
      </c>
      <c r="N989" s="0" t="n">
        <v>4</v>
      </c>
      <c r="O989" s="32" t="s">
        <v>777</v>
      </c>
      <c r="P989" s="32" t="s">
        <v>2201</v>
      </c>
      <c r="Q989" s="32" t="s">
        <v>2190</v>
      </c>
      <c r="R989" s="0" t="str">
        <f aca="false">IF(H989="GEN","GM",H989)</f>
        <v>GS</v>
      </c>
    </row>
    <row r="990" customFormat="false" ht="15" hidden="false" customHeight="false" outlineLevel="0" collapsed="false">
      <c r="A990" s="0" t="s">
        <v>3499</v>
      </c>
      <c r="B990" s="0" t="s">
        <v>3500</v>
      </c>
      <c r="C990" s="0" t="s">
        <v>962</v>
      </c>
      <c r="D990" s="31" t="n">
        <v>26627</v>
      </c>
      <c r="E990" s="31" t="n">
        <v>45679</v>
      </c>
      <c r="F990" s="32" t="s">
        <v>2078</v>
      </c>
      <c r="G990" s="32" t="s">
        <v>2088</v>
      </c>
      <c r="H990" s="32" t="s">
        <v>747</v>
      </c>
      <c r="I990" s="31" t="n">
        <v>45681</v>
      </c>
      <c r="J990" s="32" t="s">
        <v>2160</v>
      </c>
      <c r="K990" s="0" t="n">
        <v>2</v>
      </c>
      <c r="L990" s="32" t="s">
        <v>2081</v>
      </c>
      <c r="M990" s="32" t="s">
        <v>2141</v>
      </c>
      <c r="N990" s="0" t="n">
        <v>2</v>
      </c>
      <c r="O990" s="32" t="s">
        <v>748</v>
      </c>
      <c r="P990" s="32" t="s">
        <v>2083</v>
      </c>
      <c r="Q990" s="32" t="s">
        <v>2129</v>
      </c>
      <c r="R990" s="0" t="str">
        <f aca="false">IF(H990="GEN","GM",H990)</f>
        <v>GM</v>
      </c>
    </row>
    <row r="991" customFormat="false" ht="15" hidden="false" customHeight="false" outlineLevel="0" collapsed="false">
      <c r="A991" s="0" t="s">
        <v>3501</v>
      </c>
      <c r="B991" s="0" t="s">
        <v>3005</v>
      </c>
      <c r="C991" s="0" t="s">
        <v>845</v>
      </c>
      <c r="D991" s="31" t="n">
        <v>16984</v>
      </c>
      <c r="E991" s="31" t="n">
        <v>45575</v>
      </c>
      <c r="F991" s="32" t="s">
        <v>2087</v>
      </c>
      <c r="G991" s="32" t="s">
        <v>2099</v>
      </c>
      <c r="H991" s="32" t="s">
        <v>818</v>
      </c>
      <c r="I991" s="31" t="n">
        <v>45582</v>
      </c>
      <c r="J991" s="32" t="s">
        <v>2307</v>
      </c>
      <c r="K991" s="0" t="n">
        <v>7</v>
      </c>
      <c r="L991" s="32" t="s">
        <v>2081</v>
      </c>
      <c r="M991" s="32" t="s">
        <v>2227</v>
      </c>
      <c r="N991" s="0" t="n">
        <v>7</v>
      </c>
      <c r="O991" s="32" t="s">
        <v>819</v>
      </c>
      <c r="P991" s="32" t="s">
        <v>2222</v>
      </c>
      <c r="Q991" s="32" t="s">
        <v>2170</v>
      </c>
      <c r="R991" s="0" t="str">
        <f aca="false">IF(H991="GEN","GM",H991)</f>
        <v>OPH</v>
      </c>
    </row>
    <row r="992" customFormat="false" ht="15" hidden="false" customHeight="false" outlineLevel="0" collapsed="false">
      <c r="A992" s="0" t="s">
        <v>3502</v>
      </c>
      <c r="B992" s="0" t="s">
        <v>3503</v>
      </c>
      <c r="C992" s="0" t="s">
        <v>1414</v>
      </c>
      <c r="D992" s="31" t="n">
        <v>37184</v>
      </c>
      <c r="E992" s="31" t="n">
        <v>45595</v>
      </c>
      <c r="F992" s="32" t="s">
        <v>2087</v>
      </c>
      <c r="G992" s="32" t="s">
        <v>2079</v>
      </c>
      <c r="H992" s="32" t="s">
        <v>810</v>
      </c>
      <c r="I992" s="31" t="n">
        <v>45601</v>
      </c>
      <c r="J992" s="32" t="s">
        <v>2160</v>
      </c>
      <c r="K992" s="0" t="n">
        <v>6</v>
      </c>
      <c r="L992" s="32" t="s">
        <v>2081</v>
      </c>
      <c r="M992" s="32" t="s">
        <v>2094</v>
      </c>
      <c r="N992" s="0" t="n">
        <v>6</v>
      </c>
      <c r="O992" s="32" t="s">
        <v>811</v>
      </c>
      <c r="P992" s="32" t="s">
        <v>2179</v>
      </c>
      <c r="Q992" s="32" t="s">
        <v>2107</v>
      </c>
      <c r="R992" s="0" t="str">
        <f aca="false">IF(H992="GEN","GM",H992)</f>
        <v>URO</v>
      </c>
    </row>
    <row r="993" customFormat="false" ht="15" hidden="false" customHeight="false" outlineLevel="0" collapsed="false">
      <c r="A993" s="0" t="s">
        <v>3504</v>
      </c>
      <c r="B993" s="0" t="s">
        <v>3505</v>
      </c>
      <c r="C993" s="0" t="s">
        <v>977</v>
      </c>
      <c r="D993" s="31" t="n">
        <v>19614</v>
      </c>
      <c r="E993" s="31" t="n">
        <v>45592</v>
      </c>
      <c r="F993" s="32" t="s">
        <v>2087</v>
      </c>
      <c r="G993" s="32" t="s">
        <v>2088</v>
      </c>
      <c r="H993" s="32" t="s">
        <v>826</v>
      </c>
      <c r="I993" s="31" t="n">
        <v>45596</v>
      </c>
      <c r="J993" s="32" t="s">
        <v>2105</v>
      </c>
      <c r="K993" s="0" t="n">
        <v>4</v>
      </c>
      <c r="L993" s="32" t="s">
        <v>2081</v>
      </c>
      <c r="M993" s="32" t="s">
        <v>2141</v>
      </c>
      <c r="N993" s="0" t="n">
        <v>4</v>
      </c>
      <c r="O993" s="32" t="s">
        <v>827</v>
      </c>
      <c r="P993" s="32" t="s">
        <v>2137</v>
      </c>
      <c r="Q993" s="32" t="s">
        <v>2112</v>
      </c>
      <c r="R993" s="0" t="str">
        <f aca="false">IF(H993="GEN","GM",H993)</f>
        <v>RHE</v>
      </c>
    </row>
    <row r="994" customFormat="false" ht="15" hidden="false" customHeight="false" outlineLevel="0" collapsed="false">
      <c r="A994" s="0" t="s">
        <v>3506</v>
      </c>
      <c r="B994" s="0" t="s">
        <v>2572</v>
      </c>
      <c r="C994" s="0" t="s">
        <v>946</v>
      </c>
      <c r="D994" s="31" t="n">
        <v>25734</v>
      </c>
      <c r="E994" s="31" t="n">
        <v>45577</v>
      </c>
      <c r="F994" s="32" t="s">
        <v>2087</v>
      </c>
      <c r="G994" s="32" t="s">
        <v>2124</v>
      </c>
      <c r="H994" s="32" t="s">
        <v>785</v>
      </c>
      <c r="I994" s="31" t="n">
        <v>45581</v>
      </c>
      <c r="J994" s="32" t="s">
        <v>2080</v>
      </c>
      <c r="K994" s="0" t="n">
        <v>4</v>
      </c>
      <c r="L994" s="32" t="s">
        <v>2081</v>
      </c>
      <c r="M994" s="32" t="s">
        <v>2136</v>
      </c>
      <c r="N994" s="0" t="n">
        <v>4</v>
      </c>
      <c r="O994" s="32" t="s">
        <v>786</v>
      </c>
      <c r="P994" s="32" t="s">
        <v>2095</v>
      </c>
      <c r="Q994" s="32" t="s">
        <v>2259</v>
      </c>
      <c r="R994" s="0" t="str">
        <f aca="false">IF(H994="GEN","GM",H994)</f>
        <v>RS</v>
      </c>
    </row>
    <row r="995" customFormat="false" ht="15" hidden="false" customHeight="false" outlineLevel="0" collapsed="false">
      <c r="A995" s="0" t="s">
        <v>3507</v>
      </c>
      <c r="B995" s="0" t="s">
        <v>3398</v>
      </c>
      <c r="C995" s="0" t="s">
        <v>918</v>
      </c>
      <c r="D995" s="31" t="n">
        <v>28784</v>
      </c>
      <c r="E995" s="31" t="n">
        <v>45711</v>
      </c>
      <c r="F995" s="32" t="s">
        <v>2087</v>
      </c>
      <c r="G995" s="32" t="s">
        <v>2088</v>
      </c>
      <c r="H995" s="32" t="s">
        <v>793</v>
      </c>
      <c r="I995" s="31" t="n">
        <v>45717</v>
      </c>
      <c r="J995" s="32" t="s">
        <v>2160</v>
      </c>
      <c r="K995" s="0" t="n">
        <v>6</v>
      </c>
      <c r="L995" s="32" t="s">
        <v>2081</v>
      </c>
      <c r="M995" s="32" t="s">
        <v>2100</v>
      </c>
      <c r="N995" s="0" t="n">
        <v>6</v>
      </c>
      <c r="O995" s="32" t="s">
        <v>794</v>
      </c>
      <c r="P995" s="32" t="s">
        <v>2156</v>
      </c>
      <c r="Q995" s="32" t="s">
        <v>2179</v>
      </c>
      <c r="R995" s="0" t="str">
        <f aca="false">IF(H995="GEN","GM",H995)</f>
        <v>EM</v>
      </c>
    </row>
    <row r="996" customFormat="false" ht="15" hidden="false" customHeight="false" outlineLevel="0" collapsed="false">
      <c r="A996" s="0" t="s">
        <v>3508</v>
      </c>
      <c r="B996" s="0" t="s">
        <v>2342</v>
      </c>
      <c r="C996" s="0" t="s">
        <v>950</v>
      </c>
      <c r="D996" s="31" t="n">
        <v>14484</v>
      </c>
      <c r="E996" s="31" t="n">
        <v>45685</v>
      </c>
      <c r="F996" s="32" t="s">
        <v>2160</v>
      </c>
      <c r="G996" s="32" t="s">
        <v>2079</v>
      </c>
      <c r="H996" s="32" t="s">
        <v>810</v>
      </c>
      <c r="I996" s="31" t="n">
        <v>45689</v>
      </c>
      <c r="J996" s="32" t="s">
        <v>2080</v>
      </c>
      <c r="K996" s="0" t="n">
        <v>4</v>
      </c>
      <c r="M996" s="32" t="s">
        <v>2100</v>
      </c>
      <c r="N996" s="0" t="n">
        <v>4</v>
      </c>
      <c r="O996" s="32" t="s">
        <v>811</v>
      </c>
      <c r="P996" s="32" t="s">
        <v>2162</v>
      </c>
      <c r="Q996" s="32" t="s">
        <v>2157</v>
      </c>
      <c r="R996" s="0" t="str">
        <f aca="false">IF(H996="GEN","GM",H996)</f>
        <v>URO</v>
      </c>
    </row>
    <row r="997" customFormat="false" ht="15" hidden="false" customHeight="false" outlineLevel="0" collapsed="false">
      <c r="A997" s="0" t="s">
        <v>3509</v>
      </c>
      <c r="B997" s="0" t="s">
        <v>2086</v>
      </c>
      <c r="C997" s="0" t="s">
        <v>1414</v>
      </c>
      <c r="D997" s="31" t="n">
        <v>27881</v>
      </c>
      <c r="E997" s="31" t="n">
        <v>45707</v>
      </c>
      <c r="F997" s="32" t="s">
        <v>2078</v>
      </c>
      <c r="G997" s="32" t="s">
        <v>2088</v>
      </c>
      <c r="H997" s="32" t="s">
        <v>826</v>
      </c>
      <c r="I997" s="31" t="n">
        <v>45709</v>
      </c>
      <c r="J997" s="32" t="s">
        <v>2080</v>
      </c>
      <c r="K997" s="0" t="n">
        <v>2</v>
      </c>
      <c r="L997" s="32" t="s">
        <v>2081</v>
      </c>
      <c r="M997" s="32" t="s">
        <v>2089</v>
      </c>
      <c r="N997" s="0" t="n">
        <v>2</v>
      </c>
      <c r="O997" s="32" t="s">
        <v>827</v>
      </c>
      <c r="P997" s="32" t="s">
        <v>2090</v>
      </c>
      <c r="Q997" s="32" t="s">
        <v>2125</v>
      </c>
      <c r="R997" s="0" t="str">
        <f aca="false">IF(H997="GEN","GM",H997)</f>
        <v>RHE</v>
      </c>
    </row>
    <row r="998" customFormat="false" ht="15" hidden="false" customHeight="false" outlineLevel="0" collapsed="false">
      <c r="A998" s="0" t="s">
        <v>3510</v>
      </c>
      <c r="B998" s="0" t="s">
        <v>2203</v>
      </c>
      <c r="C998" s="0" t="s">
        <v>1025</v>
      </c>
      <c r="D998" s="31" t="n">
        <v>19864</v>
      </c>
      <c r="E998" s="31" t="n">
        <v>45640</v>
      </c>
      <c r="F998" s="32" t="s">
        <v>2087</v>
      </c>
      <c r="G998" s="32" t="s">
        <v>2079</v>
      </c>
      <c r="H998" s="32" t="s">
        <v>776</v>
      </c>
      <c r="I998" s="31" t="n">
        <v>45643</v>
      </c>
      <c r="J998" s="32" t="s">
        <v>2080</v>
      </c>
      <c r="K998" s="0" t="n">
        <v>3</v>
      </c>
      <c r="L998" s="32" t="s">
        <v>2081</v>
      </c>
      <c r="M998" s="32" t="s">
        <v>2110</v>
      </c>
      <c r="N998" s="0" t="n">
        <v>4</v>
      </c>
      <c r="O998" s="32" t="s">
        <v>777</v>
      </c>
      <c r="P998" s="32" t="s">
        <v>2121</v>
      </c>
      <c r="Q998" s="32" t="s">
        <v>2241</v>
      </c>
      <c r="R998" s="0" t="str">
        <f aca="false">IF(H998="GEN","GM",H998)</f>
        <v>GS</v>
      </c>
    </row>
    <row r="999" customFormat="false" ht="15" hidden="false" customHeight="false" outlineLevel="0" collapsed="false">
      <c r="A999" s="0" t="s">
        <v>3511</v>
      </c>
      <c r="B999" s="0" t="s">
        <v>2591</v>
      </c>
      <c r="C999" s="0" t="s">
        <v>981</v>
      </c>
      <c r="D999" s="31" t="n">
        <v>25806</v>
      </c>
      <c r="E999" s="31" t="n">
        <v>45735</v>
      </c>
      <c r="F999" s="32" t="s">
        <v>2078</v>
      </c>
      <c r="G999" s="32" t="s">
        <v>2115</v>
      </c>
      <c r="H999" s="32" t="s">
        <v>758</v>
      </c>
      <c r="I999" s="31" t="n">
        <v>45738</v>
      </c>
      <c r="J999" s="32" t="s">
        <v>2080</v>
      </c>
      <c r="K999" s="0" t="n">
        <v>3</v>
      </c>
      <c r="L999" s="32" t="s">
        <v>2106</v>
      </c>
      <c r="M999" s="32" t="s">
        <v>2082</v>
      </c>
      <c r="N999" s="0" t="n">
        <v>3</v>
      </c>
      <c r="O999" s="32" t="s">
        <v>759</v>
      </c>
      <c r="P999" s="32" t="s">
        <v>2101</v>
      </c>
      <c r="Q999" s="32" t="s">
        <v>2118</v>
      </c>
      <c r="R999" s="0" t="str">
        <f aca="false">IF(H999="GEN","GM",H999)</f>
        <v>CS</v>
      </c>
    </row>
    <row r="1000" customFormat="false" ht="15" hidden="false" customHeight="false" outlineLevel="0" collapsed="false">
      <c r="A1000" s="0" t="s">
        <v>3512</v>
      </c>
      <c r="B1000" s="0" t="s">
        <v>3309</v>
      </c>
      <c r="C1000" s="0" t="s">
        <v>775</v>
      </c>
      <c r="D1000" s="31" t="n">
        <v>29777</v>
      </c>
      <c r="E1000" s="31" t="n">
        <v>45631</v>
      </c>
      <c r="F1000" s="32" t="s">
        <v>2078</v>
      </c>
      <c r="G1000" s="32" t="s">
        <v>2088</v>
      </c>
      <c r="H1000" s="32" t="s">
        <v>793</v>
      </c>
      <c r="I1000" s="31" t="n">
        <v>45633</v>
      </c>
      <c r="J1000" s="32" t="s">
        <v>2080</v>
      </c>
      <c r="K1000" s="0" t="n">
        <v>2</v>
      </c>
      <c r="L1000" s="32" t="s">
        <v>2081</v>
      </c>
      <c r="N1000" s="0" t="n">
        <v>2</v>
      </c>
      <c r="P1000" s="32" t="s">
        <v>2156</v>
      </c>
      <c r="Q1000" s="32" t="s">
        <v>2198</v>
      </c>
      <c r="R1000" s="0" t="str">
        <f aca="false">IF(H1000="GEN","GM",H1000)</f>
        <v>EM</v>
      </c>
    </row>
    <row r="1001" customFormat="false" ht="15" hidden="false" customHeight="false" outlineLevel="0" collapsed="false">
      <c r="A1001" s="0" t="s">
        <v>3513</v>
      </c>
      <c r="B1001" s="0" t="s">
        <v>2659</v>
      </c>
      <c r="C1001" s="0" t="s">
        <v>862</v>
      </c>
      <c r="D1001" s="31" t="n">
        <v>35639</v>
      </c>
      <c r="E1001" s="31" t="n">
        <v>45671</v>
      </c>
      <c r="F1001" s="32" t="s">
        <v>2160</v>
      </c>
      <c r="G1001" s="32" t="s">
        <v>2088</v>
      </c>
      <c r="H1001" s="32" t="s">
        <v>826</v>
      </c>
      <c r="I1001" s="31" t="n">
        <v>45672</v>
      </c>
      <c r="J1001" s="32" t="s">
        <v>2080</v>
      </c>
      <c r="K1001" s="0" t="n">
        <v>1</v>
      </c>
      <c r="L1001" s="32" t="s">
        <v>2081</v>
      </c>
      <c r="M1001" s="32" t="s">
        <v>2255</v>
      </c>
      <c r="N1001" s="0" t="n">
        <v>1</v>
      </c>
      <c r="O1001" s="32" t="s">
        <v>827</v>
      </c>
      <c r="P1001" s="32" t="s">
        <v>2095</v>
      </c>
      <c r="Q1001" s="32" t="s">
        <v>2138</v>
      </c>
      <c r="R1001" s="0" t="str">
        <f aca="false">IF(H1001="GEN","GM",H1001)</f>
        <v>RHE</v>
      </c>
    </row>
    <row r="1002" customFormat="false" ht="15" hidden="false" customHeight="false" outlineLevel="0" collapsed="false">
      <c r="A1002" s="0" t="s">
        <v>3514</v>
      </c>
      <c r="B1002" s="0" t="s">
        <v>2765</v>
      </c>
      <c r="C1002" s="0" t="s">
        <v>1021</v>
      </c>
      <c r="D1002" s="31" t="n">
        <v>30124</v>
      </c>
      <c r="E1002" s="31" t="n">
        <v>45684</v>
      </c>
      <c r="F1002" s="32" t="s">
        <v>2078</v>
      </c>
      <c r="G1002" s="32" t="s">
        <v>2088</v>
      </c>
      <c r="H1002" s="32" t="s">
        <v>826</v>
      </c>
      <c r="I1002" s="31" t="n">
        <v>45684</v>
      </c>
      <c r="J1002" s="32" t="s">
        <v>2080</v>
      </c>
      <c r="K1002" s="0" t="n">
        <v>0</v>
      </c>
      <c r="L1002" s="32" t="s">
        <v>2081</v>
      </c>
      <c r="M1002" s="32" t="s">
        <v>2283</v>
      </c>
      <c r="N1002" s="0" t="n">
        <v>0</v>
      </c>
      <c r="O1002" s="32" t="s">
        <v>827</v>
      </c>
      <c r="P1002" s="32" t="s">
        <v>2149</v>
      </c>
      <c r="Q1002" s="32" t="s">
        <v>2153</v>
      </c>
      <c r="R1002" s="0" t="str">
        <f aca="false">IF(H1002="GEN","GM",H1002)</f>
        <v>RHE</v>
      </c>
    </row>
    <row r="1003" customFormat="false" ht="15" hidden="false" customHeight="false" outlineLevel="0" collapsed="false">
      <c r="A1003" s="0" t="s">
        <v>3515</v>
      </c>
      <c r="B1003" s="0" t="s">
        <v>2240</v>
      </c>
      <c r="C1003" s="0" t="s">
        <v>886</v>
      </c>
      <c r="D1003" s="31" t="n">
        <v>16336</v>
      </c>
      <c r="E1003" s="31" t="n">
        <v>45584</v>
      </c>
      <c r="F1003" s="32" t="s">
        <v>2078</v>
      </c>
      <c r="G1003" s="32" t="s">
        <v>2079</v>
      </c>
      <c r="H1003" s="32" t="s">
        <v>776</v>
      </c>
      <c r="I1003" s="31" t="n">
        <v>45588</v>
      </c>
      <c r="J1003" s="32" t="s">
        <v>2080</v>
      </c>
      <c r="K1003" s="0" t="n">
        <v>4</v>
      </c>
      <c r="L1003" s="32" t="s">
        <v>2081</v>
      </c>
      <c r="M1003" s="32" t="s">
        <v>2207</v>
      </c>
      <c r="N1003" s="0" t="n">
        <v>4</v>
      </c>
      <c r="O1003" s="32" t="s">
        <v>777</v>
      </c>
      <c r="P1003" s="32" t="s">
        <v>2182</v>
      </c>
      <c r="Q1003" s="32" t="s">
        <v>2244</v>
      </c>
      <c r="R1003" s="0" t="str">
        <f aca="false">IF(H1003="GEN","GM",H1003)</f>
        <v>GS</v>
      </c>
    </row>
    <row r="1004" customFormat="false" ht="15" hidden="false" customHeight="false" outlineLevel="0" collapsed="false">
      <c r="A1004" s="0" t="s">
        <v>3516</v>
      </c>
      <c r="B1004" s="0" t="s">
        <v>2456</v>
      </c>
      <c r="C1004" s="0" t="s">
        <v>1460</v>
      </c>
      <c r="D1004" s="31" t="n">
        <v>23696</v>
      </c>
      <c r="E1004" s="31" t="n">
        <v>45724</v>
      </c>
      <c r="F1004" s="32" t="s">
        <v>2078</v>
      </c>
      <c r="G1004" s="32" t="s">
        <v>2079</v>
      </c>
      <c r="H1004" s="32" t="s">
        <v>810</v>
      </c>
      <c r="I1004" s="31" t="n">
        <v>45727</v>
      </c>
      <c r="J1004" s="32" t="s">
        <v>2160</v>
      </c>
      <c r="K1004" s="0" t="n">
        <v>3</v>
      </c>
      <c r="L1004" s="32" t="s">
        <v>2106</v>
      </c>
      <c r="M1004" s="32" t="s">
        <v>2207</v>
      </c>
      <c r="N1004" s="0" t="n">
        <v>3</v>
      </c>
      <c r="O1004" s="32" t="s">
        <v>811</v>
      </c>
      <c r="P1004" s="32" t="s">
        <v>2222</v>
      </c>
      <c r="Q1004" s="32" t="s">
        <v>2138</v>
      </c>
      <c r="R1004" s="0" t="str">
        <f aca="false">IF(H1004="GEN","GM",H1004)</f>
        <v>URO</v>
      </c>
    </row>
    <row r="1005" customFormat="false" ht="15" hidden="false" customHeight="false" outlineLevel="0" collapsed="false">
      <c r="A1005" s="0" t="s">
        <v>3517</v>
      </c>
      <c r="B1005" s="0" t="s">
        <v>2584</v>
      </c>
      <c r="C1005" s="0" t="s">
        <v>2148</v>
      </c>
      <c r="D1005" s="31" t="n">
        <v>15105</v>
      </c>
      <c r="E1005" s="31" t="n">
        <v>45635</v>
      </c>
      <c r="F1005" s="32" t="s">
        <v>2078</v>
      </c>
      <c r="G1005" s="32" t="s">
        <v>2099</v>
      </c>
      <c r="H1005" s="32" t="s">
        <v>818</v>
      </c>
      <c r="L1005" s="32" t="s">
        <v>2081</v>
      </c>
      <c r="M1005" s="32" t="s">
        <v>2255</v>
      </c>
      <c r="O1005" s="32" t="s">
        <v>819</v>
      </c>
      <c r="P1005" s="32" t="s">
        <v>2213</v>
      </c>
      <c r="Q1005" s="32" t="s">
        <v>2129</v>
      </c>
      <c r="R1005" s="0" t="str">
        <f aca="false">IF(H1005="GEN","GM",H1005)</f>
        <v>OPH</v>
      </c>
    </row>
    <row r="1006" customFormat="false" ht="15" hidden="false" customHeight="false" outlineLevel="0" collapsed="false">
      <c r="A1006" s="0" t="s">
        <v>3518</v>
      </c>
      <c r="B1006" s="0" t="s">
        <v>2304</v>
      </c>
      <c r="C1006" s="0" t="s">
        <v>882</v>
      </c>
      <c r="D1006" s="31" t="n">
        <v>29805</v>
      </c>
      <c r="E1006" s="31" t="n">
        <v>45569</v>
      </c>
      <c r="F1006" s="32" t="s">
        <v>2087</v>
      </c>
      <c r="G1006" s="32" t="s">
        <v>2079</v>
      </c>
      <c r="H1006" s="32" t="s">
        <v>810</v>
      </c>
      <c r="I1006" s="31" t="n">
        <v>45572</v>
      </c>
      <c r="J1006" s="32" t="s">
        <v>2080</v>
      </c>
      <c r="K1006" s="0" t="n">
        <v>3</v>
      </c>
      <c r="L1006" s="32" t="s">
        <v>2106</v>
      </c>
      <c r="M1006" s="32" t="s">
        <v>2110</v>
      </c>
      <c r="N1006" s="0" t="n">
        <v>3</v>
      </c>
      <c r="O1006" s="32" t="s">
        <v>811</v>
      </c>
      <c r="P1006" s="32" t="s">
        <v>2222</v>
      </c>
      <c r="Q1006" s="32" t="s">
        <v>2145</v>
      </c>
      <c r="R1006" s="0" t="str">
        <f aca="false">IF(H1006="GEN","GM",H1006)</f>
        <v>URO</v>
      </c>
    </row>
    <row r="1007" customFormat="false" ht="15" hidden="false" customHeight="false" outlineLevel="0" collapsed="false">
      <c r="A1007" s="0" t="s">
        <v>3519</v>
      </c>
      <c r="B1007" s="0" t="s">
        <v>2077</v>
      </c>
      <c r="C1007" s="0" t="s">
        <v>870</v>
      </c>
      <c r="D1007" s="31" t="n">
        <v>31657</v>
      </c>
      <c r="E1007" s="31" t="n">
        <v>45584</v>
      </c>
      <c r="F1007" s="32" t="s">
        <v>2087</v>
      </c>
      <c r="G1007" s="32" t="s">
        <v>2099</v>
      </c>
      <c r="H1007" s="32" t="s">
        <v>766</v>
      </c>
      <c r="I1007" s="31" t="n">
        <v>45590</v>
      </c>
      <c r="J1007" s="32" t="s">
        <v>2368</v>
      </c>
      <c r="K1007" s="0" t="n">
        <v>6</v>
      </c>
      <c r="L1007" s="32" t="s">
        <v>2081</v>
      </c>
      <c r="M1007" s="32" t="s">
        <v>2283</v>
      </c>
      <c r="N1007" s="0" t="n">
        <v>6</v>
      </c>
      <c r="O1007" s="32" t="s">
        <v>767</v>
      </c>
      <c r="P1007" s="32" t="s">
        <v>2133</v>
      </c>
      <c r="Q1007" s="32" t="s">
        <v>2091</v>
      </c>
      <c r="R1007" s="0" t="str">
        <f aca="false">IF(H1007="GEN","GM",H1007)</f>
        <v>OR</v>
      </c>
    </row>
    <row r="1008" customFormat="false" ht="15" hidden="false" customHeight="false" outlineLevel="0" collapsed="false">
      <c r="A1008" s="0" t="s">
        <v>3520</v>
      </c>
      <c r="B1008" s="0" t="s">
        <v>3060</v>
      </c>
      <c r="C1008" s="0" t="s">
        <v>1001</v>
      </c>
      <c r="D1008" s="31" t="n">
        <v>30452</v>
      </c>
      <c r="E1008" s="31" t="n">
        <v>45715</v>
      </c>
      <c r="F1008" s="32" t="s">
        <v>2160</v>
      </c>
      <c r="G1008" s="32" t="s">
        <v>2088</v>
      </c>
      <c r="H1008" s="32" t="s">
        <v>793</v>
      </c>
      <c r="I1008" s="31" t="n">
        <v>45720</v>
      </c>
      <c r="J1008" s="32" t="s">
        <v>2080</v>
      </c>
      <c r="K1008" s="0" t="n">
        <v>5</v>
      </c>
      <c r="L1008" s="32" t="s">
        <v>2081</v>
      </c>
      <c r="M1008" s="32" t="s">
        <v>2189</v>
      </c>
      <c r="N1008" s="0" t="n">
        <v>5</v>
      </c>
      <c r="O1008" s="32" t="s">
        <v>794</v>
      </c>
      <c r="P1008" s="32" t="s">
        <v>2133</v>
      </c>
      <c r="Q1008" s="32" t="s">
        <v>2138</v>
      </c>
      <c r="R1008" s="0" t="str">
        <f aca="false">IF(H1008="GEN","GM",H1008)</f>
        <v>EM</v>
      </c>
    </row>
    <row r="1009" customFormat="false" ht="15" hidden="false" customHeight="false" outlineLevel="0" collapsed="false">
      <c r="A1009" s="0" t="s">
        <v>3521</v>
      </c>
      <c r="B1009" s="0" t="s">
        <v>2357</v>
      </c>
      <c r="C1009" s="0" t="s">
        <v>926</v>
      </c>
      <c r="D1009" s="31" t="n">
        <v>13773</v>
      </c>
      <c r="E1009" s="31" t="n">
        <v>45668</v>
      </c>
      <c r="F1009" s="32" t="s">
        <v>2078</v>
      </c>
      <c r="G1009" s="32" t="s">
        <v>3356</v>
      </c>
      <c r="H1009" s="32" t="s">
        <v>810</v>
      </c>
      <c r="I1009" s="31" t="n">
        <v>45670</v>
      </c>
      <c r="J1009" s="32" t="s">
        <v>2080</v>
      </c>
      <c r="K1009" s="0" t="n">
        <v>2</v>
      </c>
      <c r="L1009" s="32" t="s">
        <v>2081</v>
      </c>
      <c r="M1009" s="32" t="s">
        <v>2195</v>
      </c>
      <c r="N1009" s="0" t="n">
        <v>2</v>
      </c>
      <c r="O1009" s="32" t="s">
        <v>811</v>
      </c>
      <c r="P1009" s="32" t="s">
        <v>2182</v>
      </c>
      <c r="Q1009" s="32" t="s">
        <v>2091</v>
      </c>
      <c r="R1009" s="0" t="str">
        <f aca="false">IF(H1009="GEN","GM",H1009)</f>
        <v>URO</v>
      </c>
    </row>
    <row r="1010" customFormat="false" ht="15" hidden="false" customHeight="false" outlineLevel="0" collapsed="false">
      <c r="A1010" s="0" t="s">
        <v>3522</v>
      </c>
      <c r="B1010" s="0" t="s">
        <v>2807</v>
      </c>
      <c r="C1010" s="0" t="s">
        <v>870</v>
      </c>
      <c r="D1010" s="31" t="n">
        <v>26483</v>
      </c>
      <c r="E1010" s="31" t="n">
        <v>45686</v>
      </c>
      <c r="F1010" s="32" t="s">
        <v>2087</v>
      </c>
      <c r="G1010" s="32" t="s">
        <v>2088</v>
      </c>
      <c r="H1010" s="32" t="s">
        <v>747</v>
      </c>
      <c r="I1010" s="31" t="n">
        <v>45687</v>
      </c>
      <c r="J1010" s="32" t="s">
        <v>2080</v>
      </c>
      <c r="K1010" s="0" t="n">
        <v>1</v>
      </c>
      <c r="L1010" s="32" t="s">
        <v>2081</v>
      </c>
      <c r="M1010" s="32" t="s">
        <v>2100</v>
      </c>
      <c r="N1010" s="0" t="n">
        <v>1</v>
      </c>
      <c r="P1010" s="32" t="s">
        <v>2090</v>
      </c>
      <c r="Q1010" s="32" t="s">
        <v>2198</v>
      </c>
      <c r="R1010" s="0" t="str">
        <f aca="false">IF(H1010="GEN","GM",H1010)</f>
        <v>GM</v>
      </c>
    </row>
    <row r="1011" customFormat="false" ht="15" hidden="false" customHeight="false" outlineLevel="0" collapsed="false">
      <c r="A1011" s="0" t="s">
        <v>3523</v>
      </c>
      <c r="B1011" s="0" t="s">
        <v>2164</v>
      </c>
      <c r="C1011" s="0" t="s">
        <v>1402</v>
      </c>
      <c r="D1011" s="31" t="n">
        <v>29885</v>
      </c>
      <c r="E1011" s="31" t="n">
        <v>45674</v>
      </c>
      <c r="F1011" s="32" t="s">
        <v>2087</v>
      </c>
      <c r="G1011" s="32" t="s">
        <v>2088</v>
      </c>
      <c r="H1011" s="32" t="s">
        <v>793</v>
      </c>
      <c r="I1011" s="31" t="n">
        <v>45677</v>
      </c>
      <c r="J1011" s="32" t="s">
        <v>2080</v>
      </c>
      <c r="K1011" s="0" t="n">
        <v>3</v>
      </c>
      <c r="L1011" s="32" t="s">
        <v>2081</v>
      </c>
      <c r="M1011" s="32" t="s">
        <v>2161</v>
      </c>
      <c r="N1011" s="0" t="n">
        <v>3</v>
      </c>
      <c r="O1011" s="32" t="s">
        <v>794</v>
      </c>
      <c r="P1011" s="32" t="s">
        <v>2213</v>
      </c>
      <c r="Q1011" s="32" t="s">
        <v>2190</v>
      </c>
      <c r="R1011" s="0" t="str">
        <f aca="false">IF(H1011="GEN","GM",H1011)</f>
        <v>EM</v>
      </c>
    </row>
    <row r="1012" customFormat="false" ht="15" hidden="false" customHeight="false" outlineLevel="0" collapsed="false">
      <c r="A1012" s="0" t="s">
        <v>3524</v>
      </c>
      <c r="B1012" s="0" t="s">
        <v>2502</v>
      </c>
      <c r="C1012" s="0" t="s">
        <v>902</v>
      </c>
      <c r="D1012" s="31" t="n">
        <v>33360</v>
      </c>
      <c r="E1012" s="31" t="n">
        <v>45627</v>
      </c>
      <c r="F1012" s="32" t="s">
        <v>2087</v>
      </c>
      <c r="G1012" s="32" t="s">
        <v>2115</v>
      </c>
      <c r="H1012" s="32" t="s">
        <v>758</v>
      </c>
      <c r="I1012" s="31" t="n">
        <v>45631</v>
      </c>
      <c r="J1012" s="32" t="s">
        <v>2080</v>
      </c>
      <c r="K1012" s="0" t="n">
        <v>4</v>
      </c>
      <c r="L1012" s="32" t="s">
        <v>2081</v>
      </c>
      <c r="M1012" s="32" t="s">
        <v>2161</v>
      </c>
      <c r="N1012" s="0" t="n">
        <v>4</v>
      </c>
      <c r="O1012" s="32" t="s">
        <v>759</v>
      </c>
      <c r="P1012" s="32" t="s">
        <v>2156</v>
      </c>
      <c r="Q1012" s="32" t="s">
        <v>2259</v>
      </c>
      <c r="R1012" s="0" t="str">
        <f aca="false">IF(H1012="GEN","GM",H1012)</f>
        <v>CS</v>
      </c>
    </row>
    <row r="1013" customFormat="false" ht="15" hidden="false" customHeight="false" outlineLevel="0" collapsed="false">
      <c r="A1013" s="0" t="s">
        <v>3525</v>
      </c>
      <c r="B1013" s="0" t="s">
        <v>2177</v>
      </c>
      <c r="C1013" s="0" t="s">
        <v>1419</v>
      </c>
      <c r="D1013" s="31" t="n">
        <v>27561</v>
      </c>
      <c r="E1013" s="31" t="n">
        <v>45699</v>
      </c>
      <c r="F1013" s="32" t="s">
        <v>2087</v>
      </c>
      <c r="G1013" s="32" t="s">
        <v>2088</v>
      </c>
      <c r="H1013" s="32" t="s">
        <v>826</v>
      </c>
      <c r="I1013" s="31" t="n">
        <v>45702</v>
      </c>
      <c r="J1013" s="32" t="s">
        <v>2080</v>
      </c>
      <c r="K1013" s="0" t="n">
        <v>3</v>
      </c>
      <c r="L1013" s="32" t="s">
        <v>2081</v>
      </c>
      <c r="M1013" s="32" t="s">
        <v>2094</v>
      </c>
      <c r="N1013" s="0" t="n">
        <v>3</v>
      </c>
      <c r="O1013" s="32" t="s">
        <v>827</v>
      </c>
      <c r="P1013" s="32" t="s">
        <v>2101</v>
      </c>
      <c r="Q1013" s="32" t="s">
        <v>2096</v>
      </c>
      <c r="R1013" s="0" t="str">
        <f aca="false">IF(H1013="GEN","GM",H1013)</f>
        <v>RHE</v>
      </c>
    </row>
    <row r="1014" customFormat="false" ht="15" hidden="false" customHeight="false" outlineLevel="0" collapsed="false">
      <c r="A1014" s="0" t="s">
        <v>3526</v>
      </c>
      <c r="B1014" s="0" t="s">
        <v>2591</v>
      </c>
      <c r="C1014" s="0" t="s">
        <v>962</v>
      </c>
      <c r="D1014" s="31" t="n">
        <v>14173</v>
      </c>
      <c r="E1014" s="31" t="n">
        <v>45678</v>
      </c>
      <c r="F1014" s="32" t="s">
        <v>2087</v>
      </c>
      <c r="G1014" s="32" t="s">
        <v>2088</v>
      </c>
      <c r="H1014" s="32" t="s">
        <v>793</v>
      </c>
      <c r="I1014" s="31" t="n">
        <v>45684</v>
      </c>
      <c r="J1014" s="32" t="s">
        <v>2080</v>
      </c>
      <c r="K1014" s="0" t="n">
        <v>6</v>
      </c>
      <c r="L1014" s="32" t="s">
        <v>2081</v>
      </c>
      <c r="M1014" s="32" t="s">
        <v>2152</v>
      </c>
      <c r="N1014" s="0" t="n">
        <v>6</v>
      </c>
      <c r="O1014" s="32" t="s">
        <v>794</v>
      </c>
      <c r="P1014" s="32" t="s">
        <v>2182</v>
      </c>
      <c r="Q1014" s="32" t="s">
        <v>2145</v>
      </c>
      <c r="R1014" s="0" t="str">
        <f aca="false">IF(H1014="GEN","GM",H1014)</f>
        <v>EM</v>
      </c>
    </row>
    <row r="1015" customFormat="false" ht="15" hidden="false" customHeight="false" outlineLevel="0" collapsed="false">
      <c r="A1015" s="0" t="s">
        <v>3527</v>
      </c>
      <c r="B1015" s="0" t="s">
        <v>3528</v>
      </c>
      <c r="C1015" s="0" t="s">
        <v>906</v>
      </c>
      <c r="D1015" s="31" t="n">
        <v>20493</v>
      </c>
      <c r="E1015" s="31" t="n">
        <v>45734</v>
      </c>
      <c r="F1015" s="32" t="s">
        <v>2078</v>
      </c>
      <c r="G1015" s="32" t="s">
        <v>2115</v>
      </c>
      <c r="H1015" s="32" t="s">
        <v>758</v>
      </c>
      <c r="I1015" s="31" t="n">
        <v>45736</v>
      </c>
      <c r="J1015" s="32" t="s">
        <v>2080</v>
      </c>
      <c r="K1015" s="0" t="n">
        <v>2</v>
      </c>
      <c r="L1015" s="32" t="s">
        <v>2081</v>
      </c>
      <c r="M1015" s="32" t="s">
        <v>2255</v>
      </c>
      <c r="N1015" s="0" t="n">
        <v>2</v>
      </c>
      <c r="O1015" s="32" t="s">
        <v>759</v>
      </c>
      <c r="P1015" s="32" t="s">
        <v>2175</v>
      </c>
      <c r="Q1015" s="32" t="s">
        <v>2198</v>
      </c>
      <c r="R1015" s="0" t="str">
        <f aca="false">IF(H1015="GEN","GM",H1015)</f>
        <v>CS</v>
      </c>
    </row>
    <row r="1016" customFormat="false" ht="15" hidden="false" customHeight="false" outlineLevel="0" collapsed="false">
      <c r="A1016" s="0" t="s">
        <v>3529</v>
      </c>
      <c r="B1016" s="0" t="s">
        <v>3090</v>
      </c>
      <c r="C1016" s="0" t="s">
        <v>962</v>
      </c>
      <c r="D1016" s="31" t="n">
        <v>28263</v>
      </c>
      <c r="E1016" s="31" t="n">
        <v>45592</v>
      </c>
      <c r="F1016" s="32" t="s">
        <v>2087</v>
      </c>
      <c r="G1016" s="32" t="s">
        <v>2079</v>
      </c>
      <c r="H1016" s="32" t="s">
        <v>810</v>
      </c>
      <c r="I1016" s="31" t="n">
        <v>45598</v>
      </c>
      <c r="J1016" s="32" t="s">
        <v>2160</v>
      </c>
      <c r="K1016" s="0" t="n">
        <v>6</v>
      </c>
      <c r="L1016" s="32" t="s">
        <v>2081</v>
      </c>
      <c r="M1016" s="32" t="s">
        <v>2195</v>
      </c>
      <c r="N1016" s="0" t="n">
        <v>6</v>
      </c>
      <c r="O1016" s="32" t="s">
        <v>811</v>
      </c>
      <c r="P1016" s="32" t="s">
        <v>2142</v>
      </c>
      <c r="Q1016" s="32" t="s">
        <v>2190</v>
      </c>
      <c r="R1016" s="0" t="str">
        <f aca="false">IF(H1016="GEN","GM",H1016)</f>
        <v>URO</v>
      </c>
    </row>
    <row r="1017" customFormat="false" ht="15" hidden="false" customHeight="false" outlineLevel="0" collapsed="false">
      <c r="A1017" s="0" t="s">
        <v>3530</v>
      </c>
      <c r="B1017" s="0" t="s">
        <v>3235</v>
      </c>
      <c r="C1017" s="0" t="s">
        <v>2148</v>
      </c>
      <c r="D1017" s="31" t="n">
        <v>24792</v>
      </c>
      <c r="E1017" s="31" t="n">
        <v>45612</v>
      </c>
      <c r="F1017" s="32" t="s">
        <v>2160</v>
      </c>
      <c r="G1017" s="32" t="s">
        <v>2115</v>
      </c>
      <c r="H1017" s="32" t="s">
        <v>758</v>
      </c>
      <c r="I1017" s="31" t="n">
        <v>45617</v>
      </c>
      <c r="J1017" s="32" t="s">
        <v>2080</v>
      </c>
      <c r="K1017" s="0" t="n">
        <v>5</v>
      </c>
      <c r="L1017" s="32" t="s">
        <v>2081</v>
      </c>
      <c r="M1017" s="32" t="s">
        <v>2255</v>
      </c>
      <c r="N1017" s="0" t="n">
        <v>5</v>
      </c>
      <c r="O1017" s="32" t="s">
        <v>759</v>
      </c>
      <c r="P1017" s="32" t="s">
        <v>2222</v>
      </c>
      <c r="Q1017" s="32" t="s">
        <v>2145</v>
      </c>
      <c r="R1017" s="0" t="str">
        <f aca="false">IF(H1017="GEN","GM",H1017)</f>
        <v>CS</v>
      </c>
    </row>
    <row r="1018" customFormat="false" ht="15" hidden="false" customHeight="false" outlineLevel="0" collapsed="false">
      <c r="A1018" s="0" t="s">
        <v>3531</v>
      </c>
      <c r="B1018" s="0" t="s">
        <v>2288</v>
      </c>
      <c r="C1018" s="0" t="s">
        <v>1033</v>
      </c>
      <c r="D1018" s="31" t="n">
        <v>34860</v>
      </c>
      <c r="E1018" s="31" t="n">
        <v>45626</v>
      </c>
      <c r="F1018" s="32" t="s">
        <v>2078</v>
      </c>
      <c r="G1018" s="32" t="s">
        <v>2079</v>
      </c>
      <c r="H1018" s="32" t="s">
        <v>810</v>
      </c>
      <c r="I1018" s="31" t="n">
        <v>45628</v>
      </c>
      <c r="J1018" s="32" t="s">
        <v>2105</v>
      </c>
      <c r="K1018" s="0" t="n">
        <v>2</v>
      </c>
      <c r="L1018" s="32" t="s">
        <v>2081</v>
      </c>
      <c r="M1018" s="32" t="s">
        <v>2141</v>
      </c>
      <c r="N1018" s="0" t="n">
        <v>2</v>
      </c>
      <c r="O1018" s="32" t="s">
        <v>811</v>
      </c>
      <c r="P1018" s="32" t="s">
        <v>2117</v>
      </c>
      <c r="Q1018" s="32" t="s">
        <v>2153</v>
      </c>
      <c r="R1018" s="0" t="str">
        <f aca="false">IF(H1018="GEN","GM",H1018)</f>
        <v>URO</v>
      </c>
    </row>
    <row r="1019" customFormat="false" ht="15" hidden="false" customHeight="false" outlineLevel="0" collapsed="false">
      <c r="A1019" s="0" t="s">
        <v>3532</v>
      </c>
      <c r="B1019" s="0" t="s">
        <v>2632</v>
      </c>
      <c r="C1019" s="0" t="s">
        <v>898</v>
      </c>
      <c r="D1019" s="31" t="n">
        <v>24661</v>
      </c>
      <c r="E1019" s="31" t="n">
        <v>45641</v>
      </c>
      <c r="F1019" s="32" t="s">
        <v>2087</v>
      </c>
      <c r="G1019" s="32" t="s">
        <v>2124</v>
      </c>
      <c r="H1019" s="32" t="s">
        <v>785</v>
      </c>
      <c r="I1019" s="31" t="n">
        <v>45645</v>
      </c>
      <c r="J1019" s="32" t="s">
        <v>2080</v>
      </c>
      <c r="K1019" s="0" t="n">
        <v>4</v>
      </c>
      <c r="L1019" s="32" t="s">
        <v>2081</v>
      </c>
      <c r="M1019" s="32" t="s">
        <v>2227</v>
      </c>
      <c r="N1019" s="0" t="n">
        <v>4</v>
      </c>
      <c r="O1019" s="32" t="s">
        <v>786</v>
      </c>
      <c r="P1019" s="32" t="s">
        <v>2201</v>
      </c>
      <c r="Q1019" s="32" t="s">
        <v>2107</v>
      </c>
      <c r="R1019" s="0" t="str">
        <f aca="false">IF(H1019="GEN","GM",H1019)</f>
        <v>RS</v>
      </c>
    </row>
    <row r="1020" customFormat="false" ht="15" hidden="false" customHeight="false" outlineLevel="0" collapsed="false">
      <c r="A1020" s="0" t="s">
        <v>3533</v>
      </c>
      <c r="B1020" s="0" t="s">
        <v>3192</v>
      </c>
      <c r="C1020" s="0" t="s">
        <v>775</v>
      </c>
      <c r="D1020" s="31" t="n">
        <v>32314</v>
      </c>
      <c r="E1020" s="31" t="n">
        <v>45574</v>
      </c>
      <c r="F1020" s="32" t="s">
        <v>2078</v>
      </c>
      <c r="G1020" s="32" t="s">
        <v>2088</v>
      </c>
      <c r="H1020" s="32" t="s">
        <v>793</v>
      </c>
      <c r="I1020" s="31" t="n">
        <v>45575</v>
      </c>
      <c r="J1020" s="32" t="s">
        <v>2080</v>
      </c>
      <c r="K1020" s="0" t="n">
        <v>1</v>
      </c>
      <c r="L1020" s="32" t="s">
        <v>2081</v>
      </c>
      <c r="M1020" s="32" t="s">
        <v>2100</v>
      </c>
      <c r="N1020" s="0" t="n">
        <v>1</v>
      </c>
      <c r="O1020" s="32" t="s">
        <v>794</v>
      </c>
      <c r="P1020" s="32" t="s">
        <v>2182</v>
      </c>
      <c r="Q1020" s="32" t="s">
        <v>2190</v>
      </c>
      <c r="R1020" s="0" t="str">
        <f aca="false">IF(H1020="GEN","GM",H1020)</f>
        <v>EM</v>
      </c>
    </row>
    <row r="1021" customFormat="false" ht="15" hidden="false" customHeight="false" outlineLevel="0" collapsed="false">
      <c r="A1021" s="0" t="s">
        <v>3534</v>
      </c>
      <c r="B1021" s="0" t="s">
        <v>2535</v>
      </c>
      <c r="C1021" s="0" t="s">
        <v>890</v>
      </c>
      <c r="D1021" s="31" t="n">
        <v>15742</v>
      </c>
      <c r="E1021" s="31" t="n">
        <v>45690</v>
      </c>
      <c r="F1021" s="32" t="s">
        <v>2087</v>
      </c>
      <c r="G1021" s="32" t="s">
        <v>2079</v>
      </c>
      <c r="H1021" s="32" t="s">
        <v>810</v>
      </c>
      <c r="I1021" s="31" t="n">
        <v>45694</v>
      </c>
      <c r="J1021" s="32" t="s">
        <v>2080</v>
      </c>
      <c r="K1021" s="0" t="n">
        <v>4</v>
      </c>
      <c r="L1021" s="32" t="s">
        <v>2081</v>
      </c>
      <c r="M1021" s="32" t="s">
        <v>2227</v>
      </c>
      <c r="N1021" s="0" t="n">
        <v>4</v>
      </c>
      <c r="O1021" s="32" t="s">
        <v>811</v>
      </c>
      <c r="P1021" s="32" t="s">
        <v>2175</v>
      </c>
      <c r="Q1021" s="32" t="s">
        <v>2153</v>
      </c>
      <c r="R1021" s="0" t="str">
        <f aca="false">IF(H1021="GEN","GM",H1021)</f>
        <v>URO</v>
      </c>
    </row>
    <row r="1022" customFormat="false" ht="15" hidden="false" customHeight="false" outlineLevel="0" collapsed="false">
      <c r="A1022" s="0" t="s">
        <v>3535</v>
      </c>
      <c r="B1022" s="0" t="s">
        <v>2131</v>
      </c>
      <c r="C1022" s="0" t="s">
        <v>878</v>
      </c>
      <c r="D1022" s="31" t="n">
        <v>38673</v>
      </c>
      <c r="E1022" s="31" t="n">
        <v>45704</v>
      </c>
      <c r="F1022" s="32" t="s">
        <v>2078</v>
      </c>
      <c r="G1022" s="32" t="s">
        <v>2099</v>
      </c>
      <c r="H1022" s="32" t="s">
        <v>766</v>
      </c>
      <c r="I1022" s="31" t="n">
        <v>45706</v>
      </c>
      <c r="J1022" s="32" t="s">
        <v>2080</v>
      </c>
      <c r="K1022" s="0" t="n">
        <v>2</v>
      </c>
      <c r="L1022" s="32" t="s">
        <v>2081</v>
      </c>
      <c r="M1022" s="32" t="s">
        <v>2195</v>
      </c>
      <c r="N1022" s="0" t="n">
        <v>2</v>
      </c>
      <c r="O1022" s="32" t="s">
        <v>767</v>
      </c>
      <c r="P1022" s="32" t="s">
        <v>2222</v>
      </c>
      <c r="Q1022" s="32" t="s">
        <v>2190</v>
      </c>
      <c r="R1022" s="0" t="str">
        <f aca="false">IF(H1022="GEN","GM",H1022)</f>
        <v>OR</v>
      </c>
    </row>
    <row r="1023" customFormat="false" ht="15" hidden="false" customHeight="false" outlineLevel="0" collapsed="false">
      <c r="A1023" s="0" t="s">
        <v>3536</v>
      </c>
      <c r="B1023" s="0" t="s">
        <v>2640</v>
      </c>
      <c r="C1023" s="0" t="s">
        <v>784</v>
      </c>
      <c r="D1023" s="31" t="n">
        <v>28186</v>
      </c>
      <c r="E1023" s="31" t="n">
        <v>45683</v>
      </c>
      <c r="F1023" s="32" t="s">
        <v>2078</v>
      </c>
      <c r="G1023" s="32" t="s">
        <v>2099</v>
      </c>
      <c r="H1023" s="32" t="s">
        <v>766</v>
      </c>
      <c r="I1023" s="31" t="n">
        <v>45684</v>
      </c>
      <c r="J1023" s="32" t="s">
        <v>2080</v>
      </c>
      <c r="K1023" s="0" t="n">
        <v>1</v>
      </c>
      <c r="L1023" s="32" t="s">
        <v>2081</v>
      </c>
      <c r="M1023" s="32" t="s">
        <v>2195</v>
      </c>
      <c r="N1023" s="0" t="n">
        <v>1</v>
      </c>
      <c r="O1023" s="32" t="s">
        <v>767</v>
      </c>
      <c r="P1023" s="32" t="s">
        <v>2149</v>
      </c>
      <c r="Q1023" s="32" t="s">
        <v>2241</v>
      </c>
      <c r="R1023" s="0" t="str">
        <f aca="false">IF(H1023="GEN","GM",H1023)</f>
        <v>OR</v>
      </c>
    </row>
    <row r="1024" customFormat="false" ht="15" hidden="false" customHeight="false" outlineLevel="0" collapsed="false">
      <c r="A1024" s="0" t="s">
        <v>3537</v>
      </c>
      <c r="B1024" s="0" t="s">
        <v>3500</v>
      </c>
      <c r="C1024" s="0" t="s">
        <v>966</v>
      </c>
      <c r="D1024" s="31" t="n">
        <v>21402</v>
      </c>
      <c r="E1024" s="31" t="n">
        <v>45689</v>
      </c>
      <c r="F1024" s="32" t="s">
        <v>2087</v>
      </c>
      <c r="G1024" s="32" t="s">
        <v>2079</v>
      </c>
      <c r="H1024" s="32" t="s">
        <v>776</v>
      </c>
      <c r="I1024" s="31" t="n">
        <v>45692</v>
      </c>
      <c r="J1024" s="32" t="s">
        <v>2105</v>
      </c>
      <c r="K1024" s="0" t="n">
        <v>3</v>
      </c>
      <c r="L1024" s="32" t="s">
        <v>2081</v>
      </c>
      <c r="M1024" s="32" t="s">
        <v>2189</v>
      </c>
      <c r="N1024" s="0" t="n">
        <v>3</v>
      </c>
      <c r="O1024" s="32" t="s">
        <v>777</v>
      </c>
      <c r="P1024" s="32" t="s">
        <v>2175</v>
      </c>
      <c r="Q1024" s="32" t="s">
        <v>2165</v>
      </c>
      <c r="R1024" s="0" t="str">
        <f aca="false">IF(H1024="GEN","GM",H1024)</f>
        <v>GS</v>
      </c>
    </row>
    <row r="1025" customFormat="false" ht="15" hidden="false" customHeight="false" outlineLevel="0" collapsed="false">
      <c r="A1025" s="0" t="s">
        <v>3538</v>
      </c>
      <c r="B1025" s="0" t="s">
        <v>2618</v>
      </c>
      <c r="C1025" s="0" t="s">
        <v>857</v>
      </c>
      <c r="D1025" s="31" t="n">
        <v>33837</v>
      </c>
      <c r="E1025" s="31" t="n">
        <v>45715</v>
      </c>
      <c r="F1025" s="32" t="s">
        <v>2087</v>
      </c>
      <c r="G1025" s="32" t="s">
        <v>2079</v>
      </c>
      <c r="H1025" s="32" t="s">
        <v>776</v>
      </c>
      <c r="I1025" s="31" t="n">
        <v>45719</v>
      </c>
      <c r="J1025" s="32" t="s">
        <v>2080</v>
      </c>
      <c r="K1025" s="0" t="n">
        <v>4</v>
      </c>
      <c r="L1025" s="32" t="s">
        <v>2081</v>
      </c>
      <c r="M1025" s="32" t="s">
        <v>2136</v>
      </c>
      <c r="N1025" s="0" t="n">
        <v>4</v>
      </c>
      <c r="O1025" s="32" t="s">
        <v>777</v>
      </c>
      <c r="P1025" s="32" t="s">
        <v>2111</v>
      </c>
      <c r="Q1025" s="32" t="s">
        <v>2096</v>
      </c>
      <c r="R1025" s="0" t="str">
        <f aca="false">IF(H1025="GEN","GM",H1025)</f>
        <v>GS</v>
      </c>
    </row>
    <row r="1026" customFormat="false" ht="15" hidden="false" customHeight="false" outlineLevel="0" collapsed="false">
      <c r="A1026" s="0" t="s">
        <v>3539</v>
      </c>
      <c r="B1026" s="0" t="s">
        <v>2572</v>
      </c>
      <c r="C1026" s="0" t="s">
        <v>870</v>
      </c>
      <c r="D1026" s="31" t="n">
        <v>28287</v>
      </c>
      <c r="E1026" s="31" t="n">
        <v>45623</v>
      </c>
      <c r="F1026" s="32" t="s">
        <v>2078</v>
      </c>
      <c r="G1026" s="32" t="s">
        <v>2088</v>
      </c>
      <c r="H1026" s="32" t="s">
        <v>826</v>
      </c>
      <c r="I1026" s="31" t="n">
        <v>45632</v>
      </c>
      <c r="J1026" s="32" t="s">
        <v>2105</v>
      </c>
      <c r="K1026" s="0" t="n">
        <v>9</v>
      </c>
      <c r="L1026" s="32" t="s">
        <v>2081</v>
      </c>
      <c r="M1026" s="32" t="s">
        <v>2286</v>
      </c>
      <c r="N1026" s="0" t="n">
        <v>9</v>
      </c>
      <c r="O1026" s="32" t="s">
        <v>827</v>
      </c>
      <c r="P1026" s="32" t="s">
        <v>2095</v>
      </c>
      <c r="Q1026" s="32" t="s">
        <v>2153</v>
      </c>
      <c r="R1026" s="0" t="str">
        <f aca="false">IF(H1026="GEN","GM",H1026)</f>
        <v>RHE</v>
      </c>
    </row>
    <row r="1027" customFormat="false" ht="15" hidden="false" customHeight="false" outlineLevel="0" collapsed="false">
      <c r="A1027" s="0" t="s">
        <v>3540</v>
      </c>
      <c r="B1027" s="0" t="s">
        <v>2596</v>
      </c>
      <c r="C1027" s="0" t="s">
        <v>1029</v>
      </c>
      <c r="D1027" s="31" t="n">
        <v>23633</v>
      </c>
      <c r="E1027" s="31" t="n">
        <v>45637</v>
      </c>
      <c r="F1027" s="32" t="s">
        <v>2087</v>
      </c>
      <c r="G1027" s="32" t="s">
        <v>2088</v>
      </c>
      <c r="H1027" s="32" t="s">
        <v>826</v>
      </c>
      <c r="I1027" s="31" t="n">
        <v>45641</v>
      </c>
      <c r="J1027" s="32" t="s">
        <v>2080</v>
      </c>
      <c r="K1027" s="0" t="n">
        <v>4</v>
      </c>
      <c r="L1027" s="32" t="s">
        <v>2081</v>
      </c>
      <c r="M1027" s="32" t="s">
        <v>2207</v>
      </c>
      <c r="N1027" s="0" t="n">
        <v>4</v>
      </c>
      <c r="O1027" s="32" t="s">
        <v>827</v>
      </c>
      <c r="P1027" s="32" t="s">
        <v>2117</v>
      </c>
      <c r="Q1027" s="32" t="s">
        <v>2125</v>
      </c>
      <c r="R1027" s="0" t="str">
        <f aca="false">IF(H1027="GEN","GM",H1027)</f>
        <v>RHE</v>
      </c>
    </row>
    <row r="1028" customFormat="false" ht="15" hidden="false" customHeight="false" outlineLevel="0" collapsed="false">
      <c r="A1028" s="0" t="s">
        <v>3541</v>
      </c>
      <c r="B1028" s="0" t="s">
        <v>2131</v>
      </c>
      <c r="C1028" s="0" t="s">
        <v>757</v>
      </c>
      <c r="D1028" s="31" t="n">
        <v>32575</v>
      </c>
      <c r="E1028" s="31" t="n">
        <v>45606</v>
      </c>
      <c r="F1028" s="32" t="s">
        <v>2087</v>
      </c>
      <c r="G1028" s="32" t="s">
        <v>2088</v>
      </c>
      <c r="H1028" s="32" t="s">
        <v>826</v>
      </c>
      <c r="I1028" s="31" t="n">
        <v>45609</v>
      </c>
      <c r="J1028" s="32" t="s">
        <v>2080</v>
      </c>
      <c r="K1028" s="0" t="n">
        <v>3</v>
      </c>
      <c r="L1028" s="32" t="s">
        <v>2081</v>
      </c>
      <c r="M1028" s="32" t="s">
        <v>2132</v>
      </c>
      <c r="N1028" s="0" t="n">
        <v>3</v>
      </c>
      <c r="O1028" s="32" t="s">
        <v>827</v>
      </c>
      <c r="P1028" s="32" t="s">
        <v>2111</v>
      </c>
      <c r="Q1028" s="32" t="s">
        <v>2259</v>
      </c>
      <c r="R1028" s="0" t="str">
        <f aca="false">IF(H1028="GEN","GM",H1028)</f>
        <v>RHE</v>
      </c>
    </row>
    <row r="1029" customFormat="false" ht="15" hidden="false" customHeight="false" outlineLevel="0" collapsed="false">
      <c r="A1029" s="0" t="s">
        <v>3542</v>
      </c>
      <c r="B1029" s="0" t="s">
        <v>3543</v>
      </c>
      <c r="C1029" s="0" t="s">
        <v>989</v>
      </c>
      <c r="D1029" s="31" t="n">
        <v>19610</v>
      </c>
      <c r="E1029" s="31" t="n">
        <v>45706</v>
      </c>
      <c r="F1029" s="32" t="s">
        <v>2078</v>
      </c>
      <c r="G1029" s="32" t="s">
        <v>2088</v>
      </c>
      <c r="H1029" s="32" t="s">
        <v>826</v>
      </c>
      <c r="I1029" s="31" t="n">
        <v>45710</v>
      </c>
      <c r="J1029" s="32" t="s">
        <v>2080</v>
      </c>
      <c r="K1029" s="0" t="n">
        <v>4</v>
      </c>
      <c r="L1029" s="32" t="s">
        <v>2081</v>
      </c>
      <c r="M1029" s="32" t="s">
        <v>2094</v>
      </c>
      <c r="N1029" s="0" t="n">
        <v>4</v>
      </c>
      <c r="O1029" s="32" t="s">
        <v>827</v>
      </c>
      <c r="P1029" s="32" t="s">
        <v>2111</v>
      </c>
      <c r="Q1029" s="32" t="s">
        <v>2118</v>
      </c>
      <c r="R1029" s="0" t="str">
        <f aca="false">IF(H1029="GEN","GM",H1029)</f>
        <v>RHE</v>
      </c>
    </row>
    <row r="1030" customFormat="false" ht="15" hidden="false" customHeight="false" outlineLevel="0" collapsed="false">
      <c r="A1030" s="0" t="s">
        <v>3544</v>
      </c>
      <c r="B1030" s="0" t="s">
        <v>2653</v>
      </c>
      <c r="C1030" s="0" t="s">
        <v>1029</v>
      </c>
      <c r="D1030" s="31" t="n">
        <v>16236</v>
      </c>
      <c r="E1030" s="31" t="n">
        <v>45714</v>
      </c>
      <c r="F1030" s="32" t="s">
        <v>2078</v>
      </c>
      <c r="G1030" s="32" t="s">
        <v>2088</v>
      </c>
      <c r="H1030" s="32" t="s">
        <v>826</v>
      </c>
      <c r="I1030" s="31" t="n">
        <v>45717</v>
      </c>
      <c r="J1030" s="32" t="s">
        <v>2080</v>
      </c>
      <c r="K1030" s="0" t="n">
        <v>3</v>
      </c>
      <c r="L1030" s="32" t="s">
        <v>2106</v>
      </c>
      <c r="M1030" s="32" t="s">
        <v>2132</v>
      </c>
      <c r="N1030" s="0" t="n">
        <v>3</v>
      </c>
      <c r="O1030" s="32" t="s">
        <v>827</v>
      </c>
      <c r="P1030" s="32" t="s">
        <v>2133</v>
      </c>
      <c r="Q1030" s="32" t="s">
        <v>2118</v>
      </c>
      <c r="R1030" s="0" t="str">
        <f aca="false">IF(H1030="GEN","GM",H1030)</f>
        <v>RHE</v>
      </c>
    </row>
    <row r="1031" customFormat="false" ht="15" hidden="false" customHeight="false" outlineLevel="0" collapsed="false">
      <c r="A1031" s="0" t="s">
        <v>3545</v>
      </c>
      <c r="B1031" s="0" t="s">
        <v>2774</v>
      </c>
      <c r="C1031" s="0" t="s">
        <v>1460</v>
      </c>
      <c r="D1031" s="31" t="n">
        <v>29709</v>
      </c>
      <c r="E1031" s="31" t="n">
        <v>45659</v>
      </c>
      <c r="F1031" s="32" t="s">
        <v>2087</v>
      </c>
      <c r="G1031" s="32" t="s">
        <v>2088</v>
      </c>
      <c r="H1031" s="32" t="s">
        <v>793</v>
      </c>
      <c r="I1031" s="31" t="n">
        <v>45661</v>
      </c>
      <c r="J1031" s="32" t="s">
        <v>2160</v>
      </c>
      <c r="K1031" s="0" t="n">
        <v>2</v>
      </c>
      <c r="L1031" s="32" t="s">
        <v>2081</v>
      </c>
      <c r="M1031" s="32" t="s">
        <v>2094</v>
      </c>
      <c r="N1031" s="0" t="n">
        <v>2</v>
      </c>
      <c r="O1031" s="32" t="s">
        <v>794</v>
      </c>
      <c r="P1031" s="32" t="s">
        <v>2238</v>
      </c>
      <c r="Q1031" s="32" t="s">
        <v>2198</v>
      </c>
      <c r="R1031" s="0" t="str">
        <f aca="false">IF(H1031="GEN","GM",H1031)</f>
        <v>EM</v>
      </c>
    </row>
    <row r="1032" customFormat="false" ht="15" hidden="false" customHeight="false" outlineLevel="0" collapsed="false">
      <c r="A1032" s="0" t="s">
        <v>3546</v>
      </c>
      <c r="B1032" s="0" t="s">
        <v>3289</v>
      </c>
      <c r="C1032" s="0" t="s">
        <v>1393</v>
      </c>
      <c r="D1032" s="31" t="n">
        <v>26643</v>
      </c>
      <c r="E1032" s="31" t="n">
        <v>45600</v>
      </c>
      <c r="F1032" s="32" t="s">
        <v>2078</v>
      </c>
      <c r="G1032" s="32" t="s">
        <v>2079</v>
      </c>
      <c r="H1032" s="32" t="s">
        <v>776</v>
      </c>
      <c r="I1032" s="31" t="n">
        <v>45602</v>
      </c>
      <c r="J1032" s="32" t="s">
        <v>2080</v>
      </c>
      <c r="K1032" s="0" t="n">
        <v>2</v>
      </c>
      <c r="L1032" s="32" t="s">
        <v>2081</v>
      </c>
      <c r="M1032" s="32" t="s">
        <v>2089</v>
      </c>
      <c r="N1032" s="0" t="n">
        <v>2</v>
      </c>
      <c r="O1032" s="32" t="s">
        <v>777</v>
      </c>
      <c r="P1032" s="32" t="s">
        <v>2175</v>
      </c>
      <c r="Q1032" s="32" t="s">
        <v>2107</v>
      </c>
      <c r="R1032" s="0" t="str">
        <f aca="false">IF(H1032="GEN","GM",H1032)</f>
        <v>GS</v>
      </c>
    </row>
    <row r="1033" customFormat="false" ht="15" hidden="false" customHeight="false" outlineLevel="0" collapsed="false">
      <c r="A1033" s="0" t="s">
        <v>3547</v>
      </c>
      <c r="B1033" s="0" t="s">
        <v>2333</v>
      </c>
      <c r="C1033" s="0" t="s">
        <v>938</v>
      </c>
      <c r="D1033" s="31" t="n">
        <v>25957</v>
      </c>
      <c r="E1033" s="31" t="n">
        <v>45571</v>
      </c>
      <c r="F1033" s="32" t="s">
        <v>2087</v>
      </c>
      <c r="G1033" s="32" t="s">
        <v>2104</v>
      </c>
      <c r="H1033" s="32" t="s">
        <v>802</v>
      </c>
      <c r="I1033" s="31" t="n">
        <v>45575</v>
      </c>
      <c r="J1033" s="32" t="s">
        <v>2080</v>
      </c>
      <c r="K1033" s="0" t="n">
        <v>4</v>
      </c>
      <c r="L1033" s="32" t="s">
        <v>2081</v>
      </c>
      <c r="M1033" s="32" t="s">
        <v>2128</v>
      </c>
      <c r="N1033" s="0" t="n">
        <v>4</v>
      </c>
      <c r="O1033" s="32" t="s">
        <v>803</v>
      </c>
      <c r="P1033" s="32" t="s">
        <v>2095</v>
      </c>
      <c r="Q1033" s="32" t="s">
        <v>2244</v>
      </c>
      <c r="R1033" s="0" t="str">
        <f aca="false">IF(H1033="GEN","GM",H1033)</f>
        <v>GYN</v>
      </c>
    </row>
    <row r="1034" customFormat="false" ht="15" hidden="false" customHeight="false" outlineLevel="0" collapsed="false">
      <c r="A1034" s="0" t="s">
        <v>3548</v>
      </c>
      <c r="B1034" s="0" t="s">
        <v>2834</v>
      </c>
      <c r="C1034" s="0" t="s">
        <v>922</v>
      </c>
      <c r="D1034" s="31" t="n">
        <v>16887</v>
      </c>
      <c r="E1034" s="31" t="n">
        <v>45718</v>
      </c>
      <c r="F1034" s="32" t="s">
        <v>2087</v>
      </c>
      <c r="G1034" s="32" t="s">
        <v>2124</v>
      </c>
      <c r="H1034" s="32" t="s">
        <v>785</v>
      </c>
      <c r="I1034" s="31" t="n">
        <v>45719</v>
      </c>
      <c r="J1034" s="32" t="s">
        <v>2160</v>
      </c>
      <c r="K1034" s="0" t="n">
        <v>1</v>
      </c>
      <c r="L1034" s="32" t="s">
        <v>2081</v>
      </c>
      <c r="M1034" s="32" t="s">
        <v>2100</v>
      </c>
      <c r="N1034" s="0" t="n">
        <v>1</v>
      </c>
      <c r="O1034" s="32" t="s">
        <v>786</v>
      </c>
      <c r="P1034" s="32" t="s">
        <v>2162</v>
      </c>
      <c r="Q1034" s="32" t="s">
        <v>2198</v>
      </c>
      <c r="R1034" s="0" t="str">
        <f aca="false">IF(H1034="GEN","GM",H1034)</f>
        <v>RS</v>
      </c>
    </row>
    <row r="1035" customFormat="false" ht="15" hidden="false" customHeight="false" outlineLevel="0" collapsed="false">
      <c r="A1035" s="0" t="s">
        <v>3549</v>
      </c>
      <c r="B1035" s="0" t="s">
        <v>3084</v>
      </c>
      <c r="C1035" s="0" t="s">
        <v>1013</v>
      </c>
      <c r="D1035" s="31" t="n">
        <v>38171</v>
      </c>
      <c r="E1035" s="31" t="n">
        <v>45572</v>
      </c>
      <c r="F1035" s="32" t="s">
        <v>2078</v>
      </c>
      <c r="G1035" s="32" t="s">
        <v>2099</v>
      </c>
      <c r="H1035" s="32" t="s">
        <v>766</v>
      </c>
      <c r="I1035" s="31" t="n">
        <v>45576</v>
      </c>
      <c r="J1035" s="32" t="s">
        <v>2080</v>
      </c>
      <c r="K1035" s="0" t="n">
        <v>4</v>
      </c>
      <c r="L1035" s="32" t="s">
        <v>2081</v>
      </c>
      <c r="M1035" s="32" t="s">
        <v>2152</v>
      </c>
      <c r="N1035" s="0" t="n">
        <v>6</v>
      </c>
      <c r="O1035" s="32" t="s">
        <v>767</v>
      </c>
      <c r="P1035" s="32" t="s">
        <v>2222</v>
      </c>
      <c r="Q1035" s="32" t="s">
        <v>2198</v>
      </c>
      <c r="R1035" s="0" t="str">
        <f aca="false">IF(H1035="GEN","GM",H1035)</f>
        <v>OR</v>
      </c>
    </row>
    <row r="1036" customFormat="false" ht="15" hidden="false" customHeight="false" outlineLevel="0" collapsed="false">
      <c r="A1036" s="0" t="s">
        <v>3550</v>
      </c>
      <c r="B1036" s="0" t="s">
        <v>3105</v>
      </c>
      <c r="C1036" s="0" t="s">
        <v>989</v>
      </c>
      <c r="D1036" s="31" t="n">
        <v>31923</v>
      </c>
      <c r="E1036" s="31" t="n">
        <v>45717</v>
      </c>
      <c r="F1036" s="32" t="s">
        <v>2078</v>
      </c>
      <c r="G1036" s="32" t="s">
        <v>2088</v>
      </c>
      <c r="H1036" s="32" t="s">
        <v>826</v>
      </c>
      <c r="I1036" s="31" t="n">
        <v>45717</v>
      </c>
      <c r="J1036" s="32" t="s">
        <v>2080</v>
      </c>
      <c r="K1036" s="0" t="n">
        <v>0</v>
      </c>
      <c r="L1036" s="32" t="s">
        <v>2081</v>
      </c>
      <c r="M1036" s="32" t="s">
        <v>2110</v>
      </c>
      <c r="N1036" s="0" t="n">
        <v>0</v>
      </c>
      <c r="O1036" s="32" t="s">
        <v>827</v>
      </c>
      <c r="P1036" s="32" t="s">
        <v>2090</v>
      </c>
      <c r="Q1036" s="32" t="s">
        <v>2153</v>
      </c>
      <c r="R1036" s="0" t="str">
        <f aca="false">IF(H1036="GEN","GM",H1036)</f>
        <v>RHE</v>
      </c>
    </row>
    <row r="1037" customFormat="false" ht="15" hidden="false" customHeight="false" outlineLevel="0" collapsed="false">
      <c r="A1037" s="0" t="s">
        <v>3551</v>
      </c>
      <c r="B1037" s="0" t="s">
        <v>2774</v>
      </c>
      <c r="C1037" s="0" t="s">
        <v>817</v>
      </c>
      <c r="D1037" s="31" t="n">
        <v>35096</v>
      </c>
      <c r="E1037" s="31" t="n">
        <v>45695</v>
      </c>
      <c r="F1037" s="32" t="s">
        <v>2087</v>
      </c>
      <c r="G1037" s="32" t="s">
        <v>2088</v>
      </c>
      <c r="H1037" s="32" t="s">
        <v>826</v>
      </c>
      <c r="I1037" s="31" t="n">
        <v>45702</v>
      </c>
      <c r="J1037" s="32" t="s">
        <v>2160</v>
      </c>
      <c r="K1037" s="0" t="n">
        <v>7</v>
      </c>
      <c r="L1037" s="32" t="s">
        <v>2081</v>
      </c>
      <c r="M1037" s="32" t="s">
        <v>2132</v>
      </c>
      <c r="N1037" s="0" t="n">
        <v>7</v>
      </c>
      <c r="O1037" s="32" t="s">
        <v>827</v>
      </c>
      <c r="P1037" s="32" t="s">
        <v>2213</v>
      </c>
      <c r="R1037" s="0" t="str">
        <f aca="false">IF(H1037="GEN","GM",H1037)</f>
        <v>RHE</v>
      </c>
    </row>
    <row r="1038" customFormat="false" ht="15" hidden="false" customHeight="false" outlineLevel="0" collapsed="false">
      <c r="A1038" s="0" t="s">
        <v>3552</v>
      </c>
      <c r="B1038" s="0" t="s">
        <v>2323</v>
      </c>
      <c r="C1038" s="0" t="s">
        <v>1453</v>
      </c>
      <c r="D1038" s="31" t="n">
        <v>34892</v>
      </c>
      <c r="E1038" s="31" t="n">
        <v>45657</v>
      </c>
      <c r="F1038" s="32" t="s">
        <v>2078</v>
      </c>
      <c r="G1038" s="32" t="s">
        <v>2079</v>
      </c>
      <c r="H1038" s="32" t="s">
        <v>810</v>
      </c>
      <c r="I1038" s="31" t="n">
        <v>45661</v>
      </c>
      <c r="J1038" s="32" t="s">
        <v>2080</v>
      </c>
      <c r="K1038" s="0" t="n">
        <v>4</v>
      </c>
      <c r="L1038" s="32" t="s">
        <v>2106</v>
      </c>
      <c r="M1038" s="32" t="s">
        <v>2100</v>
      </c>
      <c r="N1038" s="0" t="n">
        <v>4</v>
      </c>
      <c r="O1038" s="32" t="s">
        <v>811</v>
      </c>
      <c r="P1038" s="32" t="s">
        <v>2222</v>
      </c>
      <c r="Q1038" s="32" t="s">
        <v>2179</v>
      </c>
      <c r="R1038" s="0" t="str">
        <f aca="false">IF(H1038="GEN","GM",H1038)</f>
        <v>URO</v>
      </c>
    </row>
    <row r="1039" customFormat="false" ht="15" hidden="false" customHeight="false" outlineLevel="0" collapsed="false">
      <c r="A1039" s="0" t="s">
        <v>3553</v>
      </c>
      <c r="B1039" s="0" t="s">
        <v>2556</v>
      </c>
      <c r="C1039" s="0" t="s">
        <v>809</v>
      </c>
      <c r="D1039" s="31" t="n">
        <v>27753</v>
      </c>
      <c r="E1039" s="31" t="n">
        <v>45663</v>
      </c>
      <c r="F1039" s="32" t="s">
        <v>2078</v>
      </c>
      <c r="G1039" s="32" t="s">
        <v>2088</v>
      </c>
      <c r="H1039" s="32" t="s">
        <v>747</v>
      </c>
      <c r="I1039" s="31" t="n">
        <v>45668</v>
      </c>
      <c r="J1039" s="32" t="s">
        <v>2160</v>
      </c>
      <c r="K1039" s="0" t="n">
        <v>5</v>
      </c>
      <c r="L1039" s="32" t="s">
        <v>2081</v>
      </c>
      <c r="M1039" s="32" t="s">
        <v>2227</v>
      </c>
      <c r="N1039" s="0" t="n">
        <v>5</v>
      </c>
      <c r="O1039" s="32" t="s">
        <v>748</v>
      </c>
      <c r="P1039" s="32" t="s">
        <v>2117</v>
      </c>
      <c r="Q1039" s="32" t="s">
        <v>2107</v>
      </c>
      <c r="R1039" s="0" t="str">
        <f aca="false">IF(H1039="GEN","GM",H1039)</f>
        <v>GM</v>
      </c>
    </row>
    <row r="1040" customFormat="false" ht="15" hidden="false" customHeight="false" outlineLevel="0" collapsed="false">
      <c r="A1040" s="0" t="s">
        <v>3554</v>
      </c>
      <c r="B1040" s="0" t="s">
        <v>2342</v>
      </c>
      <c r="C1040" s="0" t="s">
        <v>1033</v>
      </c>
      <c r="D1040" s="31" t="n">
        <v>15357</v>
      </c>
      <c r="E1040" s="31" t="n">
        <v>45714</v>
      </c>
      <c r="F1040" s="32" t="s">
        <v>2078</v>
      </c>
      <c r="G1040" s="32" t="s">
        <v>2099</v>
      </c>
      <c r="H1040" s="32" t="s">
        <v>818</v>
      </c>
      <c r="I1040" s="31" t="n">
        <v>45716</v>
      </c>
      <c r="J1040" s="32" t="s">
        <v>2080</v>
      </c>
      <c r="K1040" s="0" t="n">
        <v>2</v>
      </c>
      <c r="L1040" s="32" t="s">
        <v>2081</v>
      </c>
      <c r="M1040" s="32" t="s">
        <v>2227</v>
      </c>
      <c r="N1040" s="0" t="n">
        <v>2</v>
      </c>
      <c r="O1040" s="32" t="s">
        <v>819</v>
      </c>
      <c r="P1040" s="32" t="s">
        <v>2156</v>
      </c>
      <c r="Q1040" s="32" t="s">
        <v>2241</v>
      </c>
      <c r="R1040" s="0" t="str">
        <f aca="false">IF(H1040="GEN","GM",H1040)</f>
        <v>OPH</v>
      </c>
    </row>
    <row r="1041" customFormat="false" ht="15" hidden="false" customHeight="false" outlineLevel="0" collapsed="false">
      <c r="A1041" s="0" t="s">
        <v>3555</v>
      </c>
      <c r="B1041" s="0" t="s">
        <v>2522</v>
      </c>
      <c r="C1041" s="0" t="s">
        <v>2148</v>
      </c>
      <c r="D1041" s="31" t="n">
        <v>21844</v>
      </c>
      <c r="E1041" s="31" t="n">
        <v>45692</v>
      </c>
      <c r="F1041" s="32" t="s">
        <v>2078</v>
      </c>
      <c r="G1041" s="32" t="s">
        <v>2088</v>
      </c>
      <c r="H1041" s="32" t="s">
        <v>826</v>
      </c>
      <c r="I1041" s="31" t="n">
        <v>45693</v>
      </c>
      <c r="J1041" s="32" t="s">
        <v>2160</v>
      </c>
      <c r="K1041" s="0" t="n">
        <v>1</v>
      </c>
      <c r="L1041" s="32" t="s">
        <v>2081</v>
      </c>
      <c r="M1041" s="32" t="s">
        <v>2212</v>
      </c>
      <c r="N1041" s="0" t="n">
        <v>1</v>
      </c>
      <c r="O1041" s="32" t="s">
        <v>827</v>
      </c>
      <c r="P1041" s="32" t="s">
        <v>2121</v>
      </c>
      <c r="Q1041" s="32" t="s">
        <v>2170</v>
      </c>
      <c r="R1041" s="0" t="str">
        <f aca="false">IF(H1041="GEN","GM",H1041)</f>
        <v>RHE</v>
      </c>
    </row>
    <row r="1042" customFormat="false" ht="15" hidden="false" customHeight="false" outlineLevel="0" collapsed="false">
      <c r="A1042" s="0" t="s">
        <v>3556</v>
      </c>
      <c r="B1042" s="0" t="s">
        <v>2875</v>
      </c>
      <c r="C1042" s="0" t="s">
        <v>775</v>
      </c>
      <c r="D1042" s="31" t="n">
        <v>22783</v>
      </c>
      <c r="E1042" s="31" t="n">
        <v>45706</v>
      </c>
      <c r="F1042" s="32" t="s">
        <v>2087</v>
      </c>
      <c r="G1042" s="32" t="s">
        <v>2079</v>
      </c>
      <c r="H1042" s="32" t="s">
        <v>810</v>
      </c>
      <c r="I1042" s="31" t="n">
        <v>45712</v>
      </c>
      <c r="J1042" s="32" t="s">
        <v>2160</v>
      </c>
      <c r="K1042" s="0" t="n">
        <v>6</v>
      </c>
      <c r="L1042" s="32" t="s">
        <v>2106</v>
      </c>
      <c r="M1042" s="32" t="s">
        <v>2255</v>
      </c>
      <c r="N1042" s="0" t="n">
        <v>6</v>
      </c>
      <c r="O1042" s="32" t="s">
        <v>811</v>
      </c>
      <c r="P1042" s="32" t="s">
        <v>2175</v>
      </c>
      <c r="Q1042" s="32" t="s">
        <v>2145</v>
      </c>
      <c r="R1042" s="0" t="str">
        <f aca="false">IF(H1042="GEN","GM",H1042)</f>
        <v>URO</v>
      </c>
    </row>
    <row r="1043" customFormat="false" ht="15" hidden="false" customHeight="false" outlineLevel="0" collapsed="false">
      <c r="A1043" s="0" t="s">
        <v>3557</v>
      </c>
      <c r="B1043" s="0" t="s">
        <v>2672</v>
      </c>
      <c r="C1043" s="0" t="s">
        <v>1017</v>
      </c>
      <c r="D1043" s="31" t="n">
        <v>35408</v>
      </c>
      <c r="E1043" s="31" t="n">
        <v>45593</v>
      </c>
      <c r="F1043" s="32" t="s">
        <v>2078</v>
      </c>
      <c r="G1043" s="32" t="s">
        <v>2115</v>
      </c>
      <c r="H1043" s="32" t="s">
        <v>758</v>
      </c>
      <c r="I1043" s="31" t="n">
        <v>45595</v>
      </c>
      <c r="J1043" s="32" t="s">
        <v>2080</v>
      </c>
      <c r="K1043" s="0" t="n">
        <v>2</v>
      </c>
      <c r="L1043" s="32" t="s">
        <v>2081</v>
      </c>
      <c r="M1043" s="32" t="s">
        <v>2082</v>
      </c>
      <c r="N1043" s="0" t="n">
        <v>2</v>
      </c>
      <c r="O1043" s="32" t="s">
        <v>759</v>
      </c>
      <c r="P1043" s="32" t="s">
        <v>2213</v>
      </c>
      <c r="Q1043" s="32" t="s">
        <v>2084</v>
      </c>
      <c r="R1043" s="0" t="str">
        <f aca="false">IF(H1043="GEN","GM",H1043)</f>
        <v>CS</v>
      </c>
    </row>
    <row r="1044" customFormat="false" ht="15" hidden="false" customHeight="false" outlineLevel="0" collapsed="false">
      <c r="A1044" s="0" t="s">
        <v>3558</v>
      </c>
      <c r="B1044" s="0" t="s">
        <v>2742</v>
      </c>
      <c r="C1044" s="0" t="s">
        <v>950</v>
      </c>
      <c r="D1044" s="31" t="n">
        <v>22993</v>
      </c>
      <c r="E1044" s="31" t="n">
        <v>45573</v>
      </c>
      <c r="F1044" s="32" t="s">
        <v>2087</v>
      </c>
      <c r="G1044" s="32" t="s">
        <v>2115</v>
      </c>
      <c r="H1044" s="32" t="s">
        <v>758</v>
      </c>
      <c r="I1044" s="31" t="n">
        <v>45581</v>
      </c>
      <c r="J1044" s="32" t="s">
        <v>2080</v>
      </c>
      <c r="K1044" s="0" t="n">
        <v>8</v>
      </c>
      <c r="M1044" s="32" t="s">
        <v>2094</v>
      </c>
      <c r="N1044" s="0" t="n">
        <v>8</v>
      </c>
      <c r="O1044" s="32" t="s">
        <v>759</v>
      </c>
      <c r="P1044" s="32" t="s">
        <v>2213</v>
      </c>
      <c r="Q1044" s="32" t="s">
        <v>2157</v>
      </c>
      <c r="R1044" s="0" t="str">
        <f aca="false">IF(H1044="GEN","GM",H1044)</f>
        <v>CS</v>
      </c>
    </row>
    <row r="1045" customFormat="false" ht="15" hidden="false" customHeight="false" outlineLevel="0" collapsed="false">
      <c r="A1045" s="0" t="s">
        <v>3559</v>
      </c>
      <c r="B1045" s="0" t="s">
        <v>3560</v>
      </c>
      <c r="C1045" s="0" t="s">
        <v>1414</v>
      </c>
      <c r="D1045" s="31" t="n">
        <v>24305</v>
      </c>
      <c r="E1045" s="31" t="n">
        <v>45634</v>
      </c>
      <c r="F1045" s="32" t="s">
        <v>2087</v>
      </c>
      <c r="G1045" s="32" t="s">
        <v>2079</v>
      </c>
      <c r="H1045" s="32" t="s">
        <v>776</v>
      </c>
      <c r="I1045" s="31" t="n">
        <v>45641</v>
      </c>
      <c r="J1045" s="32" t="s">
        <v>2080</v>
      </c>
      <c r="K1045" s="0" t="n">
        <v>7</v>
      </c>
      <c r="L1045" s="32" t="s">
        <v>2081</v>
      </c>
      <c r="M1045" s="32" t="s">
        <v>2255</v>
      </c>
      <c r="N1045" s="0" t="n">
        <v>7</v>
      </c>
      <c r="O1045" s="32" t="s">
        <v>777</v>
      </c>
      <c r="P1045" s="32" t="s">
        <v>2111</v>
      </c>
      <c r="R1045" s="0" t="str">
        <f aca="false">IF(H1045="GEN","GM",H1045)</f>
        <v>GS</v>
      </c>
    </row>
    <row r="1046" customFormat="false" ht="15" hidden="false" customHeight="false" outlineLevel="0" collapsed="false">
      <c r="A1046" s="0" t="s">
        <v>3561</v>
      </c>
      <c r="B1046" s="0" t="s">
        <v>3562</v>
      </c>
      <c r="C1046" s="0" t="s">
        <v>1005</v>
      </c>
      <c r="D1046" s="31" t="n">
        <v>19069</v>
      </c>
      <c r="E1046" s="31" t="n">
        <v>45634</v>
      </c>
      <c r="F1046" s="32" t="s">
        <v>2087</v>
      </c>
      <c r="G1046" s="32" t="s">
        <v>2104</v>
      </c>
      <c r="H1046" s="32" t="s">
        <v>802</v>
      </c>
      <c r="I1046" s="31" t="n">
        <v>45639</v>
      </c>
      <c r="J1046" s="32" t="s">
        <v>2080</v>
      </c>
      <c r="K1046" s="0" t="n">
        <v>5</v>
      </c>
      <c r="L1046" s="32" t="s">
        <v>2081</v>
      </c>
      <c r="M1046" s="32" t="s">
        <v>2152</v>
      </c>
      <c r="N1046" s="0" t="n">
        <v>5</v>
      </c>
      <c r="O1046" s="32" t="s">
        <v>803</v>
      </c>
      <c r="P1046" s="32" t="s">
        <v>2179</v>
      </c>
      <c r="Q1046" s="32" t="s">
        <v>2112</v>
      </c>
      <c r="R1046" s="0" t="str">
        <f aca="false">IF(H1046="GEN","GM",H1046)</f>
        <v>GYN</v>
      </c>
    </row>
    <row r="1047" customFormat="false" ht="15" hidden="false" customHeight="false" outlineLevel="0" collapsed="false">
      <c r="A1047" s="0" t="s">
        <v>3563</v>
      </c>
      <c r="B1047" s="0" t="s">
        <v>2174</v>
      </c>
      <c r="C1047" s="0" t="s">
        <v>890</v>
      </c>
      <c r="D1047" s="31" t="n">
        <v>24862</v>
      </c>
      <c r="E1047" s="31" t="n">
        <v>45614</v>
      </c>
      <c r="F1047" s="32" t="s">
        <v>2087</v>
      </c>
      <c r="G1047" s="32" t="s">
        <v>2088</v>
      </c>
      <c r="H1047" s="32" t="s">
        <v>793</v>
      </c>
      <c r="I1047" s="31" t="n">
        <v>45617</v>
      </c>
      <c r="J1047" s="32" t="s">
        <v>2160</v>
      </c>
      <c r="K1047" s="0" t="n">
        <v>3</v>
      </c>
      <c r="L1047" s="32" t="s">
        <v>2081</v>
      </c>
      <c r="M1047" s="32" t="s">
        <v>2189</v>
      </c>
      <c r="N1047" s="0" t="n">
        <v>3</v>
      </c>
      <c r="O1047" s="32" t="s">
        <v>794</v>
      </c>
      <c r="P1047" s="32" t="s">
        <v>2137</v>
      </c>
      <c r="Q1047" s="32" t="s">
        <v>2129</v>
      </c>
      <c r="R1047" s="0" t="str">
        <f aca="false">IF(H1047="GEN","GM",H1047)</f>
        <v>EM</v>
      </c>
    </row>
    <row r="1048" customFormat="false" ht="15" hidden="false" customHeight="false" outlineLevel="0" collapsed="false">
      <c r="A1048" s="0" t="s">
        <v>3564</v>
      </c>
      <c r="B1048" s="0" t="s">
        <v>2310</v>
      </c>
      <c r="C1048" s="0" t="s">
        <v>2178</v>
      </c>
      <c r="D1048" s="31" t="n">
        <v>28481</v>
      </c>
      <c r="E1048" s="31" t="n">
        <v>45638</v>
      </c>
      <c r="F1048" s="32" t="s">
        <v>2087</v>
      </c>
      <c r="G1048" s="32" t="s">
        <v>2099</v>
      </c>
      <c r="H1048" s="32" t="s">
        <v>766</v>
      </c>
      <c r="I1048" s="31" t="n">
        <v>45643</v>
      </c>
      <c r="J1048" s="32" t="s">
        <v>2080</v>
      </c>
      <c r="K1048" s="0" t="n">
        <v>5</v>
      </c>
      <c r="L1048" s="32" t="s">
        <v>2081</v>
      </c>
      <c r="M1048" s="32" t="s">
        <v>2212</v>
      </c>
      <c r="N1048" s="0" t="n">
        <v>5</v>
      </c>
      <c r="O1048" s="32" t="s">
        <v>767</v>
      </c>
      <c r="P1048" s="32" t="s">
        <v>2201</v>
      </c>
      <c r="Q1048" s="32" t="s">
        <v>2241</v>
      </c>
      <c r="R1048" s="0" t="str">
        <f aca="false">IF(H1048="GEN","GM",H1048)</f>
        <v>OR</v>
      </c>
    </row>
    <row r="1049" customFormat="false" ht="15" hidden="false" customHeight="false" outlineLevel="0" collapsed="false">
      <c r="A1049" s="0" t="s">
        <v>3565</v>
      </c>
      <c r="B1049" s="0" t="s">
        <v>2742</v>
      </c>
      <c r="C1049" s="0" t="s">
        <v>1009</v>
      </c>
      <c r="D1049" s="31" t="n">
        <v>16025</v>
      </c>
      <c r="E1049" s="31" t="n">
        <v>45647</v>
      </c>
      <c r="F1049" s="32" t="s">
        <v>2078</v>
      </c>
      <c r="G1049" s="32" t="s">
        <v>2088</v>
      </c>
      <c r="H1049" s="32" t="s">
        <v>826</v>
      </c>
      <c r="I1049" s="31" t="n">
        <v>45650</v>
      </c>
      <c r="J1049" s="32" t="s">
        <v>2080</v>
      </c>
      <c r="K1049" s="0" t="n">
        <v>3</v>
      </c>
      <c r="L1049" s="32" t="s">
        <v>2081</v>
      </c>
      <c r="M1049" s="32" t="s">
        <v>2116</v>
      </c>
      <c r="N1049" s="0" t="n">
        <v>3</v>
      </c>
      <c r="O1049" s="32" t="s">
        <v>827</v>
      </c>
      <c r="P1049" s="32" t="s">
        <v>2238</v>
      </c>
      <c r="Q1049" s="32" t="s">
        <v>2244</v>
      </c>
      <c r="R1049" s="0" t="str">
        <f aca="false">IF(H1049="GEN","GM",H1049)</f>
        <v>RHE</v>
      </c>
    </row>
    <row r="1050" customFormat="false" ht="15" hidden="false" customHeight="false" outlineLevel="0" collapsed="false">
      <c r="A1050" s="0" t="s">
        <v>3566</v>
      </c>
      <c r="B1050" s="0" t="s">
        <v>2237</v>
      </c>
      <c r="C1050" s="0" t="s">
        <v>857</v>
      </c>
      <c r="D1050" s="31" t="n">
        <v>26258</v>
      </c>
      <c r="E1050" s="31" t="n">
        <v>45635</v>
      </c>
      <c r="F1050" s="32" t="s">
        <v>2078</v>
      </c>
      <c r="G1050" s="32" t="s">
        <v>2115</v>
      </c>
      <c r="H1050" s="32" t="s">
        <v>758</v>
      </c>
      <c r="I1050" s="31" t="n">
        <v>45640</v>
      </c>
      <c r="J1050" s="32" t="s">
        <v>2080</v>
      </c>
      <c r="K1050" s="0" t="n">
        <v>5</v>
      </c>
      <c r="L1050" s="32" t="s">
        <v>2081</v>
      </c>
      <c r="M1050" s="32" t="s">
        <v>2132</v>
      </c>
      <c r="N1050" s="0" t="n">
        <v>5</v>
      </c>
      <c r="O1050" s="32" t="s">
        <v>759</v>
      </c>
      <c r="P1050" s="32" t="s">
        <v>2175</v>
      </c>
      <c r="Q1050" s="32" t="s">
        <v>2118</v>
      </c>
      <c r="R1050" s="0" t="str">
        <f aca="false">IF(H1050="GEN","GM",H1050)</f>
        <v>CS</v>
      </c>
    </row>
    <row r="1051" customFormat="false" ht="15" hidden="false" customHeight="false" outlineLevel="0" collapsed="false">
      <c r="A1051" s="0" t="s">
        <v>3567</v>
      </c>
      <c r="B1051" s="0" t="s">
        <v>2439</v>
      </c>
      <c r="C1051" s="0" t="s">
        <v>902</v>
      </c>
      <c r="D1051" s="31" t="n">
        <v>35146</v>
      </c>
      <c r="E1051" s="31" t="n">
        <v>45708</v>
      </c>
      <c r="F1051" s="32" t="s">
        <v>2087</v>
      </c>
      <c r="G1051" s="32" t="s">
        <v>2104</v>
      </c>
      <c r="H1051" s="32" t="s">
        <v>802</v>
      </c>
      <c r="I1051" s="31" t="n">
        <v>45710</v>
      </c>
      <c r="J1051" s="32" t="s">
        <v>2080</v>
      </c>
      <c r="K1051" s="0" t="n">
        <v>2</v>
      </c>
      <c r="L1051" s="32" t="s">
        <v>2081</v>
      </c>
      <c r="M1051" s="32" t="s">
        <v>2286</v>
      </c>
      <c r="N1051" s="0" t="n">
        <v>2</v>
      </c>
      <c r="O1051" s="32" t="s">
        <v>803</v>
      </c>
      <c r="P1051" s="32" t="s">
        <v>2156</v>
      </c>
      <c r="Q1051" s="32" t="s">
        <v>2118</v>
      </c>
      <c r="R1051" s="0" t="str">
        <f aca="false">IF(H1051="GEN","GM",H1051)</f>
        <v>GYN</v>
      </c>
    </row>
    <row r="1052" customFormat="false" ht="15" hidden="false" customHeight="false" outlineLevel="0" collapsed="false">
      <c r="A1052" s="0" t="s">
        <v>3568</v>
      </c>
      <c r="B1052" s="0" t="s">
        <v>2288</v>
      </c>
      <c r="C1052" s="0" t="s">
        <v>1033</v>
      </c>
      <c r="D1052" s="31" t="n">
        <v>14566</v>
      </c>
      <c r="E1052" s="31" t="n">
        <v>45672</v>
      </c>
      <c r="F1052" s="32" t="s">
        <v>2087</v>
      </c>
      <c r="G1052" s="32" t="s">
        <v>2088</v>
      </c>
      <c r="H1052" s="32" t="s">
        <v>747</v>
      </c>
      <c r="I1052" s="31" t="n">
        <v>45674</v>
      </c>
      <c r="J1052" s="32" t="s">
        <v>2080</v>
      </c>
      <c r="K1052" s="0" t="n">
        <v>2</v>
      </c>
      <c r="L1052" s="32" t="s">
        <v>2081</v>
      </c>
      <c r="M1052" s="32" t="s">
        <v>2283</v>
      </c>
      <c r="N1052" s="0" t="n">
        <v>2</v>
      </c>
      <c r="O1052" s="32" t="s">
        <v>748</v>
      </c>
      <c r="P1052" s="32" t="s">
        <v>2149</v>
      </c>
      <c r="Q1052" s="32" t="s">
        <v>2165</v>
      </c>
      <c r="R1052" s="0" t="str">
        <f aca="false">IF(H1052="GEN","GM",H1052)</f>
        <v>GM</v>
      </c>
    </row>
    <row r="1053" customFormat="false" ht="15" hidden="false" customHeight="false" outlineLevel="0" collapsed="false">
      <c r="A1053" s="0" t="s">
        <v>3569</v>
      </c>
      <c r="B1053" s="0" t="s">
        <v>2464</v>
      </c>
      <c r="C1053" s="0" t="s">
        <v>902</v>
      </c>
      <c r="D1053" s="31" t="n">
        <v>37162</v>
      </c>
      <c r="E1053" s="31" t="n">
        <v>45689</v>
      </c>
      <c r="F1053" s="32" t="s">
        <v>2087</v>
      </c>
      <c r="G1053" s="32" t="s">
        <v>2079</v>
      </c>
      <c r="H1053" s="32" t="s">
        <v>776</v>
      </c>
      <c r="I1053" s="31" t="n">
        <v>45702</v>
      </c>
      <c r="J1053" s="32" t="s">
        <v>2080</v>
      </c>
      <c r="K1053" s="0" t="n">
        <v>13</v>
      </c>
      <c r="L1053" s="32" t="s">
        <v>2081</v>
      </c>
      <c r="M1053" s="32" t="s">
        <v>2094</v>
      </c>
      <c r="N1053" s="0" t="n">
        <v>13</v>
      </c>
      <c r="O1053" s="32" t="s">
        <v>777</v>
      </c>
      <c r="P1053" s="32" t="s">
        <v>2083</v>
      </c>
      <c r="Q1053" s="32" t="s">
        <v>2259</v>
      </c>
      <c r="R1053" s="0" t="str">
        <f aca="false">IF(H1053="GEN","GM",H1053)</f>
        <v>GS</v>
      </c>
    </row>
    <row r="1054" customFormat="false" ht="15" hidden="false" customHeight="false" outlineLevel="0" collapsed="false">
      <c r="A1054" s="0" t="s">
        <v>3570</v>
      </c>
      <c r="B1054" s="0" t="s">
        <v>2357</v>
      </c>
      <c r="C1054" s="0" t="s">
        <v>775</v>
      </c>
      <c r="D1054" s="31" t="n">
        <v>38436</v>
      </c>
      <c r="E1054" s="31" t="n">
        <v>45669</v>
      </c>
      <c r="F1054" s="32" t="s">
        <v>2078</v>
      </c>
      <c r="G1054" s="32" t="s">
        <v>2088</v>
      </c>
      <c r="H1054" s="32" t="s">
        <v>826</v>
      </c>
      <c r="L1054" s="32" t="s">
        <v>2081</v>
      </c>
      <c r="M1054" s="32" t="s">
        <v>2089</v>
      </c>
      <c r="O1054" s="32" t="s">
        <v>827</v>
      </c>
      <c r="P1054" s="32" t="s">
        <v>2156</v>
      </c>
      <c r="Q1054" s="32" t="s">
        <v>2170</v>
      </c>
      <c r="R1054" s="0" t="str">
        <f aca="false">IF(H1054="GEN","GM",H1054)</f>
        <v>RHE</v>
      </c>
    </row>
    <row r="1055" customFormat="false" ht="15" hidden="false" customHeight="false" outlineLevel="0" collapsed="false">
      <c r="A1055" s="0" t="s">
        <v>3571</v>
      </c>
      <c r="B1055" s="0" t="s">
        <v>2632</v>
      </c>
      <c r="C1055" s="0" t="s">
        <v>1005</v>
      </c>
      <c r="D1055" s="31" t="n">
        <v>27235</v>
      </c>
      <c r="E1055" s="31" t="n">
        <v>45686</v>
      </c>
      <c r="F1055" s="32" t="s">
        <v>2087</v>
      </c>
      <c r="G1055" s="32" t="s">
        <v>2088</v>
      </c>
      <c r="H1055" s="32" t="s">
        <v>747</v>
      </c>
      <c r="I1055" s="31" t="n">
        <v>45686</v>
      </c>
      <c r="J1055" s="32" t="s">
        <v>2105</v>
      </c>
      <c r="K1055" s="0" t="n">
        <v>0</v>
      </c>
      <c r="L1055" s="32" t="s">
        <v>2081</v>
      </c>
      <c r="M1055" s="32" t="s">
        <v>2116</v>
      </c>
      <c r="N1055" s="0" t="n">
        <v>0</v>
      </c>
      <c r="O1055" s="32" t="s">
        <v>748</v>
      </c>
      <c r="P1055" s="32" t="s">
        <v>2182</v>
      </c>
      <c r="Q1055" s="32" t="s">
        <v>2153</v>
      </c>
      <c r="R1055" s="0" t="str">
        <f aca="false">IF(H1055="GEN","GM",H1055)</f>
        <v>GM</v>
      </c>
    </row>
    <row r="1056" customFormat="false" ht="15" hidden="false" customHeight="false" outlineLevel="0" collapsed="false">
      <c r="A1056" s="0" t="s">
        <v>3572</v>
      </c>
      <c r="B1056" s="0" t="s">
        <v>2378</v>
      </c>
      <c r="C1056" s="0" t="s">
        <v>1390</v>
      </c>
      <c r="D1056" s="31" t="n">
        <v>14535</v>
      </c>
      <c r="E1056" s="31" t="n">
        <v>45677</v>
      </c>
      <c r="F1056" s="32" t="s">
        <v>2078</v>
      </c>
      <c r="G1056" s="32" t="s">
        <v>2088</v>
      </c>
      <c r="H1056" s="32" t="s">
        <v>826</v>
      </c>
      <c r="I1056" s="31" t="n">
        <v>45679</v>
      </c>
      <c r="J1056" s="32" t="s">
        <v>2080</v>
      </c>
      <c r="K1056" s="0" t="n">
        <v>2</v>
      </c>
      <c r="L1056" s="32" t="s">
        <v>2081</v>
      </c>
      <c r="M1056" s="32" t="s">
        <v>2189</v>
      </c>
      <c r="N1056" s="0" t="n">
        <v>2</v>
      </c>
      <c r="O1056" s="32" t="s">
        <v>827</v>
      </c>
      <c r="P1056" s="32" t="s">
        <v>2133</v>
      </c>
      <c r="Q1056" s="32" t="s">
        <v>2125</v>
      </c>
      <c r="R1056" s="0" t="str">
        <f aca="false">IF(H1056="GEN","GM",H1056)</f>
        <v>RHE</v>
      </c>
    </row>
    <row r="1057" customFormat="false" ht="15" hidden="false" customHeight="false" outlineLevel="0" collapsed="false">
      <c r="A1057" s="0" t="s">
        <v>3573</v>
      </c>
      <c r="B1057" s="0" t="s">
        <v>2986</v>
      </c>
      <c r="C1057" s="0" t="s">
        <v>934</v>
      </c>
      <c r="D1057" s="31" t="n">
        <v>17092</v>
      </c>
      <c r="E1057" s="31" t="n">
        <v>45655</v>
      </c>
      <c r="F1057" s="32" t="s">
        <v>2078</v>
      </c>
      <c r="G1057" s="32" t="s">
        <v>2088</v>
      </c>
      <c r="H1057" s="32" t="s">
        <v>826</v>
      </c>
      <c r="I1057" s="31" t="n">
        <v>45655</v>
      </c>
      <c r="J1057" s="32" t="s">
        <v>2080</v>
      </c>
      <c r="K1057" s="0" t="n">
        <v>0</v>
      </c>
      <c r="L1057" s="32" t="s">
        <v>2081</v>
      </c>
      <c r="M1057" s="32" t="s">
        <v>2161</v>
      </c>
      <c r="N1057" s="0" t="n">
        <v>0</v>
      </c>
      <c r="O1057" s="32" t="s">
        <v>827</v>
      </c>
      <c r="P1057" s="32" t="s">
        <v>2090</v>
      </c>
      <c r="Q1057" s="32" t="s">
        <v>2244</v>
      </c>
      <c r="R1057" s="0" t="str">
        <f aca="false">IF(H1057="GEN","GM",H1057)</f>
        <v>RHE</v>
      </c>
    </row>
    <row r="1058" customFormat="false" ht="15" hidden="false" customHeight="false" outlineLevel="0" collapsed="false">
      <c r="A1058" s="0" t="s">
        <v>3574</v>
      </c>
      <c r="B1058" s="0" t="s">
        <v>2728</v>
      </c>
      <c r="C1058" s="0" t="s">
        <v>970</v>
      </c>
      <c r="D1058" s="31" t="n">
        <v>20621</v>
      </c>
      <c r="E1058" s="31" t="n">
        <v>45632</v>
      </c>
      <c r="F1058" s="32" t="s">
        <v>2078</v>
      </c>
      <c r="G1058" s="32" t="s">
        <v>2088</v>
      </c>
      <c r="H1058" s="32" t="s">
        <v>747</v>
      </c>
      <c r="I1058" s="31" t="n">
        <v>45636</v>
      </c>
      <c r="J1058" s="32" t="s">
        <v>2080</v>
      </c>
      <c r="K1058" s="0" t="n">
        <v>4</v>
      </c>
      <c r="L1058" s="32" t="s">
        <v>2081</v>
      </c>
      <c r="M1058" s="32" t="s">
        <v>2100</v>
      </c>
      <c r="N1058" s="0" t="n">
        <v>4</v>
      </c>
      <c r="O1058" s="32" t="s">
        <v>748</v>
      </c>
      <c r="P1058" s="32" t="s">
        <v>2201</v>
      </c>
      <c r="Q1058" s="32" t="s">
        <v>2125</v>
      </c>
      <c r="R1058" s="0" t="str">
        <f aca="false">IF(H1058="GEN","GM",H1058)</f>
        <v>GM</v>
      </c>
    </row>
    <row r="1059" customFormat="false" ht="15" hidden="false" customHeight="false" outlineLevel="0" collapsed="false">
      <c r="A1059" s="0" t="s">
        <v>3575</v>
      </c>
      <c r="B1059" s="0" t="s">
        <v>2215</v>
      </c>
      <c r="C1059" s="0" t="s">
        <v>775</v>
      </c>
      <c r="D1059" s="31" t="n">
        <v>15701</v>
      </c>
      <c r="E1059" s="31" t="n">
        <v>45670</v>
      </c>
      <c r="F1059" s="32" t="s">
        <v>2078</v>
      </c>
      <c r="G1059" s="32" t="s">
        <v>2079</v>
      </c>
      <c r="H1059" s="32" t="s">
        <v>776</v>
      </c>
      <c r="I1059" s="31" t="n">
        <v>45673</v>
      </c>
      <c r="J1059" s="32" t="s">
        <v>2080</v>
      </c>
      <c r="K1059" s="0" t="n">
        <v>3</v>
      </c>
      <c r="L1059" s="32" t="s">
        <v>2081</v>
      </c>
      <c r="M1059" s="32" t="s">
        <v>2207</v>
      </c>
      <c r="N1059" s="0" t="n">
        <v>3</v>
      </c>
      <c r="O1059" s="32" t="s">
        <v>777</v>
      </c>
      <c r="P1059" s="32" t="s">
        <v>2222</v>
      </c>
      <c r="Q1059" s="32" t="s">
        <v>2107</v>
      </c>
      <c r="R1059" s="0" t="str">
        <f aca="false">IF(H1059="GEN","GM",H1059)</f>
        <v>GS</v>
      </c>
    </row>
    <row r="1060" customFormat="false" ht="15" hidden="false" customHeight="false" outlineLevel="0" collapsed="false">
      <c r="A1060" s="0" t="s">
        <v>3576</v>
      </c>
      <c r="B1060" s="0" t="s">
        <v>2197</v>
      </c>
      <c r="C1060" s="0" t="s">
        <v>1390</v>
      </c>
      <c r="D1060" s="31" t="n">
        <v>20890</v>
      </c>
      <c r="E1060" s="31" t="n">
        <v>45579</v>
      </c>
      <c r="F1060" s="32" t="s">
        <v>2087</v>
      </c>
      <c r="G1060" s="32" t="s">
        <v>2079</v>
      </c>
      <c r="H1060" s="32" t="s">
        <v>776</v>
      </c>
      <c r="I1060" s="31" t="n">
        <v>45579</v>
      </c>
      <c r="J1060" s="32" t="s">
        <v>2080</v>
      </c>
      <c r="K1060" s="0" t="n">
        <v>0</v>
      </c>
      <c r="L1060" s="32" t="s">
        <v>2081</v>
      </c>
      <c r="M1060" s="32" t="s">
        <v>2089</v>
      </c>
      <c r="N1060" s="0" t="n">
        <v>0</v>
      </c>
      <c r="O1060" s="32" t="s">
        <v>777</v>
      </c>
      <c r="P1060" s="32" t="s">
        <v>2090</v>
      </c>
      <c r="Q1060" s="32" t="s">
        <v>2170</v>
      </c>
      <c r="R1060" s="0" t="str">
        <f aca="false">IF(H1060="GEN","GM",H1060)</f>
        <v>GS</v>
      </c>
    </row>
    <row r="1061" customFormat="false" ht="15" hidden="false" customHeight="false" outlineLevel="0" collapsed="false">
      <c r="A1061" s="0" t="s">
        <v>3577</v>
      </c>
      <c r="B1061" s="0" t="s">
        <v>2952</v>
      </c>
      <c r="C1061" s="0" t="s">
        <v>898</v>
      </c>
      <c r="D1061" s="31" t="n">
        <v>37753</v>
      </c>
      <c r="E1061" s="31" t="n">
        <v>45706</v>
      </c>
      <c r="F1061" s="32" t="s">
        <v>2078</v>
      </c>
      <c r="G1061" s="32" t="s">
        <v>2115</v>
      </c>
      <c r="H1061" s="32" t="s">
        <v>758</v>
      </c>
      <c r="L1061" s="32" t="s">
        <v>2081</v>
      </c>
      <c r="M1061" s="32" t="s">
        <v>2212</v>
      </c>
      <c r="O1061" s="32" t="s">
        <v>759</v>
      </c>
      <c r="P1061" s="32" t="s">
        <v>2121</v>
      </c>
      <c r="Q1061" s="32" t="s">
        <v>2241</v>
      </c>
      <c r="R1061" s="0" t="str">
        <f aca="false">IF(H1061="GEN","GM",H1061)</f>
        <v>CS</v>
      </c>
    </row>
    <row r="1062" customFormat="false" ht="15" hidden="false" customHeight="false" outlineLevel="0" collapsed="false">
      <c r="A1062" s="0" t="s">
        <v>3578</v>
      </c>
      <c r="B1062" s="0" t="s">
        <v>2837</v>
      </c>
      <c r="C1062" s="0" t="s">
        <v>993</v>
      </c>
      <c r="D1062" s="31" t="n">
        <v>26478</v>
      </c>
      <c r="E1062" s="31" t="n">
        <v>45704</v>
      </c>
      <c r="F1062" s="32" t="s">
        <v>2087</v>
      </c>
      <c r="G1062" s="32" t="s">
        <v>2099</v>
      </c>
      <c r="H1062" s="32" t="s">
        <v>766</v>
      </c>
      <c r="I1062" s="31" t="n">
        <v>45711</v>
      </c>
      <c r="J1062" s="32" t="s">
        <v>2080</v>
      </c>
      <c r="K1062" s="0" t="n">
        <v>7</v>
      </c>
      <c r="L1062" s="32" t="s">
        <v>2081</v>
      </c>
      <c r="M1062" s="32" t="s">
        <v>2161</v>
      </c>
      <c r="N1062" s="0" t="n">
        <v>7</v>
      </c>
      <c r="O1062" s="32" t="s">
        <v>767</v>
      </c>
      <c r="P1062" s="32" t="s">
        <v>2222</v>
      </c>
      <c r="Q1062" s="32" t="s">
        <v>2165</v>
      </c>
      <c r="R1062" s="0" t="str">
        <f aca="false">IF(H1062="GEN","GM",H1062)</f>
        <v>OR</v>
      </c>
    </row>
    <row r="1063" customFormat="false" ht="15" hidden="false" customHeight="false" outlineLevel="0" collapsed="false">
      <c r="A1063" s="0" t="s">
        <v>3579</v>
      </c>
      <c r="B1063" s="0" t="s">
        <v>2522</v>
      </c>
      <c r="C1063" s="0" t="s">
        <v>2206</v>
      </c>
      <c r="D1063" s="31" t="n">
        <v>22976</v>
      </c>
      <c r="E1063" s="31" t="n">
        <v>45698</v>
      </c>
      <c r="F1063" s="32" t="s">
        <v>2087</v>
      </c>
      <c r="G1063" s="32" t="s">
        <v>2088</v>
      </c>
      <c r="H1063" s="32" t="s">
        <v>826</v>
      </c>
      <c r="I1063" s="31" t="n">
        <v>45706</v>
      </c>
      <c r="J1063" s="32" t="s">
        <v>2080</v>
      </c>
      <c r="K1063" s="0" t="n">
        <v>8</v>
      </c>
      <c r="L1063" s="32" t="s">
        <v>2081</v>
      </c>
      <c r="M1063" s="32" t="s">
        <v>2255</v>
      </c>
      <c r="N1063" s="0" t="n">
        <v>8</v>
      </c>
      <c r="O1063" s="32" t="s">
        <v>827</v>
      </c>
      <c r="P1063" s="32" t="s">
        <v>2175</v>
      </c>
      <c r="Q1063" s="32" t="s">
        <v>2179</v>
      </c>
      <c r="R1063" s="0" t="str">
        <f aca="false">IF(H1063="GEN","GM",H1063)</f>
        <v>RHE</v>
      </c>
    </row>
    <row r="1064" customFormat="false" ht="15" hidden="false" customHeight="false" outlineLevel="0" collapsed="false">
      <c r="A1064" s="0" t="s">
        <v>3580</v>
      </c>
      <c r="B1064" s="0" t="s">
        <v>3581</v>
      </c>
      <c r="C1064" s="0" t="s">
        <v>997</v>
      </c>
      <c r="D1064" s="31" t="n">
        <v>33078</v>
      </c>
      <c r="E1064" s="31" t="n">
        <v>45692</v>
      </c>
      <c r="F1064" s="32" t="s">
        <v>2087</v>
      </c>
      <c r="G1064" s="32" t="s">
        <v>2088</v>
      </c>
      <c r="H1064" s="32" t="s">
        <v>747</v>
      </c>
      <c r="I1064" s="31" t="n">
        <v>45695</v>
      </c>
      <c r="J1064" s="32" t="s">
        <v>2080</v>
      </c>
      <c r="K1064" s="0" t="n">
        <v>3</v>
      </c>
      <c r="L1064" s="32" t="s">
        <v>2081</v>
      </c>
      <c r="M1064" s="32" t="s">
        <v>2286</v>
      </c>
      <c r="N1064" s="0" t="n">
        <v>3</v>
      </c>
      <c r="O1064" s="32" t="s">
        <v>748</v>
      </c>
      <c r="P1064" s="32" t="s">
        <v>2111</v>
      </c>
      <c r="Q1064" s="32" t="s">
        <v>2107</v>
      </c>
      <c r="R1064" s="0" t="str">
        <f aca="false">IF(H1064="GEN","GM",H1064)</f>
        <v>GM</v>
      </c>
    </row>
    <row r="1065" customFormat="false" ht="15" hidden="false" customHeight="false" outlineLevel="0" collapsed="false">
      <c r="A1065" s="0" t="s">
        <v>3582</v>
      </c>
      <c r="B1065" s="0" t="s">
        <v>2314</v>
      </c>
      <c r="C1065" s="0" t="s">
        <v>989</v>
      </c>
      <c r="D1065" s="31" t="n">
        <v>20518</v>
      </c>
      <c r="E1065" s="31" t="n">
        <v>45641</v>
      </c>
      <c r="F1065" s="32" t="s">
        <v>2078</v>
      </c>
      <c r="G1065" s="32" t="s">
        <v>2104</v>
      </c>
      <c r="H1065" s="32" t="s">
        <v>802</v>
      </c>
      <c r="I1065" s="31" t="n">
        <v>45642</v>
      </c>
      <c r="J1065" s="32" t="s">
        <v>2080</v>
      </c>
      <c r="K1065" s="0" t="n">
        <v>1</v>
      </c>
      <c r="L1065" s="32" t="s">
        <v>2106</v>
      </c>
      <c r="M1065" s="32" t="s">
        <v>2212</v>
      </c>
      <c r="N1065" s="0" t="n">
        <v>1</v>
      </c>
      <c r="O1065" s="32" t="s">
        <v>803</v>
      </c>
      <c r="P1065" s="32" t="s">
        <v>2142</v>
      </c>
      <c r="Q1065" s="32" t="s">
        <v>2153</v>
      </c>
      <c r="R1065" s="0" t="str">
        <f aca="false">IF(H1065="GEN","GM",H1065)</f>
        <v>GYN</v>
      </c>
    </row>
    <row r="1066" customFormat="false" ht="15" hidden="false" customHeight="false" outlineLevel="0" collapsed="false">
      <c r="A1066" s="0" t="s">
        <v>3583</v>
      </c>
      <c r="B1066" s="0" t="s">
        <v>2498</v>
      </c>
      <c r="C1066" s="0" t="s">
        <v>825</v>
      </c>
      <c r="D1066" s="31" t="n">
        <v>34716</v>
      </c>
      <c r="E1066" s="31" t="n">
        <v>45685</v>
      </c>
      <c r="F1066" s="32" t="s">
        <v>2087</v>
      </c>
      <c r="G1066" s="32" t="s">
        <v>2115</v>
      </c>
      <c r="H1066" s="32" t="s">
        <v>758</v>
      </c>
      <c r="I1066" s="31" t="n">
        <v>45696</v>
      </c>
      <c r="J1066" s="32" t="s">
        <v>2080</v>
      </c>
      <c r="K1066" s="0" t="n">
        <v>11</v>
      </c>
      <c r="L1066" s="32" t="s">
        <v>2081</v>
      </c>
      <c r="M1066" s="32" t="s">
        <v>2207</v>
      </c>
      <c r="N1066" s="0" t="n">
        <v>11</v>
      </c>
      <c r="O1066" s="32" t="s">
        <v>759</v>
      </c>
      <c r="P1066" s="32" t="s">
        <v>2162</v>
      </c>
      <c r="Q1066" s="32" t="s">
        <v>2096</v>
      </c>
      <c r="R1066" s="0" t="str">
        <f aca="false">IF(H1066="GEN","GM",H1066)</f>
        <v>CS</v>
      </c>
    </row>
    <row r="1067" customFormat="false" ht="15" hidden="false" customHeight="false" outlineLevel="0" collapsed="false">
      <c r="A1067" s="0" t="s">
        <v>3584</v>
      </c>
      <c r="B1067" s="0" t="s">
        <v>2923</v>
      </c>
      <c r="C1067" s="0" t="s">
        <v>817</v>
      </c>
      <c r="D1067" s="31" t="n">
        <v>32825</v>
      </c>
      <c r="E1067" s="31" t="n">
        <v>45706</v>
      </c>
      <c r="F1067" s="32" t="s">
        <v>2078</v>
      </c>
      <c r="G1067" s="32" t="s">
        <v>2115</v>
      </c>
      <c r="H1067" s="32" t="s">
        <v>758</v>
      </c>
      <c r="I1067" s="31" t="n">
        <v>45709</v>
      </c>
      <c r="J1067" s="32" t="s">
        <v>2080</v>
      </c>
      <c r="K1067" s="0" t="n">
        <v>3</v>
      </c>
      <c r="L1067" s="32" t="s">
        <v>2081</v>
      </c>
      <c r="M1067" s="32" t="s">
        <v>2136</v>
      </c>
      <c r="N1067" s="0" t="n">
        <v>3</v>
      </c>
      <c r="P1067" s="32" t="s">
        <v>2156</v>
      </c>
      <c r="Q1067" s="32" t="s">
        <v>2112</v>
      </c>
      <c r="R1067" s="0" t="str">
        <f aca="false">IF(H1067="GEN","GM",H1067)</f>
        <v>CS</v>
      </c>
    </row>
    <row r="1068" customFormat="false" ht="15" hidden="false" customHeight="false" outlineLevel="0" collapsed="false">
      <c r="A1068" s="0" t="s">
        <v>3585</v>
      </c>
      <c r="B1068" s="0" t="s">
        <v>3253</v>
      </c>
      <c r="C1068" s="0" t="s">
        <v>981</v>
      </c>
      <c r="D1068" s="31" t="n">
        <v>25615</v>
      </c>
      <c r="E1068" s="31" t="n">
        <v>45692</v>
      </c>
      <c r="F1068" s="32" t="s">
        <v>2160</v>
      </c>
      <c r="G1068" s="32" t="s">
        <v>2088</v>
      </c>
      <c r="H1068" s="32" t="s">
        <v>826</v>
      </c>
      <c r="I1068" s="31" t="n">
        <v>45694</v>
      </c>
      <c r="J1068" s="32" t="s">
        <v>2080</v>
      </c>
      <c r="K1068" s="0" t="n">
        <v>2</v>
      </c>
      <c r="L1068" s="32" t="s">
        <v>2081</v>
      </c>
      <c r="M1068" s="32" t="s">
        <v>2100</v>
      </c>
      <c r="N1068" s="0" t="n">
        <v>2</v>
      </c>
      <c r="O1068" s="32" t="s">
        <v>827</v>
      </c>
      <c r="P1068" s="32" t="s">
        <v>2213</v>
      </c>
      <c r="Q1068" s="32" t="s">
        <v>2153</v>
      </c>
      <c r="R1068" s="0" t="str">
        <f aca="false">IF(H1068="GEN","GM",H1068)</f>
        <v>RHE</v>
      </c>
    </row>
    <row r="1069" customFormat="false" ht="15" hidden="false" customHeight="false" outlineLevel="0" collapsed="false">
      <c r="A1069" s="0" t="s">
        <v>3586</v>
      </c>
      <c r="B1069" s="0" t="s">
        <v>3207</v>
      </c>
      <c r="C1069" s="0" t="s">
        <v>902</v>
      </c>
      <c r="D1069" s="31" t="n">
        <v>23635</v>
      </c>
      <c r="E1069" s="31" t="n">
        <v>45573</v>
      </c>
      <c r="F1069" s="32" t="s">
        <v>2087</v>
      </c>
      <c r="G1069" s="32" t="s">
        <v>2088</v>
      </c>
      <c r="H1069" s="32" t="s">
        <v>793</v>
      </c>
      <c r="I1069" s="31" t="n">
        <v>45578</v>
      </c>
      <c r="J1069" s="32" t="s">
        <v>2105</v>
      </c>
      <c r="K1069" s="0" t="n">
        <v>5</v>
      </c>
      <c r="L1069" s="32" t="s">
        <v>2081</v>
      </c>
      <c r="M1069" s="32" t="s">
        <v>2286</v>
      </c>
      <c r="N1069" s="0" t="n">
        <v>5</v>
      </c>
      <c r="O1069" s="32" t="s">
        <v>794</v>
      </c>
      <c r="P1069" s="32" t="s">
        <v>2156</v>
      </c>
      <c r="Q1069" s="32" t="s">
        <v>2145</v>
      </c>
      <c r="R1069" s="0" t="str">
        <f aca="false">IF(H1069="GEN","GM",H1069)</f>
        <v>EM</v>
      </c>
    </row>
    <row r="1070" customFormat="false" ht="15" hidden="false" customHeight="false" outlineLevel="0" collapsed="false">
      <c r="A1070" s="0" t="s">
        <v>3587</v>
      </c>
      <c r="B1070" s="0" t="s">
        <v>2591</v>
      </c>
      <c r="C1070" s="0" t="s">
        <v>977</v>
      </c>
      <c r="D1070" s="31" t="n">
        <v>14911</v>
      </c>
      <c r="E1070" s="31" t="n">
        <v>45648</v>
      </c>
      <c r="F1070" s="32" t="s">
        <v>2078</v>
      </c>
      <c r="G1070" s="32" t="s">
        <v>2079</v>
      </c>
      <c r="H1070" s="32" t="s">
        <v>776</v>
      </c>
      <c r="I1070" s="31" t="n">
        <v>45649</v>
      </c>
      <c r="J1070" s="32" t="s">
        <v>2080</v>
      </c>
      <c r="K1070" s="0" t="n">
        <v>1</v>
      </c>
      <c r="L1070" s="32" t="s">
        <v>2081</v>
      </c>
      <c r="M1070" s="32" t="s">
        <v>2207</v>
      </c>
      <c r="N1070" s="0" t="n">
        <v>1</v>
      </c>
      <c r="O1070" s="32" t="s">
        <v>777</v>
      </c>
      <c r="P1070" s="32" t="s">
        <v>2090</v>
      </c>
      <c r="Q1070" s="32" t="s">
        <v>2096</v>
      </c>
      <c r="R1070" s="0" t="str">
        <f aca="false">IF(H1070="GEN","GM",H1070)</f>
        <v>GS</v>
      </c>
    </row>
    <row r="1071" customFormat="false" ht="15" hidden="false" customHeight="false" outlineLevel="0" collapsed="false">
      <c r="A1071" s="0" t="s">
        <v>3588</v>
      </c>
      <c r="B1071" s="0" t="s">
        <v>2470</v>
      </c>
      <c r="C1071" s="0" t="s">
        <v>962</v>
      </c>
      <c r="D1071" s="31" t="n">
        <v>20857</v>
      </c>
      <c r="E1071" s="31" t="n">
        <v>45699</v>
      </c>
      <c r="F1071" s="32" t="s">
        <v>2087</v>
      </c>
      <c r="G1071" s="32" t="s">
        <v>2079</v>
      </c>
      <c r="H1071" s="32" t="s">
        <v>776</v>
      </c>
      <c r="I1071" s="31" t="n">
        <v>45703</v>
      </c>
      <c r="J1071" s="32" t="s">
        <v>2080</v>
      </c>
      <c r="K1071" s="0" t="n">
        <v>4</v>
      </c>
      <c r="L1071" s="32" t="s">
        <v>2081</v>
      </c>
      <c r="M1071" s="32" t="s">
        <v>2100</v>
      </c>
      <c r="N1071" s="0" t="n">
        <v>4</v>
      </c>
      <c r="O1071" s="32" t="s">
        <v>777</v>
      </c>
      <c r="P1071" s="32" t="s">
        <v>2149</v>
      </c>
      <c r="Q1071" s="32" t="s">
        <v>2084</v>
      </c>
      <c r="R1071" s="0" t="str">
        <f aca="false">IF(H1071="GEN","GM",H1071)</f>
        <v>GS</v>
      </c>
    </row>
    <row r="1072" customFormat="false" ht="15" hidden="false" customHeight="false" outlineLevel="0" collapsed="false">
      <c r="A1072" s="0" t="s">
        <v>3589</v>
      </c>
      <c r="B1072" s="0" t="s">
        <v>2381</v>
      </c>
      <c r="C1072" s="0" t="s">
        <v>833</v>
      </c>
      <c r="D1072" s="31" t="n">
        <v>32545</v>
      </c>
      <c r="E1072" s="31" t="n">
        <v>45669</v>
      </c>
      <c r="F1072" s="32" t="s">
        <v>2078</v>
      </c>
      <c r="G1072" s="32" t="s">
        <v>2088</v>
      </c>
      <c r="H1072" s="32" t="s">
        <v>747</v>
      </c>
      <c r="I1072" s="31" t="n">
        <v>45672</v>
      </c>
      <c r="J1072" s="32" t="s">
        <v>2080</v>
      </c>
      <c r="K1072" s="0" t="n">
        <v>3</v>
      </c>
      <c r="L1072" s="32" t="s">
        <v>2081</v>
      </c>
      <c r="M1072" s="32" t="s">
        <v>2283</v>
      </c>
      <c r="N1072" s="0" t="n">
        <v>3</v>
      </c>
      <c r="O1072" s="32" t="s">
        <v>748</v>
      </c>
      <c r="P1072" s="32" t="s">
        <v>2142</v>
      </c>
      <c r="Q1072" s="32" t="s">
        <v>2259</v>
      </c>
      <c r="R1072" s="0" t="str">
        <f aca="false">IF(H1072="GEN","GM",H1072)</f>
        <v>GM</v>
      </c>
    </row>
    <row r="1073" customFormat="false" ht="15" hidden="false" customHeight="false" outlineLevel="0" collapsed="false">
      <c r="A1073" s="0" t="s">
        <v>3590</v>
      </c>
      <c r="B1073" s="0" t="s">
        <v>3031</v>
      </c>
      <c r="C1073" s="0" t="s">
        <v>857</v>
      </c>
      <c r="D1073" s="31" t="n">
        <v>38191</v>
      </c>
      <c r="E1073" s="31" t="n">
        <v>45566</v>
      </c>
      <c r="F1073" s="32" t="s">
        <v>2087</v>
      </c>
      <c r="G1073" s="32" t="s">
        <v>2079</v>
      </c>
      <c r="H1073" s="32" t="s">
        <v>776</v>
      </c>
      <c r="L1073" s="32" t="s">
        <v>2081</v>
      </c>
      <c r="M1073" s="32" t="s">
        <v>2116</v>
      </c>
      <c r="O1073" s="32" t="s">
        <v>777</v>
      </c>
      <c r="P1073" s="32" t="s">
        <v>2111</v>
      </c>
      <c r="Q1073" s="32" t="s">
        <v>2259</v>
      </c>
      <c r="R1073" s="0" t="str">
        <f aca="false">IF(H1073="GEN","GM",H1073)</f>
        <v>GS</v>
      </c>
    </row>
    <row r="1074" customFormat="false" ht="15" hidden="false" customHeight="false" outlineLevel="0" collapsed="false">
      <c r="A1074" s="0" t="s">
        <v>3591</v>
      </c>
      <c r="B1074" s="0" t="s">
        <v>2419</v>
      </c>
      <c r="C1074" s="0" t="s">
        <v>977</v>
      </c>
      <c r="D1074" s="31" t="n">
        <v>34383</v>
      </c>
      <c r="E1074" s="31" t="n">
        <v>45719</v>
      </c>
      <c r="F1074" s="32" t="s">
        <v>2078</v>
      </c>
      <c r="G1074" s="32" t="s">
        <v>2088</v>
      </c>
      <c r="H1074" s="32" t="s">
        <v>747</v>
      </c>
      <c r="I1074" s="31" t="n">
        <v>45721</v>
      </c>
      <c r="J1074" s="32" t="s">
        <v>2080</v>
      </c>
      <c r="K1074" s="0" t="n">
        <v>2</v>
      </c>
      <c r="L1074" s="32" t="s">
        <v>2081</v>
      </c>
      <c r="M1074" s="32" t="s">
        <v>2128</v>
      </c>
      <c r="N1074" s="0" t="n">
        <v>2</v>
      </c>
      <c r="O1074" s="32" t="s">
        <v>748</v>
      </c>
      <c r="P1074" s="32" t="s">
        <v>2095</v>
      </c>
      <c r="Q1074" s="32" t="s">
        <v>2107</v>
      </c>
      <c r="R1074" s="0" t="str">
        <f aca="false">IF(H1074="GEN","GM",H1074)</f>
        <v>GM</v>
      </c>
    </row>
    <row r="1075" customFormat="false" ht="15" hidden="false" customHeight="false" outlineLevel="0" collapsed="false">
      <c r="A1075" s="0" t="s">
        <v>3592</v>
      </c>
      <c r="B1075" s="0" t="s">
        <v>3338</v>
      </c>
      <c r="C1075" s="0" t="s">
        <v>1414</v>
      </c>
      <c r="D1075" s="31" t="n">
        <v>33193</v>
      </c>
      <c r="E1075" s="31" t="n">
        <v>45618</v>
      </c>
      <c r="F1075" s="32" t="s">
        <v>2078</v>
      </c>
      <c r="G1075" s="32" t="s">
        <v>2088</v>
      </c>
      <c r="H1075" s="32" t="s">
        <v>747</v>
      </c>
      <c r="I1075" s="31" t="n">
        <v>45622</v>
      </c>
      <c r="J1075" s="32" t="s">
        <v>2080</v>
      </c>
      <c r="K1075" s="0" t="n">
        <v>4</v>
      </c>
      <c r="L1075" s="32" t="s">
        <v>2081</v>
      </c>
      <c r="N1075" s="0" t="n">
        <v>4</v>
      </c>
      <c r="O1075" s="32" t="s">
        <v>748</v>
      </c>
      <c r="P1075" s="32" t="s">
        <v>2121</v>
      </c>
      <c r="Q1075" s="32" t="s">
        <v>2198</v>
      </c>
      <c r="R1075" s="0" t="str">
        <f aca="false">IF(H1075="GEN","GM",H1075)</f>
        <v>GM</v>
      </c>
    </row>
    <row r="1076" customFormat="false" ht="15" hidden="false" customHeight="false" outlineLevel="0" collapsed="false">
      <c r="A1076" s="0" t="s">
        <v>3593</v>
      </c>
      <c r="B1076" s="0" t="s">
        <v>3364</v>
      </c>
      <c r="C1076" s="0" t="s">
        <v>862</v>
      </c>
      <c r="D1076" s="31" t="n">
        <v>16171</v>
      </c>
      <c r="E1076" s="31" t="n">
        <v>45633</v>
      </c>
      <c r="F1076" s="32" t="s">
        <v>2087</v>
      </c>
      <c r="G1076" s="32" t="s">
        <v>2088</v>
      </c>
      <c r="H1076" s="32" t="s">
        <v>826</v>
      </c>
      <c r="I1076" s="31" t="n">
        <v>45634</v>
      </c>
      <c r="J1076" s="32" t="s">
        <v>2080</v>
      </c>
      <c r="K1076" s="0" t="n">
        <v>1</v>
      </c>
      <c r="L1076" s="32" t="s">
        <v>2081</v>
      </c>
      <c r="M1076" s="32" t="s">
        <v>2212</v>
      </c>
      <c r="N1076" s="0" t="n">
        <v>1</v>
      </c>
      <c r="O1076" s="32" t="s">
        <v>827</v>
      </c>
      <c r="P1076" s="32" t="s">
        <v>2149</v>
      </c>
      <c r="Q1076" s="32" t="s">
        <v>2084</v>
      </c>
      <c r="R1076" s="0" t="str">
        <f aca="false">IF(H1076="GEN","GM",H1076)</f>
        <v>RHE</v>
      </c>
    </row>
    <row r="1077" customFormat="false" ht="15" hidden="false" customHeight="false" outlineLevel="0" collapsed="false">
      <c r="A1077" s="0" t="s">
        <v>3594</v>
      </c>
      <c r="B1077" s="0" t="s">
        <v>2859</v>
      </c>
      <c r="C1077" s="0" t="s">
        <v>886</v>
      </c>
      <c r="D1077" s="31" t="n">
        <v>32482</v>
      </c>
      <c r="E1077" s="31" t="n">
        <v>45584</v>
      </c>
      <c r="F1077" s="32" t="s">
        <v>2087</v>
      </c>
      <c r="G1077" s="32" t="s">
        <v>2104</v>
      </c>
      <c r="H1077" s="32" t="s">
        <v>802</v>
      </c>
      <c r="I1077" s="31" t="n">
        <v>45587</v>
      </c>
      <c r="J1077" s="32" t="s">
        <v>2080</v>
      </c>
      <c r="K1077" s="0" t="n">
        <v>3</v>
      </c>
      <c r="L1077" s="32" t="s">
        <v>2081</v>
      </c>
      <c r="M1077" s="32" t="s">
        <v>2110</v>
      </c>
      <c r="N1077" s="0" t="n">
        <v>3</v>
      </c>
      <c r="O1077" s="32" t="s">
        <v>803</v>
      </c>
      <c r="P1077" s="32" t="s">
        <v>2090</v>
      </c>
      <c r="Q1077" s="32" t="s">
        <v>2198</v>
      </c>
      <c r="R1077" s="0" t="str">
        <f aca="false">IF(H1077="GEN","GM",H1077)</f>
        <v>GYN</v>
      </c>
    </row>
    <row r="1078" customFormat="false" ht="15" hidden="false" customHeight="false" outlineLevel="0" collapsed="false">
      <c r="A1078" s="0" t="s">
        <v>3595</v>
      </c>
      <c r="B1078" s="0" t="s">
        <v>3136</v>
      </c>
      <c r="C1078" s="0" t="s">
        <v>958</v>
      </c>
      <c r="D1078" s="31" t="n">
        <v>29522</v>
      </c>
      <c r="E1078" s="31" t="n">
        <v>45622</v>
      </c>
      <c r="F1078" s="32" t="s">
        <v>2087</v>
      </c>
      <c r="G1078" s="32" t="s">
        <v>2099</v>
      </c>
      <c r="H1078" s="32" t="s">
        <v>766</v>
      </c>
      <c r="I1078" s="31" t="n">
        <v>45624</v>
      </c>
      <c r="J1078" s="32" t="s">
        <v>2080</v>
      </c>
      <c r="K1078" s="0" t="n">
        <v>2</v>
      </c>
      <c r="L1078" s="32" t="s">
        <v>2081</v>
      </c>
      <c r="M1078" s="32" t="s">
        <v>2141</v>
      </c>
      <c r="N1078" s="0" t="n">
        <v>2</v>
      </c>
      <c r="O1078" s="32" t="s">
        <v>767</v>
      </c>
      <c r="P1078" s="32" t="s">
        <v>2133</v>
      </c>
      <c r="Q1078" s="32" t="s">
        <v>2259</v>
      </c>
      <c r="R1078" s="0" t="str">
        <f aca="false">IF(H1078="GEN","GM",H1078)</f>
        <v>OR</v>
      </c>
    </row>
    <row r="1079" customFormat="false" ht="15" hidden="false" customHeight="false" outlineLevel="0" collapsed="false">
      <c r="A1079" s="0" t="s">
        <v>3596</v>
      </c>
      <c r="B1079" s="0" t="s">
        <v>2159</v>
      </c>
      <c r="C1079" s="0" t="s">
        <v>977</v>
      </c>
      <c r="D1079" s="31" t="n">
        <v>14037</v>
      </c>
      <c r="E1079" s="31" t="n">
        <v>45597</v>
      </c>
      <c r="F1079" s="32" t="s">
        <v>2078</v>
      </c>
      <c r="G1079" s="32" t="s">
        <v>2088</v>
      </c>
      <c r="H1079" s="32" t="s">
        <v>747</v>
      </c>
      <c r="I1079" s="31" t="n">
        <v>45599</v>
      </c>
      <c r="J1079" s="32" t="s">
        <v>2080</v>
      </c>
      <c r="K1079" s="0" t="n">
        <v>2</v>
      </c>
      <c r="L1079" s="32" t="s">
        <v>2081</v>
      </c>
      <c r="M1079" s="32" t="s">
        <v>2283</v>
      </c>
      <c r="N1079" s="0" t="n">
        <v>2</v>
      </c>
      <c r="P1079" s="32" t="s">
        <v>2238</v>
      </c>
      <c r="Q1079" s="32" t="s">
        <v>2198</v>
      </c>
      <c r="R1079" s="0" t="str">
        <f aca="false">IF(H1079="GEN","GM",H1079)</f>
        <v>GM</v>
      </c>
    </row>
    <row r="1080" customFormat="false" ht="15" hidden="false" customHeight="false" outlineLevel="0" collapsed="false">
      <c r="A1080" s="0" t="s">
        <v>3597</v>
      </c>
      <c r="B1080" s="0" t="s">
        <v>3043</v>
      </c>
      <c r="C1080" s="0" t="s">
        <v>2148</v>
      </c>
      <c r="D1080" s="31" t="n">
        <v>23876</v>
      </c>
      <c r="E1080" s="31" t="n">
        <v>45717</v>
      </c>
      <c r="F1080" s="32" t="s">
        <v>2087</v>
      </c>
      <c r="G1080" s="32" t="s">
        <v>2088</v>
      </c>
      <c r="H1080" s="32" t="s">
        <v>793</v>
      </c>
      <c r="I1080" s="31" t="n">
        <v>45722</v>
      </c>
      <c r="J1080" s="32" t="s">
        <v>2307</v>
      </c>
      <c r="K1080" s="0" t="n">
        <v>5</v>
      </c>
      <c r="L1080" s="32" t="s">
        <v>2081</v>
      </c>
      <c r="M1080" s="32" t="s">
        <v>2227</v>
      </c>
      <c r="N1080" s="0" t="n">
        <v>5</v>
      </c>
      <c r="O1080" s="32" t="s">
        <v>794</v>
      </c>
      <c r="P1080" s="32" t="s">
        <v>2156</v>
      </c>
      <c r="Q1080" s="32" t="s">
        <v>2107</v>
      </c>
      <c r="R1080" s="0" t="str">
        <f aca="false">IF(H1080="GEN","GM",H1080)</f>
        <v>EM</v>
      </c>
    </row>
    <row r="1081" customFormat="false" ht="15" hidden="false" customHeight="false" outlineLevel="0" collapsed="false">
      <c r="A1081" s="0" t="s">
        <v>3598</v>
      </c>
      <c r="B1081" s="0" t="s">
        <v>2502</v>
      </c>
      <c r="C1081" s="0" t="s">
        <v>2178</v>
      </c>
      <c r="D1081" s="31" t="n">
        <v>14832</v>
      </c>
      <c r="E1081" s="31" t="n">
        <v>45734</v>
      </c>
      <c r="F1081" s="32" t="s">
        <v>2078</v>
      </c>
      <c r="G1081" s="32" t="s">
        <v>2115</v>
      </c>
      <c r="H1081" s="32" t="s">
        <v>758</v>
      </c>
      <c r="I1081" s="31" t="n">
        <v>45734</v>
      </c>
      <c r="J1081" s="32" t="s">
        <v>2160</v>
      </c>
      <c r="K1081" s="0" t="n">
        <v>0</v>
      </c>
      <c r="L1081" s="32" t="s">
        <v>2081</v>
      </c>
      <c r="M1081" s="32" t="s">
        <v>2152</v>
      </c>
      <c r="N1081" s="0" t="n">
        <v>0</v>
      </c>
      <c r="O1081" s="32" t="s">
        <v>759</v>
      </c>
      <c r="P1081" s="32" t="s">
        <v>2142</v>
      </c>
      <c r="Q1081" s="32" t="s">
        <v>2129</v>
      </c>
      <c r="R1081" s="0" t="str">
        <f aca="false">IF(H1081="GEN","GM",H1081)</f>
        <v>CS</v>
      </c>
    </row>
    <row r="1082" customFormat="false" ht="15" hidden="false" customHeight="false" outlineLevel="0" collapsed="false">
      <c r="A1082" s="0" t="s">
        <v>3599</v>
      </c>
      <c r="B1082" s="0" t="s">
        <v>3562</v>
      </c>
      <c r="C1082" s="0" t="s">
        <v>970</v>
      </c>
      <c r="D1082" s="31" t="n">
        <v>21554</v>
      </c>
      <c r="E1082" s="31" t="n">
        <v>45727</v>
      </c>
      <c r="F1082" s="32" t="s">
        <v>2078</v>
      </c>
      <c r="G1082" s="32" t="s">
        <v>2124</v>
      </c>
      <c r="H1082" s="32" t="s">
        <v>785</v>
      </c>
      <c r="I1082" s="31" t="n">
        <v>45729</v>
      </c>
      <c r="J1082" s="32" t="s">
        <v>2080</v>
      </c>
      <c r="K1082" s="0" t="n">
        <v>2</v>
      </c>
      <c r="L1082" s="32" t="s">
        <v>2081</v>
      </c>
      <c r="M1082" s="32" t="s">
        <v>2227</v>
      </c>
      <c r="N1082" s="0" t="n">
        <v>2</v>
      </c>
      <c r="O1082" s="32" t="s">
        <v>786</v>
      </c>
      <c r="P1082" s="32" t="s">
        <v>2149</v>
      </c>
      <c r="Q1082" s="32" t="s">
        <v>2157</v>
      </c>
      <c r="R1082" s="0" t="str">
        <f aca="false">IF(H1082="GEN","GM",H1082)</f>
        <v>RS</v>
      </c>
    </row>
    <row r="1083" customFormat="false" ht="15" hidden="false" customHeight="false" outlineLevel="0" collapsed="false">
      <c r="A1083" s="0" t="s">
        <v>3600</v>
      </c>
      <c r="B1083" s="0" t="s">
        <v>2556</v>
      </c>
      <c r="C1083" s="0" t="s">
        <v>1410</v>
      </c>
      <c r="D1083" s="31" t="n">
        <v>31594</v>
      </c>
      <c r="E1083" s="31" t="n">
        <v>45706</v>
      </c>
      <c r="F1083" s="32" t="s">
        <v>2087</v>
      </c>
      <c r="G1083" s="32" t="s">
        <v>2124</v>
      </c>
      <c r="H1083" s="32" t="s">
        <v>785</v>
      </c>
      <c r="I1083" s="31" t="n">
        <v>45710</v>
      </c>
      <c r="J1083" s="32" t="s">
        <v>2080</v>
      </c>
      <c r="K1083" s="0" t="n">
        <v>4</v>
      </c>
      <c r="L1083" s="32" t="s">
        <v>2081</v>
      </c>
      <c r="M1083" s="32" t="s">
        <v>2100</v>
      </c>
      <c r="N1083" s="0" t="n">
        <v>4</v>
      </c>
      <c r="O1083" s="32" t="s">
        <v>786</v>
      </c>
      <c r="P1083" s="32" t="s">
        <v>2142</v>
      </c>
      <c r="Q1083" s="32" t="s">
        <v>2244</v>
      </c>
      <c r="R1083" s="0" t="str">
        <f aca="false">IF(H1083="GEN","GM",H1083)</f>
        <v>RS</v>
      </c>
    </row>
    <row r="1084" customFormat="false" ht="15" hidden="false" customHeight="false" outlineLevel="0" collapsed="false">
      <c r="A1084" s="0" t="s">
        <v>3601</v>
      </c>
      <c r="B1084" s="0" t="s">
        <v>3602</v>
      </c>
      <c r="C1084" s="0" t="s">
        <v>857</v>
      </c>
      <c r="D1084" s="31" t="n">
        <v>22335</v>
      </c>
      <c r="E1084" s="31" t="n">
        <v>45665</v>
      </c>
      <c r="F1084" s="32" t="s">
        <v>2087</v>
      </c>
      <c r="G1084" s="32" t="s">
        <v>2079</v>
      </c>
      <c r="H1084" s="32" t="s">
        <v>776</v>
      </c>
      <c r="L1084" s="32" t="s">
        <v>2081</v>
      </c>
      <c r="M1084" s="32" t="s">
        <v>2195</v>
      </c>
      <c r="O1084" s="32" t="s">
        <v>777</v>
      </c>
      <c r="P1084" s="32" t="s">
        <v>2117</v>
      </c>
      <c r="Q1084" s="32" t="s">
        <v>2157</v>
      </c>
      <c r="R1084" s="0" t="str">
        <f aca="false">IF(H1084="GEN","GM",H1084)</f>
        <v>GS</v>
      </c>
    </row>
    <row r="1085" customFormat="false" ht="15" hidden="false" customHeight="false" outlineLevel="0" collapsed="false">
      <c r="A1085" s="0" t="s">
        <v>3603</v>
      </c>
      <c r="B1085" s="0" t="s">
        <v>2354</v>
      </c>
      <c r="C1085" s="0" t="s">
        <v>966</v>
      </c>
      <c r="D1085" s="31" t="n">
        <v>19745</v>
      </c>
      <c r="E1085" s="31" t="n">
        <v>45614</v>
      </c>
      <c r="F1085" s="32" t="s">
        <v>2078</v>
      </c>
      <c r="G1085" s="32" t="s">
        <v>2079</v>
      </c>
      <c r="H1085" s="32" t="s">
        <v>776</v>
      </c>
      <c r="I1085" s="31" t="n">
        <v>45618</v>
      </c>
      <c r="J1085" s="32" t="s">
        <v>2080</v>
      </c>
      <c r="K1085" s="0" t="n">
        <v>4</v>
      </c>
      <c r="L1085" s="32" t="s">
        <v>2081</v>
      </c>
      <c r="M1085" s="32" t="s">
        <v>2110</v>
      </c>
      <c r="N1085" s="0" t="n">
        <v>4</v>
      </c>
      <c r="O1085" s="32" t="s">
        <v>777</v>
      </c>
      <c r="P1085" s="32" t="s">
        <v>2121</v>
      </c>
      <c r="Q1085" s="32" t="s">
        <v>2138</v>
      </c>
      <c r="R1085" s="0" t="str">
        <f aca="false">IF(H1085="GEN","GM",H1085)</f>
        <v>GS</v>
      </c>
    </row>
    <row r="1086" customFormat="false" ht="15" hidden="false" customHeight="false" outlineLevel="0" collapsed="false">
      <c r="A1086" s="0" t="s">
        <v>3604</v>
      </c>
      <c r="B1086" s="0" t="s">
        <v>3605</v>
      </c>
      <c r="C1086" s="0" t="s">
        <v>930</v>
      </c>
      <c r="D1086" s="31" t="n">
        <v>25180</v>
      </c>
      <c r="E1086" s="31" t="n">
        <v>45703</v>
      </c>
      <c r="F1086" s="32" t="s">
        <v>2087</v>
      </c>
      <c r="G1086" s="32" t="s">
        <v>2115</v>
      </c>
      <c r="H1086" s="32" t="s">
        <v>758</v>
      </c>
      <c r="I1086" s="31" t="n">
        <v>45713</v>
      </c>
      <c r="J1086" s="32" t="s">
        <v>2080</v>
      </c>
      <c r="K1086" s="0" t="n">
        <v>10</v>
      </c>
      <c r="L1086" s="32" t="s">
        <v>2081</v>
      </c>
      <c r="M1086" s="32" t="s">
        <v>2128</v>
      </c>
      <c r="N1086" s="0" t="n">
        <v>10</v>
      </c>
      <c r="O1086" s="32" t="s">
        <v>759</v>
      </c>
      <c r="P1086" s="32" t="s">
        <v>2201</v>
      </c>
      <c r="Q1086" s="32" t="s">
        <v>2096</v>
      </c>
      <c r="R1086" s="0" t="str">
        <f aca="false">IF(H1086="GEN","GM",H1086)</f>
        <v>CS</v>
      </c>
    </row>
    <row r="1087" customFormat="false" ht="15" hidden="false" customHeight="false" outlineLevel="0" collapsed="false">
      <c r="A1087" s="0" t="s">
        <v>3606</v>
      </c>
      <c r="B1087" s="0" t="s">
        <v>2512</v>
      </c>
      <c r="C1087" s="0" t="s">
        <v>1419</v>
      </c>
      <c r="D1087" s="31" t="n">
        <v>19452</v>
      </c>
      <c r="E1087" s="31" t="n">
        <v>45698</v>
      </c>
      <c r="F1087" s="32" t="s">
        <v>2078</v>
      </c>
      <c r="G1087" s="32" t="s">
        <v>2088</v>
      </c>
      <c r="H1087" s="32" t="s">
        <v>826</v>
      </c>
      <c r="I1087" s="31" t="n">
        <v>45699</v>
      </c>
      <c r="J1087" s="32" t="s">
        <v>2080</v>
      </c>
      <c r="K1087" s="0" t="n">
        <v>1</v>
      </c>
      <c r="L1087" s="32" t="s">
        <v>2081</v>
      </c>
      <c r="M1087" s="32" t="s">
        <v>2136</v>
      </c>
      <c r="N1087" s="0" t="n">
        <v>1</v>
      </c>
      <c r="O1087" s="32" t="s">
        <v>827</v>
      </c>
      <c r="P1087" s="32" t="s">
        <v>2117</v>
      </c>
      <c r="Q1087" s="32" t="s">
        <v>2153</v>
      </c>
      <c r="R1087" s="0" t="str">
        <f aca="false">IF(H1087="GEN","GM",H1087)</f>
        <v>RHE</v>
      </c>
    </row>
    <row r="1088" customFormat="false" ht="15" hidden="false" customHeight="false" outlineLevel="0" collapsed="false">
      <c r="A1088" s="0" t="s">
        <v>3607</v>
      </c>
      <c r="B1088" s="0" t="s">
        <v>2784</v>
      </c>
      <c r="C1088" s="0" t="s">
        <v>1025</v>
      </c>
      <c r="D1088" s="31" t="n">
        <v>26112</v>
      </c>
      <c r="E1088" s="31" t="n">
        <v>45602</v>
      </c>
      <c r="F1088" s="32" t="s">
        <v>2078</v>
      </c>
      <c r="G1088" s="32" t="s">
        <v>2124</v>
      </c>
      <c r="H1088" s="32" t="s">
        <v>785</v>
      </c>
      <c r="I1088" s="31" t="n">
        <v>45603</v>
      </c>
      <c r="J1088" s="32" t="s">
        <v>2080</v>
      </c>
      <c r="K1088" s="0" t="n">
        <v>1</v>
      </c>
      <c r="L1088" s="32" t="s">
        <v>2081</v>
      </c>
      <c r="M1088" s="32" t="s">
        <v>2082</v>
      </c>
      <c r="N1088" s="0" t="n">
        <v>1</v>
      </c>
      <c r="O1088" s="32" t="s">
        <v>786</v>
      </c>
      <c r="P1088" s="32" t="s">
        <v>2149</v>
      </c>
      <c r="Q1088" s="32" t="s">
        <v>2145</v>
      </c>
      <c r="R1088" s="0" t="str">
        <f aca="false">IF(H1088="GEN","GM",H1088)</f>
        <v>RS</v>
      </c>
    </row>
    <row r="1089" customFormat="false" ht="15" hidden="false" customHeight="false" outlineLevel="0" collapsed="false">
      <c r="A1089" s="0" t="s">
        <v>3608</v>
      </c>
      <c r="B1089" s="0" t="s">
        <v>2663</v>
      </c>
      <c r="C1089" s="0" t="s">
        <v>792</v>
      </c>
      <c r="D1089" s="31" t="n">
        <v>24238</v>
      </c>
      <c r="E1089" s="31" t="n">
        <v>45606</v>
      </c>
      <c r="F1089" s="32" t="s">
        <v>2078</v>
      </c>
      <c r="G1089" s="32" t="s">
        <v>2099</v>
      </c>
      <c r="H1089" s="32" t="s">
        <v>818</v>
      </c>
      <c r="I1089" s="31" t="n">
        <v>45606</v>
      </c>
      <c r="J1089" s="32" t="s">
        <v>2080</v>
      </c>
      <c r="K1089" s="0" t="n">
        <v>0</v>
      </c>
      <c r="L1089" s="32" t="s">
        <v>2081</v>
      </c>
      <c r="M1089" s="32" t="s">
        <v>2195</v>
      </c>
      <c r="N1089" s="0" t="n">
        <v>0</v>
      </c>
      <c r="O1089" s="32" t="s">
        <v>819</v>
      </c>
      <c r="P1089" s="32" t="s">
        <v>2083</v>
      </c>
      <c r="Q1089" s="32" t="s">
        <v>2145</v>
      </c>
      <c r="R1089" s="0" t="str">
        <f aca="false">IF(H1089="GEN","GM",H1089)</f>
        <v>OPH</v>
      </c>
    </row>
    <row r="1090" customFormat="false" ht="15" hidden="false" customHeight="false" outlineLevel="0" collapsed="false">
      <c r="A1090" s="0" t="s">
        <v>3609</v>
      </c>
      <c r="B1090" s="0" t="s">
        <v>2797</v>
      </c>
      <c r="C1090" s="0" t="s">
        <v>1402</v>
      </c>
      <c r="D1090" s="31" t="n">
        <v>27487</v>
      </c>
      <c r="E1090" s="31" t="n">
        <v>45592</v>
      </c>
      <c r="F1090" s="32" t="s">
        <v>2087</v>
      </c>
      <c r="G1090" s="32" t="s">
        <v>2104</v>
      </c>
      <c r="H1090" s="32" t="s">
        <v>802</v>
      </c>
      <c r="I1090" s="31" t="n">
        <v>45595</v>
      </c>
      <c r="J1090" s="32" t="s">
        <v>2080</v>
      </c>
      <c r="K1090" s="0" t="n">
        <v>3</v>
      </c>
      <c r="L1090" s="32" t="s">
        <v>2081</v>
      </c>
      <c r="M1090" s="32" t="s">
        <v>2189</v>
      </c>
      <c r="N1090" s="0" t="n">
        <v>3</v>
      </c>
      <c r="O1090" s="32" t="s">
        <v>803</v>
      </c>
      <c r="Q1090" s="32" t="s">
        <v>2107</v>
      </c>
      <c r="R1090" s="0" t="str">
        <f aca="false">IF(H1090="GEN","GM",H1090)</f>
        <v>GYN</v>
      </c>
    </row>
    <row r="1091" customFormat="false" ht="15" hidden="false" customHeight="false" outlineLevel="0" collapsed="false">
      <c r="A1091" s="0" t="s">
        <v>3610</v>
      </c>
      <c r="C1091" s="0" t="s">
        <v>993</v>
      </c>
      <c r="D1091" s="31" t="n">
        <v>16567</v>
      </c>
      <c r="E1091" s="31" t="n">
        <v>45684</v>
      </c>
      <c r="F1091" s="32" t="s">
        <v>2078</v>
      </c>
      <c r="G1091" s="32" t="s">
        <v>2088</v>
      </c>
      <c r="H1091" s="32" t="s">
        <v>826</v>
      </c>
      <c r="I1091" s="31" t="n">
        <v>45686</v>
      </c>
      <c r="J1091" s="32" t="s">
        <v>2080</v>
      </c>
      <c r="K1091" s="0" t="n">
        <v>2</v>
      </c>
      <c r="L1091" s="32" t="s">
        <v>2081</v>
      </c>
      <c r="M1091" s="32" t="s">
        <v>2132</v>
      </c>
      <c r="N1091" s="0" t="n">
        <v>2</v>
      </c>
      <c r="O1091" s="32" t="s">
        <v>827</v>
      </c>
      <c r="P1091" s="32" t="s">
        <v>2213</v>
      </c>
      <c r="Q1091" s="32" t="s">
        <v>2112</v>
      </c>
      <c r="R1091" s="0" t="str">
        <f aca="false">IF(H1091="GEN","GM",H1091)</f>
        <v>RHE</v>
      </c>
    </row>
    <row r="1092" customFormat="false" ht="15" hidden="false" customHeight="false" outlineLevel="0" collapsed="false">
      <c r="A1092" s="0" t="s">
        <v>3611</v>
      </c>
      <c r="B1092" s="0" t="s">
        <v>2292</v>
      </c>
      <c r="C1092" s="0" t="s">
        <v>1033</v>
      </c>
      <c r="D1092" s="31" t="n">
        <v>13912</v>
      </c>
      <c r="E1092" s="31" t="n">
        <v>45719</v>
      </c>
      <c r="F1092" s="32" t="s">
        <v>2087</v>
      </c>
      <c r="G1092" s="32" t="s">
        <v>2124</v>
      </c>
      <c r="H1092" s="32" t="s">
        <v>785</v>
      </c>
      <c r="I1092" s="31" t="n">
        <v>45723</v>
      </c>
      <c r="J1092" s="32" t="s">
        <v>2080</v>
      </c>
      <c r="K1092" s="0" t="n">
        <v>4</v>
      </c>
      <c r="L1092" s="32" t="s">
        <v>2081</v>
      </c>
      <c r="M1092" s="32" t="s">
        <v>2100</v>
      </c>
      <c r="N1092" s="0" t="n">
        <v>4</v>
      </c>
      <c r="O1092" s="32" t="s">
        <v>786</v>
      </c>
      <c r="P1092" s="32" t="s">
        <v>2179</v>
      </c>
      <c r="Q1092" s="32" t="s">
        <v>2118</v>
      </c>
      <c r="R1092" s="0" t="str">
        <f aca="false">IF(H1092="GEN","GM",H1092)</f>
        <v>RS</v>
      </c>
    </row>
    <row r="1093" customFormat="false" ht="15" hidden="false" customHeight="false" outlineLevel="0" collapsed="false">
      <c r="A1093" s="0" t="s">
        <v>3612</v>
      </c>
      <c r="B1093" s="0" t="s">
        <v>2434</v>
      </c>
      <c r="C1093" s="0" t="s">
        <v>922</v>
      </c>
      <c r="D1093" s="31" t="n">
        <v>22872</v>
      </c>
      <c r="E1093" s="31" t="n">
        <v>45577</v>
      </c>
      <c r="F1093" s="32" t="s">
        <v>2160</v>
      </c>
      <c r="G1093" s="32" t="s">
        <v>2099</v>
      </c>
      <c r="H1093" s="32" t="s">
        <v>766</v>
      </c>
      <c r="I1093" s="31" t="n">
        <v>45587</v>
      </c>
      <c r="J1093" s="32" t="s">
        <v>2080</v>
      </c>
      <c r="K1093" s="0" t="n">
        <v>10</v>
      </c>
      <c r="L1093" s="32" t="s">
        <v>2106</v>
      </c>
      <c r="M1093" s="32" t="s">
        <v>2141</v>
      </c>
      <c r="N1093" s="0" t="n">
        <v>10</v>
      </c>
      <c r="O1093" s="32" t="s">
        <v>767</v>
      </c>
      <c r="P1093" s="32" t="s">
        <v>2162</v>
      </c>
      <c r="Q1093" s="32" t="s">
        <v>2259</v>
      </c>
      <c r="R1093" s="0" t="str">
        <f aca="false">IF(H1093="GEN","GM",H1093)</f>
        <v>OR</v>
      </c>
    </row>
    <row r="1094" customFormat="false" ht="15" hidden="false" customHeight="false" outlineLevel="0" collapsed="false">
      <c r="A1094" s="0" t="s">
        <v>3613</v>
      </c>
      <c r="B1094" s="0" t="s">
        <v>2288</v>
      </c>
      <c r="C1094" s="0" t="s">
        <v>902</v>
      </c>
      <c r="D1094" s="31" t="n">
        <v>31305</v>
      </c>
      <c r="E1094" s="31" t="n">
        <v>45622</v>
      </c>
      <c r="F1094" s="32" t="s">
        <v>2078</v>
      </c>
      <c r="G1094" s="32" t="s">
        <v>2079</v>
      </c>
      <c r="H1094" s="32" t="s">
        <v>810</v>
      </c>
      <c r="I1094" s="31" t="n">
        <v>45624</v>
      </c>
      <c r="J1094" s="32" t="s">
        <v>2080</v>
      </c>
      <c r="K1094" s="0" t="n">
        <v>2</v>
      </c>
      <c r="L1094" s="32" t="s">
        <v>2081</v>
      </c>
      <c r="M1094" s="32" t="s">
        <v>2207</v>
      </c>
      <c r="N1094" s="0" t="n">
        <v>2</v>
      </c>
      <c r="O1094" s="32" t="s">
        <v>811</v>
      </c>
      <c r="P1094" s="32" t="s">
        <v>2156</v>
      </c>
      <c r="Q1094" s="32" t="s">
        <v>2118</v>
      </c>
      <c r="R1094" s="0" t="str">
        <f aca="false">IF(H1094="GEN","GM",H1094)</f>
        <v>URO</v>
      </c>
    </row>
    <row r="1095" customFormat="false" ht="15" hidden="false" customHeight="false" outlineLevel="0" collapsed="false">
      <c r="A1095" s="0" t="s">
        <v>3614</v>
      </c>
      <c r="B1095" s="0" t="s">
        <v>2596</v>
      </c>
      <c r="C1095" s="0" t="s">
        <v>1426</v>
      </c>
      <c r="D1095" s="31" t="n">
        <v>18678</v>
      </c>
      <c r="E1095" s="31" t="n">
        <v>45689</v>
      </c>
      <c r="F1095" s="32" t="s">
        <v>2087</v>
      </c>
      <c r="G1095" s="32" t="s">
        <v>2104</v>
      </c>
      <c r="H1095" s="32" t="s">
        <v>802</v>
      </c>
      <c r="I1095" s="31" t="n">
        <v>45693</v>
      </c>
      <c r="J1095" s="32" t="s">
        <v>2080</v>
      </c>
      <c r="K1095" s="0" t="n">
        <v>4</v>
      </c>
      <c r="L1095" s="32" t="s">
        <v>2081</v>
      </c>
      <c r="M1095" s="32" t="s">
        <v>2212</v>
      </c>
      <c r="N1095" s="0" t="n">
        <v>4</v>
      </c>
      <c r="O1095" s="32" t="s">
        <v>803</v>
      </c>
      <c r="P1095" s="32" t="s">
        <v>2182</v>
      </c>
      <c r="Q1095" s="32" t="s">
        <v>2112</v>
      </c>
      <c r="R1095" s="0" t="str">
        <f aca="false">IF(H1095="GEN","GM",H1095)</f>
        <v>GYN</v>
      </c>
    </row>
    <row r="1096" customFormat="false" ht="15" hidden="false" customHeight="false" outlineLevel="0" collapsed="false">
      <c r="A1096" s="0" t="s">
        <v>3615</v>
      </c>
      <c r="B1096" s="0" t="s">
        <v>2679</v>
      </c>
      <c r="C1096" s="0" t="s">
        <v>997</v>
      </c>
      <c r="D1096" s="31" t="n">
        <v>14383</v>
      </c>
      <c r="E1096" s="31" t="n">
        <v>45633</v>
      </c>
      <c r="F1096" s="32" t="s">
        <v>2078</v>
      </c>
      <c r="G1096" s="32" t="s">
        <v>2099</v>
      </c>
      <c r="H1096" s="32" t="s">
        <v>766</v>
      </c>
      <c r="I1096" s="31" t="n">
        <v>45634</v>
      </c>
      <c r="J1096" s="32" t="s">
        <v>2080</v>
      </c>
      <c r="K1096" s="0" t="n">
        <v>1</v>
      </c>
      <c r="L1096" s="32" t="s">
        <v>2081</v>
      </c>
      <c r="M1096" s="32" t="s">
        <v>2255</v>
      </c>
      <c r="N1096" s="0" t="n">
        <v>1</v>
      </c>
      <c r="O1096" s="32" t="s">
        <v>767</v>
      </c>
      <c r="P1096" s="32" t="s">
        <v>2201</v>
      </c>
      <c r="Q1096" s="32" t="s">
        <v>2084</v>
      </c>
      <c r="R1096" s="0" t="str">
        <f aca="false">IF(H1096="GEN","GM",H1096)</f>
        <v>OR</v>
      </c>
    </row>
    <row r="1097" customFormat="false" ht="15" hidden="false" customHeight="false" outlineLevel="0" collapsed="false">
      <c r="A1097" s="0" t="s">
        <v>3616</v>
      </c>
      <c r="B1097" s="0" t="s">
        <v>3342</v>
      </c>
      <c r="C1097" s="0" t="s">
        <v>1033</v>
      </c>
      <c r="D1097" s="31" t="n">
        <v>17039</v>
      </c>
      <c r="E1097" s="31" t="n">
        <v>45701</v>
      </c>
      <c r="F1097" s="32" t="s">
        <v>2087</v>
      </c>
      <c r="G1097" s="32" t="s">
        <v>2079</v>
      </c>
      <c r="H1097" s="32" t="s">
        <v>776</v>
      </c>
      <c r="I1097" s="31" t="n">
        <v>45702</v>
      </c>
      <c r="J1097" s="32" t="s">
        <v>2080</v>
      </c>
      <c r="K1097" s="0" t="n">
        <v>1</v>
      </c>
      <c r="L1097" s="32" t="s">
        <v>2081</v>
      </c>
      <c r="M1097" s="32" t="s">
        <v>2128</v>
      </c>
      <c r="N1097" s="0" t="n">
        <v>1</v>
      </c>
      <c r="O1097" s="32" t="s">
        <v>777</v>
      </c>
      <c r="P1097" s="32" t="s">
        <v>2101</v>
      </c>
      <c r="Q1097" s="32" t="s">
        <v>2179</v>
      </c>
      <c r="R1097" s="0" t="str">
        <f aca="false">IF(H1097="GEN","GM",H1097)</f>
        <v>GS</v>
      </c>
    </row>
    <row r="1098" customFormat="false" ht="15" hidden="false" customHeight="false" outlineLevel="0" collapsed="false">
      <c r="A1098" s="0" t="s">
        <v>3617</v>
      </c>
      <c r="B1098" s="0" t="s">
        <v>2965</v>
      </c>
      <c r="C1098" s="0" t="s">
        <v>898</v>
      </c>
      <c r="D1098" s="31" t="n">
        <v>31890</v>
      </c>
      <c r="E1098" s="31" t="n">
        <v>45699</v>
      </c>
      <c r="F1098" s="32" t="s">
        <v>2078</v>
      </c>
      <c r="G1098" s="32" t="s">
        <v>2099</v>
      </c>
      <c r="H1098" s="32" t="s">
        <v>766</v>
      </c>
      <c r="I1098" s="31" t="n">
        <v>45701</v>
      </c>
      <c r="J1098" s="32" t="s">
        <v>2080</v>
      </c>
      <c r="K1098" s="0" t="n">
        <v>2</v>
      </c>
      <c r="L1098" s="32" t="s">
        <v>2081</v>
      </c>
      <c r="M1098" s="32" t="s">
        <v>2161</v>
      </c>
      <c r="N1098" s="0" t="n">
        <v>2</v>
      </c>
      <c r="O1098" s="32" t="s">
        <v>767</v>
      </c>
      <c r="P1098" s="32" t="s">
        <v>2175</v>
      </c>
      <c r="Q1098" s="32" t="s">
        <v>2107</v>
      </c>
      <c r="R1098" s="0" t="str">
        <f aca="false">IF(H1098="GEN","GM",H1098)</f>
        <v>OR</v>
      </c>
    </row>
    <row r="1099" customFormat="false" ht="15" hidden="false" customHeight="false" outlineLevel="0" collapsed="false">
      <c r="A1099" s="0" t="s">
        <v>3618</v>
      </c>
      <c r="B1099" s="0" t="s">
        <v>2558</v>
      </c>
      <c r="C1099" s="0" t="s">
        <v>1410</v>
      </c>
      <c r="D1099" s="31" t="n">
        <v>26737</v>
      </c>
      <c r="E1099" s="31" t="n">
        <v>45691</v>
      </c>
      <c r="F1099" s="32" t="s">
        <v>2087</v>
      </c>
      <c r="G1099" s="32" t="s">
        <v>2088</v>
      </c>
      <c r="H1099" s="32" t="s">
        <v>826</v>
      </c>
      <c r="I1099" s="31" t="n">
        <v>45699</v>
      </c>
      <c r="J1099" s="32" t="s">
        <v>2080</v>
      </c>
      <c r="K1099" s="0" t="n">
        <v>8</v>
      </c>
      <c r="L1099" s="32" t="s">
        <v>2081</v>
      </c>
      <c r="M1099" s="32" t="s">
        <v>2195</v>
      </c>
      <c r="N1099" s="0" t="n">
        <v>8</v>
      </c>
      <c r="O1099" s="32" t="s">
        <v>827</v>
      </c>
      <c r="P1099" s="32" t="s">
        <v>2162</v>
      </c>
      <c r="Q1099" s="32" t="s">
        <v>2153</v>
      </c>
      <c r="R1099" s="0" t="str">
        <f aca="false">IF(H1099="GEN","GM",H1099)</f>
        <v>RHE</v>
      </c>
    </row>
    <row r="1100" customFormat="false" ht="15" hidden="false" customHeight="false" outlineLevel="0" collapsed="false">
      <c r="A1100" s="0" t="s">
        <v>3619</v>
      </c>
      <c r="B1100" s="0" t="s">
        <v>3144</v>
      </c>
      <c r="C1100" s="0" t="s">
        <v>926</v>
      </c>
      <c r="D1100" s="31" t="n">
        <v>13181</v>
      </c>
      <c r="E1100" s="31" t="n">
        <v>45630</v>
      </c>
      <c r="F1100" s="32" t="s">
        <v>2087</v>
      </c>
      <c r="G1100" s="32" t="s">
        <v>2104</v>
      </c>
      <c r="H1100" s="32" t="s">
        <v>802</v>
      </c>
      <c r="I1100" s="31" t="n">
        <v>45637</v>
      </c>
      <c r="J1100" s="32" t="s">
        <v>2160</v>
      </c>
      <c r="K1100" s="0" t="n">
        <v>7</v>
      </c>
      <c r="L1100" s="32" t="s">
        <v>2081</v>
      </c>
      <c r="M1100" s="32" t="s">
        <v>2100</v>
      </c>
      <c r="N1100" s="0" t="n">
        <v>7</v>
      </c>
      <c r="O1100" s="32" t="s">
        <v>803</v>
      </c>
      <c r="P1100" s="32" t="s">
        <v>2111</v>
      </c>
      <c r="Q1100" s="32" t="s">
        <v>2157</v>
      </c>
      <c r="R1100" s="0" t="str">
        <f aca="false">IF(H1100="GEN","GM",H1100)</f>
        <v>GYN</v>
      </c>
    </row>
    <row r="1101" customFormat="false" ht="15" hidden="false" customHeight="false" outlineLevel="0" collapsed="false">
      <c r="A1101" s="0" t="s">
        <v>3620</v>
      </c>
      <c r="B1101" s="0" t="s">
        <v>2243</v>
      </c>
      <c r="C1101" s="0" t="s">
        <v>910</v>
      </c>
      <c r="D1101" s="31" t="n">
        <v>30900</v>
      </c>
      <c r="E1101" s="31" t="n">
        <v>45615</v>
      </c>
      <c r="F1101" s="32" t="s">
        <v>2160</v>
      </c>
      <c r="G1101" s="32" t="s">
        <v>2104</v>
      </c>
      <c r="H1101" s="32" t="s">
        <v>802</v>
      </c>
      <c r="I1101" s="31" t="n">
        <v>45619</v>
      </c>
      <c r="J1101" s="32" t="s">
        <v>2080</v>
      </c>
      <c r="K1101" s="0" t="n">
        <v>4</v>
      </c>
      <c r="L1101" s="32" t="s">
        <v>2081</v>
      </c>
      <c r="M1101" s="32" t="s">
        <v>2189</v>
      </c>
      <c r="N1101" s="0" t="n">
        <v>4</v>
      </c>
      <c r="O1101" s="32" t="s">
        <v>803</v>
      </c>
      <c r="P1101" s="32" t="s">
        <v>2117</v>
      </c>
      <c r="Q1101" s="32" t="s">
        <v>2241</v>
      </c>
      <c r="R1101" s="0" t="str">
        <f aca="false">IF(H1101="GEN","GM",H1101)</f>
        <v>GYN</v>
      </c>
    </row>
    <row r="1102" customFormat="false" ht="15" hidden="false" customHeight="false" outlineLevel="0" collapsed="false">
      <c r="A1102" s="0" t="s">
        <v>3621</v>
      </c>
      <c r="B1102" s="0" t="s">
        <v>2563</v>
      </c>
      <c r="C1102" s="0" t="s">
        <v>1021</v>
      </c>
      <c r="D1102" s="31" t="n">
        <v>22000</v>
      </c>
      <c r="E1102" s="31" t="n">
        <v>45685</v>
      </c>
      <c r="F1102" s="32" t="s">
        <v>2087</v>
      </c>
      <c r="G1102" s="32" t="s">
        <v>2088</v>
      </c>
      <c r="H1102" s="32" t="s">
        <v>793</v>
      </c>
      <c r="I1102" s="31" t="n">
        <v>45690</v>
      </c>
      <c r="J1102" s="32" t="s">
        <v>2080</v>
      </c>
      <c r="K1102" s="0" t="n">
        <v>5</v>
      </c>
      <c r="L1102" s="32" t="s">
        <v>2081</v>
      </c>
      <c r="M1102" s="32" t="s">
        <v>2116</v>
      </c>
      <c r="N1102" s="0" t="n">
        <v>5</v>
      </c>
      <c r="O1102" s="32" t="s">
        <v>794</v>
      </c>
      <c r="P1102" s="32" t="s">
        <v>2156</v>
      </c>
      <c r="Q1102" s="32" t="s">
        <v>2091</v>
      </c>
      <c r="R1102" s="0" t="str">
        <f aca="false">IF(H1102="GEN","GM",H1102)</f>
        <v>EM</v>
      </c>
    </row>
    <row r="1103" customFormat="false" ht="15" hidden="false" customHeight="false" outlineLevel="0" collapsed="false">
      <c r="A1103" s="0" t="s">
        <v>3622</v>
      </c>
      <c r="B1103" s="0" t="s">
        <v>2288</v>
      </c>
      <c r="C1103" s="0" t="s">
        <v>966</v>
      </c>
      <c r="D1103" s="31" t="n">
        <v>34801</v>
      </c>
      <c r="E1103" s="31" t="n">
        <v>45615</v>
      </c>
      <c r="F1103" s="32" t="s">
        <v>2087</v>
      </c>
      <c r="G1103" s="32" t="s">
        <v>2088</v>
      </c>
      <c r="H1103" s="32" t="s">
        <v>826</v>
      </c>
      <c r="I1103" s="31" t="n">
        <v>45630</v>
      </c>
      <c r="J1103" s="32" t="s">
        <v>2080</v>
      </c>
      <c r="K1103" s="0" t="n">
        <v>15</v>
      </c>
      <c r="L1103" s="32" t="s">
        <v>2081</v>
      </c>
      <c r="M1103" s="32" t="s">
        <v>2212</v>
      </c>
      <c r="N1103" s="0" t="n">
        <v>15</v>
      </c>
      <c r="O1103" s="32" t="s">
        <v>827</v>
      </c>
      <c r="P1103" s="32" t="s">
        <v>2213</v>
      </c>
      <c r="Q1103" s="32" t="s">
        <v>2125</v>
      </c>
      <c r="R1103" s="0" t="str">
        <f aca="false">IF(H1103="GEN","GM",H1103)</f>
        <v>RHE</v>
      </c>
    </row>
    <row r="1104" customFormat="false" ht="15" hidden="false" customHeight="false" outlineLevel="0" collapsed="false">
      <c r="A1104" s="0" t="s">
        <v>3623</v>
      </c>
      <c r="B1104" s="0" t="s">
        <v>2120</v>
      </c>
      <c r="C1104" s="0" t="s">
        <v>926</v>
      </c>
      <c r="D1104" s="31" t="n">
        <v>25074</v>
      </c>
      <c r="E1104" s="31" t="n">
        <v>45630</v>
      </c>
      <c r="F1104" s="32" t="s">
        <v>2078</v>
      </c>
      <c r="G1104" s="32" t="s">
        <v>2079</v>
      </c>
      <c r="H1104" s="32" t="s">
        <v>776</v>
      </c>
      <c r="I1104" s="31" t="n">
        <v>45635</v>
      </c>
      <c r="J1104" s="32" t="s">
        <v>2080</v>
      </c>
      <c r="K1104" s="0" t="n">
        <v>5</v>
      </c>
      <c r="L1104" s="32" t="s">
        <v>2081</v>
      </c>
      <c r="M1104" s="32" t="s">
        <v>2152</v>
      </c>
      <c r="N1104" s="0" t="n">
        <v>5</v>
      </c>
      <c r="O1104" s="32" t="s">
        <v>777</v>
      </c>
      <c r="P1104" s="32" t="s">
        <v>2222</v>
      </c>
      <c r="Q1104" s="32" t="s">
        <v>2198</v>
      </c>
      <c r="R1104" s="0" t="str">
        <f aca="false">IF(H1104="GEN","GM",H1104)</f>
        <v>GS</v>
      </c>
    </row>
    <row r="1105" customFormat="false" ht="15" hidden="false" customHeight="false" outlineLevel="0" collapsed="false">
      <c r="A1105" s="0" t="s">
        <v>3624</v>
      </c>
      <c r="B1105" s="0" t="s">
        <v>3398</v>
      </c>
      <c r="C1105" s="0" t="s">
        <v>962</v>
      </c>
      <c r="D1105" s="31" t="n">
        <v>13985</v>
      </c>
      <c r="E1105" s="31" t="n">
        <v>45624</v>
      </c>
      <c r="F1105" s="32" t="s">
        <v>2087</v>
      </c>
      <c r="G1105" s="32" t="s">
        <v>2088</v>
      </c>
      <c r="H1105" s="32" t="s">
        <v>747</v>
      </c>
      <c r="I1105" s="31" t="n">
        <v>45628</v>
      </c>
      <c r="J1105" s="32" t="s">
        <v>2307</v>
      </c>
      <c r="K1105" s="0" t="n">
        <v>4</v>
      </c>
      <c r="L1105" s="32" t="s">
        <v>2081</v>
      </c>
      <c r="M1105" s="32" t="s">
        <v>2195</v>
      </c>
      <c r="N1105" s="0" t="n">
        <v>4</v>
      </c>
      <c r="P1105" s="32" t="s">
        <v>2222</v>
      </c>
      <c r="Q1105" s="32" t="s">
        <v>2244</v>
      </c>
      <c r="R1105" s="0" t="str">
        <f aca="false">IF(H1105="GEN","GM",H1105)</f>
        <v>GM</v>
      </c>
    </row>
    <row r="1106" customFormat="false" ht="15" hidden="false" customHeight="false" outlineLevel="0" collapsed="false">
      <c r="A1106" s="0" t="s">
        <v>3625</v>
      </c>
      <c r="B1106" s="0" t="s">
        <v>3626</v>
      </c>
      <c r="C1106" s="0" t="s">
        <v>906</v>
      </c>
      <c r="D1106" s="31" t="n">
        <v>34061</v>
      </c>
      <c r="E1106" s="31" t="n">
        <v>45664</v>
      </c>
      <c r="F1106" s="32" t="s">
        <v>2160</v>
      </c>
      <c r="G1106" s="32" t="s">
        <v>2115</v>
      </c>
      <c r="H1106" s="32" t="s">
        <v>758</v>
      </c>
      <c r="I1106" s="31" t="n">
        <v>45667</v>
      </c>
      <c r="J1106" s="32" t="s">
        <v>2080</v>
      </c>
      <c r="K1106" s="0" t="n">
        <v>3</v>
      </c>
      <c r="L1106" s="32" t="s">
        <v>2081</v>
      </c>
      <c r="M1106" s="32" t="s">
        <v>2132</v>
      </c>
      <c r="N1106" s="0" t="n">
        <v>3</v>
      </c>
      <c r="O1106" s="32" t="s">
        <v>759</v>
      </c>
      <c r="P1106" s="32" t="s">
        <v>2149</v>
      </c>
      <c r="Q1106" s="32" t="s">
        <v>2112</v>
      </c>
      <c r="R1106" s="0" t="str">
        <f aca="false">IF(H1106="GEN","GM",H1106)</f>
        <v>CS</v>
      </c>
    </row>
    <row r="1107" customFormat="false" ht="15" hidden="false" customHeight="false" outlineLevel="0" collapsed="false">
      <c r="A1107" s="0" t="s">
        <v>3627</v>
      </c>
      <c r="B1107" s="0" t="s">
        <v>2792</v>
      </c>
      <c r="C1107" s="0" t="s">
        <v>1033</v>
      </c>
      <c r="D1107" s="31" t="n">
        <v>25886</v>
      </c>
      <c r="E1107" s="31" t="n">
        <v>45629</v>
      </c>
      <c r="F1107" s="32" t="s">
        <v>2078</v>
      </c>
      <c r="G1107" s="32" t="s">
        <v>2104</v>
      </c>
      <c r="H1107" s="32" t="s">
        <v>802</v>
      </c>
      <c r="I1107" s="31" t="n">
        <v>45630</v>
      </c>
      <c r="J1107" s="32" t="s">
        <v>2080</v>
      </c>
      <c r="K1107" s="0" t="n">
        <v>1</v>
      </c>
      <c r="L1107" s="32" t="s">
        <v>2081</v>
      </c>
      <c r="M1107" s="32" t="s">
        <v>2283</v>
      </c>
      <c r="N1107" s="0" t="n">
        <v>1</v>
      </c>
      <c r="O1107" s="32" t="s">
        <v>803</v>
      </c>
      <c r="P1107" s="32" t="s">
        <v>2095</v>
      </c>
      <c r="Q1107" s="32" t="s">
        <v>2096</v>
      </c>
      <c r="R1107" s="0" t="str">
        <f aca="false">IF(H1107="GEN","GM",H1107)</f>
        <v>GYN</v>
      </c>
    </row>
    <row r="1108" customFormat="false" ht="15" hidden="false" customHeight="false" outlineLevel="0" collapsed="false">
      <c r="A1108" s="0" t="s">
        <v>3628</v>
      </c>
      <c r="B1108" s="0" t="s">
        <v>2602</v>
      </c>
      <c r="C1108" s="0" t="s">
        <v>882</v>
      </c>
      <c r="D1108" s="31" t="n">
        <v>35613</v>
      </c>
      <c r="E1108" s="31" t="n">
        <v>45698</v>
      </c>
      <c r="F1108" s="32" t="s">
        <v>2087</v>
      </c>
      <c r="G1108" s="32" t="s">
        <v>2088</v>
      </c>
      <c r="H1108" s="32" t="s">
        <v>826</v>
      </c>
      <c r="I1108" s="31" t="n">
        <v>45700</v>
      </c>
      <c r="J1108" s="32" t="s">
        <v>2080</v>
      </c>
      <c r="K1108" s="0" t="n">
        <v>2</v>
      </c>
      <c r="L1108" s="32" t="s">
        <v>2081</v>
      </c>
      <c r="M1108" s="32" t="s">
        <v>2189</v>
      </c>
      <c r="N1108" s="0" t="n">
        <v>2</v>
      </c>
      <c r="O1108" s="32" t="s">
        <v>827</v>
      </c>
      <c r="P1108" s="32" t="s">
        <v>2083</v>
      </c>
      <c r="Q1108" s="32" t="s">
        <v>2129</v>
      </c>
      <c r="R1108" s="0" t="str">
        <f aca="false">IF(H1108="GEN","GM",H1108)</f>
        <v>RHE</v>
      </c>
    </row>
    <row r="1109" customFormat="false" ht="15" hidden="false" customHeight="false" outlineLevel="0" collapsed="false">
      <c r="A1109" s="0" t="s">
        <v>3629</v>
      </c>
      <c r="B1109" s="0" t="s">
        <v>2784</v>
      </c>
      <c r="C1109" s="0" t="s">
        <v>1419</v>
      </c>
      <c r="D1109" s="31" t="n">
        <v>22433</v>
      </c>
      <c r="E1109" s="31" t="n">
        <v>45685</v>
      </c>
      <c r="F1109" s="32" t="s">
        <v>2087</v>
      </c>
      <c r="G1109" s="32" t="s">
        <v>2099</v>
      </c>
      <c r="H1109" s="32" t="s">
        <v>766</v>
      </c>
      <c r="I1109" s="31" t="n">
        <v>45685</v>
      </c>
      <c r="J1109" s="32" t="s">
        <v>2080</v>
      </c>
      <c r="K1109" s="0" t="n">
        <v>0</v>
      </c>
      <c r="L1109" s="32" t="s">
        <v>2081</v>
      </c>
      <c r="M1109" s="32" t="s">
        <v>2082</v>
      </c>
      <c r="N1109" s="0" t="n">
        <v>0</v>
      </c>
      <c r="O1109" s="32" t="s">
        <v>767</v>
      </c>
      <c r="P1109" s="32" t="s">
        <v>2101</v>
      </c>
      <c r="Q1109" s="32" t="s">
        <v>2198</v>
      </c>
      <c r="R1109" s="0" t="str">
        <f aca="false">IF(H1109="GEN","GM",H1109)</f>
        <v>OR</v>
      </c>
    </row>
    <row r="1110" customFormat="false" ht="15" hidden="false" customHeight="false" outlineLevel="0" collapsed="false">
      <c r="A1110" s="0" t="s">
        <v>3630</v>
      </c>
      <c r="B1110" s="0" t="s">
        <v>3340</v>
      </c>
      <c r="C1110" s="0" t="s">
        <v>902</v>
      </c>
      <c r="D1110" s="31" t="n">
        <v>17964</v>
      </c>
      <c r="E1110" s="31" t="n">
        <v>45592</v>
      </c>
      <c r="F1110" s="32" t="s">
        <v>2087</v>
      </c>
      <c r="G1110" s="32" t="s">
        <v>2088</v>
      </c>
      <c r="H1110" s="32" t="s">
        <v>826</v>
      </c>
      <c r="I1110" s="31" t="n">
        <v>45597</v>
      </c>
      <c r="J1110" s="32" t="s">
        <v>2080</v>
      </c>
      <c r="K1110" s="0" t="n">
        <v>5</v>
      </c>
      <c r="M1110" s="32" t="s">
        <v>2116</v>
      </c>
      <c r="N1110" s="0" t="n">
        <v>5</v>
      </c>
      <c r="O1110" s="32" t="s">
        <v>827</v>
      </c>
      <c r="P1110" s="32" t="s">
        <v>2111</v>
      </c>
      <c r="Q1110" s="32" t="s">
        <v>2241</v>
      </c>
      <c r="R1110" s="0" t="str">
        <f aca="false">IF(H1110="GEN","GM",H1110)</f>
        <v>RHE</v>
      </c>
    </row>
    <row r="1111" customFormat="false" ht="15" hidden="false" customHeight="false" outlineLevel="0" collapsed="false">
      <c r="A1111" s="0" t="s">
        <v>3631</v>
      </c>
      <c r="B1111" s="0" t="s">
        <v>2200</v>
      </c>
      <c r="C1111" s="0" t="s">
        <v>1001</v>
      </c>
      <c r="D1111" s="31" t="n">
        <v>29618</v>
      </c>
      <c r="E1111" s="31" t="n">
        <v>45731</v>
      </c>
      <c r="F1111" s="32" t="s">
        <v>2087</v>
      </c>
      <c r="G1111" s="32" t="s">
        <v>2079</v>
      </c>
      <c r="H1111" s="32" t="s">
        <v>810</v>
      </c>
      <c r="I1111" s="31" t="n">
        <v>45734</v>
      </c>
      <c r="J1111" s="32" t="s">
        <v>2105</v>
      </c>
      <c r="K1111" s="0" t="n">
        <v>3</v>
      </c>
      <c r="L1111" s="32" t="s">
        <v>2081</v>
      </c>
      <c r="M1111" s="32" t="s">
        <v>2255</v>
      </c>
      <c r="N1111" s="0" t="n">
        <v>3</v>
      </c>
      <c r="O1111" s="32" t="s">
        <v>811</v>
      </c>
      <c r="P1111" s="32" t="s">
        <v>2083</v>
      </c>
      <c r="R1111" s="0" t="str">
        <f aca="false">IF(H1111="GEN","GM",H1111)</f>
        <v>URO</v>
      </c>
    </row>
    <row r="1112" customFormat="false" ht="15" hidden="false" customHeight="false" outlineLevel="0" collapsed="false">
      <c r="A1112" s="0" t="s">
        <v>3632</v>
      </c>
      <c r="B1112" s="0" t="s">
        <v>2265</v>
      </c>
      <c r="C1112" s="0" t="s">
        <v>857</v>
      </c>
      <c r="D1112" s="31" t="n">
        <v>35141</v>
      </c>
      <c r="E1112" s="31" t="n">
        <v>45695</v>
      </c>
      <c r="F1112" s="32" t="s">
        <v>2078</v>
      </c>
      <c r="G1112" s="32" t="s">
        <v>2115</v>
      </c>
      <c r="H1112" s="32" t="s">
        <v>758</v>
      </c>
      <c r="I1112" s="31" t="n">
        <v>45696</v>
      </c>
      <c r="J1112" s="32" t="s">
        <v>2105</v>
      </c>
      <c r="K1112" s="0" t="n">
        <v>1</v>
      </c>
      <c r="L1112" s="32" t="s">
        <v>2081</v>
      </c>
      <c r="M1112" s="32" t="s">
        <v>2161</v>
      </c>
      <c r="N1112" s="0" t="n">
        <v>1</v>
      </c>
      <c r="O1112" s="32" t="s">
        <v>759</v>
      </c>
      <c r="P1112" s="32" t="s">
        <v>2213</v>
      </c>
      <c r="Q1112" s="32" t="s">
        <v>2084</v>
      </c>
      <c r="R1112" s="0" t="str">
        <f aca="false">IF(H1112="GEN","GM",H1112)</f>
        <v>CS</v>
      </c>
    </row>
    <row r="1113" customFormat="false" ht="15" hidden="false" customHeight="false" outlineLevel="0" collapsed="false">
      <c r="A1113" s="0" t="s">
        <v>3633</v>
      </c>
      <c r="B1113" s="0" t="s">
        <v>2496</v>
      </c>
      <c r="C1113" s="0" t="s">
        <v>2178</v>
      </c>
      <c r="D1113" s="31" t="n">
        <v>27747</v>
      </c>
      <c r="E1113" s="31" t="n">
        <v>45726</v>
      </c>
      <c r="F1113" s="32" t="s">
        <v>2078</v>
      </c>
      <c r="G1113" s="32" t="s">
        <v>2099</v>
      </c>
      <c r="H1113" s="32" t="s">
        <v>766</v>
      </c>
      <c r="I1113" s="31" t="n">
        <v>45731</v>
      </c>
      <c r="J1113" s="32" t="s">
        <v>2080</v>
      </c>
      <c r="K1113" s="0" t="n">
        <v>5</v>
      </c>
      <c r="L1113" s="32" t="s">
        <v>2081</v>
      </c>
      <c r="M1113" s="32" t="s">
        <v>2089</v>
      </c>
      <c r="N1113" s="0" t="n">
        <v>5</v>
      </c>
      <c r="O1113" s="32" t="s">
        <v>767</v>
      </c>
      <c r="P1113" s="32" t="s">
        <v>2179</v>
      </c>
      <c r="Q1113" s="32" t="s">
        <v>2118</v>
      </c>
      <c r="R1113" s="0" t="str">
        <f aca="false">IF(H1113="GEN","GM",H1113)</f>
        <v>OR</v>
      </c>
    </row>
    <row r="1114" customFormat="false" ht="15" hidden="false" customHeight="false" outlineLevel="0" collapsed="false">
      <c r="A1114" s="0" t="s">
        <v>3634</v>
      </c>
      <c r="B1114" s="0" t="s">
        <v>2240</v>
      </c>
      <c r="C1114" s="0" t="s">
        <v>894</v>
      </c>
      <c r="D1114" s="31" t="n">
        <v>23031</v>
      </c>
      <c r="E1114" s="31" t="n">
        <v>45628</v>
      </c>
      <c r="F1114" s="32" t="s">
        <v>2087</v>
      </c>
      <c r="G1114" s="32" t="s">
        <v>2104</v>
      </c>
      <c r="H1114" s="32" t="s">
        <v>802</v>
      </c>
      <c r="I1114" s="31" t="n">
        <v>45628</v>
      </c>
      <c r="J1114" s="32" t="s">
        <v>2160</v>
      </c>
      <c r="K1114" s="0" t="n">
        <v>0</v>
      </c>
      <c r="L1114" s="32" t="s">
        <v>2081</v>
      </c>
      <c r="M1114" s="32" t="s">
        <v>2207</v>
      </c>
      <c r="N1114" s="0" t="n">
        <v>0</v>
      </c>
      <c r="O1114" s="32" t="s">
        <v>803</v>
      </c>
      <c r="P1114" s="32" t="s">
        <v>2111</v>
      </c>
      <c r="Q1114" s="32" t="s">
        <v>2259</v>
      </c>
      <c r="R1114" s="0" t="str">
        <f aca="false">IF(H1114="GEN","GM",H1114)</f>
        <v>GYN</v>
      </c>
    </row>
    <row r="1115" customFormat="false" ht="15" hidden="false" customHeight="false" outlineLevel="0" collapsed="false">
      <c r="A1115" s="0" t="s">
        <v>3635</v>
      </c>
      <c r="B1115" s="0" t="s">
        <v>2666</v>
      </c>
      <c r="C1115" s="0" t="s">
        <v>837</v>
      </c>
      <c r="D1115" s="31" t="n">
        <v>27760</v>
      </c>
      <c r="E1115" s="31" t="n">
        <v>45664</v>
      </c>
      <c r="F1115" s="32" t="s">
        <v>2078</v>
      </c>
      <c r="G1115" s="32" t="s">
        <v>2099</v>
      </c>
      <c r="H1115" s="32" t="s">
        <v>818</v>
      </c>
      <c r="I1115" s="31" t="n">
        <v>45670</v>
      </c>
      <c r="J1115" s="32" t="s">
        <v>2080</v>
      </c>
      <c r="K1115" s="0" t="n">
        <v>6</v>
      </c>
      <c r="M1115" s="32" t="s">
        <v>2283</v>
      </c>
      <c r="N1115" s="0" t="n">
        <v>6</v>
      </c>
      <c r="O1115" s="32" t="s">
        <v>819</v>
      </c>
      <c r="P1115" s="32" t="s">
        <v>2175</v>
      </c>
      <c r="Q1115" s="32" t="s">
        <v>2096</v>
      </c>
      <c r="R1115" s="0" t="str">
        <f aca="false">IF(H1115="GEN","GM",H1115)</f>
        <v>OPH</v>
      </c>
    </row>
    <row r="1116" customFormat="false" ht="15" hidden="false" customHeight="false" outlineLevel="0" collapsed="false">
      <c r="A1116" s="0" t="s">
        <v>3636</v>
      </c>
      <c r="B1116" s="0" t="s">
        <v>2672</v>
      </c>
      <c r="C1116" s="0" t="s">
        <v>977</v>
      </c>
      <c r="D1116" s="31" t="n">
        <v>33470</v>
      </c>
      <c r="E1116" s="31" t="n">
        <v>45650</v>
      </c>
      <c r="F1116" s="32" t="s">
        <v>2078</v>
      </c>
      <c r="G1116" s="32" t="s">
        <v>2099</v>
      </c>
      <c r="H1116" s="32" t="s">
        <v>818</v>
      </c>
      <c r="I1116" s="31" t="n">
        <v>45653</v>
      </c>
      <c r="J1116" s="32" t="s">
        <v>2080</v>
      </c>
      <c r="K1116" s="0" t="n">
        <v>3</v>
      </c>
      <c r="L1116" s="32" t="s">
        <v>2081</v>
      </c>
      <c r="M1116" s="32" t="s">
        <v>2116</v>
      </c>
      <c r="N1116" s="0" t="n">
        <v>3</v>
      </c>
      <c r="O1116" s="32" t="s">
        <v>819</v>
      </c>
      <c r="P1116" s="32" t="s">
        <v>2182</v>
      </c>
      <c r="Q1116" s="32" t="s">
        <v>2084</v>
      </c>
      <c r="R1116" s="0" t="str">
        <f aca="false">IF(H1116="GEN","GM",H1116)</f>
        <v>OPH</v>
      </c>
    </row>
    <row r="1117" customFormat="false" ht="15" hidden="false" customHeight="false" outlineLevel="0" collapsed="false">
      <c r="A1117" s="0" t="s">
        <v>3637</v>
      </c>
      <c r="B1117" s="0" t="s">
        <v>3018</v>
      </c>
      <c r="C1117" s="0" t="s">
        <v>1414</v>
      </c>
      <c r="D1117" s="31" t="n">
        <v>28577</v>
      </c>
      <c r="E1117" s="31" t="n">
        <v>45735</v>
      </c>
      <c r="F1117" s="32" t="s">
        <v>2078</v>
      </c>
      <c r="G1117" s="32" t="s">
        <v>2104</v>
      </c>
      <c r="H1117" s="32" t="s">
        <v>802</v>
      </c>
      <c r="I1117" s="31" t="n">
        <v>45739</v>
      </c>
      <c r="J1117" s="32" t="s">
        <v>2080</v>
      </c>
      <c r="K1117" s="0" t="n">
        <v>4</v>
      </c>
      <c r="L1117" s="32" t="s">
        <v>2081</v>
      </c>
      <c r="M1117" s="32" t="s">
        <v>2161</v>
      </c>
      <c r="N1117" s="0" t="n">
        <v>4</v>
      </c>
      <c r="O1117" s="32" t="s">
        <v>803</v>
      </c>
      <c r="P1117" s="32" t="s">
        <v>2142</v>
      </c>
      <c r="Q1117" s="32" t="s">
        <v>2084</v>
      </c>
      <c r="R1117" s="0" t="str">
        <f aca="false">IF(H1117="GEN","GM",H1117)</f>
        <v>GYN</v>
      </c>
    </row>
    <row r="1118" customFormat="false" ht="15" hidden="false" customHeight="false" outlineLevel="0" collapsed="false">
      <c r="A1118" s="0" t="s">
        <v>3638</v>
      </c>
      <c r="B1118" s="0" t="s">
        <v>2751</v>
      </c>
      <c r="C1118" s="0" t="s">
        <v>757</v>
      </c>
      <c r="D1118" s="31" t="n">
        <v>26560</v>
      </c>
      <c r="E1118" s="31" t="n">
        <v>45600</v>
      </c>
      <c r="F1118" s="32" t="s">
        <v>2078</v>
      </c>
      <c r="G1118" s="32" t="s">
        <v>2088</v>
      </c>
      <c r="H1118" s="32" t="s">
        <v>793</v>
      </c>
      <c r="I1118" s="31" t="n">
        <v>45603</v>
      </c>
      <c r="J1118" s="32" t="s">
        <v>2080</v>
      </c>
      <c r="K1118" s="0" t="n">
        <v>3</v>
      </c>
      <c r="L1118" s="32" t="s">
        <v>2081</v>
      </c>
      <c r="M1118" s="32" t="s">
        <v>2212</v>
      </c>
      <c r="N1118" s="0" t="n">
        <v>3</v>
      </c>
      <c r="O1118" s="32" t="s">
        <v>794</v>
      </c>
      <c r="P1118" s="32" t="s">
        <v>2117</v>
      </c>
      <c r="Q1118" s="32" t="s">
        <v>2170</v>
      </c>
      <c r="R1118" s="0" t="str">
        <f aca="false">IF(H1118="GEN","GM",H1118)</f>
        <v>EM</v>
      </c>
    </row>
    <row r="1119" customFormat="false" ht="15" hidden="false" customHeight="false" outlineLevel="0" collapsed="false">
      <c r="A1119" s="0" t="s">
        <v>3639</v>
      </c>
      <c r="B1119" s="0" t="s">
        <v>3123</v>
      </c>
      <c r="C1119" s="0" t="s">
        <v>1414</v>
      </c>
      <c r="D1119" s="31" t="n">
        <v>19303</v>
      </c>
      <c r="E1119" s="31" t="n">
        <v>45726</v>
      </c>
      <c r="F1119" s="32" t="s">
        <v>2078</v>
      </c>
      <c r="G1119" s="32" t="s">
        <v>2124</v>
      </c>
      <c r="H1119" s="32" t="s">
        <v>785</v>
      </c>
      <c r="I1119" s="31" t="n">
        <v>45728</v>
      </c>
      <c r="J1119" s="32" t="s">
        <v>2160</v>
      </c>
      <c r="K1119" s="0" t="n">
        <v>2</v>
      </c>
      <c r="L1119" s="32" t="s">
        <v>2081</v>
      </c>
      <c r="M1119" s="32" t="s">
        <v>2195</v>
      </c>
      <c r="N1119" s="0" t="n">
        <v>2</v>
      </c>
      <c r="O1119" s="32" t="s">
        <v>786</v>
      </c>
      <c r="P1119" s="32" t="s">
        <v>2090</v>
      </c>
      <c r="Q1119" s="32" t="s">
        <v>2241</v>
      </c>
      <c r="R1119" s="0" t="str">
        <f aca="false">IF(H1119="GEN","GM",H1119)</f>
        <v>RS</v>
      </c>
    </row>
    <row r="1120" customFormat="false" ht="15" hidden="false" customHeight="false" outlineLevel="0" collapsed="false">
      <c r="A1120" s="0" t="s">
        <v>3640</v>
      </c>
      <c r="C1120" s="0" t="s">
        <v>809</v>
      </c>
      <c r="D1120" s="31" t="n">
        <v>26096</v>
      </c>
      <c r="E1120" s="31" t="n">
        <v>45633</v>
      </c>
      <c r="F1120" s="32" t="s">
        <v>2087</v>
      </c>
      <c r="G1120" s="32" t="s">
        <v>2088</v>
      </c>
      <c r="H1120" s="32" t="s">
        <v>826</v>
      </c>
      <c r="I1120" s="31" t="n">
        <v>45643</v>
      </c>
      <c r="J1120" s="32" t="s">
        <v>2080</v>
      </c>
      <c r="K1120" s="0" t="n">
        <v>10</v>
      </c>
      <c r="L1120" s="32" t="s">
        <v>2081</v>
      </c>
      <c r="M1120" s="32" t="s">
        <v>2110</v>
      </c>
      <c r="N1120" s="0" t="n">
        <v>10</v>
      </c>
      <c r="O1120" s="32" t="s">
        <v>827</v>
      </c>
      <c r="P1120" s="32" t="s">
        <v>2095</v>
      </c>
      <c r="Q1120" s="32" t="s">
        <v>2107</v>
      </c>
      <c r="R1120" s="0" t="str">
        <f aca="false">IF(H1120="GEN","GM",H1120)</f>
        <v>RHE</v>
      </c>
    </row>
    <row r="1121" customFormat="false" ht="15" hidden="false" customHeight="false" outlineLevel="0" collapsed="false">
      <c r="A1121" s="0" t="s">
        <v>3641</v>
      </c>
      <c r="B1121" s="0" t="s">
        <v>2581</v>
      </c>
      <c r="C1121" s="0" t="s">
        <v>1017</v>
      </c>
      <c r="D1121" s="31" t="n">
        <v>33744</v>
      </c>
      <c r="E1121" s="31" t="n">
        <v>45691</v>
      </c>
      <c r="F1121" s="32" t="s">
        <v>2087</v>
      </c>
      <c r="G1121" s="32" t="s">
        <v>2099</v>
      </c>
      <c r="H1121" s="32" t="s">
        <v>766</v>
      </c>
      <c r="I1121" s="31" t="n">
        <v>45693</v>
      </c>
      <c r="J1121" s="32" t="s">
        <v>2160</v>
      </c>
      <c r="K1121" s="0" t="n">
        <v>2</v>
      </c>
      <c r="L1121" s="32" t="s">
        <v>2081</v>
      </c>
      <c r="M1121" s="32" t="s">
        <v>2082</v>
      </c>
      <c r="N1121" s="0" t="n">
        <v>2</v>
      </c>
      <c r="O1121" s="32" t="s">
        <v>767</v>
      </c>
      <c r="P1121" s="32" t="s">
        <v>2179</v>
      </c>
      <c r="Q1121" s="32" t="s">
        <v>2244</v>
      </c>
      <c r="R1121" s="0" t="str">
        <f aca="false">IF(H1121="GEN","GM",H1121)</f>
        <v>OR</v>
      </c>
    </row>
    <row r="1122" customFormat="false" ht="15" hidden="false" customHeight="false" outlineLevel="0" collapsed="false">
      <c r="A1122" s="0" t="s">
        <v>3642</v>
      </c>
      <c r="B1122" s="0" t="s">
        <v>2428</v>
      </c>
      <c r="C1122" s="0" t="s">
        <v>942</v>
      </c>
      <c r="D1122" s="31" t="n">
        <v>29392</v>
      </c>
      <c r="E1122" s="31" t="n">
        <v>45597</v>
      </c>
      <c r="F1122" s="32" t="s">
        <v>2160</v>
      </c>
      <c r="G1122" s="32" t="s">
        <v>2088</v>
      </c>
      <c r="H1122" s="32" t="s">
        <v>793</v>
      </c>
      <c r="I1122" s="31" t="n">
        <v>45601</v>
      </c>
      <c r="J1122" s="32" t="s">
        <v>2080</v>
      </c>
      <c r="K1122" s="0" t="n">
        <v>4</v>
      </c>
      <c r="L1122" s="32" t="s">
        <v>2081</v>
      </c>
      <c r="M1122" s="32" t="s">
        <v>2255</v>
      </c>
      <c r="N1122" s="0" t="n">
        <v>4</v>
      </c>
      <c r="O1122" s="32" t="s">
        <v>794</v>
      </c>
      <c r="P1122" s="32" t="s">
        <v>2179</v>
      </c>
      <c r="Q1122" s="32" t="s">
        <v>2091</v>
      </c>
      <c r="R1122" s="0" t="str">
        <f aca="false">IF(H1122="GEN","GM",H1122)</f>
        <v>EM</v>
      </c>
    </row>
    <row r="1123" customFormat="false" ht="15" hidden="false" customHeight="false" outlineLevel="0" collapsed="false">
      <c r="A1123" s="0" t="s">
        <v>3643</v>
      </c>
      <c r="B1123" s="0" t="s">
        <v>2485</v>
      </c>
      <c r="C1123" s="0" t="s">
        <v>837</v>
      </c>
      <c r="D1123" s="31" t="n">
        <v>14137</v>
      </c>
      <c r="E1123" s="31" t="n">
        <v>45686</v>
      </c>
      <c r="F1123" s="32" t="s">
        <v>2087</v>
      </c>
      <c r="G1123" s="32" t="s">
        <v>2079</v>
      </c>
      <c r="H1123" s="32" t="s">
        <v>810</v>
      </c>
      <c r="I1123" s="31" t="n">
        <v>45690</v>
      </c>
      <c r="J1123" s="32" t="s">
        <v>2080</v>
      </c>
      <c r="K1123" s="0" t="n">
        <v>4</v>
      </c>
      <c r="L1123" s="32" t="s">
        <v>2081</v>
      </c>
      <c r="M1123" s="32" t="s">
        <v>2161</v>
      </c>
      <c r="N1123" s="0" t="n">
        <v>4</v>
      </c>
      <c r="O1123" s="32" t="s">
        <v>811</v>
      </c>
      <c r="P1123" s="32" t="s">
        <v>2090</v>
      </c>
      <c r="Q1123" s="32" t="s">
        <v>2179</v>
      </c>
      <c r="R1123" s="0" t="str">
        <f aca="false">IF(H1123="GEN","GM",H1123)</f>
        <v>URO</v>
      </c>
    </row>
    <row r="1124" customFormat="false" ht="15" hidden="false" customHeight="false" outlineLevel="0" collapsed="false">
      <c r="A1124" s="0" t="s">
        <v>3644</v>
      </c>
      <c r="B1124" s="0" t="s">
        <v>3505</v>
      </c>
      <c r="C1124" s="0" t="s">
        <v>1414</v>
      </c>
      <c r="D1124" s="31" t="n">
        <v>38159</v>
      </c>
      <c r="E1124" s="31" t="n">
        <v>45718</v>
      </c>
      <c r="F1124" s="32" t="s">
        <v>2087</v>
      </c>
      <c r="G1124" s="32" t="s">
        <v>2088</v>
      </c>
      <c r="H1124" s="32" t="s">
        <v>793</v>
      </c>
      <c r="I1124" s="31" t="n">
        <v>45719</v>
      </c>
      <c r="J1124" s="32" t="s">
        <v>2080</v>
      </c>
      <c r="K1124" s="0" t="n">
        <v>1</v>
      </c>
      <c r="M1124" s="32" t="s">
        <v>2132</v>
      </c>
      <c r="N1124" s="0" t="n">
        <v>1</v>
      </c>
      <c r="O1124" s="32" t="s">
        <v>794</v>
      </c>
      <c r="P1124" s="32" t="s">
        <v>2095</v>
      </c>
      <c r="Q1124" s="32" t="s">
        <v>2153</v>
      </c>
      <c r="R1124" s="0" t="str">
        <f aca="false">IF(H1124="GEN","GM",H1124)</f>
        <v>EM</v>
      </c>
    </row>
    <row r="1125" customFormat="false" ht="15" hidden="false" customHeight="false" outlineLevel="0" collapsed="false">
      <c r="A1125" s="0" t="s">
        <v>3645</v>
      </c>
      <c r="B1125" s="0" t="s">
        <v>2444</v>
      </c>
      <c r="C1125" s="0" t="s">
        <v>914</v>
      </c>
      <c r="D1125" s="31" t="n">
        <v>38251</v>
      </c>
      <c r="E1125" s="31" t="n">
        <v>45701</v>
      </c>
      <c r="F1125" s="32" t="s">
        <v>2078</v>
      </c>
      <c r="G1125" s="32" t="s">
        <v>2115</v>
      </c>
      <c r="H1125" s="32" t="s">
        <v>758</v>
      </c>
      <c r="I1125" s="31" t="n">
        <v>45703</v>
      </c>
      <c r="J1125" s="32" t="s">
        <v>2080</v>
      </c>
      <c r="K1125" s="0" t="n">
        <v>2</v>
      </c>
      <c r="L1125" s="32" t="s">
        <v>2081</v>
      </c>
      <c r="M1125" s="32" t="s">
        <v>2110</v>
      </c>
      <c r="N1125" s="0" t="n">
        <v>2</v>
      </c>
      <c r="O1125" s="32" t="s">
        <v>759</v>
      </c>
      <c r="P1125" s="32" t="s">
        <v>2156</v>
      </c>
      <c r="Q1125" s="32" t="s">
        <v>2107</v>
      </c>
      <c r="R1125" s="0" t="str">
        <f aca="false">IF(H1125="GEN","GM",H1125)</f>
        <v>CS</v>
      </c>
    </row>
    <row r="1126" customFormat="false" ht="15" hidden="false" customHeight="false" outlineLevel="0" collapsed="false">
      <c r="A1126" s="0" t="s">
        <v>3646</v>
      </c>
      <c r="B1126" s="0" t="s">
        <v>2935</v>
      </c>
      <c r="C1126" s="0" t="s">
        <v>1001</v>
      </c>
      <c r="D1126" s="31" t="n">
        <v>33009</v>
      </c>
      <c r="E1126" s="31" t="n">
        <v>45631</v>
      </c>
      <c r="F1126" s="32" t="s">
        <v>2078</v>
      </c>
      <c r="G1126" s="32" t="s">
        <v>2104</v>
      </c>
      <c r="H1126" s="32" t="s">
        <v>802</v>
      </c>
      <c r="I1126" s="31" t="n">
        <v>45633</v>
      </c>
      <c r="J1126" s="32" t="s">
        <v>2080</v>
      </c>
      <c r="K1126" s="0" t="n">
        <v>2</v>
      </c>
      <c r="L1126" s="32" t="s">
        <v>2081</v>
      </c>
      <c r="M1126" s="32" t="s">
        <v>2094</v>
      </c>
      <c r="N1126" s="0" t="n">
        <v>2</v>
      </c>
      <c r="O1126" s="32" t="s">
        <v>803</v>
      </c>
      <c r="P1126" s="32" t="s">
        <v>2156</v>
      </c>
      <c r="Q1126" s="32" t="s">
        <v>2241</v>
      </c>
      <c r="R1126" s="0" t="str">
        <f aca="false">IF(H1126="GEN","GM",H1126)</f>
        <v>GYN</v>
      </c>
    </row>
    <row r="1127" customFormat="false" ht="15" hidden="false" customHeight="false" outlineLevel="0" collapsed="false">
      <c r="A1127" s="0" t="s">
        <v>3647</v>
      </c>
      <c r="B1127" s="0" t="s">
        <v>2982</v>
      </c>
      <c r="C1127" s="0" t="s">
        <v>878</v>
      </c>
      <c r="D1127" s="31" t="n">
        <v>27227</v>
      </c>
      <c r="E1127" s="31" t="n">
        <v>45711</v>
      </c>
      <c r="F1127" s="32" t="s">
        <v>2078</v>
      </c>
      <c r="G1127" s="32" t="s">
        <v>2124</v>
      </c>
      <c r="H1127" s="32" t="s">
        <v>785</v>
      </c>
      <c r="I1127" s="31" t="n">
        <v>45714</v>
      </c>
      <c r="J1127" s="32" t="s">
        <v>2080</v>
      </c>
      <c r="K1127" s="0" t="n">
        <v>3</v>
      </c>
      <c r="L1127" s="32" t="s">
        <v>2081</v>
      </c>
      <c r="M1127" s="32" t="s">
        <v>2110</v>
      </c>
      <c r="N1127" s="0" t="n">
        <v>3</v>
      </c>
      <c r="O1127" s="32" t="s">
        <v>786</v>
      </c>
      <c r="P1127" s="32" t="s">
        <v>2095</v>
      </c>
      <c r="Q1127" s="32" t="s">
        <v>2138</v>
      </c>
      <c r="R1127" s="0" t="str">
        <f aca="false">IF(H1127="GEN","GM",H1127)</f>
        <v>RS</v>
      </c>
    </row>
    <row r="1128" customFormat="false" ht="15" hidden="false" customHeight="false" outlineLevel="0" collapsed="false">
      <c r="A1128" s="0" t="s">
        <v>3648</v>
      </c>
      <c r="B1128" s="0" t="s">
        <v>2570</v>
      </c>
      <c r="C1128" s="0" t="s">
        <v>993</v>
      </c>
      <c r="D1128" s="31" t="n">
        <v>30885</v>
      </c>
      <c r="E1128" s="31" t="n">
        <v>45601</v>
      </c>
      <c r="F1128" s="32" t="s">
        <v>2160</v>
      </c>
      <c r="G1128" s="32" t="s">
        <v>2115</v>
      </c>
      <c r="H1128" s="32" t="s">
        <v>758</v>
      </c>
      <c r="I1128" s="31" t="n">
        <v>45606</v>
      </c>
      <c r="J1128" s="32" t="s">
        <v>2080</v>
      </c>
      <c r="K1128" s="0" t="n">
        <v>5</v>
      </c>
      <c r="L1128" s="32" t="s">
        <v>2081</v>
      </c>
      <c r="M1128" s="32" t="s">
        <v>2207</v>
      </c>
      <c r="N1128" s="0" t="n">
        <v>5</v>
      </c>
      <c r="O1128" s="32" t="s">
        <v>759</v>
      </c>
      <c r="P1128" s="32" t="s">
        <v>2090</v>
      </c>
      <c r="Q1128" s="32" t="s">
        <v>2129</v>
      </c>
      <c r="R1128" s="0" t="str">
        <f aca="false">IF(H1128="GEN","GM",H1128)</f>
        <v>CS</v>
      </c>
    </row>
    <row r="1129" customFormat="false" ht="15" hidden="false" customHeight="false" outlineLevel="0" collapsed="false">
      <c r="A1129" s="0" t="s">
        <v>3649</v>
      </c>
      <c r="B1129" s="0" t="s">
        <v>2299</v>
      </c>
      <c r="C1129" s="0" t="s">
        <v>801</v>
      </c>
      <c r="D1129" s="31" t="n">
        <v>31009</v>
      </c>
      <c r="E1129" s="31" t="n">
        <v>45699</v>
      </c>
      <c r="F1129" s="32" t="s">
        <v>2078</v>
      </c>
      <c r="G1129" s="32" t="s">
        <v>2079</v>
      </c>
      <c r="H1129" s="32" t="s">
        <v>810</v>
      </c>
      <c r="I1129" s="31" t="n">
        <v>45706</v>
      </c>
      <c r="J1129" s="32" t="s">
        <v>2160</v>
      </c>
      <c r="K1129" s="0" t="n">
        <v>7</v>
      </c>
      <c r="L1129" s="32" t="s">
        <v>2081</v>
      </c>
      <c r="M1129" s="32" t="s">
        <v>2136</v>
      </c>
      <c r="N1129" s="0" t="n">
        <v>7</v>
      </c>
      <c r="O1129" s="32" t="s">
        <v>811</v>
      </c>
      <c r="P1129" s="32" t="s">
        <v>2175</v>
      </c>
      <c r="Q1129" s="32" t="s">
        <v>2129</v>
      </c>
      <c r="R1129" s="0" t="str">
        <f aca="false">IF(H1129="GEN","GM",H1129)</f>
        <v>URO</v>
      </c>
    </row>
    <row r="1130" customFormat="false" ht="15" hidden="false" customHeight="false" outlineLevel="0" collapsed="false">
      <c r="A1130" s="0" t="s">
        <v>3650</v>
      </c>
      <c r="C1130" s="0" t="s">
        <v>977</v>
      </c>
      <c r="D1130" s="31" t="n">
        <v>28549</v>
      </c>
      <c r="E1130" s="31" t="n">
        <v>45631</v>
      </c>
      <c r="F1130" s="32" t="s">
        <v>2087</v>
      </c>
      <c r="G1130" s="32" t="s">
        <v>2079</v>
      </c>
      <c r="H1130" s="32" t="s">
        <v>810</v>
      </c>
      <c r="I1130" s="31" t="n">
        <v>45642</v>
      </c>
      <c r="J1130" s="32" t="s">
        <v>2307</v>
      </c>
      <c r="K1130" s="0" t="n">
        <v>11</v>
      </c>
      <c r="L1130" s="32" t="s">
        <v>2081</v>
      </c>
      <c r="M1130" s="32" t="s">
        <v>2089</v>
      </c>
      <c r="N1130" s="0" t="n">
        <v>11</v>
      </c>
      <c r="O1130" s="32" t="s">
        <v>811</v>
      </c>
      <c r="P1130" s="32" t="s">
        <v>2213</v>
      </c>
      <c r="Q1130" s="32" t="s">
        <v>2190</v>
      </c>
      <c r="R1130" s="0" t="str">
        <f aca="false">IF(H1130="GEN","GM",H1130)</f>
        <v>URO</v>
      </c>
    </row>
    <row r="1131" customFormat="false" ht="15" hidden="false" customHeight="false" outlineLevel="0" collapsed="false">
      <c r="A1131" s="0" t="s">
        <v>3651</v>
      </c>
      <c r="B1131" s="0" t="s">
        <v>3652</v>
      </c>
      <c r="C1131" s="0" t="s">
        <v>1460</v>
      </c>
      <c r="D1131" s="31" t="n">
        <v>33094</v>
      </c>
      <c r="E1131" s="31" t="n">
        <v>45712</v>
      </c>
      <c r="F1131" s="32" t="s">
        <v>2087</v>
      </c>
      <c r="G1131" s="32" t="s">
        <v>2088</v>
      </c>
      <c r="H1131" s="32" t="s">
        <v>747</v>
      </c>
      <c r="I1131" s="31" t="n">
        <v>45725</v>
      </c>
      <c r="J1131" s="32" t="s">
        <v>2080</v>
      </c>
      <c r="K1131" s="0" t="n">
        <v>13</v>
      </c>
      <c r="L1131" s="32" t="s">
        <v>2081</v>
      </c>
      <c r="M1131" s="32" t="s">
        <v>2152</v>
      </c>
      <c r="N1131" s="0" t="n">
        <v>13</v>
      </c>
      <c r="O1131" s="32" t="s">
        <v>748</v>
      </c>
      <c r="P1131" s="32" t="s">
        <v>2156</v>
      </c>
      <c r="Q1131" s="32" t="s">
        <v>2179</v>
      </c>
      <c r="R1131" s="0" t="str">
        <f aca="false">IF(H1131="GEN","GM",H1131)</f>
        <v>GM</v>
      </c>
    </row>
    <row r="1132" customFormat="false" ht="15" hidden="false" customHeight="false" outlineLevel="0" collapsed="false">
      <c r="A1132" s="0" t="s">
        <v>3653</v>
      </c>
      <c r="B1132" s="0" t="s">
        <v>2935</v>
      </c>
      <c r="C1132" s="0" t="s">
        <v>2225</v>
      </c>
      <c r="D1132" s="31" t="n">
        <v>36386</v>
      </c>
      <c r="E1132" s="31" t="n">
        <v>45578</v>
      </c>
      <c r="F1132" s="32" t="s">
        <v>2078</v>
      </c>
      <c r="G1132" s="32" t="s">
        <v>2099</v>
      </c>
      <c r="H1132" s="32" t="s">
        <v>766</v>
      </c>
      <c r="I1132" s="31" t="n">
        <v>45582</v>
      </c>
      <c r="J1132" s="32" t="s">
        <v>2080</v>
      </c>
      <c r="K1132" s="0" t="n">
        <v>4</v>
      </c>
      <c r="L1132" s="32" t="s">
        <v>2081</v>
      </c>
      <c r="M1132" s="32" t="s">
        <v>2100</v>
      </c>
      <c r="N1132" s="0" t="n">
        <v>4</v>
      </c>
      <c r="O1132" s="32" t="s">
        <v>767</v>
      </c>
      <c r="P1132" s="32" t="s">
        <v>2175</v>
      </c>
      <c r="Q1132" s="32" t="s">
        <v>2118</v>
      </c>
      <c r="R1132" s="0" t="str">
        <f aca="false">IF(H1132="GEN","GM",H1132)</f>
        <v>OR</v>
      </c>
    </row>
    <row r="1133" customFormat="false" ht="15" hidden="false" customHeight="false" outlineLevel="0" collapsed="false">
      <c r="A1133" s="0" t="s">
        <v>3654</v>
      </c>
      <c r="B1133" s="0" t="s">
        <v>3014</v>
      </c>
      <c r="C1133" s="0" t="s">
        <v>942</v>
      </c>
      <c r="D1133" s="31" t="n">
        <v>31948</v>
      </c>
      <c r="E1133" s="31" t="n">
        <v>45590</v>
      </c>
      <c r="F1133" s="32" t="s">
        <v>2087</v>
      </c>
      <c r="G1133" s="32" t="s">
        <v>2088</v>
      </c>
      <c r="H1133" s="32" t="s">
        <v>747</v>
      </c>
      <c r="I1133" s="31" t="n">
        <v>45601</v>
      </c>
      <c r="J1133" s="32" t="s">
        <v>2307</v>
      </c>
      <c r="K1133" s="0" t="n">
        <v>11</v>
      </c>
      <c r="L1133" s="32" t="s">
        <v>2081</v>
      </c>
      <c r="M1133" s="32" t="s">
        <v>2100</v>
      </c>
      <c r="N1133" s="0" t="n">
        <v>11</v>
      </c>
      <c r="O1133" s="32" t="s">
        <v>748</v>
      </c>
      <c r="P1133" s="32" t="s">
        <v>2175</v>
      </c>
      <c r="Q1133" s="32" t="s">
        <v>2259</v>
      </c>
      <c r="R1133" s="0" t="str">
        <f aca="false">IF(H1133="GEN","GM",H1133)</f>
        <v>GM</v>
      </c>
    </row>
    <row r="1134" customFormat="false" ht="15" hidden="false" customHeight="false" outlineLevel="0" collapsed="false">
      <c r="A1134" s="0" t="s">
        <v>3655</v>
      </c>
      <c r="C1134" s="0" t="s">
        <v>870</v>
      </c>
      <c r="D1134" s="31" t="n">
        <v>19037</v>
      </c>
      <c r="E1134" s="31" t="n">
        <v>45680</v>
      </c>
      <c r="F1134" s="32" t="s">
        <v>2087</v>
      </c>
      <c r="G1134" s="32" t="s">
        <v>2079</v>
      </c>
      <c r="H1134" s="32" t="s">
        <v>776</v>
      </c>
      <c r="I1134" s="31" t="n">
        <v>45682</v>
      </c>
      <c r="J1134" s="32" t="s">
        <v>2080</v>
      </c>
      <c r="K1134" s="0" t="n">
        <v>2</v>
      </c>
      <c r="L1134" s="32" t="s">
        <v>2081</v>
      </c>
      <c r="M1134" s="32" t="s">
        <v>2255</v>
      </c>
      <c r="N1134" s="0" t="n">
        <v>2</v>
      </c>
      <c r="O1134" s="32" t="s">
        <v>777</v>
      </c>
      <c r="P1134" s="32" t="s">
        <v>2179</v>
      </c>
      <c r="Q1134" s="32" t="s">
        <v>2190</v>
      </c>
      <c r="R1134" s="0" t="str">
        <f aca="false">IF(H1134="GEN","GM",H1134)</f>
        <v>GS</v>
      </c>
    </row>
    <row r="1135" customFormat="false" ht="15" hidden="false" customHeight="false" outlineLevel="0" collapsed="false">
      <c r="A1135" s="0" t="s">
        <v>3656</v>
      </c>
      <c r="B1135" s="0" t="s">
        <v>3253</v>
      </c>
      <c r="C1135" s="0" t="s">
        <v>966</v>
      </c>
      <c r="D1135" s="31" t="n">
        <v>36539</v>
      </c>
      <c r="E1135" s="31" t="n">
        <v>45601</v>
      </c>
      <c r="F1135" s="32" t="s">
        <v>2087</v>
      </c>
      <c r="G1135" s="32" t="s">
        <v>2088</v>
      </c>
      <c r="H1135" s="32" t="s">
        <v>793</v>
      </c>
      <c r="I1135" s="31" t="n">
        <v>45610</v>
      </c>
      <c r="J1135" s="32" t="s">
        <v>2160</v>
      </c>
      <c r="K1135" s="0" t="n">
        <v>9</v>
      </c>
      <c r="L1135" s="32" t="s">
        <v>2081</v>
      </c>
      <c r="N1135" s="0" t="n">
        <v>9</v>
      </c>
      <c r="O1135" s="32" t="s">
        <v>794</v>
      </c>
      <c r="P1135" s="32" t="s">
        <v>2182</v>
      </c>
      <c r="Q1135" s="32" t="s">
        <v>2091</v>
      </c>
      <c r="R1135" s="0" t="str">
        <f aca="false">IF(H1135="GEN","GM",H1135)</f>
        <v>EM</v>
      </c>
    </row>
    <row r="1136" customFormat="false" ht="15" hidden="false" customHeight="false" outlineLevel="0" collapsed="false">
      <c r="A1136" s="0" t="s">
        <v>3657</v>
      </c>
      <c r="C1136" s="0" t="s">
        <v>1033</v>
      </c>
      <c r="D1136" s="31" t="n">
        <v>16108</v>
      </c>
      <c r="E1136" s="31" t="n">
        <v>45617</v>
      </c>
      <c r="F1136" s="32" t="s">
        <v>2078</v>
      </c>
      <c r="G1136" s="32" t="s">
        <v>2104</v>
      </c>
      <c r="H1136" s="32" t="s">
        <v>802</v>
      </c>
      <c r="I1136" s="31" t="n">
        <v>45621</v>
      </c>
      <c r="J1136" s="32" t="s">
        <v>2080</v>
      </c>
      <c r="K1136" s="0" t="n">
        <v>4</v>
      </c>
      <c r="L1136" s="32" t="s">
        <v>2081</v>
      </c>
      <c r="M1136" s="32" t="s">
        <v>2212</v>
      </c>
      <c r="N1136" s="0" t="n">
        <v>4</v>
      </c>
      <c r="O1136" s="32" t="s">
        <v>803</v>
      </c>
      <c r="P1136" s="32" t="s">
        <v>2142</v>
      </c>
      <c r="Q1136" s="32" t="s">
        <v>2112</v>
      </c>
      <c r="R1136" s="0" t="str">
        <f aca="false">IF(H1136="GEN","GM",H1136)</f>
        <v>GYN</v>
      </c>
    </row>
    <row r="1137" customFormat="false" ht="15" hidden="false" customHeight="false" outlineLevel="0" collapsed="false">
      <c r="A1137" s="0" t="s">
        <v>3658</v>
      </c>
      <c r="B1137" s="0" t="s">
        <v>2535</v>
      </c>
      <c r="C1137" s="0" t="s">
        <v>962</v>
      </c>
      <c r="D1137" s="31" t="n">
        <v>34714</v>
      </c>
      <c r="E1137" s="31" t="n">
        <v>45611</v>
      </c>
      <c r="F1137" s="32" t="s">
        <v>2087</v>
      </c>
      <c r="G1137" s="32" t="s">
        <v>2099</v>
      </c>
      <c r="H1137" s="32" t="s">
        <v>818</v>
      </c>
      <c r="I1137" s="31" t="n">
        <v>45614</v>
      </c>
      <c r="J1137" s="32" t="s">
        <v>2160</v>
      </c>
      <c r="K1137" s="0" t="n">
        <v>3</v>
      </c>
      <c r="L1137" s="32" t="s">
        <v>2081</v>
      </c>
      <c r="M1137" s="32" t="s">
        <v>2283</v>
      </c>
      <c r="N1137" s="0" t="n">
        <v>3</v>
      </c>
      <c r="O1137" s="32" t="s">
        <v>819</v>
      </c>
      <c r="P1137" s="32" t="s">
        <v>2238</v>
      </c>
      <c r="Q1137" s="32" t="s">
        <v>2125</v>
      </c>
      <c r="R1137" s="0" t="str">
        <f aca="false">IF(H1137="GEN","GM",H1137)</f>
        <v>OPH</v>
      </c>
    </row>
    <row r="1138" customFormat="false" ht="15" hidden="false" customHeight="false" outlineLevel="0" collapsed="false">
      <c r="A1138" s="0" t="s">
        <v>3659</v>
      </c>
      <c r="B1138" s="0" t="s">
        <v>3660</v>
      </c>
      <c r="C1138" s="0" t="s">
        <v>841</v>
      </c>
      <c r="D1138" s="31" t="n">
        <v>15257</v>
      </c>
      <c r="E1138" s="31" t="n">
        <v>45672</v>
      </c>
      <c r="F1138" s="32" t="s">
        <v>2078</v>
      </c>
      <c r="G1138" s="32" t="s">
        <v>2088</v>
      </c>
      <c r="H1138" s="32" t="s">
        <v>793</v>
      </c>
      <c r="I1138" s="31" t="n">
        <v>45673</v>
      </c>
      <c r="J1138" s="32" t="s">
        <v>2080</v>
      </c>
      <c r="K1138" s="0" t="n">
        <v>1</v>
      </c>
      <c r="L1138" s="32" t="s">
        <v>2081</v>
      </c>
      <c r="N1138" s="0" t="n">
        <v>1</v>
      </c>
      <c r="O1138" s="32" t="s">
        <v>794</v>
      </c>
      <c r="P1138" s="32" t="s">
        <v>2142</v>
      </c>
      <c r="Q1138" s="32" t="s">
        <v>2259</v>
      </c>
      <c r="R1138" s="0" t="str">
        <f aca="false">IF(H1138="GEN","GM",H1138)</f>
        <v>EM</v>
      </c>
    </row>
    <row r="1139" customFormat="false" ht="15" hidden="false" customHeight="false" outlineLevel="0" collapsed="false">
      <c r="A1139" s="0" t="s">
        <v>3661</v>
      </c>
      <c r="B1139" s="0" t="s">
        <v>2640</v>
      </c>
      <c r="C1139" s="0" t="s">
        <v>784</v>
      </c>
      <c r="D1139" s="31" t="n">
        <v>19416</v>
      </c>
      <c r="E1139" s="31" t="n">
        <v>45653</v>
      </c>
      <c r="F1139" s="32" t="s">
        <v>2087</v>
      </c>
      <c r="G1139" s="32" t="s">
        <v>2079</v>
      </c>
      <c r="H1139" s="32" t="s">
        <v>810</v>
      </c>
      <c r="I1139" s="31" t="n">
        <v>45658</v>
      </c>
      <c r="J1139" s="32" t="s">
        <v>2160</v>
      </c>
      <c r="K1139" s="0" t="n">
        <v>5</v>
      </c>
      <c r="L1139" s="32" t="s">
        <v>2081</v>
      </c>
      <c r="M1139" s="32" t="s">
        <v>2100</v>
      </c>
      <c r="N1139" s="0" t="n">
        <v>5</v>
      </c>
      <c r="O1139" s="32" t="s">
        <v>811</v>
      </c>
      <c r="P1139" s="32" t="s">
        <v>2156</v>
      </c>
      <c r="Q1139" s="32" t="s">
        <v>2165</v>
      </c>
      <c r="R1139" s="0" t="str">
        <f aca="false">IF(H1139="GEN","GM",H1139)</f>
        <v>URO</v>
      </c>
    </row>
    <row r="1140" customFormat="false" ht="15" hidden="false" customHeight="false" outlineLevel="0" collapsed="false">
      <c r="A1140" s="0" t="s">
        <v>3662</v>
      </c>
      <c r="B1140" s="0" t="s">
        <v>2372</v>
      </c>
      <c r="C1140" s="0" t="s">
        <v>985</v>
      </c>
      <c r="D1140" s="31" t="n">
        <v>14416</v>
      </c>
      <c r="E1140" s="31" t="n">
        <v>45627</v>
      </c>
      <c r="F1140" s="32" t="s">
        <v>2078</v>
      </c>
      <c r="G1140" s="32" t="s">
        <v>2079</v>
      </c>
      <c r="H1140" s="32" t="s">
        <v>776</v>
      </c>
      <c r="I1140" s="31" t="n">
        <v>45627</v>
      </c>
      <c r="J1140" s="32" t="s">
        <v>2080</v>
      </c>
      <c r="K1140" s="0" t="n">
        <v>0</v>
      </c>
      <c r="L1140" s="32" t="s">
        <v>2081</v>
      </c>
      <c r="M1140" s="32" t="s">
        <v>2152</v>
      </c>
      <c r="N1140" s="0" t="n">
        <v>0</v>
      </c>
      <c r="O1140" s="32" t="s">
        <v>777</v>
      </c>
      <c r="P1140" s="32" t="s">
        <v>2162</v>
      </c>
      <c r="Q1140" s="32" t="s">
        <v>2107</v>
      </c>
      <c r="R1140" s="0" t="str">
        <f aca="false">IF(H1140="GEN","GM",H1140)</f>
        <v>GS</v>
      </c>
    </row>
    <row r="1141" customFormat="false" ht="15" hidden="false" customHeight="false" outlineLevel="0" collapsed="false">
      <c r="A1141" s="0" t="s">
        <v>3663</v>
      </c>
      <c r="B1141" s="0" t="s">
        <v>2508</v>
      </c>
      <c r="C1141" s="0" t="s">
        <v>938</v>
      </c>
      <c r="D1141" s="31" t="n">
        <v>35812</v>
      </c>
      <c r="E1141" s="31" t="n">
        <v>45641</v>
      </c>
      <c r="F1141" s="32" t="s">
        <v>2087</v>
      </c>
      <c r="G1141" s="32" t="s">
        <v>2088</v>
      </c>
      <c r="H1141" s="32" t="s">
        <v>747</v>
      </c>
      <c r="I1141" s="31" t="n">
        <v>45651</v>
      </c>
      <c r="J1141" s="32" t="s">
        <v>2105</v>
      </c>
      <c r="K1141" s="0" t="n">
        <v>10</v>
      </c>
      <c r="L1141" s="32" t="s">
        <v>2081</v>
      </c>
      <c r="M1141" s="32" t="s">
        <v>2227</v>
      </c>
      <c r="N1141" s="0" t="n">
        <v>10</v>
      </c>
      <c r="O1141" s="32" t="s">
        <v>748</v>
      </c>
      <c r="P1141" s="32" t="s">
        <v>2111</v>
      </c>
      <c r="Q1141" s="32" t="s">
        <v>2112</v>
      </c>
      <c r="R1141" s="0" t="str">
        <f aca="false">IF(H1141="GEN","GM",H1141)</f>
        <v>GM</v>
      </c>
    </row>
    <row r="1142" customFormat="false" ht="15" hidden="false" customHeight="false" outlineLevel="0" collapsed="false">
      <c r="A1142" s="0" t="s">
        <v>3664</v>
      </c>
      <c r="C1142" s="0" t="s">
        <v>1426</v>
      </c>
      <c r="D1142" s="31" t="n">
        <v>27946</v>
      </c>
      <c r="E1142" s="31" t="n">
        <v>45572</v>
      </c>
      <c r="F1142" s="32" t="s">
        <v>2087</v>
      </c>
      <c r="G1142" s="32" t="s">
        <v>2088</v>
      </c>
      <c r="H1142" s="32" t="s">
        <v>826</v>
      </c>
      <c r="I1142" s="31" t="n">
        <v>45578</v>
      </c>
      <c r="J1142" s="32" t="s">
        <v>2080</v>
      </c>
      <c r="K1142" s="0" t="n">
        <v>6</v>
      </c>
      <c r="L1142" s="32" t="s">
        <v>2081</v>
      </c>
      <c r="M1142" s="32" t="s">
        <v>2141</v>
      </c>
      <c r="N1142" s="0" t="n">
        <v>6</v>
      </c>
      <c r="O1142" s="32" t="s">
        <v>827</v>
      </c>
      <c r="P1142" s="32" t="s">
        <v>2111</v>
      </c>
      <c r="Q1142" s="32" t="s">
        <v>2198</v>
      </c>
      <c r="R1142" s="0" t="str">
        <f aca="false">IF(H1142="GEN","GM",H1142)</f>
        <v>RHE</v>
      </c>
    </row>
    <row r="1143" customFormat="false" ht="15" hidden="false" customHeight="false" outlineLevel="0" collapsed="false">
      <c r="A1143" s="0" t="s">
        <v>3665</v>
      </c>
      <c r="B1143" s="0" t="s">
        <v>2444</v>
      </c>
      <c r="C1143" s="0" t="s">
        <v>817</v>
      </c>
      <c r="D1143" s="31" t="n">
        <v>25842</v>
      </c>
      <c r="E1143" s="31" t="n">
        <v>45669</v>
      </c>
      <c r="F1143" s="32" t="s">
        <v>2087</v>
      </c>
      <c r="G1143" s="32" t="s">
        <v>2088</v>
      </c>
      <c r="H1143" s="32" t="s">
        <v>747</v>
      </c>
      <c r="I1143" s="31" t="n">
        <v>45674</v>
      </c>
      <c r="J1143" s="32" t="s">
        <v>2160</v>
      </c>
      <c r="K1143" s="0" t="n">
        <v>5</v>
      </c>
      <c r="L1143" s="32" t="s">
        <v>2081</v>
      </c>
      <c r="M1143" s="32" t="s">
        <v>2283</v>
      </c>
      <c r="N1143" s="0" t="n">
        <v>5</v>
      </c>
      <c r="O1143" s="32" t="s">
        <v>748</v>
      </c>
      <c r="P1143" s="32" t="s">
        <v>2095</v>
      </c>
      <c r="Q1143" s="32" t="s">
        <v>2129</v>
      </c>
      <c r="R1143" s="0" t="str">
        <f aca="false">IF(H1143="GEN","GM",H1143)</f>
        <v>GM</v>
      </c>
    </row>
    <row r="1144" customFormat="false" ht="15" hidden="false" customHeight="false" outlineLevel="0" collapsed="false">
      <c r="A1144" s="0" t="s">
        <v>3666</v>
      </c>
      <c r="B1144" s="0" t="s">
        <v>2677</v>
      </c>
      <c r="C1144" s="0" t="s">
        <v>845</v>
      </c>
      <c r="D1144" s="31" t="n">
        <v>28327</v>
      </c>
      <c r="E1144" s="31" t="n">
        <v>45681</v>
      </c>
      <c r="F1144" s="32" t="s">
        <v>2087</v>
      </c>
      <c r="G1144" s="32" t="s">
        <v>2124</v>
      </c>
      <c r="H1144" s="32" t="s">
        <v>785</v>
      </c>
      <c r="I1144" s="31" t="n">
        <v>45683</v>
      </c>
      <c r="J1144" s="32" t="s">
        <v>2080</v>
      </c>
      <c r="K1144" s="0" t="n">
        <v>2</v>
      </c>
      <c r="L1144" s="32" t="s">
        <v>2081</v>
      </c>
      <c r="M1144" s="32" t="s">
        <v>2212</v>
      </c>
      <c r="N1144" s="0" t="n">
        <v>2</v>
      </c>
      <c r="O1144" s="32" t="s">
        <v>786</v>
      </c>
      <c r="P1144" s="32" t="s">
        <v>2121</v>
      </c>
      <c r="Q1144" s="32" t="s">
        <v>2170</v>
      </c>
      <c r="R1144" s="0" t="str">
        <f aca="false">IF(H1144="GEN","GM",H1144)</f>
        <v>RS</v>
      </c>
    </row>
    <row r="1145" customFormat="false" ht="15" hidden="false" customHeight="false" outlineLevel="0" collapsed="false">
      <c r="A1145" s="0" t="s">
        <v>3667</v>
      </c>
      <c r="B1145" s="0" t="s">
        <v>2407</v>
      </c>
      <c r="C1145" s="0" t="s">
        <v>1029</v>
      </c>
      <c r="D1145" s="31" t="n">
        <v>26284</v>
      </c>
      <c r="E1145" s="31" t="n">
        <v>45634</v>
      </c>
      <c r="F1145" s="32" t="s">
        <v>2087</v>
      </c>
      <c r="G1145" s="32" t="s">
        <v>2088</v>
      </c>
      <c r="H1145" s="32" t="s">
        <v>747</v>
      </c>
      <c r="I1145" s="31" t="n">
        <v>45642</v>
      </c>
      <c r="J1145" s="32" t="s">
        <v>2080</v>
      </c>
      <c r="K1145" s="0" t="n">
        <v>8</v>
      </c>
      <c r="L1145" s="32" t="s">
        <v>2081</v>
      </c>
      <c r="M1145" s="32" t="s">
        <v>2189</v>
      </c>
      <c r="N1145" s="0" t="n">
        <v>8</v>
      </c>
      <c r="O1145" s="32" t="s">
        <v>748</v>
      </c>
      <c r="P1145" s="32" t="s">
        <v>2142</v>
      </c>
      <c r="Q1145" s="32" t="s">
        <v>2241</v>
      </c>
      <c r="R1145" s="0" t="str">
        <f aca="false">IF(H1145="GEN","GM",H1145)</f>
        <v>GM</v>
      </c>
    </row>
    <row r="1146" customFormat="false" ht="15" hidden="false" customHeight="false" outlineLevel="0" collapsed="false">
      <c r="A1146" s="0" t="s">
        <v>3668</v>
      </c>
      <c r="B1146" s="0" t="s">
        <v>2577</v>
      </c>
      <c r="C1146" s="0" t="s">
        <v>962</v>
      </c>
      <c r="D1146" s="31" t="n">
        <v>38479</v>
      </c>
      <c r="E1146" s="31" t="n">
        <v>45655</v>
      </c>
      <c r="F1146" s="32" t="s">
        <v>2087</v>
      </c>
      <c r="G1146" s="32" t="s">
        <v>2088</v>
      </c>
      <c r="H1146" s="32" t="s">
        <v>826</v>
      </c>
      <c r="I1146" s="31" t="n">
        <v>45657</v>
      </c>
      <c r="J1146" s="32" t="s">
        <v>2080</v>
      </c>
      <c r="K1146" s="0" t="n">
        <v>2</v>
      </c>
      <c r="L1146" s="32" t="s">
        <v>2081</v>
      </c>
      <c r="M1146" s="32" t="s">
        <v>2100</v>
      </c>
      <c r="N1146" s="0" t="n">
        <v>2</v>
      </c>
      <c r="O1146" s="32" t="s">
        <v>827</v>
      </c>
      <c r="P1146" s="32" t="s">
        <v>2238</v>
      </c>
      <c r="Q1146" s="32" t="s">
        <v>2112</v>
      </c>
      <c r="R1146" s="0" t="str">
        <f aca="false">IF(H1146="GEN","GM",H1146)</f>
        <v>RHE</v>
      </c>
    </row>
    <row r="1147" customFormat="false" ht="15" hidden="false" customHeight="false" outlineLevel="0" collapsed="false">
      <c r="A1147" s="0" t="s">
        <v>3669</v>
      </c>
      <c r="B1147" s="0" t="s">
        <v>2205</v>
      </c>
      <c r="C1147" s="0" t="s">
        <v>914</v>
      </c>
      <c r="D1147" s="31" t="n">
        <v>14356</v>
      </c>
      <c r="E1147" s="31" t="n">
        <v>45730</v>
      </c>
      <c r="F1147" s="32" t="s">
        <v>2078</v>
      </c>
      <c r="G1147" s="32" t="s">
        <v>2079</v>
      </c>
      <c r="H1147" s="32" t="s">
        <v>810</v>
      </c>
      <c r="I1147" s="31" t="n">
        <v>45732</v>
      </c>
      <c r="J1147" s="32" t="s">
        <v>2080</v>
      </c>
      <c r="K1147" s="0" t="n">
        <v>2</v>
      </c>
      <c r="L1147" s="32" t="s">
        <v>2081</v>
      </c>
      <c r="M1147" s="32" t="s">
        <v>2207</v>
      </c>
      <c r="N1147" s="0" t="n">
        <v>2</v>
      </c>
      <c r="O1147" s="32" t="s">
        <v>811</v>
      </c>
      <c r="P1147" s="32" t="s">
        <v>2117</v>
      </c>
      <c r="Q1147" s="32" t="s">
        <v>2084</v>
      </c>
      <c r="R1147" s="0" t="str">
        <f aca="false">IF(H1147="GEN","GM",H1147)</f>
        <v>URO</v>
      </c>
    </row>
    <row r="1148" customFormat="false" ht="15" hidden="false" customHeight="false" outlineLevel="0" collapsed="false">
      <c r="A1148" s="0" t="s">
        <v>3670</v>
      </c>
      <c r="B1148" s="0" t="s">
        <v>3671</v>
      </c>
      <c r="C1148" s="0" t="s">
        <v>853</v>
      </c>
      <c r="D1148" s="31" t="n">
        <v>17975</v>
      </c>
      <c r="E1148" s="31" t="n">
        <v>45597</v>
      </c>
      <c r="F1148" s="32" t="s">
        <v>2078</v>
      </c>
      <c r="G1148" s="32" t="s">
        <v>2088</v>
      </c>
      <c r="H1148" s="32" t="s">
        <v>826</v>
      </c>
      <c r="I1148" s="31" t="n">
        <v>45599</v>
      </c>
      <c r="J1148" s="32" t="s">
        <v>2080</v>
      </c>
      <c r="K1148" s="0" t="n">
        <v>2</v>
      </c>
      <c r="L1148" s="32" t="s">
        <v>2081</v>
      </c>
      <c r="M1148" s="32" t="s">
        <v>2141</v>
      </c>
      <c r="N1148" s="0" t="n">
        <v>2</v>
      </c>
      <c r="O1148" s="32" t="s">
        <v>827</v>
      </c>
      <c r="P1148" s="32" t="s">
        <v>2095</v>
      </c>
      <c r="Q1148" s="32" t="s">
        <v>2084</v>
      </c>
      <c r="R1148" s="0" t="str">
        <f aca="false">IF(H1148="GEN","GM",H1148)</f>
        <v>RHE</v>
      </c>
    </row>
    <row r="1149" customFormat="false" ht="15" hidden="false" customHeight="false" outlineLevel="0" collapsed="false">
      <c r="A1149" s="0" t="s">
        <v>3672</v>
      </c>
      <c r="B1149" s="0" t="s">
        <v>3543</v>
      </c>
      <c r="C1149" s="0" t="s">
        <v>809</v>
      </c>
      <c r="D1149" s="31" t="n">
        <v>27561</v>
      </c>
      <c r="E1149" s="31" t="n">
        <v>45584</v>
      </c>
      <c r="F1149" s="32" t="s">
        <v>2087</v>
      </c>
      <c r="G1149" s="32" t="s">
        <v>2088</v>
      </c>
      <c r="H1149" s="32" t="s">
        <v>826</v>
      </c>
      <c r="I1149" s="31" t="n">
        <v>45593</v>
      </c>
      <c r="J1149" s="32" t="s">
        <v>2080</v>
      </c>
      <c r="K1149" s="0" t="n">
        <v>9</v>
      </c>
      <c r="L1149" s="32" t="s">
        <v>2106</v>
      </c>
      <c r="M1149" s="32" t="s">
        <v>2100</v>
      </c>
      <c r="N1149" s="0" t="n">
        <v>9</v>
      </c>
      <c r="O1149" s="32" t="s">
        <v>827</v>
      </c>
      <c r="P1149" s="32" t="s">
        <v>2095</v>
      </c>
      <c r="Q1149" s="32" t="s">
        <v>2118</v>
      </c>
      <c r="R1149" s="0" t="str">
        <f aca="false">IF(H1149="GEN","GM",H1149)</f>
        <v>RHE</v>
      </c>
    </row>
    <row r="1150" customFormat="false" ht="15" hidden="false" customHeight="false" outlineLevel="0" collapsed="false">
      <c r="A1150" s="0" t="s">
        <v>3673</v>
      </c>
      <c r="B1150" s="0" t="s">
        <v>3674</v>
      </c>
      <c r="C1150" s="0" t="s">
        <v>1460</v>
      </c>
      <c r="D1150" s="31" t="n">
        <v>14605</v>
      </c>
      <c r="E1150" s="31" t="n">
        <v>45672</v>
      </c>
      <c r="F1150" s="32" t="s">
        <v>2078</v>
      </c>
      <c r="G1150" s="32" t="s">
        <v>2088</v>
      </c>
      <c r="H1150" s="32" t="s">
        <v>793</v>
      </c>
      <c r="I1150" s="31" t="n">
        <v>45673</v>
      </c>
      <c r="J1150" s="32" t="s">
        <v>2080</v>
      </c>
      <c r="K1150" s="0" t="n">
        <v>1</v>
      </c>
      <c r="L1150" s="32" t="s">
        <v>2081</v>
      </c>
      <c r="N1150" s="0" t="n">
        <v>1</v>
      </c>
      <c r="O1150" s="32" t="s">
        <v>794</v>
      </c>
      <c r="Q1150" s="32" t="s">
        <v>2125</v>
      </c>
      <c r="R1150" s="0" t="str">
        <f aca="false">IF(H1150="GEN","GM",H1150)</f>
        <v>EM</v>
      </c>
    </row>
    <row r="1151" customFormat="false" ht="15" hidden="false" customHeight="false" outlineLevel="0" collapsed="false">
      <c r="A1151" s="0" t="s">
        <v>3675</v>
      </c>
      <c r="B1151" s="0" t="s">
        <v>3043</v>
      </c>
      <c r="C1151" s="0" t="s">
        <v>930</v>
      </c>
      <c r="D1151" s="31" t="n">
        <v>25236</v>
      </c>
      <c r="E1151" s="31" t="n">
        <v>45632</v>
      </c>
      <c r="F1151" s="32" t="s">
        <v>2087</v>
      </c>
      <c r="G1151" s="32" t="s">
        <v>2079</v>
      </c>
      <c r="H1151" s="32" t="s">
        <v>810</v>
      </c>
      <c r="I1151" s="31" t="n">
        <v>45637</v>
      </c>
      <c r="J1151" s="32" t="s">
        <v>2080</v>
      </c>
      <c r="K1151" s="0" t="n">
        <v>-3</v>
      </c>
      <c r="L1151" s="32" t="s">
        <v>2081</v>
      </c>
      <c r="M1151" s="32" t="s">
        <v>2161</v>
      </c>
      <c r="N1151" s="0" t="n">
        <v>-3</v>
      </c>
      <c r="O1151" s="32" t="s">
        <v>811</v>
      </c>
      <c r="P1151" s="32" t="s">
        <v>2117</v>
      </c>
      <c r="Q1151" s="32" t="s">
        <v>2259</v>
      </c>
      <c r="R1151" s="0" t="str">
        <f aca="false">IF(H1151="GEN","GM",H1151)</f>
        <v>URO</v>
      </c>
    </row>
    <row r="1152" customFormat="false" ht="15" hidden="false" customHeight="false" outlineLevel="0" collapsed="false">
      <c r="A1152" s="0" t="s">
        <v>3676</v>
      </c>
      <c r="B1152" s="0" t="s">
        <v>2361</v>
      </c>
      <c r="C1152" s="0" t="s">
        <v>918</v>
      </c>
      <c r="D1152" s="31" t="n">
        <v>30174</v>
      </c>
      <c r="E1152" s="31" t="n">
        <v>45588</v>
      </c>
      <c r="F1152" s="32" t="s">
        <v>2078</v>
      </c>
      <c r="G1152" s="32" t="s">
        <v>2099</v>
      </c>
      <c r="H1152" s="32" t="s">
        <v>818</v>
      </c>
      <c r="I1152" s="31" t="n">
        <v>45590</v>
      </c>
      <c r="J1152" s="32" t="s">
        <v>2080</v>
      </c>
      <c r="K1152" s="0" t="n">
        <v>2</v>
      </c>
      <c r="L1152" s="32" t="s">
        <v>2081</v>
      </c>
      <c r="M1152" s="32" t="s">
        <v>2207</v>
      </c>
      <c r="N1152" s="0" t="n">
        <v>2</v>
      </c>
      <c r="O1152" s="32" t="s">
        <v>819</v>
      </c>
      <c r="P1152" s="32" t="s">
        <v>2142</v>
      </c>
      <c r="Q1152" s="32" t="s">
        <v>2125</v>
      </c>
      <c r="R1152" s="0" t="str">
        <f aca="false">IF(H1152="GEN","GM",H1152)</f>
        <v>OPH</v>
      </c>
    </row>
    <row r="1153" customFormat="false" ht="15" hidden="false" customHeight="false" outlineLevel="0" collapsed="false">
      <c r="A1153" s="0" t="s">
        <v>3677</v>
      </c>
      <c r="B1153" s="0" t="s">
        <v>2444</v>
      </c>
      <c r="C1153" s="0" t="s">
        <v>882</v>
      </c>
      <c r="D1153" s="31" t="n">
        <v>18364</v>
      </c>
      <c r="E1153" s="31" t="n">
        <v>45638</v>
      </c>
      <c r="F1153" s="32" t="s">
        <v>2087</v>
      </c>
      <c r="G1153" s="32" t="s">
        <v>2099</v>
      </c>
      <c r="H1153" s="32" t="s">
        <v>766</v>
      </c>
      <c r="I1153" s="31" t="n">
        <v>45638</v>
      </c>
      <c r="J1153" s="32" t="s">
        <v>2080</v>
      </c>
      <c r="K1153" s="0" t="n">
        <v>0</v>
      </c>
      <c r="L1153" s="32" t="s">
        <v>2081</v>
      </c>
      <c r="M1153" s="32" t="s">
        <v>2161</v>
      </c>
      <c r="N1153" s="0" t="n">
        <v>0</v>
      </c>
      <c r="O1153" s="32" t="s">
        <v>767</v>
      </c>
      <c r="P1153" s="32" t="s">
        <v>2083</v>
      </c>
      <c r="Q1153" s="32" t="s">
        <v>2084</v>
      </c>
      <c r="R1153" s="0" t="str">
        <f aca="false">IF(H1153="GEN","GM",H1153)</f>
        <v>OR</v>
      </c>
    </row>
    <row r="1154" customFormat="false" ht="15" hidden="false" customHeight="false" outlineLevel="0" collapsed="false">
      <c r="A1154" s="0" t="s">
        <v>3678</v>
      </c>
      <c r="B1154" s="0" t="s">
        <v>2413</v>
      </c>
      <c r="C1154" s="0" t="s">
        <v>801</v>
      </c>
      <c r="D1154" s="31" t="n">
        <v>24397</v>
      </c>
      <c r="E1154" s="31" t="n">
        <v>45600</v>
      </c>
      <c r="F1154" s="32" t="s">
        <v>2087</v>
      </c>
      <c r="G1154" s="32" t="s">
        <v>2088</v>
      </c>
      <c r="H1154" s="32" t="s">
        <v>793</v>
      </c>
      <c r="I1154" s="31" t="n">
        <v>45601</v>
      </c>
      <c r="J1154" s="32" t="s">
        <v>2368</v>
      </c>
      <c r="K1154" s="0" t="n">
        <v>1</v>
      </c>
      <c r="L1154" s="32" t="s">
        <v>2081</v>
      </c>
      <c r="M1154" s="32" t="s">
        <v>2286</v>
      </c>
      <c r="N1154" s="0" t="n">
        <v>1</v>
      </c>
      <c r="O1154" s="32" t="s">
        <v>794</v>
      </c>
      <c r="P1154" s="32" t="s">
        <v>2179</v>
      </c>
      <c r="Q1154" s="32" t="s">
        <v>2198</v>
      </c>
      <c r="R1154" s="0" t="str">
        <f aca="false">IF(H1154="GEN","GM",H1154)</f>
        <v>EM</v>
      </c>
    </row>
    <row r="1155" customFormat="false" ht="15" hidden="false" customHeight="false" outlineLevel="0" collapsed="false">
      <c r="A1155" s="0" t="s">
        <v>3679</v>
      </c>
      <c r="B1155" s="0" t="s">
        <v>2763</v>
      </c>
      <c r="C1155" s="0" t="s">
        <v>962</v>
      </c>
      <c r="D1155" s="31" t="n">
        <v>25241</v>
      </c>
      <c r="E1155" s="31" t="n">
        <v>45601</v>
      </c>
      <c r="F1155" s="32" t="s">
        <v>2078</v>
      </c>
      <c r="G1155" s="32" t="s">
        <v>2104</v>
      </c>
      <c r="H1155" s="32" t="s">
        <v>802</v>
      </c>
      <c r="I1155" s="31" t="n">
        <v>45604</v>
      </c>
      <c r="J1155" s="32" t="s">
        <v>2160</v>
      </c>
      <c r="K1155" s="0" t="n">
        <v>3</v>
      </c>
      <c r="L1155" s="32" t="s">
        <v>2081</v>
      </c>
      <c r="M1155" s="32" t="s">
        <v>2161</v>
      </c>
      <c r="N1155" s="0" t="n">
        <v>3</v>
      </c>
      <c r="O1155" s="32" t="s">
        <v>803</v>
      </c>
      <c r="P1155" s="32" t="s">
        <v>2175</v>
      </c>
      <c r="Q1155" s="32" t="s">
        <v>2241</v>
      </c>
      <c r="R1155" s="0" t="str">
        <f aca="false">IF(H1155="GEN","GM",H1155)</f>
        <v>GYN</v>
      </c>
    </row>
    <row r="1156" customFormat="false" ht="15" hidden="false" customHeight="false" outlineLevel="0" collapsed="false">
      <c r="A1156" s="0" t="s">
        <v>3680</v>
      </c>
      <c r="B1156" s="0" t="s">
        <v>3003</v>
      </c>
      <c r="C1156" s="0" t="s">
        <v>946</v>
      </c>
      <c r="D1156" s="31" t="n">
        <v>20882</v>
      </c>
      <c r="E1156" s="31" t="n">
        <v>45715</v>
      </c>
      <c r="F1156" s="32" t="s">
        <v>2087</v>
      </c>
      <c r="G1156" s="32" t="s">
        <v>2115</v>
      </c>
      <c r="H1156" s="32" t="s">
        <v>758</v>
      </c>
      <c r="I1156" s="31" t="n">
        <v>45724</v>
      </c>
      <c r="J1156" s="32" t="s">
        <v>2368</v>
      </c>
      <c r="K1156" s="0" t="n">
        <v>9</v>
      </c>
      <c r="L1156" s="32" t="s">
        <v>2081</v>
      </c>
      <c r="M1156" s="32" t="s">
        <v>2227</v>
      </c>
      <c r="N1156" s="0" t="n">
        <v>9</v>
      </c>
      <c r="O1156" s="32" t="s">
        <v>759</v>
      </c>
      <c r="P1156" s="32" t="s">
        <v>2095</v>
      </c>
      <c r="Q1156" s="32" t="s">
        <v>2170</v>
      </c>
      <c r="R1156" s="0" t="str">
        <f aca="false">IF(H1156="GEN","GM",H1156)</f>
        <v>CS</v>
      </c>
    </row>
    <row r="1157" customFormat="false" ht="15" hidden="false" customHeight="false" outlineLevel="0" collapsed="false">
      <c r="A1157" s="0" t="s">
        <v>3681</v>
      </c>
      <c r="B1157" s="0" t="s">
        <v>2250</v>
      </c>
      <c r="C1157" s="0" t="s">
        <v>870</v>
      </c>
      <c r="D1157" s="31" t="n">
        <v>12842</v>
      </c>
      <c r="E1157" s="31" t="n">
        <v>45604</v>
      </c>
      <c r="F1157" s="32" t="s">
        <v>2078</v>
      </c>
      <c r="G1157" s="32" t="s">
        <v>2115</v>
      </c>
      <c r="H1157" s="32" t="s">
        <v>758</v>
      </c>
      <c r="I1157" s="31" t="n">
        <v>45605</v>
      </c>
      <c r="J1157" s="32" t="s">
        <v>2080</v>
      </c>
      <c r="K1157" s="0" t="n">
        <v>1</v>
      </c>
      <c r="L1157" s="32" t="s">
        <v>2081</v>
      </c>
      <c r="M1157" s="32" t="s">
        <v>2161</v>
      </c>
      <c r="N1157" s="0" t="n">
        <v>1</v>
      </c>
      <c r="O1157" s="32" t="s">
        <v>759</v>
      </c>
      <c r="P1157" s="32" t="s">
        <v>2238</v>
      </c>
      <c r="Q1157" s="32" t="s">
        <v>2091</v>
      </c>
      <c r="R1157" s="0" t="str">
        <f aca="false">IF(H1157="GEN","GM",H1157)</f>
        <v>CS</v>
      </c>
    </row>
    <row r="1158" customFormat="false" ht="15" hidden="false" customHeight="false" outlineLevel="0" collapsed="false">
      <c r="A1158" s="0" t="s">
        <v>3682</v>
      </c>
      <c r="B1158" s="0" t="s">
        <v>2567</v>
      </c>
      <c r="C1158" s="0" t="s">
        <v>918</v>
      </c>
      <c r="D1158" s="31" t="n">
        <v>30916</v>
      </c>
      <c r="E1158" s="31" t="n">
        <v>45635</v>
      </c>
      <c r="F1158" s="32" t="s">
        <v>2078</v>
      </c>
      <c r="G1158" s="32" t="s">
        <v>2115</v>
      </c>
      <c r="H1158" s="32" t="s">
        <v>758</v>
      </c>
      <c r="I1158" s="31" t="n">
        <v>45638</v>
      </c>
      <c r="J1158" s="32" t="s">
        <v>2307</v>
      </c>
      <c r="K1158" s="0" t="n">
        <v>3</v>
      </c>
      <c r="L1158" s="32" t="s">
        <v>2081</v>
      </c>
      <c r="M1158" s="32" t="s">
        <v>2082</v>
      </c>
      <c r="N1158" s="0" t="n">
        <v>3</v>
      </c>
      <c r="O1158" s="32" t="s">
        <v>759</v>
      </c>
      <c r="P1158" s="32" t="s">
        <v>2222</v>
      </c>
      <c r="Q1158" s="32" t="s">
        <v>2125</v>
      </c>
      <c r="R1158" s="0" t="str">
        <f aca="false">IF(H1158="GEN","GM",H1158)</f>
        <v>CS</v>
      </c>
    </row>
    <row r="1159" customFormat="false" ht="15" hidden="false" customHeight="false" outlineLevel="0" collapsed="false">
      <c r="A1159" s="0" t="s">
        <v>3683</v>
      </c>
      <c r="B1159" s="0" t="s">
        <v>2301</v>
      </c>
      <c r="C1159" s="0" t="s">
        <v>878</v>
      </c>
      <c r="D1159" s="31" t="n">
        <v>23868</v>
      </c>
      <c r="E1159" s="31" t="n">
        <v>45630</v>
      </c>
      <c r="F1159" s="32" t="s">
        <v>2087</v>
      </c>
      <c r="G1159" s="32" t="s">
        <v>2099</v>
      </c>
      <c r="H1159" s="32" t="s">
        <v>766</v>
      </c>
      <c r="I1159" s="31" t="n">
        <v>45633</v>
      </c>
      <c r="J1159" s="32" t="s">
        <v>2080</v>
      </c>
      <c r="K1159" s="0" t="n">
        <v>3</v>
      </c>
      <c r="M1159" s="32" t="s">
        <v>2132</v>
      </c>
      <c r="N1159" s="0" t="n">
        <v>3</v>
      </c>
      <c r="O1159" s="32" t="s">
        <v>767</v>
      </c>
      <c r="P1159" s="32" t="s">
        <v>2213</v>
      </c>
      <c r="Q1159" s="32" t="s">
        <v>2190</v>
      </c>
      <c r="R1159" s="0" t="str">
        <f aca="false">IF(H1159="GEN","GM",H1159)</f>
        <v>OR</v>
      </c>
    </row>
    <row r="1160" customFormat="false" ht="15" hidden="false" customHeight="false" outlineLevel="0" collapsed="false">
      <c r="A1160" s="0" t="s">
        <v>3684</v>
      </c>
      <c r="B1160" s="0" t="s">
        <v>2640</v>
      </c>
      <c r="C1160" s="0" t="s">
        <v>1402</v>
      </c>
      <c r="D1160" s="31" t="n">
        <v>30691</v>
      </c>
      <c r="E1160" s="31" t="n">
        <v>45675</v>
      </c>
      <c r="F1160" s="32" t="s">
        <v>2087</v>
      </c>
      <c r="G1160" s="32" t="s">
        <v>2088</v>
      </c>
      <c r="H1160" s="32" t="s">
        <v>826</v>
      </c>
      <c r="I1160" s="31" t="n">
        <v>45681</v>
      </c>
      <c r="J1160" s="32" t="s">
        <v>2105</v>
      </c>
      <c r="K1160" s="0" t="n">
        <v>6</v>
      </c>
      <c r="L1160" s="32" t="s">
        <v>2081</v>
      </c>
      <c r="M1160" s="32" t="s">
        <v>2136</v>
      </c>
      <c r="N1160" s="0" t="n">
        <v>6</v>
      </c>
      <c r="O1160" s="32" t="s">
        <v>827</v>
      </c>
      <c r="P1160" s="32" t="s">
        <v>2101</v>
      </c>
      <c r="Q1160" s="32" t="s">
        <v>2096</v>
      </c>
      <c r="R1160" s="0" t="str">
        <f aca="false">IF(H1160="GEN","GM",H1160)</f>
        <v>RHE</v>
      </c>
    </row>
    <row r="1161" customFormat="false" ht="15" hidden="false" customHeight="false" outlineLevel="0" collapsed="false">
      <c r="A1161" s="0" t="s">
        <v>3685</v>
      </c>
      <c r="B1161" s="0" t="s">
        <v>2342</v>
      </c>
      <c r="C1161" s="0" t="s">
        <v>784</v>
      </c>
      <c r="D1161" s="31" t="n">
        <v>29983</v>
      </c>
      <c r="E1161" s="31" t="n">
        <v>45684</v>
      </c>
      <c r="F1161" s="32" t="s">
        <v>2087</v>
      </c>
      <c r="G1161" s="32" t="s">
        <v>2079</v>
      </c>
      <c r="H1161" s="32" t="s">
        <v>810</v>
      </c>
      <c r="I1161" s="31" t="n">
        <v>45691</v>
      </c>
      <c r="J1161" s="32" t="s">
        <v>2080</v>
      </c>
      <c r="K1161" s="0" t="n">
        <v>7</v>
      </c>
      <c r="L1161" s="32" t="s">
        <v>2081</v>
      </c>
      <c r="M1161" s="32" t="s">
        <v>2089</v>
      </c>
      <c r="N1161" s="0" t="n">
        <v>7</v>
      </c>
      <c r="O1161" s="32" t="s">
        <v>811</v>
      </c>
      <c r="P1161" s="32" t="s">
        <v>2137</v>
      </c>
      <c r="Q1161" s="32" t="s">
        <v>2153</v>
      </c>
      <c r="R1161" s="0" t="str">
        <f aca="false">IF(H1161="GEN","GM",H1161)</f>
        <v>URO</v>
      </c>
    </row>
    <row r="1162" customFormat="false" ht="15" hidden="false" customHeight="false" outlineLevel="0" collapsed="false">
      <c r="A1162" s="0" t="s">
        <v>3686</v>
      </c>
      <c r="B1162" s="0" t="s">
        <v>3687</v>
      </c>
      <c r="C1162" s="0" t="s">
        <v>2148</v>
      </c>
      <c r="D1162" s="31" t="n">
        <v>27734</v>
      </c>
      <c r="E1162" s="31" t="n">
        <v>45713</v>
      </c>
      <c r="F1162" s="32" t="s">
        <v>2078</v>
      </c>
      <c r="G1162" s="32" t="s">
        <v>2099</v>
      </c>
      <c r="H1162" s="32" t="s">
        <v>818</v>
      </c>
      <c r="I1162" s="31" t="n">
        <v>45714</v>
      </c>
      <c r="J1162" s="32" t="s">
        <v>2080</v>
      </c>
      <c r="K1162" s="0" t="n">
        <v>1</v>
      </c>
      <c r="L1162" s="32" t="s">
        <v>2081</v>
      </c>
      <c r="N1162" s="0" t="n">
        <v>1</v>
      </c>
      <c r="O1162" s="32" t="s">
        <v>819</v>
      </c>
      <c r="P1162" s="32" t="s">
        <v>2179</v>
      </c>
      <c r="Q1162" s="32" t="s">
        <v>2084</v>
      </c>
      <c r="R1162" s="0" t="str">
        <f aca="false">IF(H1162="GEN","GM",H1162)</f>
        <v>OPH</v>
      </c>
    </row>
    <row r="1163" customFormat="false" ht="15" hidden="false" customHeight="false" outlineLevel="0" collapsed="false">
      <c r="A1163" s="0" t="s">
        <v>3688</v>
      </c>
      <c r="B1163" s="0" t="s">
        <v>2800</v>
      </c>
      <c r="C1163" s="0" t="s">
        <v>910</v>
      </c>
      <c r="D1163" s="31" t="n">
        <v>16700</v>
      </c>
      <c r="E1163" s="31" t="n">
        <v>45717</v>
      </c>
      <c r="F1163" s="32" t="s">
        <v>2087</v>
      </c>
      <c r="G1163" s="32" t="s">
        <v>2115</v>
      </c>
      <c r="H1163" s="32" t="s">
        <v>758</v>
      </c>
      <c r="I1163" s="31" t="n">
        <v>45719</v>
      </c>
      <c r="J1163" s="32" t="s">
        <v>2080</v>
      </c>
      <c r="K1163" s="0" t="n">
        <v>2</v>
      </c>
      <c r="L1163" s="32" t="s">
        <v>2081</v>
      </c>
      <c r="M1163" s="32" t="s">
        <v>2141</v>
      </c>
      <c r="N1163" s="0" t="n">
        <v>2</v>
      </c>
      <c r="O1163" s="32" t="s">
        <v>759</v>
      </c>
      <c r="P1163" s="32" t="s">
        <v>2175</v>
      </c>
      <c r="Q1163" s="32" t="s">
        <v>2138</v>
      </c>
      <c r="R1163" s="0" t="str">
        <f aca="false">IF(H1163="GEN","GM",H1163)</f>
        <v>CS</v>
      </c>
    </row>
    <row r="1164" customFormat="false" ht="15" hidden="false" customHeight="false" outlineLevel="0" collapsed="false">
      <c r="A1164" s="0" t="s">
        <v>3689</v>
      </c>
      <c r="B1164" s="0" t="s">
        <v>3690</v>
      </c>
      <c r="C1164" s="0" t="s">
        <v>2225</v>
      </c>
      <c r="D1164" s="31" t="n">
        <v>26256</v>
      </c>
      <c r="E1164" s="31" t="n">
        <v>45672</v>
      </c>
      <c r="F1164" s="32" t="s">
        <v>2087</v>
      </c>
      <c r="G1164" s="32" t="s">
        <v>2088</v>
      </c>
      <c r="H1164" s="32" t="s">
        <v>793</v>
      </c>
      <c r="I1164" s="31" t="n">
        <v>45674</v>
      </c>
      <c r="J1164" s="32" t="s">
        <v>2080</v>
      </c>
      <c r="K1164" s="0" t="n">
        <v>2</v>
      </c>
      <c r="L1164" s="32" t="s">
        <v>2081</v>
      </c>
      <c r="M1164" s="32" t="s">
        <v>2189</v>
      </c>
      <c r="N1164" s="0" t="n">
        <v>2</v>
      </c>
      <c r="O1164" s="32" t="s">
        <v>794</v>
      </c>
      <c r="P1164" s="32" t="s">
        <v>2213</v>
      </c>
      <c r="Q1164" s="32" t="s">
        <v>2190</v>
      </c>
      <c r="R1164" s="0" t="str">
        <f aca="false">IF(H1164="GEN","GM",H1164)</f>
        <v>EM</v>
      </c>
    </row>
    <row r="1165" customFormat="false" ht="15" hidden="false" customHeight="false" outlineLevel="0" collapsed="false">
      <c r="A1165" s="0" t="s">
        <v>3691</v>
      </c>
      <c r="B1165" s="0" t="s">
        <v>2677</v>
      </c>
      <c r="C1165" s="0" t="s">
        <v>894</v>
      </c>
      <c r="D1165" s="31" t="n">
        <v>21886</v>
      </c>
      <c r="E1165" s="31" t="n">
        <v>45656</v>
      </c>
      <c r="F1165" s="32" t="s">
        <v>2087</v>
      </c>
      <c r="G1165" s="32" t="s">
        <v>2115</v>
      </c>
      <c r="H1165" s="32" t="s">
        <v>758</v>
      </c>
      <c r="I1165" s="31" t="n">
        <v>45657</v>
      </c>
      <c r="J1165" s="32" t="s">
        <v>2080</v>
      </c>
      <c r="K1165" s="0" t="n">
        <v>1</v>
      </c>
      <c r="L1165" s="32" t="s">
        <v>2081</v>
      </c>
      <c r="M1165" s="32" t="s">
        <v>2255</v>
      </c>
      <c r="N1165" s="0" t="n">
        <v>1</v>
      </c>
      <c r="O1165" s="32" t="s">
        <v>759</v>
      </c>
      <c r="Q1165" s="32" t="s">
        <v>2198</v>
      </c>
      <c r="R1165" s="0" t="str">
        <f aca="false">IF(H1165="GEN","GM",H1165)</f>
        <v>CS</v>
      </c>
    </row>
    <row r="1166" customFormat="false" ht="15" hidden="false" customHeight="false" outlineLevel="0" collapsed="false">
      <c r="A1166" s="0" t="s">
        <v>3692</v>
      </c>
      <c r="B1166" s="0" t="s">
        <v>3693</v>
      </c>
      <c r="C1166" s="0" t="s">
        <v>817</v>
      </c>
      <c r="D1166" s="31" t="n">
        <v>35536</v>
      </c>
      <c r="E1166" s="31" t="n">
        <v>45690</v>
      </c>
      <c r="F1166" s="32" t="s">
        <v>2087</v>
      </c>
      <c r="G1166" s="32" t="s">
        <v>2124</v>
      </c>
      <c r="H1166" s="32" t="s">
        <v>785</v>
      </c>
      <c r="I1166" s="31" t="n">
        <v>45697</v>
      </c>
      <c r="J1166" s="32" t="s">
        <v>2105</v>
      </c>
      <c r="K1166" s="0" t="n">
        <v>7</v>
      </c>
      <c r="L1166" s="32" t="s">
        <v>2081</v>
      </c>
      <c r="M1166" s="32" t="s">
        <v>2152</v>
      </c>
      <c r="N1166" s="0" t="n">
        <v>7</v>
      </c>
      <c r="O1166" s="32" t="s">
        <v>786</v>
      </c>
      <c r="P1166" s="32" t="s">
        <v>2222</v>
      </c>
      <c r="Q1166" s="32" t="s">
        <v>2179</v>
      </c>
      <c r="R1166" s="0" t="str">
        <f aca="false">IF(H1166="GEN","GM",H1166)</f>
        <v>RS</v>
      </c>
    </row>
    <row r="1167" customFormat="false" ht="15" hidden="false" customHeight="false" outlineLevel="0" collapsed="false">
      <c r="A1167" s="0" t="s">
        <v>3694</v>
      </c>
      <c r="B1167" s="0" t="s">
        <v>2989</v>
      </c>
      <c r="C1167" s="0" t="s">
        <v>2225</v>
      </c>
      <c r="D1167" s="31" t="n">
        <v>23556</v>
      </c>
      <c r="E1167" s="31" t="n">
        <v>45596</v>
      </c>
      <c r="F1167" s="32" t="s">
        <v>2078</v>
      </c>
      <c r="G1167" s="32" t="s">
        <v>2088</v>
      </c>
      <c r="H1167" s="32" t="s">
        <v>793</v>
      </c>
      <c r="I1167" s="31" t="n">
        <v>45597</v>
      </c>
      <c r="J1167" s="32" t="s">
        <v>2160</v>
      </c>
      <c r="K1167" s="0" t="n">
        <v>1</v>
      </c>
      <c r="L1167" s="32" t="s">
        <v>2081</v>
      </c>
      <c r="M1167" s="32" t="s">
        <v>2195</v>
      </c>
      <c r="N1167" s="0" t="n">
        <v>1</v>
      </c>
      <c r="O1167" s="32" t="s">
        <v>794</v>
      </c>
      <c r="P1167" s="32" t="s">
        <v>2162</v>
      </c>
      <c r="Q1167" s="32" t="s">
        <v>2107</v>
      </c>
      <c r="R1167" s="0" t="str">
        <f aca="false">IF(H1167="GEN","GM",H1167)</f>
        <v>EM</v>
      </c>
    </row>
    <row r="1168" customFormat="false" ht="15" hidden="false" customHeight="false" outlineLevel="0" collapsed="false">
      <c r="A1168" s="0" t="s">
        <v>3695</v>
      </c>
      <c r="C1168" s="0" t="s">
        <v>1426</v>
      </c>
      <c r="D1168" s="31" t="n">
        <v>36347</v>
      </c>
      <c r="E1168" s="31" t="n">
        <v>45714</v>
      </c>
      <c r="F1168" s="32" t="s">
        <v>2160</v>
      </c>
      <c r="G1168" s="32" t="s">
        <v>2104</v>
      </c>
      <c r="H1168" s="32" t="s">
        <v>802</v>
      </c>
      <c r="I1168" s="31" t="n">
        <v>45722</v>
      </c>
      <c r="J1168" s="32" t="s">
        <v>2080</v>
      </c>
      <c r="K1168" s="0" t="n">
        <v>8</v>
      </c>
      <c r="L1168" s="32" t="s">
        <v>2081</v>
      </c>
      <c r="M1168" s="32" t="s">
        <v>2152</v>
      </c>
      <c r="N1168" s="0" t="n">
        <v>8</v>
      </c>
      <c r="O1168" s="32" t="s">
        <v>803</v>
      </c>
      <c r="P1168" s="32" t="s">
        <v>2238</v>
      </c>
      <c r="Q1168" s="32" t="s">
        <v>2244</v>
      </c>
      <c r="R1168" s="0" t="str">
        <f aca="false">IF(H1168="GEN","GM",H1168)</f>
        <v>GYN</v>
      </c>
    </row>
    <row r="1169" customFormat="false" ht="15" hidden="false" customHeight="false" outlineLevel="0" collapsed="false">
      <c r="A1169" s="0" t="s">
        <v>3696</v>
      </c>
      <c r="B1169" s="0" t="s">
        <v>2589</v>
      </c>
      <c r="C1169" s="0" t="s">
        <v>825</v>
      </c>
      <c r="D1169" s="31" t="n">
        <v>24490</v>
      </c>
      <c r="E1169" s="31" t="n">
        <v>45674</v>
      </c>
      <c r="F1169" s="32" t="s">
        <v>2078</v>
      </c>
      <c r="G1169" s="32" t="s">
        <v>2099</v>
      </c>
      <c r="H1169" s="32" t="s">
        <v>818</v>
      </c>
      <c r="I1169" s="31" t="n">
        <v>45677</v>
      </c>
      <c r="J1169" s="32" t="s">
        <v>2080</v>
      </c>
      <c r="K1169" s="0" t="n">
        <v>3</v>
      </c>
      <c r="L1169" s="32" t="s">
        <v>2081</v>
      </c>
      <c r="M1169" s="32" t="s">
        <v>2141</v>
      </c>
      <c r="N1169" s="0" t="n">
        <v>3</v>
      </c>
      <c r="O1169" s="32" t="s">
        <v>819</v>
      </c>
      <c r="P1169" s="32" t="s">
        <v>2201</v>
      </c>
      <c r="Q1169" s="32" t="s">
        <v>2138</v>
      </c>
      <c r="R1169" s="0" t="str">
        <f aca="false">IF(H1169="GEN","GM",H1169)</f>
        <v>OPH</v>
      </c>
    </row>
    <row r="1170" customFormat="false" ht="15" hidden="false" customHeight="false" outlineLevel="0" collapsed="false">
      <c r="A1170" s="0" t="s">
        <v>3697</v>
      </c>
      <c r="B1170" s="0" t="s">
        <v>2728</v>
      </c>
      <c r="C1170" s="0" t="s">
        <v>902</v>
      </c>
      <c r="D1170" s="31" t="n">
        <v>22411</v>
      </c>
      <c r="E1170" s="31" t="n">
        <v>45571</v>
      </c>
      <c r="F1170" s="32" t="s">
        <v>2078</v>
      </c>
      <c r="G1170" s="32" t="s">
        <v>2088</v>
      </c>
      <c r="H1170" s="32" t="s">
        <v>793</v>
      </c>
      <c r="I1170" s="31" t="n">
        <v>45573</v>
      </c>
      <c r="J1170" s="32" t="s">
        <v>2080</v>
      </c>
      <c r="K1170" s="0" t="n">
        <v>2</v>
      </c>
      <c r="L1170" s="32" t="s">
        <v>2081</v>
      </c>
      <c r="M1170" s="32" t="s">
        <v>2128</v>
      </c>
      <c r="N1170" s="0" t="n">
        <v>2</v>
      </c>
      <c r="O1170" s="32" t="s">
        <v>794</v>
      </c>
      <c r="P1170" s="32" t="s">
        <v>2179</v>
      </c>
      <c r="Q1170" s="32" t="s">
        <v>2241</v>
      </c>
      <c r="R1170" s="0" t="str">
        <f aca="false">IF(H1170="GEN","GM",H1170)</f>
        <v>EM</v>
      </c>
    </row>
    <row r="1171" customFormat="false" ht="15" hidden="false" customHeight="false" outlineLevel="0" collapsed="false">
      <c r="A1171" s="0" t="s">
        <v>3698</v>
      </c>
      <c r="B1171" s="0" t="s">
        <v>2402</v>
      </c>
      <c r="C1171" s="0" t="s">
        <v>910</v>
      </c>
      <c r="D1171" s="31" t="n">
        <v>29427</v>
      </c>
      <c r="E1171" s="31" t="n">
        <v>45585</v>
      </c>
      <c r="F1171" s="32" t="s">
        <v>2087</v>
      </c>
      <c r="G1171" s="32" t="s">
        <v>2115</v>
      </c>
      <c r="H1171" s="32" t="s">
        <v>758</v>
      </c>
      <c r="I1171" s="31" t="n">
        <v>45591</v>
      </c>
      <c r="J1171" s="32" t="s">
        <v>2160</v>
      </c>
      <c r="K1171" s="0" t="n">
        <v>6</v>
      </c>
      <c r="L1171" s="32" t="s">
        <v>2081</v>
      </c>
      <c r="M1171" s="32" t="s">
        <v>2100</v>
      </c>
      <c r="N1171" s="0" t="n">
        <v>6</v>
      </c>
      <c r="O1171" s="32" t="s">
        <v>759</v>
      </c>
      <c r="P1171" s="32" t="s">
        <v>2149</v>
      </c>
      <c r="Q1171" s="32" t="s">
        <v>2165</v>
      </c>
      <c r="R1171" s="0" t="str">
        <f aca="false">IF(H1171="GEN","GM",H1171)</f>
        <v>CS</v>
      </c>
    </row>
    <row r="1172" customFormat="false" ht="15" hidden="false" customHeight="false" outlineLevel="0" collapsed="false">
      <c r="A1172" s="0" t="s">
        <v>3699</v>
      </c>
      <c r="B1172" s="0" t="s">
        <v>2381</v>
      </c>
      <c r="C1172" s="0" t="s">
        <v>825</v>
      </c>
      <c r="D1172" s="31" t="n">
        <v>18738</v>
      </c>
      <c r="E1172" s="31" t="n">
        <v>45607</v>
      </c>
      <c r="F1172" s="32" t="s">
        <v>2087</v>
      </c>
      <c r="G1172" s="32" t="s">
        <v>2088</v>
      </c>
      <c r="H1172" s="32" t="s">
        <v>826</v>
      </c>
      <c r="I1172" s="31" t="n">
        <v>45608</v>
      </c>
      <c r="J1172" s="32" t="s">
        <v>2080</v>
      </c>
      <c r="K1172" s="0" t="n">
        <v>1</v>
      </c>
      <c r="L1172" s="32" t="s">
        <v>2081</v>
      </c>
      <c r="M1172" s="32" t="s">
        <v>2286</v>
      </c>
      <c r="N1172" s="0" t="n">
        <v>1</v>
      </c>
      <c r="O1172" s="32" t="s">
        <v>827</v>
      </c>
      <c r="P1172" s="32" t="s">
        <v>2149</v>
      </c>
      <c r="Q1172" s="32" t="s">
        <v>2107</v>
      </c>
      <c r="R1172" s="0" t="str">
        <f aca="false">IF(H1172="GEN","GM",H1172)</f>
        <v>RHE</v>
      </c>
    </row>
    <row r="1173" customFormat="false" ht="15" hidden="false" customHeight="false" outlineLevel="0" collapsed="false">
      <c r="A1173" s="0" t="s">
        <v>3700</v>
      </c>
      <c r="B1173" s="0" t="s">
        <v>3701</v>
      </c>
      <c r="C1173" s="0" t="s">
        <v>1390</v>
      </c>
      <c r="D1173" s="31" t="n">
        <v>31556</v>
      </c>
      <c r="E1173" s="31" t="n">
        <v>45647</v>
      </c>
      <c r="F1173" s="32" t="s">
        <v>2087</v>
      </c>
      <c r="G1173" s="32" t="s">
        <v>2115</v>
      </c>
      <c r="H1173" s="32" t="s">
        <v>758</v>
      </c>
      <c r="I1173" s="31" t="n">
        <v>45651</v>
      </c>
      <c r="J1173" s="32" t="s">
        <v>2080</v>
      </c>
      <c r="K1173" s="0" t="n">
        <v>4</v>
      </c>
      <c r="L1173" s="32" t="s">
        <v>2081</v>
      </c>
      <c r="M1173" s="32" t="s">
        <v>2212</v>
      </c>
      <c r="N1173" s="0" t="n">
        <v>4</v>
      </c>
      <c r="O1173" s="32" t="s">
        <v>759</v>
      </c>
      <c r="P1173" s="32" t="s">
        <v>2142</v>
      </c>
      <c r="Q1173" s="32" t="s">
        <v>2198</v>
      </c>
      <c r="R1173" s="0" t="str">
        <f aca="false">IF(H1173="GEN","GM",H1173)</f>
        <v>CS</v>
      </c>
    </row>
    <row r="1174" customFormat="false" ht="15" hidden="false" customHeight="false" outlineLevel="0" collapsed="false">
      <c r="A1174" s="0" t="s">
        <v>3702</v>
      </c>
      <c r="B1174" s="0" t="s">
        <v>3338</v>
      </c>
      <c r="C1174" s="0" t="s">
        <v>2225</v>
      </c>
      <c r="D1174" s="31" t="n">
        <v>27515</v>
      </c>
      <c r="E1174" s="31" t="n">
        <v>45579</v>
      </c>
      <c r="F1174" s="32" t="s">
        <v>2087</v>
      </c>
      <c r="G1174" s="32" t="s">
        <v>2104</v>
      </c>
      <c r="H1174" s="32" t="s">
        <v>802</v>
      </c>
      <c r="I1174" s="31" t="n">
        <v>45585</v>
      </c>
      <c r="J1174" s="32" t="s">
        <v>2080</v>
      </c>
      <c r="K1174" s="0" t="n">
        <v>6</v>
      </c>
      <c r="L1174" s="32" t="s">
        <v>2081</v>
      </c>
      <c r="M1174" s="32" t="s">
        <v>2212</v>
      </c>
      <c r="N1174" s="0" t="n">
        <v>6</v>
      </c>
      <c r="P1174" s="32" t="s">
        <v>2090</v>
      </c>
      <c r="Q1174" s="32" t="s">
        <v>2125</v>
      </c>
      <c r="R1174" s="0" t="str">
        <f aca="false">IF(H1174="GEN","GM",H1174)</f>
        <v>GYN</v>
      </c>
    </row>
    <row r="1175" customFormat="false" ht="15" hidden="false" customHeight="false" outlineLevel="0" collapsed="false">
      <c r="A1175" s="0" t="s">
        <v>3703</v>
      </c>
      <c r="B1175" s="0" t="s">
        <v>2581</v>
      </c>
      <c r="C1175" s="0" t="s">
        <v>1453</v>
      </c>
      <c r="D1175" s="31" t="n">
        <v>32004</v>
      </c>
      <c r="E1175" s="31" t="n">
        <v>45600</v>
      </c>
      <c r="F1175" s="32" t="s">
        <v>2087</v>
      </c>
      <c r="G1175" s="32" t="s">
        <v>2088</v>
      </c>
      <c r="H1175" s="32" t="s">
        <v>826</v>
      </c>
      <c r="I1175" s="31" t="n">
        <v>45613</v>
      </c>
      <c r="J1175" s="32" t="s">
        <v>2080</v>
      </c>
      <c r="K1175" s="0" t="n">
        <v>13</v>
      </c>
      <c r="L1175" s="32" t="s">
        <v>2106</v>
      </c>
      <c r="M1175" s="32" t="s">
        <v>2161</v>
      </c>
      <c r="N1175" s="0" t="n">
        <v>13</v>
      </c>
      <c r="O1175" s="32" t="s">
        <v>827</v>
      </c>
      <c r="P1175" s="32" t="s">
        <v>2238</v>
      </c>
      <c r="Q1175" s="32" t="s">
        <v>2259</v>
      </c>
      <c r="R1175" s="0" t="str">
        <f aca="false">IF(H1175="GEN","GM",H1175)</f>
        <v>RHE</v>
      </c>
    </row>
    <row r="1176" customFormat="false" ht="15" hidden="false" customHeight="false" outlineLevel="0" collapsed="false">
      <c r="A1176" s="0" t="s">
        <v>3704</v>
      </c>
      <c r="B1176" s="0" t="s">
        <v>2372</v>
      </c>
      <c r="C1176" s="0" t="s">
        <v>981</v>
      </c>
      <c r="D1176" s="31" t="n">
        <v>35696</v>
      </c>
      <c r="E1176" s="31" t="n">
        <v>45645</v>
      </c>
      <c r="F1176" s="32" t="s">
        <v>2078</v>
      </c>
      <c r="G1176" s="32" t="s">
        <v>2115</v>
      </c>
      <c r="H1176" s="32" t="s">
        <v>758</v>
      </c>
      <c r="I1176" s="31" t="n">
        <v>45648</v>
      </c>
      <c r="J1176" s="32" t="s">
        <v>2080</v>
      </c>
      <c r="K1176" s="0" t="n">
        <v>3</v>
      </c>
      <c r="L1176" s="32" t="s">
        <v>2081</v>
      </c>
      <c r="M1176" s="32" t="s">
        <v>2100</v>
      </c>
      <c r="N1176" s="0" t="n">
        <v>3</v>
      </c>
      <c r="O1176" s="32" t="s">
        <v>759</v>
      </c>
      <c r="P1176" s="32" t="s">
        <v>2213</v>
      </c>
      <c r="Q1176" s="32" t="s">
        <v>2112</v>
      </c>
      <c r="R1176" s="0" t="str">
        <f aca="false">IF(H1176="GEN","GM",H1176)</f>
        <v>CS</v>
      </c>
    </row>
    <row r="1177" customFormat="false" ht="15" hidden="false" customHeight="false" outlineLevel="0" collapsed="false">
      <c r="A1177" s="0" t="s">
        <v>3705</v>
      </c>
      <c r="B1177" s="0" t="s">
        <v>2837</v>
      </c>
      <c r="C1177" s="0" t="s">
        <v>853</v>
      </c>
      <c r="D1177" s="31" t="n">
        <v>36387</v>
      </c>
      <c r="E1177" s="31" t="n">
        <v>45734</v>
      </c>
      <c r="F1177" s="32" t="s">
        <v>2087</v>
      </c>
      <c r="G1177" s="32" t="s">
        <v>2079</v>
      </c>
      <c r="H1177" s="32" t="s">
        <v>810</v>
      </c>
      <c r="I1177" s="31" t="n">
        <v>45737</v>
      </c>
      <c r="J1177" s="32" t="s">
        <v>2080</v>
      </c>
      <c r="K1177" s="0" t="n">
        <v>3</v>
      </c>
      <c r="L1177" s="32" t="s">
        <v>2081</v>
      </c>
      <c r="M1177" s="32" t="s">
        <v>2100</v>
      </c>
      <c r="N1177" s="0" t="n">
        <v>3</v>
      </c>
      <c r="O1177" s="32" t="s">
        <v>811</v>
      </c>
      <c r="P1177" s="32" t="s">
        <v>2213</v>
      </c>
      <c r="Q1177" s="32" t="s">
        <v>2198</v>
      </c>
      <c r="R1177" s="0" t="str">
        <f aca="false">IF(H1177="GEN","GM",H1177)</f>
        <v>URO</v>
      </c>
    </row>
    <row r="1178" customFormat="false" ht="15" hidden="false" customHeight="false" outlineLevel="0" collapsed="false">
      <c r="A1178" s="0" t="s">
        <v>3706</v>
      </c>
      <c r="B1178" s="0" t="s">
        <v>3707</v>
      </c>
      <c r="C1178" s="0" t="s">
        <v>809</v>
      </c>
      <c r="D1178" s="31" t="n">
        <v>24945</v>
      </c>
      <c r="E1178" s="31" t="n">
        <v>45694</v>
      </c>
      <c r="F1178" s="32" t="s">
        <v>2160</v>
      </c>
      <c r="G1178" s="32" t="s">
        <v>2079</v>
      </c>
      <c r="H1178" s="32" t="s">
        <v>810</v>
      </c>
      <c r="I1178" s="31" t="n">
        <v>45704</v>
      </c>
      <c r="J1178" s="32" t="s">
        <v>2080</v>
      </c>
      <c r="K1178" s="0" t="n">
        <v>10</v>
      </c>
      <c r="L1178" s="32" t="s">
        <v>2081</v>
      </c>
      <c r="M1178" s="32" t="s">
        <v>2089</v>
      </c>
      <c r="N1178" s="0" t="n">
        <v>10</v>
      </c>
      <c r="O1178" s="32" t="s">
        <v>811</v>
      </c>
      <c r="P1178" s="32" t="s">
        <v>2222</v>
      </c>
      <c r="Q1178" s="32" t="s">
        <v>2153</v>
      </c>
      <c r="R1178" s="0" t="str">
        <f aca="false">IF(H1178="GEN","GM",H1178)</f>
        <v>URO</v>
      </c>
    </row>
    <row r="1179" customFormat="false" ht="15" hidden="false" customHeight="false" outlineLevel="0" collapsed="false">
      <c r="A1179" s="0" t="s">
        <v>3708</v>
      </c>
      <c r="B1179" s="0" t="s">
        <v>2954</v>
      </c>
      <c r="C1179" s="0" t="s">
        <v>926</v>
      </c>
      <c r="D1179" s="31" t="n">
        <v>29568</v>
      </c>
      <c r="E1179" s="31" t="n">
        <v>45687</v>
      </c>
      <c r="F1179" s="32" t="s">
        <v>2087</v>
      </c>
      <c r="G1179" s="32" t="s">
        <v>2099</v>
      </c>
      <c r="H1179" s="32" t="s">
        <v>766</v>
      </c>
      <c r="I1179" s="31" t="n">
        <v>45688</v>
      </c>
      <c r="J1179" s="32" t="s">
        <v>2160</v>
      </c>
      <c r="K1179" s="0" t="n">
        <v>1</v>
      </c>
      <c r="L1179" s="32" t="s">
        <v>2081</v>
      </c>
      <c r="M1179" s="32" t="s">
        <v>2100</v>
      </c>
      <c r="N1179" s="0" t="n">
        <v>1</v>
      </c>
      <c r="O1179" s="32" t="s">
        <v>767</v>
      </c>
      <c r="P1179" s="32" t="s">
        <v>2083</v>
      </c>
      <c r="Q1179" s="32" t="s">
        <v>2170</v>
      </c>
      <c r="R1179" s="0" t="str">
        <f aca="false">IF(H1179="GEN","GM",H1179)</f>
        <v>OR</v>
      </c>
    </row>
    <row r="1180" customFormat="false" ht="15" hidden="false" customHeight="false" outlineLevel="0" collapsed="false">
      <c r="A1180" s="0" t="s">
        <v>3709</v>
      </c>
      <c r="B1180" s="0" t="s">
        <v>3710</v>
      </c>
      <c r="C1180" s="0" t="s">
        <v>870</v>
      </c>
      <c r="D1180" s="31" t="n">
        <v>22315</v>
      </c>
      <c r="E1180" s="31" t="n">
        <v>45572</v>
      </c>
      <c r="F1180" s="32" t="s">
        <v>2087</v>
      </c>
      <c r="G1180" s="32" t="s">
        <v>2115</v>
      </c>
      <c r="H1180" s="32" t="s">
        <v>758</v>
      </c>
      <c r="M1180" s="32" t="s">
        <v>2227</v>
      </c>
      <c r="O1180" s="32" t="s">
        <v>759</v>
      </c>
      <c r="P1180" s="32" t="s">
        <v>2095</v>
      </c>
      <c r="Q1180" s="32" t="s">
        <v>2170</v>
      </c>
      <c r="R1180" s="0" t="str">
        <f aca="false">IF(H1180="GEN","GM",H1180)</f>
        <v>CS</v>
      </c>
    </row>
    <row r="1181" customFormat="false" ht="15" hidden="false" customHeight="false" outlineLevel="0" collapsed="false">
      <c r="A1181" s="0" t="s">
        <v>3711</v>
      </c>
      <c r="B1181" s="0" t="s">
        <v>3003</v>
      </c>
      <c r="C1181" s="0" t="s">
        <v>825</v>
      </c>
      <c r="D1181" s="31" t="n">
        <v>27155</v>
      </c>
      <c r="E1181" s="31" t="n">
        <v>45617</v>
      </c>
      <c r="F1181" s="32" t="s">
        <v>2087</v>
      </c>
      <c r="G1181" s="32" t="s">
        <v>2079</v>
      </c>
      <c r="H1181" s="32" t="s">
        <v>776</v>
      </c>
      <c r="I1181" s="31" t="n">
        <v>45621</v>
      </c>
      <c r="J1181" s="32" t="s">
        <v>2080</v>
      </c>
      <c r="K1181" s="0" t="n">
        <v>4</v>
      </c>
      <c r="L1181" s="32" t="s">
        <v>2081</v>
      </c>
      <c r="M1181" s="32" t="s">
        <v>2128</v>
      </c>
      <c r="N1181" s="0" t="n">
        <v>4</v>
      </c>
      <c r="O1181" s="32" t="s">
        <v>777</v>
      </c>
      <c r="P1181" s="32" t="s">
        <v>2142</v>
      </c>
      <c r="Q1181" s="32" t="s">
        <v>2084</v>
      </c>
      <c r="R1181" s="0" t="str">
        <f aca="false">IF(H1181="GEN","GM",H1181)</f>
        <v>GS</v>
      </c>
    </row>
    <row r="1182" customFormat="false" ht="15" hidden="false" customHeight="false" outlineLevel="0" collapsed="false">
      <c r="A1182" s="0" t="s">
        <v>3712</v>
      </c>
      <c r="B1182" s="0" t="s">
        <v>2301</v>
      </c>
      <c r="C1182" s="0" t="s">
        <v>934</v>
      </c>
      <c r="D1182" s="31" t="n">
        <v>28283</v>
      </c>
      <c r="E1182" s="31" t="n">
        <v>45701</v>
      </c>
      <c r="F1182" s="32" t="s">
        <v>2078</v>
      </c>
      <c r="G1182" s="32" t="s">
        <v>2088</v>
      </c>
      <c r="H1182" s="32" t="s">
        <v>793</v>
      </c>
      <c r="I1182" s="31" t="n">
        <v>45702</v>
      </c>
      <c r="J1182" s="32" t="s">
        <v>2080</v>
      </c>
      <c r="K1182" s="0" t="n">
        <v>1</v>
      </c>
      <c r="L1182" s="32" t="s">
        <v>2081</v>
      </c>
      <c r="M1182" s="32" t="s">
        <v>2207</v>
      </c>
      <c r="N1182" s="0" t="n">
        <v>1</v>
      </c>
      <c r="O1182" s="32" t="s">
        <v>794</v>
      </c>
      <c r="P1182" s="32" t="s">
        <v>2201</v>
      </c>
      <c r="Q1182" s="32" t="s">
        <v>2170</v>
      </c>
      <c r="R1182" s="0" t="str">
        <f aca="false">IF(H1182="GEN","GM",H1182)</f>
        <v>EM</v>
      </c>
    </row>
    <row r="1183" customFormat="false" ht="15" hidden="false" customHeight="false" outlineLevel="0" collapsed="false">
      <c r="A1183" s="0" t="s">
        <v>3713</v>
      </c>
      <c r="B1183" s="0" t="s">
        <v>2502</v>
      </c>
      <c r="C1183" s="0" t="s">
        <v>1460</v>
      </c>
      <c r="D1183" s="31" t="n">
        <v>15682</v>
      </c>
      <c r="E1183" s="31" t="n">
        <v>45573</v>
      </c>
      <c r="F1183" s="32" t="s">
        <v>2087</v>
      </c>
      <c r="G1183" s="32" t="s">
        <v>2099</v>
      </c>
      <c r="H1183" s="32" t="s">
        <v>766</v>
      </c>
      <c r="I1183" s="31" t="n">
        <v>45583</v>
      </c>
      <c r="J1183" s="32" t="s">
        <v>2080</v>
      </c>
      <c r="K1183" s="0" t="n">
        <v>10</v>
      </c>
      <c r="L1183" s="32" t="s">
        <v>2081</v>
      </c>
      <c r="M1183" s="32" t="s">
        <v>2089</v>
      </c>
      <c r="N1183" s="0" t="n">
        <v>10</v>
      </c>
      <c r="O1183" s="32" t="s">
        <v>767</v>
      </c>
      <c r="P1183" s="32" t="s">
        <v>2142</v>
      </c>
      <c r="Q1183" s="32" t="s">
        <v>2118</v>
      </c>
      <c r="R1183" s="0" t="str">
        <f aca="false">IF(H1183="GEN","GM",H1183)</f>
        <v>OR</v>
      </c>
    </row>
    <row r="1184" customFormat="false" ht="15" hidden="false" customHeight="false" outlineLevel="0" collapsed="false">
      <c r="A1184" s="0" t="s">
        <v>3714</v>
      </c>
      <c r="B1184" s="0" t="s">
        <v>3207</v>
      </c>
      <c r="C1184" s="0" t="s">
        <v>1393</v>
      </c>
      <c r="D1184" s="31" t="n">
        <v>35195</v>
      </c>
      <c r="E1184" s="31" t="n">
        <v>45638</v>
      </c>
      <c r="F1184" s="32" t="s">
        <v>2087</v>
      </c>
      <c r="G1184" s="32" t="s">
        <v>2088</v>
      </c>
      <c r="H1184" s="32" t="s">
        <v>826</v>
      </c>
      <c r="I1184" s="32" t="s">
        <v>3715</v>
      </c>
      <c r="J1184" s="32" t="s">
        <v>2080</v>
      </c>
      <c r="K1184" s="0" t="n">
        <v>7</v>
      </c>
      <c r="L1184" s="32" t="s">
        <v>2081</v>
      </c>
      <c r="M1184" s="32" t="s">
        <v>2136</v>
      </c>
      <c r="N1184" s="0" t="n">
        <v>7</v>
      </c>
      <c r="O1184" s="32" t="s">
        <v>827</v>
      </c>
      <c r="P1184" s="32" t="s">
        <v>2175</v>
      </c>
      <c r="Q1184" s="32" t="s">
        <v>2170</v>
      </c>
      <c r="R1184" s="0" t="str">
        <f aca="false">IF(H1184="GEN","GM",H1184)</f>
        <v>RHE</v>
      </c>
    </row>
    <row r="1185" customFormat="false" ht="15" hidden="false" customHeight="false" outlineLevel="0" collapsed="false">
      <c r="A1185" s="0" t="s">
        <v>3716</v>
      </c>
      <c r="B1185" s="0" t="s">
        <v>2224</v>
      </c>
      <c r="C1185" s="0" t="s">
        <v>977</v>
      </c>
      <c r="D1185" s="31" t="n">
        <v>26629</v>
      </c>
      <c r="E1185" s="31" t="n">
        <v>45631</v>
      </c>
      <c r="F1185" s="32" t="s">
        <v>2078</v>
      </c>
      <c r="G1185" s="32" t="s">
        <v>2099</v>
      </c>
      <c r="H1185" s="32" t="s">
        <v>766</v>
      </c>
      <c r="I1185" s="31" t="n">
        <v>45631</v>
      </c>
      <c r="J1185" s="32" t="s">
        <v>2080</v>
      </c>
      <c r="K1185" s="0" t="n">
        <v>0</v>
      </c>
      <c r="L1185" s="32" t="s">
        <v>2081</v>
      </c>
      <c r="M1185" s="32" t="s">
        <v>2128</v>
      </c>
      <c r="N1185" s="0" t="n">
        <v>0</v>
      </c>
      <c r="O1185" s="32" t="s">
        <v>767</v>
      </c>
      <c r="P1185" s="32" t="s">
        <v>2117</v>
      </c>
      <c r="Q1185" s="32" t="s">
        <v>2107</v>
      </c>
      <c r="R1185" s="0" t="str">
        <f aca="false">IF(H1185="GEN","GM",H1185)</f>
        <v>OR</v>
      </c>
    </row>
    <row r="1186" customFormat="false" ht="15" hidden="false" customHeight="false" outlineLevel="0" collapsed="false">
      <c r="A1186" s="0" t="s">
        <v>3717</v>
      </c>
      <c r="B1186" s="0" t="s">
        <v>3701</v>
      </c>
      <c r="C1186" s="0" t="s">
        <v>1021</v>
      </c>
      <c r="D1186" s="31" t="n">
        <v>19545</v>
      </c>
      <c r="E1186" s="31" t="n">
        <v>45597</v>
      </c>
      <c r="F1186" s="32" t="s">
        <v>2078</v>
      </c>
      <c r="G1186" s="32" t="s">
        <v>2115</v>
      </c>
      <c r="H1186" s="32" t="s">
        <v>758</v>
      </c>
      <c r="I1186" s="31" t="n">
        <v>45600</v>
      </c>
      <c r="J1186" s="32" t="s">
        <v>2080</v>
      </c>
      <c r="K1186" s="0" t="n">
        <v>3</v>
      </c>
      <c r="L1186" s="32" t="s">
        <v>2081</v>
      </c>
      <c r="M1186" s="32" t="s">
        <v>2132</v>
      </c>
      <c r="N1186" s="0" t="n">
        <v>3</v>
      </c>
      <c r="O1186" s="32" t="s">
        <v>759</v>
      </c>
      <c r="P1186" s="32" t="s">
        <v>2117</v>
      </c>
      <c r="Q1186" s="32" t="s">
        <v>2145</v>
      </c>
      <c r="R1186" s="0" t="str">
        <f aca="false">IF(H1186="GEN","GM",H1186)</f>
        <v>CS</v>
      </c>
    </row>
    <row r="1187" customFormat="false" ht="15" hidden="false" customHeight="false" outlineLevel="0" collapsed="false">
      <c r="A1187" s="0" t="s">
        <v>3718</v>
      </c>
      <c r="B1187" s="0" t="s">
        <v>2754</v>
      </c>
      <c r="C1187" s="0" t="s">
        <v>1029</v>
      </c>
      <c r="D1187" s="31" t="n">
        <v>29302</v>
      </c>
      <c r="E1187" s="31" t="n">
        <v>45672</v>
      </c>
      <c r="F1187" s="32" t="s">
        <v>2087</v>
      </c>
      <c r="G1187" s="32" t="s">
        <v>2079</v>
      </c>
      <c r="H1187" s="32" t="s">
        <v>810</v>
      </c>
      <c r="I1187" s="31" t="n">
        <v>45678</v>
      </c>
      <c r="J1187" s="32" t="s">
        <v>2080</v>
      </c>
      <c r="K1187" s="0" t="n">
        <v>6</v>
      </c>
      <c r="L1187" s="32" t="s">
        <v>2081</v>
      </c>
      <c r="M1187" s="32" t="s">
        <v>2082</v>
      </c>
      <c r="N1187" s="0" t="n">
        <v>6</v>
      </c>
      <c r="O1187" s="32" t="s">
        <v>811</v>
      </c>
      <c r="P1187" s="32" t="s">
        <v>2162</v>
      </c>
      <c r="Q1187" s="32" t="s">
        <v>2259</v>
      </c>
      <c r="R1187" s="0" t="str">
        <f aca="false">IF(H1187="GEN","GM",H1187)</f>
        <v>URO</v>
      </c>
    </row>
    <row r="1188" customFormat="false" ht="15" hidden="false" customHeight="false" outlineLevel="0" collapsed="false">
      <c r="A1188" s="0" t="s">
        <v>3719</v>
      </c>
      <c r="B1188" s="0" t="s">
        <v>2496</v>
      </c>
      <c r="C1188" s="0" t="s">
        <v>866</v>
      </c>
      <c r="D1188" s="31" t="n">
        <v>33576</v>
      </c>
      <c r="E1188" s="31" t="n">
        <v>45719</v>
      </c>
      <c r="F1188" s="32" t="s">
        <v>2087</v>
      </c>
      <c r="G1188" s="32" t="s">
        <v>2124</v>
      </c>
      <c r="H1188" s="32" t="s">
        <v>785</v>
      </c>
      <c r="I1188" s="31" t="n">
        <v>45731</v>
      </c>
      <c r="J1188" s="32" t="s">
        <v>2080</v>
      </c>
      <c r="K1188" s="0" t="n">
        <v>12</v>
      </c>
      <c r="L1188" s="32" t="s">
        <v>2081</v>
      </c>
      <c r="M1188" s="32" t="s">
        <v>2189</v>
      </c>
      <c r="N1188" s="0" t="n">
        <v>12</v>
      </c>
      <c r="O1188" s="32" t="s">
        <v>786</v>
      </c>
      <c r="P1188" s="32" t="s">
        <v>2213</v>
      </c>
      <c r="Q1188" s="32" t="s">
        <v>2157</v>
      </c>
      <c r="R1188" s="0" t="str">
        <f aca="false">IF(H1188="GEN","GM",H1188)</f>
        <v>RS</v>
      </c>
    </row>
    <row r="1189" customFormat="false" ht="15" hidden="false" customHeight="false" outlineLevel="0" collapsed="false">
      <c r="A1189" s="0" t="s">
        <v>3720</v>
      </c>
      <c r="B1189" s="0" t="s">
        <v>2958</v>
      </c>
      <c r="C1189" s="0" t="s">
        <v>989</v>
      </c>
      <c r="D1189" s="31" t="n">
        <v>23623</v>
      </c>
      <c r="E1189" s="31" t="n">
        <v>45599</v>
      </c>
      <c r="F1189" s="32" t="s">
        <v>2160</v>
      </c>
      <c r="G1189" s="32" t="s">
        <v>2088</v>
      </c>
      <c r="H1189" s="32" t="s">
        <v>793</v>
      </c>
      <c r="I1189" s="31" t="n">
        <v>45604</v>
      </c>
      <c r="J1189" s="32" t="s">
        <v>2080</v>
      </c>
      <c r="K1189" s="0" t="n">
        <v>5</v>
      </c>
      <c r="L1189" s="32" t="s">
        <v>2081</v>
      </c>
      <c r="M1189" s="32" t="s">
        <v>2116</v>
      </c>
      <c r="N1189" s="0" t="n">
        <v>5</v>
      </c>
      <c r="O1189" s="32" t="s">
        <v>794</v>
      </c>
      <c r="P1189" s="32" t="s">
        <v>2201</v>
      </c>
      <c r="Q1189" s="32" t="s">
        <v>2129</v>
      </c>
      <c r="R1189" s="0" t="str">
        <f aca="false">IF(H1189="GEN","GM",H1189)</f>
        <v>EM</v>
      </c>
    </row>
    <row r="1190" customFormat="false" ht="15" hidden="false" customHeight="false" outlineLevel="0" collapsed="false">
      <c r="A1190" s="0" t="s">
        <v>3721</v>
      </c>
      <c r="B1190" s="0" t="s">
        <v>3674</v>
      </c>
      <c r="C1190" s="0" t="s">
        <v>886</v>
      </c>
      <c r="D1190" s="31" t="n">
        <v>22561</v>
      </c>
      <c r="E1190" s="31" t="n">
        <v>45682</v>
      </c>
      <c r="F1190" s="32" t="s">
        <v>2078</v>
      </c>
      <c r="G1190" s="32" t="s">
        <v>2079</v>
      </c>
      <c r="H1190" s="32" t="s">
        <v>776</v>
      </c>
      <c r="I1190" s="31" t="n">
        <v>45683</v>
      </c>
      <c r="J1190" s="32" t="s">
        <v>2080</v>
      </c>
      <c r="K1190" s="0" t="n">
        <v>1</v>
      </c>
      <c r="L1190" s="32" t="s">
        <v>2081</v>
      </c>
      <c r="M1190" s="32" t="s">
        <v>2212</v>
      </c>
      <c r="N1190" s="0" t="n">
        <v>1</v>
      </c>
      <c r="O1190" s="32" t="s">
        <v>777</v>
      </c>
      <c r="P1190" s="32" t="s">
        <v>2111</v>
      </c>
      <c r="Q1190" s="32" t="s">
        <v>2118</v>
      </c>
      <c r="R1190" s="0" t="str">
        <f aca="false">IF(H1190="GEN","GM",H1190)</f>
        <v>GS</v>
      </c>
    </row>
    <row r="1191" customFormat="false" ht="15" hidden="false" customHeight="false" outlineLevel="0" collapsed="false">
      <c r="A1191" s="0" t="s">
        <v>3722</v>
      </c>
      <c r="B1191" s="0" t="s">
        <v>2359</v>
      </c>
      <c r="C1191" s="0" t="s">
        <v>922</v>
      </c>
      <c r="D1191" s="31" t="n">
        <v>21875</v>
      </c>
      <c r="E1191" s="31" t="n">
        <v>45736</v>
      </c>
      <c r="F1191" s="32" t="s">
        <v>2078</v>
      </c>
      <c r="G1191" s="32" t="s">
        <v>2099</v>
      </c>
      <c r="H1191" s="32" t="s">
        <v>818</v>
      </c>
      <c r="I1191" s="31" t="n">
        <v>45740</v>
      </c>
      <c r="J1191" s="32" t="s">
        <v>2080</v>
      </c>
      <c r="K1191" s="0" t="n">
        <v>4</v>
      </c>
      <c r="L1191" s="32" t="s">
        <v>2081</v>
      </c>
      <c r="M1191" s="32" t="s">
        <v>2141</v>
      </c>
      <c r="N1191" s="0" t="n">
        <v>4</v>
      </c>
      <c r="O1191" s="32" t="s">
        <v>819</v>
      </c>
      <c r="P1191" s="32" t="s">
        <v>2111</v>
      </c>
      <c r="Q1191" s="32" t="s">
        <v>2091</v>
      </c>
      <c r="R1191" s="0" t="str">
        <f aca="false">IF(H1191="GEN","GM",H1191)</f>
        <v>OPH</v>
      </c>
    </row>
    <row r="1192" customFormat="false" ht="15" hidden="false" customHeight="false" outlineLevel="0" collapsed="false">
      <c r="A1192" s="0" t="s">
        <v>3723</v>
      </c>
      <c r="B1192" s="0" t="s">
        <v>2446</v>
      </c>
      <c r="C1192" s="0" t="s">
        <v>775</v>
      </c>
      <c r="D1192" s="31" t="n">
        <v>29602</v>
      </c>
      <c r="E1192" s="31" t="n">
        <v>45687</v>
      </c>
      <c r="F1192" s="32" t="s">
        <v>2087</v>
      </c>
      <c r="G1192" s="32" t="s">
        <v>2079</v>
      </c>
      <c r="H1192" s="32" t="s">
        <v>776</v>
      </c>
      <c r="I1192" s="31" t="n">
        <v>45701</v>
      </c>
      <c r="J1192" s="32" t="s">
        <v>2080</v>
      </c>
      <c r="K1192" s="0" t="n">
        <v>14</v>
      </c>
      <c r="L1192" s="32" t="s">
        <v>2081</v>
      </c>
      <c r="M1192" s="32" t="s">
        <v>2136</v>
      </c>
      <c r="N1192" s="0" t="n">
        <v>14</v>
      </c>
      <c r="O1192" s="32" t="s">
        <v>777</v>
      </c>
      <c r="P1192" s="32" t="s">
        <v>2175</v>
      </c>
      <c r="Q1192" s="32" t="s">
        <v>2198</v>
      </c>
      <c r="R1192" s="0" t="str">
        <f aca="false">IF(H1192="GEN","GM",H1192)</f>
        <v>GS</v>
      </c>
    </row>
    <row r="1193" customFormat="false" ht="15" hidden="false" customHeight="false" outlineLevel="0" collapsed="false">
      <c r="A1193" s="0" t="s">
        <v>3724</v>
      </c>
      <c r="B1193" s="0" t="s">
        <v>3251</v>
      </c>
      <c r="C1193" s="0" t="s">
        <v>1005</v>
      </c>
      <c r="D1193" s="31" t="n">
        <v>38322</v>
      </c>
      <c r="E1193" s="31" t="n">
        <v>45726</v>
      </c>
      <c r="F1193" s="32" t="s">
        <v>2078</v>
      </c>
      <c r="G1193" s="32" t="s">
        <v>2099</v>
      </c>
      <c r="H1193" s="32" t="s">
        <v>766</v>
      </c>
      <c r="I1193" s="31" t="n">
        <v>45728</v>
      </c>
      <c r="J1193" s="32" t="s">
        <v>2080</v>
      </c>
      <c r="K1193" s="0" t="n">
        <v>2</v>
      </c>
      <c r="L1193" s="32" t="s">
        <v>2081</v>
      </c>
      <c r="M1193" s="32" t="s">
        <v>2094</v>
      </c>
      <c r="N1193" s="0" t="n">
        <v>2</v>
      </c>
      <c r="O1193" s="32" t="s">
        <v>767</v>
      </c>
      <c r="P1193" s="32" t="s">
        <v>2179</v>
      </c>
      <c r="Q1193" s="32" t="s">
        <v>2118</v>
      </c>
      <c r="R1193" s="0" t="str">
        <f aca="false">IF(H1193="GEN","GM",H1193)</f>
        <v>OR</v>
      </c>
    </row>
    <row r="1194" customFormat="false" ht="15" hidden="false" customHeight="false" outlineLevel="0" collapsed="false">
      <c r="A1194" s="0" t="s">
        <v>3725</v>
      </c>
      <c r="B1194" s="0" t="s">
        <v>2560</v>
      </c>
      <c r="C1194" s="0" t="s">
        <v>1453</v>
      </c>
      <c r="D1194" s="31" t="n">
        <v>34489</v>
      </c>
      <c r="E1194" s="31" t="n">
        <v>45707</v>
      </c>
      <c r="F1194" s="32" t="s">
        <v>2087</v>
      </c>
      <c r="G1194" s="32" t="s">
        <v>2079</v>
      </c>
      <c r="H1194" s="32" t="s">
        <v>776</v>
      </c>
      <c r="I1194" s="31" t="n">
        <v>45711</v>
      </c>
      <c r="J1194" s="32" t="s">
        <v>2080</v>
      </c>
      <c r="K1194" s="0" t="n">
        <v>4</v>
      </c>
      <c r="L1194" s="32" t="s">
        <v>2106</v>
      </c>
      <c r="M1194" s="32" t="s">
        <v>2189</v>
      </c>
      <c r="N1194" s="0" t="n">
        <v>4</v>
      </c>
      <c r="P1194" s="32" t="s">
        <v>2090</v>
      </c>
      <c r="Q1194" s="32" t="s">
        <v>2138</v>
      </c>
      <c r="R1194" s="0" t="str">
        <f aca="false">IF(H1194="GEN","GM",H1194)</f>
        <v>GS</v>
      </c>
    </row>
    <row r="1195" customFormat="false" ht="15" hidden="false" customHeight="false" outlineLevel="0" collapsed="false">
      <c r="A1195" s="0" t="s">
        <v>3726</v>
      </c>
      <c r="B1195" s="0" t="s">
        <v>3207</v>
      </c>
      <c r="C1195" s="0" t="s">
        <v>970</v>
      </c>
      <c r="D1195" s="31" t="n">
        <v>37251</v>
      </c>
      <c r="E1195" s="31" t="n">
        <v>45651</v>
      </c>
      <c r="F1195" s="32" t="s">
        <v>2087</v>
      </c>
      <c r="G1195" s="32" t="s">
        <v>2088</v>
      </c>
      <c r="H1195" s="32" t="s">
        <v>747</v>
      </c>
      <c r="I1195" s="31" t="n">
        <v>45652</v>
      </c>
      <c r="J1195" s="32" t="s">
        <v>2080</v>
      </c>
      <c r="K1195" s="0" t="n">
        <v>1</v>
      </c>
      <c r="L1195" s="32" t="s">
        <v>2081</v>
      </c>
      <c r="M1195" s="32" t="s">
        <v>2116</v>
      </c>
      <c r="N1195" s="0" t="n">
        <v>1</v>
      </c>
      <c r="O1195" s="32" t="s">
        <v>748</v>
      </c>
      <c r="P1195" s="32" t="s">
        <v>2083</v>
      </c>
      <c r="Q1195" s="32" t="s">
        <v>2259</v>
      </c>
      <c r="R1195" s="0" t="str">
        <f aca="false">IF(H1195="GEN","GM",H1195)</f>
        <v>GM</v>
      </c>
    </row>
    <row r="1196" customFormat="false" ht="15" hidden="false" customHeight="false" outlineLevel="0" collapsed="false">
      <c r="A1196" s="0" t="s">
        <v>3727</v>
      </c>
      <c r="B1196" s="0" t="s">
        <v>3444</v>
      </c>
      <c r="C1196" s="0" t="s">
        <v>792</v>
      </c>
      <c r="D1196" s="31" t="n">
        <v>27140</v>
      </c>
      <c r="E1196" s="31" t="n">
        <v>45603</v>
      </c>
      <c r="F1196" s="32" t="s">
        <v>2087</v>
      </c>
      <c r="G1196" s="32" t="s">
        <v>2088</v>
      </c>
      <c r="H1196" s="32" t="s">
        <v>747</v>
      </c>
      <c r="I1196" s="31" t="n">
        <v>45604</v>
      </c>
      <c r="J1196" s="32" t="s">
        <v>2080</v>
      </c>
      <c r="K1196" s="0" t="n">
        <v>1</v>
      </c>
      <c r="L1196" s="32" t="s">
        <v>2081</v>
      </c>
      <c r="M1196" s="32" t="s">
        <v>2227</v>
      </c>
      <c r="N1196" s="0" t="n">
        <v>1</v>
      </c>
      <c r="O1196" s="32" t="s">
        <v>748</v>
      </c>
      <c r="P1196" s="32" t="s">
        <v>2179</v>
      </c>
      <c r="Q1196" s="32" t="s">
        <v>2129</v>
      </c>
      <c r="R1196" s="0" t="str">
        <f aca="false">IF(H1196="GEN","GM",H1196)</f>
        <v>GM</v>
      </c>
    </row>
    <row r="1197" customFormat="false" ht="15" hidden="false" customHeight="false" outlineLevel="0" collapsed="false">
      <c r="A1197" s="0" t="s">
        <v>3728</v>
      </c>
      <c r="B1197" s="0" t="s">
        <v>2760</v>
      </c>
      <c r="C1197" s="0" t="s">
        <v>1009</v>
      </c>
      <c r="D1197" s="31" t="n">
        <v>36887</v>
      </c>
      <c r="E1197" s="31" t="n">
        <v>45724</v>
      </c>
      <c r="F1197" s="32" t="s">
        <v>2087</v>
      </c>
      <c r="G1197" s="32" t="s">
        <v>2088</v>
      </c>
      <c r="H1197" s="32" t="s">
        <v>793</v>
      </c>
      <c r="I1197" s="31" t="n">
        <v>45725</v>
      </c>
      <c r="J1197" s="32" t="s">
        <v>2080</v>
      </c>
      <c r="K1197" s="0" t="n">
        <v>1</v>
      </c>
      <c r="L1197" s="32" t="s">
        <v>2081</v>
      </c>
      <c r="M1197" s="32" t="s">
        <v>2116</v>
      </c>
      <c r="N1197" s="0" t="n">
        <v>1</v>
      </c>
      <c r="O1197" s="32" t="s">
        <v>794</v>
      </c>
      <c r="P1197" s="32" t="s">
        <v>2090</v>
      </c>
      <c r="Q1197" s="32" t="s">
        <v>2112</v>
      </c>
      <c r="R1197" s="0" t="str">
        <f aca="false">IF(H1197="GEN","GM",H1197)</f>
        <v>EM</v>
      </c>
    </row>
    <row r="1198" customFormat="false" ht="15" hidden="false" customHeight="false" outlineLevel="0" collapsed="false">
      <c r="A1198" s="0" t="s">
        <v>3729</v>
      </c>
      <c r="B1198" s="0" t="s">
        <v>2687</v>
      </c>
      <c r="C1198" s="0" t="s">
        <v>1402</v>
      </c>
      <c r="D1198" s="31" t="n">
        <v>15013</v>
      </c>
      <c r="E1198" s="31" t="n">
        <v>45718</v>
      </c>
      <c r="F1198" s="32" t="s">
        <v>2078</v>
      </c>
      <c r="G1198" s="32" t="s">
        <v>2115</v>
      </c>
      <c r="H1198" s="32" t="s">
        <v>758</v>
      </c>
      <c r="I1198" s="31" t="n">
        <v>45721</v>
      </c>
      <c r="J1198" s="32" t="s">
        <v>2105</v>
      </c>
      <c r="K1198" s="0" t="n">
        <v>3</v>
      </c>
      <c r="M1198" s="32" t="s">
        <v>2195</v>
      </c>
      <c r="N1198" s="0" t="n">
        <v>5</v>
      </c>
      <c r="O1198" s="32" t="s">
        <v>759</v>
      </c>
      <c r="P1198" s="32" t="s">
        <v>2095</v>
      </c>
      <c r="Q1198" s="32" t="s">
        <v>2170</v>
      </c>
      <c r="R1198" s="0" t="str">
        <f aca="false">IF(H1198="GEN","GM",H1198)</f>
        <v>CS</v>
      </c>
    </row>
    <row r="1199" customFormat="false" ht="15" hidden="false" customHeight="false" outlineLevel="0" collapsed="false">
      <c r="A1199" s="0" t="s">
        <v>3730</v>
      </c>
      <c r="B1199" s="0" t="s">
        <v>2325</v>
      </c>
      <c r="C1199" s="0" t="s">
        <v>985</v>
      </c>
      <c r="D1199" s="31" t="n">
        <v>31326</v>
      </c>
      <c r="E1199" s="31" t="n">
        <v>45622</v>
      </c>
      <c r="F1199" s="32" t="s">
        <v>2160</v>
      </c>
      <c r="G1199" s="32" t="s">
        <v>2088</v>
      </c>
      <c r="H1199" s="32" t="s">
        <v>826</v>
      </c>
      <c r="I1199" s="31" t="n">
        <v>45628</v>
      </c>
      <c r="J1199" s="32" t="s">
        <v>2307</v>
      </c>
      <c r="K1199" s="0" t="n">
        <v>6</v>
      </c>
      <c r="L1199" s="32" t="s">
        <v>2081</v>
      </c>
      <c r="M1199" s="32" t="s">
        <v>2207</v>
      </c>
      <c r="N1199" s="0" t="n">
        <v>6</v>
      </c>
      <c r="O1199" s="32" t="s">
        <v>827</v>
      </c>
      <c r="Q1199" s="32" t="s">
        <v>2107</v>
      </c>
      <c r="R1199" s="0" t="str">
        <f aca="false">IF(H1199="GEN","GM",H1199)</f>
        <v>RHE</v>
      </c>
    </row>
    <row r="1200" customFormat="false" ht="15" hidden="false" customHeight="false" outlineLevel="0" collapsed="false">
      <c r="A1200" s="0" t="s">
        <v>3731</v>
      </c>
      <c r="B1200" s="0" t="s">
        <v>2496</v>
      </c>
      <c r="C1200" s="0" t="s">
        <v>1414</v>
      </c>
      <c r="D1200" s="31" t="n">
        <v>29132</v>
      </c>
      <c r="E1200" s="31" t="n">
        <v>45663</v>
      </c>
      <c r="F1200" s="32" t="s">
        <v>2078</v>
      </c>
      <c r="G1200" s="32" t="s">
        <v>2124</v>
      </c>
      <c r="H1200" s="32" t="s">
        <v>785</v>
      </c>
      <c r="I1200" s="31" t="n">
        <v>45663</v>
      </c>
      <c r="J1200" s="32" t="s">
        <v>2160</v>
      </c>
      <c r="K1200" s="0" t="n">
        <v>0</v>
      </c>
      <c r="L1200" s="32" t="s">
        <v>2081</v>
      </c>
      <c r="M1200" s="32" t="s">
        <v>2161</v>
      </c>
      <c r="N1200" s="0" t="n">
        <v>0</v>
      </c>
      <c r="O1200" s="32" t="s">
        <v>786</v>
      </c>
      <c r="P1200" s="32" t="s">
        <v>2179</v>
      </c>
      <c r="Q1200" s="32" t="s">
        <v>2170</v>
      </c>
      <c r="R1200" s="0" t="str">
        <f aca="false">IF(H1200="GEN","GM",H1200)</f>
        <v>RS</v>
      </c>
    </row>
    <row r="1201" customFormat="false" ht="15" hidden="false" customHeight="false" outlineLevel="0" collapsed="false">
      <c r="A1201" s="0" t="s">
        <v>3732</v>
      </c>
      <c r="B1201" s="0" t="s">
        <v>3733</v>
      </c>
      <c r="C1201" s="0" t="s">
        <v>1001</v>
      </c>
      <c r="D1201" s="31" t="n">
        <v>28801</v>
      </c>
      <c r="E1201" s="31" t="n">
        <v>45723</v>
      </c>
      <c r="F1201" s="32" t="s">
        <v>2078</v>
      </c>
      <c r="G1201" s="32" t="s">
        <v>2104</v>
      </c>
      <c r="H1201" s="32" t="s">
        <v>802</v>
      </c>
      <c r="I1201" s="31" t="n">
        <v>45728</v>
      </c>
      <c r="J1201" s="32" t="s">
        <v>2160</v>
      </c>
      <c r="K1201" s="0" t="n">
        <v>5</v>
      </c>
      <c r="M1201" s="32" t="s">
        <v>2283</v>
      </c>
      <c r="N1201" s="0" t="n">
        <v>5</v>
      </c>
      <c r="O1201" s="32" t="s">
        <v>803</v>
      </c>
      <c r="P1201" s="32" t="s">
        <v>2111</v>
      </c>
      <c r="Q1201" s="32" t="s">
        <v>2241</v>
      </c>
      <c r="R1201" s="0" t="str">
        <f aca="false">IF(H1201="GEN","GM",H1201)</f>
        <v>GYN</v>
      </c>
    </row>
    <row r="1202" customFormat="false" ht="15" hidden="false" customHeight="false" outlineLevel="0" collapsed="false">
      <c r="A1202" s="0" t="s">
        <v>3734</v>
      </c>
      <c r="B1202" s="0" t="s">
        <v>2526</v>
      </c>
      <c r="C1202" s="0" t="s">
        <v>918</v>
      </c>
      <c r="D1202" s="31" t="n">
        <v>33240</v>
      </c>
      <c r="E1202" s="31" t="n">
        <v>45638</v>
      </c>
      <c r="F1202" s="32" t="s">
        <v>2087</v>
      </c>
      <c r="G1202" s="32" t="s">
        <v>2079</v>
      </c>
      <c r="H1202" s="32" t="s">
        <v>810</v>
      </c>
      <c r="I1202" s="31" t="n">
        <v>45640</v>
      </c>
      <c r="J1202" s="32" t="s">
        <v>2080</v>
      </c>
      <c r="K1202" s="0" t="n">
        <v>2</v>
      </c>
      <c r="L1202" s="32" t="s">
        <v>2081</v>
      </c>
      <c r="M1202" s="32" t="s">
        <v>2207</v>
      </c>
      <c r="N1202" s="0" t="n">
        <v>2</v>
      </c>
      <c r="O1202" s="32" t="s">
        <v>811</v>
      </c>
      <c r="P1202" s="32" t="s">
        <v>2175</v>
      </c>
      <c r="Q1202" s="32" t="s">
        <v>2241</v>
      </c>
      <c r="R1202" s="0" t="str">
        <f aca="false">IF(H1202="GEN","GM",H1202)</f>
        <v>URO</v>
      </c>
    </row>
    <row r="1203" customFormat="false" ht="15" hidden="false" customHeight="false" outlineLevel="0" collapsed="false">
      <c r="A1203" s="0" t="s">
        <v>3735</v>
      </c>
      <c r="B1203" s="0" t="s">
        <v>2391</v>
      </c>
      <c r="C1203" s="0" t="s">
        <v>958</v>
      </c>
      <c r="D1203" s="31" t="n">
        <v>24650</v>
      </c>
      <c r="E1203" s="31" t="n">
        <v>45644</v>
      </c>
      <c r="F1203" s="32" t="s">
        <v>2087</v>
      </c>
      <c r="G1203" s="32" t="s">
        <v>2124</v>
      </c>
      <c r="H1203" s="32" t="s">
        <v>785</v>
      </c>
      <c r="I1203" s="31" t="n">
        <v>45645</v>
      </c>
      <c r="J1203" s="32" t="s">
        <v>2160</v>
      </c>
      <c r="K1203" s="0" t="n">
        <v>1</v>
      </c>
      <c r="L1203" s="32" t="s">
        <v>2081</v>
      </c>
      <c r="M1203" s="32" t="s">
        <v>2207</v>
      </c>
      <c r="N1203" s="0" t="n">
        <v>1</v>
      </c>
      <c r="O1203" s="32" t="s">
        <v>786</v>
      </c>
      <c r="P1203" s="32" t="s">
        <v>2213</v>
      </c>
      <c r="Q1203" s="32" t="s">
        <v>2112</v>
      </c>
      <c r="R1203" s="0" t="str">
        <f aca="false">IF(H1203="GEN","GM",H1203)</f>
        <v>RS</v>
      </c>
    </row>
    <row r="1204" customFormat="false" ht="15" hidden="false" customHeight="false" outlineLevel="0" collapsed="false">
      <c r="A1204" s="0" t="s">
        <v>3736</v>
      </c>
      <c r="B1204" s="0" t="s">
        <v>3737</v>
      </c>
      <c r="C1204" s="0" t="s">
        <v>906</v>
      </c>
      <c r="D1204" s="31" t="n">
        <v>37319</v>
      </c>
      <c r="E1204" s="31" t="n">
        <v>45601</v>
      </c>
      <c r="F1204" s="32" t="s">
        <v>2078</v>
      </c>
      <c r="G1204" s="32" t="s">
        <v>2088</v>
      </c>
      <c r="H1204" s="32" t="s">
        <v>747</v>
      </c>
      <c r="L1204" s="32" t="s">
        <v>2081</v>
      </c>
      <c r="M1204" s="32" t="s">
        <v>2212</v>
      </c>
      <c r="O1204" s="32" t="s">
        <v>748</v>
      </c>
      <c r="P1204" s="32" t="s">
        <v>2182</v>
      </c>
      <c r="Q1204" s="32" t="s">
        <v>2129</v>
      </c>
      <c r="R1204" s="0" t="str">
        <f aca="false">IF(H1204="GEN","GM",H1204)</f>
        <v>GM</v>
      </c>
    </row>
    <row r="1205" customFormat="false" ht="15" hidden="false" customHeight="false" outlineLevel="0" collapsed="false">
      <c r="A1205" s="0" t="s">
        <v>3738</v>
      </c>
      <c r="B1205" s="0" t="s">
        <v>2243</v>
      </c>
      <c r="C1205" s="0" t="s">
        <v>930</v>
      </c>
      <c r="D1205" s="31" t="n">
        <v>18247</v>
      </c>
      <c r="E1205" s="31" t="n">
        <v>45625</v>
      </c>
      <c r="F1205" s="32" t="s">
        <v>2585</v>
      </c>
      <c r="G1205" s="32" t="s">
        <v>2088</v>
      </c>
      <c r="H1205" s="32" t="s">
        <v>793</v>
      </c>
      <c r="I1205" s="31" t="n">
        <v>45629</v>
      </c>
      <c r="J1205" s="32" t="s">
        <v>2160</v>
      </c>
      <c r="K1205" s="0" t="n">
        <v>4</v>
      </c>
      <c r="L1205" s="32" t="s">
        <v>2081</v>
      </c>
      <c r="M1205" s="32" t="s">
        <v>2136</v>
      </c>
      <c r="N1205" s="0" t="n">
        <v>4</v>
      </c>
      <c r="O1205" s="32" t="s">
        <v>794</v>
      </c>
      <c r="P1205" s="32" t="s">
        <v>2133</v>
      </c>
      <c r="Q1205" s="32" t="s">
        <v>2165</v>
      </c>
      <c r="R1205" s="0" t="str">
        <f aca="false">IF(H1205="GEN","GM",H1205)</f>
        <v>EM</v>
      </c>
    </row>
    <row r="1206" customFormat="false" ht="15" hidden="false" customHeight="false" outlineLevel="0" collapsed="false">
      <c r="A1206" s="0" t="s">
        <v>3739</v>
      </c>
      <c r="B1206" s="0" t="s">
        <v>3693</v>
      </c>
      <c r="C1206" s="0" t="s">
        <v>1398</v>
      </c>
      <c r="D1206" s="31" t="n">
        <v>31065</v>
      </c>
      <c r="E1206" s="31" t="n">
        <v>45677</v>
      </c>
      <c r="F1206" s="32" t="s">
        <v>2078</v>
      </c>
      <c r="G1206" s="32" t="s">
        <v>2088</v>
      </c>
      <c r="H1206" s="32" t="s">
        <v>793</v>
      </c>
      <c r="I1206" s="31" t="n">
        <v>45679</v>
      </c>
      <c r="J1206" s="32" t="s">
        <v>2080</v>
      </c>
      <c r="K1206" s="0" t="n">
        <v>2</v>
      </c>
      <c r="L1206" s="32" t="s">
        <v>2081</v>
      </c>
      <c r="M1206" s="32" t="s">
        <v>2128</v>
      </c>
      <c r="N1206" s="0" t="n">
        <v>2</v>
      </c>
      <c r="O1206" s="32" t="s">
        <v>794</v>
      </c>
      <c r="P1206" s="32" t="s">
        <v>2137</v>
      </c>
      <c r="Q1206" s="32" t="s">
        <v>2118</v>
      </c>
      <c r="R1206" s="0" t="str">
        <f aca="false">IF(H1206="GEN","GM",H1206)</f>
        <v>EM</v>
      </c>
    </row>
    <row r="1207" customFormat="false" ht="15" hidden="false" customHeight="false" outlineLevel="0" collapsed="false">
      <c r="A1207" s="0" t="s">
        <v>3740</v>
      </c>
      <c r="B1207" s="0" t="s">
        <v>2229</v>
      </c>
      <c r="C1207" s="0" t="s">
        <v>746</v>
      </c>
      <c r="D1207" s="31" t="n">
        <v>32926</v>
      </c>
      <c r="E1207" s="31" t="n">
        <v>45685</v>
      </c>
      <c r="F1207" s="32" t="s">
        <v>2087</v>
      </c>
      <c r="G1207" s="32" t="s">
        <v>2088</v>
      </c>
      <c r="H1207" s="32" t="s">
        <v>826</v>
      </c>
      <c r="I1207" s="31" t="n">
        <v>45691</v>
      </c>
      <c r="J1207" s="32" t="s">
        <v>2160</v>
      </c>
      <c r="K1207" s="0" t="n">
        <v>6</v>
      </c>
      <c r="L1207" s="32" t="s">
        <v>2081</v>
      </c>
      <c r="M1207" s="32" t="s">
        <v>2255</v>
      </c>
      <c r="N1207" s="0" t="n">
        <v>6</v>
      </c>
      <c r="O1207" s="32" t="s">
        <v>827</v>
      </c>
      <c r="P1207" s="32" t="s">
        <v>2179</v>
      </c>
      <c r="Q1207" s="32" t="s">
        <v>2107</v>
      </c>
      <c r="R1207" s="0" t="str">
        <f aca="false">IF(H1207="GEN","GM",H1207)</f>
        <v>RHE</v>
      </c>
    </row>
  </sheetData>
  <autoFilter ref="A1:Q1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35.05" hidden="false" customHeight="false" outlineLevel="0" collapsed="false">
      <c r="A1" s="6" t="s">
        <v>332</v>
      </c>
      <c r="B1" s="6" t="s">
        <v>115</v>
      </c>
      <c r="C1" s="6" t="s">
        <v>738</v>
      </c>
      <c r="D1" s="6" t="s">
        <v>622</v>
      </c>
      <c r="E1" s="6" t="s">
        <v>632</v>
      </c>
      <c r="F1" s="6" t="s">
        <v>362</v>
      </c>
      <c r="G1" s="6" t="s">
        <v>369</v>
      </c>
      <c r="H1" s="6" t="s">
        <v>377</v>
      </c>
      <c r="I1" s="6" t="s">
        <v>340</v>
      </c>
      <c r="J1" s="6" t="s">
        <v>393</v>
      </c>
      <c r="K1" s="6" t="s">
        <v>348</v>
      </c>
      <c r="L1" s="6" t="s">
        <v>355</v>
      </c>
      <c r="M1" s="6" t="s">
        <v>410</v>
      </c>
      <c r="N1" s="6" t="s">
        <v>417</v>
      </c>
      <c r="O1" s="30" t="s">
        <v>3741</v>
      </c>
      <c r="P1" s="30" t="s">
        <v>3742</v>
      </c>
      <c r="Q1" s="30" t="s">
        <v>3743</v>
      </c>
    </row>
    <row r="2" customFormat="false" ht="15" hidden="false" customHeight="false" outlineLevel="0" collapsed="false">
      <c r="A2" s="0" t="s">
        <v>3744</v>
      </c>
      <c r="B2" s="0" t="s">
        <v>3745</v>
      </c>
      <c r="C2" s="0" t="s">
        <v>1402</v>
      </c>
      <c r="D2" s="31" t="n">
        <v>34548</v>
      </c>
      <c r="E2" s="31" t="n">
        <v>45619</v>
      </c>
      <c r="F2" s="32" t="s">
        <v>3746</v>
      </c>
      <c r="G2" s="0" t="n">
        <v>3</v>
      </c>
      <c r="H2" s="32" t="s">
        <v>3747</v>
      </c>
      <c r="I2" s="32" t="s">
        <v>3748</v>
      </c>
      <c r="J2" s="32" t="s">
        <v>3749</v>
      </c>
      <c r="K2" s="32" t="s">
        <v>2081</v>
      </c>
      <c r="L2" s="0" t="n">
        <v>207</v>
      </c>
      <c r="M2" s="32" t="s">
        <v>3750</v>
      </c>
      <c r="N2" s="32" t="s">
        <v>3751</v>
      </c>
      <c r="O2" s="32" t="n">
        <f aca="false">IF(I2="","",ROUND(MOD(TIMEVALUE(I2)-TIMEVALUE(F2),1)*1440,0))</f>
        <v>207</v>
      </c>
      <c r="P2" s="0" t="str">
        <f aca="false">IF(COUNTIF($A$2:A2,A2)&gt;1,"DUP","")</f>
        <v/>
      </c>
      <c r="Q2" s="0" t="str">
        <f aca="false">IF(O2="","",IF(O2&gt;240,"Y","N"))</f>
        <v>N</v>
      </c>
    </row>
    <row r="3" customFormat="false" ht="15" hidden="false" customHeight="false" outlineLevel="0" collapsed="false">
      <c r="A3" s="0" t="s">
        <v>3752</v>
      </c>
      <c r="B3" s="0" t="s">
        <v>3753</v>
      </c>
      <c r="C3" s="0" t="s">
        <v>966</v>
      </c>
      <c r="D3" s="31" t="n">
        <v>31325</v>
      </c>
      <c r="E3" s="31" t="n">
        <v>45646</v>
      </c>
      <c r="F3" s="32" t="s">
        <v>3754</v>
      </c>
      <c r="G3" s="0" t="n">
        <v>4</v>
      </c>
      <c r="H3" s="32" t="s">
        <v>3755</v>
      </c>
      <c r="I3" s="32" t="s">
        <v>3756</v>
      </c>
      <c r="J3" s="32" t="s">
        <v>3749</v>
      </c>
      <c r="K3" s="32" t="s">
        <v>2081</v>
      </c>
      <c r="L3" s="0" t="n">
        <v>202</v>
      </c>
      <c r="M3" s="32" t="s">
        <v>3757</v>
      </c>
      <c r="N3" s="32" t="s">
        <v>3751</v>
      </c>
      <c r="O3" s="32" t="n">
        <f aca="false">IF(I3="","",ROUND(MOD(TIMEVALUE(I3)-TIMEVALUE(F3),1)*1440,0))</f>
        <v>202</v>
      </c>
      <c r="P3" s="0" t="str">
        <f aca="false">IF(COUNTIF($A$2:A3,A3)&gt;1,"DUP","")</f>
        <v/>
      </c>
      <c r="Q3" s="0" t="str">
        <f aca="false">IF(O3="","",IF(O3&gt;240,"Y","N"))</f>
        <v>N</v>
      </c>
    </row>
    <row r="4" customFormat="false" ht="15" hidden="false" customHeight="false" outlineLevel="0" collapsed="false">
      <c r="A4" s="0" t="s">
        <v>3758</v>
      </c>
      <c r="B4" s="0" t="s">
        <v>3759</v>
      </c>
      <c r="C4" s="0" t="s">
        <v>1025</v>
      </c>
      <c r="D4" s="31" t="n">
        <v>26674</v>
      </c>
      <c r="E4" s="31" t="n">
        <v>45568</v>
      </c>
      <c r="F4" s="32" t="s">
        <v>3760</v>
      </c>
      <c r="G4" s="0" t="n">
        <v>5</v>
      </c>
      <c r="H4" s="32" t="s">
        <v>3761</v>
      </c>
      <c r="I4" s="32" t="s">
        <v>3762</v>
      </c>
      <c r="J4" s="32" t="s">
        <v>3763</v>
      </c>
      <c r="K4" s="32" t="s">
        <v>2081</v>
      </c>
      <c r="L4" s="0" t="n">
        <v>34</v>
      </c>
      <c r="M4" s="32" t="s">
        <v>3764</v>
      </c>
      <c r="N4" s="32" t="s">
        <v>3751</v>
      </c>
      <c r="O4" s="32" t="n">
        <f aca="false">IF(I4="","",ROUND(MOD(TIMEVALUE(I4)-TIMEVALUE(F4),1)*1440,0))</f>
        <v>34</v>
      </c>
      <c r="P4" s="0" t="str">
        <f aca="false">IF(COUNTIF($A$2:A4,A4)&gt;1,"DUP","")</f>
        <v/>
      </c>
      <c r="Q4" s="0" t="str">
        <f aca="false">IF(O4="","",IF(O4&gt;240,"Y","N"))</f>
        <v>N</v>
      </c>
    </row>
    <row r="5" customFormat="false" ht="15" hidden="false" customHeight="false" outlineLevel="0" collapsed="false">
      <c r="A5" s="0" t="s">
        <v>3765</v>
      </c>
      <c r="B5" s="0" t="s">
        <v>3766</v>
      </c>
      <c r="C5" s="0" t="s">
        <v>894</v>
      </c>
      <c r="D5" s="31" t="n">
        <v>26644</v>
      </c>
      <c r="E5" s="31" t="n">
        <v>45614</v>
      </c>
      <c r="F5" s="32" t="s">
        <v>3767</v>
      </c>
      <c r="G5" s="0" t="n">
        <v>3</v>
      </c>
      <c r="H5" s="32" t="s">
        <v>3768</v>
      </c>
      <c r="I5" s="32" t="s">
        <v>3769</v>
      </c>
      <c r="J5" s="32" t="s">
        <v>3749</v>
      </c>
      <c r="K5" s="32" t="s">
        <v>2081</v>
      </c>
      <c r="L5" s="0" t="n">
        <v>74</v>
      </c>
      <c r="M5" s="32" t="s">
        <v>3770</v>
      </c>
      <c r="N5" s="32" t="s">
        <v>3751</v>
      </c>
      <c r="O5" s="32" t="n">
        <f aca="false">IF(I5="","",ROUND(MOD(TIMEVALUE(I5)-TIMEVALUE(F5),1)*1440,0))</f>
        <v>74</v>
      </c>
      <c r="P5" s="0" t="str">
        <f aca="false">IF(COUNTIF($A$2:A5,A5)&gt;1,"DUP","")</f>
        <v/>
      </c>
      <c r="Q5" s="0" t="str">
        <f aca="false">IF(O5="","",IF(O5&gt;240,"Y","N"))</f>
        <v>N</v>
      </c>
    </row>
    <row r="6" customFormat="false" ht="15" hidden="false" customHeight="false" outlineLevel="0" collapsed="false">
      <c r="A6" s="0" t="s">
        <v>3771</v>
      </c>
      <c r="B6" s="0" t="s">
        <v>3772</v>
      </c>
      <c r="C6" s="0" t="s">
        <v>878</v>
      </c>
      <c r="D6" s="31" t="n">
        <v>30516</v>
      </c>
      <c r="E6" s="31" t="n">
        <v>45640</v>
      </c>
      <c r="F6" s="32" t="s">
        <v>3773</v>
      </c>
      <c r="G6" s="0" t="n">
        <v>4</v>
      </c>
      <c r="H6" s="32" t="s">
        <v>3774</v>
      </c>
      <c r="I6" s="32" t="s">
        <v>3775</v>
      </c>
      <c r="J6" s="32" t="s">
        <v>3749</v>
      </c>
      <c r="K6" s="32" t="s">
        <v>2081</v>
      </c>
      <c r="L6" s="0" t="n">
        <v>180</v>
      </c>
      <c r="M6" s="32" t="s">
        <v>3776</v>
      </c>
      <c r="N6" s="32" t="s">
        <v>3751</v>
      </c>
      <c r="O6" s="32" t="n">
        <f aca="false">IF(I6="","",ROUND(MOD(TIMEVALUE(I6)-TIMEVALUE(F6),1)*1440,0))</f>
        <v>180</v>
      </c>
      <c r="P6" s="0" t="str">
        <f aca="false">IF(COUNTIF($A$2:A6,A6)&gt;1,"DUP","")</f>
        <v/>
      </c>
      <c r="Q6" s="0" t="str">
        <f aca="false">IF(O6="","",IF(O6&gt;240,"Y","N"))</f>
        <v>N</v>
      </c>
    </row>
    <row r="7" customFormat="false" ht="15" hidden="false" customHeight="false" outlineLevel="0" collapsed="false">
      <c r="A7" s="0" t="s">
        <v>3777</v>
      </c>
      <c r="B7" s="0" t="s">
        <v>3778</v>
      </c>
      <c r="C7" s="0" t="s">
        <v>784</v>
      </c>
      <c r="D7" s="31" t="n">
        <v>32046</v>
      </c>
      <c r="E7" s="31" t="n">
        <v>45678</v>
      </c>
      <c r="F7" s="32" t="s">
        <v>3779</v>
      </c>
      <c r="G7" s="0" t="n">
        <v>3</v>
      </c>
      <c r="H7" s="32" t="s">
        <v>3780</v>
      </c>
      <c r="I7" s="32" t="s">
        <v>3781</v>
      </c>
      <c r="J7" s="32" t="s">
        <v>3763</v>
      </c>
      <c r="K7" s="32" t="s">
        <v>2081</v>
      </c>
      <c r="L7" s="0" t="n">
        <v>124</v>
      </c>
      <c r="M7" s="32" t="s">
        <v>3782</v>
      </c>
      <c r="N7" s="32" t="s">
        <v>3751</v>
      </c>
      <c r="O7" s="32" t="n">
        <f aca="false">IF(I7="","",ROUND(MOD(TIMEVALUE(I7)-TIMEVALUE(F7),1)*1440,0))</f>
        <v>124</v>
      </c>
      <c r="P7" s="0" t="str">
        <f aca="false">IF(COUNTIF($A$2:A7,A7)&gt;1,"DUP","")</f>
        <v/>
      </c>
      <c r="Q7" s="0" t="str">
        <f aca="false">IF(O7="","",IF(O7&gt;240,"Y","N"))</f>
        <v>N</v>
      </c>
    </row>
    <row r="8" customFormat="false" ht="15" hidden="false" customHeight="false" outlineLevel="0" collapsed="false">
      <c r="A8" s="0" t="s">
        <v>3783</v>
      </c>
      <c r="C8" s="0" t="s">
        <v>1021</v>
      </c>
      <c r="D8" s="31" t="n">
        <v>33673</v>
      </c>
      <c r="E8" s="31" t="n">
        <v>45711</v>
      </c>
      <c r="F8" s="32" t="s">
        <v>3784</v>
      </c>
      <c r="G8" s="0" t="n">
        <v>3</v>
      </c>
      <c r="H8" s="32" t="s">
        <v>3785</v>
      </c>
      <c r="I8" s="32" t="s">
        <v>3786</v>
      </c>
      <c r="J8" s="32" t="s">
        <v>3749</v>
      </c>
      <c r="K8" s="32" t="s">
        <v>2081</v>
      </c>
      <c r="L8" s="0" t="n">
        <v>143</v>
      </c>
      <c r="M8" s="32" t="s">
        <v>3787</v>
      </c>
      <c r="N8" s="32" t="s">
        <v>3751</v>
      </c>
      <c r="O8" s="32" t="n">
        <f aca="false">IF(I8="","",ROUND(MOD(TIMEVALUE(I8)-TIMEVALUE(F8),1)*1440,0))</f>
        <v>143</v>
      </c>
      <c r="P8" s="0" t="str">
        <f aca="false">IF(COUNTIF($A$2:A8,A8)&gt;1,"DUP","")</f>
        <v/>
      </c>
      <c r="Q8" s="0" t="str">
        <f aca="false">IF(O8="","",IF(O8&gt;240,"Y","N"))</f>
        <v>N</v>
      </c>
    </row>
    <row r="9" customFormat="false" ht="15" hidden="false" customHeight="false" outlineLevel="0" collapsed="false">
      <c r="A9" s="0" t="s">
        <v>3788</v>
      </c>
      <c r="B9" s="0" t="s">
        <v>3789</v>
      </c>
      <c r="C9" s="0" t="s">
        <v>1410</v>
      </c>
      <c r="D9" s="31" t="n">
        <v>31519</v>
      </c>
      <c r="E9" s="31" t="n">
        <v>45692</v>
      </c>
      <c r="F9" s="32" t="s">
        <v>3790</v>
      </c>
      <c r="G9" s="0" t="n">
        <v>3</v>
      </c>
      <c r="H9" s="32" t="s">
        <v>3791</v>
      </c>
      <c r="I9" s="32" t="s">
        <v>3792</v>
      </c>
      <c r="J9" s="32" t="s">
        <v>3793</v>
      </c>
      <c r="K9" s="32" t="s">
        <v>2081</v>
      </c>
      <c r="L9" s="0" t="n">
        <v>89</v>
      </c>
      <c r="M9" s="32" t="s">
        <v>3794</v>
      </c>
      <c r="N9" s="32" t="s">
        <v>747</v>
      </c>
      <c r="O9" s="32" t="n">
        <f aca="false">IF(I9="","",ROUND(MOD(TIMEVALUE(I9)-TIMEVALUE(F9),1)*1440,0))</f>
        <v>89</v>
      </c>
      <c r="P9" s="0" t="str">
        <f aca="false">IF(COUNTIF($A$2:A9,A9)&gt;1,"DUP","")</f>
        <v/>
      </c>
      <c r="Q9" s="0" t="str">
        <f aca="false">IF(O9="","",IF(O9&gt;240,"Y","N"))</f>
        <v>N</v>
      </c>
    </row>
    <row r="10" customFormat="false" ht="15" hidden="false" customHeight="false" outlineLevel="0" collapsed="false">
      <c r="A10" s="0" t="s">
        <v>3795</v>
      </c>
      <c r="C10" s="0" t="s">
        <v>894</v>
      </c>
      <c r="D10" s="31" t="n">
        <v>23205</v>
      </c>
      <c r="E10" s="31" t="n">
        <v>45698</v>
      </c>
      <c r="F10" s="32" t="s">
        <v>3796</v>
      </c>
      <c r="G10" s="0" t="n">
        <v>3</v>
      </c>
      <c r="H10" s="32" t="s">
        <v>3797</v>
      </c>
      <c r="I10" s="32" t="s">
        <v>3798</v>
      </c>
      <c r="J10" s="32" t="s">
        <v>3793</v>
      </c>
      <c r="K10" s="32" t="s">
        <v>2081</v>
      </c>
      <c r="L10" s="0" t="n">
        <v>42</v>
      </c>
      <c r="M10" s="32" t="s">
        <v>3799</v>
      </c>
      <c r="N10" s="32" t="s">
        <v>826</v>
      </c>
      <c r="O10" s="32" t="n">
        <f aca="false">IF(I10="","",ROUND(MOD(TIMEVALUE(I10)-TIMEVALUE(F10),1)*1440,0))</f>
        <v>42</v>
      </c>
      <c r="P10" s="0" t="str">
        <f aca="false">IF(COUNTIF($A$2:A10,A10)&gt;1,"DUP","")</f>
        <v/>
      </c>
      <c r="Q10" s="0" t="str">
        <f aca="false">IF(O10="","",IF(O10&gt;240,"Y","N"))</f>
        <v>N</v>
      </c>
    </row>
    <row r="11" customFormat="false" ht="15" hidden="false" customHeight="false" outlineLevel="0" collapsed="false">
      <c r="A11" s="0" t="s">
        <v>3800</v>
      </c>
      <c r="B11" s="0" t="s">
        <v>3801</v>
      </c>
      <c r="C11" s="0" t="s">
        <v>801</v>
      </c>
      <c r="D11" s="31" t="n">
        <v>28041</v>
      </c>
      <c r="E11" s="31" t="n">
        <v>45580</v>
      </c>
      <c r="F11" s="32" t="s">
        <v>3802</v>
      </c>
      <c r="G11" s="0" t="n">
        <v>3</v>
      </c>
      <c r="H11" s="32" t="s">
        <v>3803</v>
      </c>
      <c r="I11" s="32" t="s">
        <v>3804</v>
      </c>
      <c r="J11" s="32" t="s">
        <v>3749</v>
      </c>
      <c r="K11" s="32" t="s">
        <v>2081</v>
      </c>
      <c r="L11" s="0" t="n">
        <v>56</v>
      </c>
      <c r="M11" s="32" t="s">
        <v>3776</v>
      </c>
      <c r="N11" s="32" t="s">
        <v>3751</v>
      </c>
      <c r="O11" s="32" t="n">
        <f aca="false">IF(I11="","",ROUND(MOD(TIMEVALUE(I11)-TIMEVALUE(F11),1)*1440,0))</f>
        <v>56</v>
      </c>
      <c r="P11" s="0" t="str">
        <f aca="false">IF(COUNTIF($A$2:A11,A11)&gt;1,"DUP","")</f>
        <v/>
      </c>
      <c r="Q11" s="0" t="str">
        <f aca="false">IF(O11="","",IF(O11&gt;240,"Y","N"))</f>
        <v>N</v>
      </c>
    </row>
    <row r="12" customFormat="false" ht="15" hidden="false" customHeight="false" outlineLevel="0" collapsed="false">
      <c r="A12" s="0" t="s">
        <v>3805</v>
      </c>
      <c r="B12" s="0" t="s">
        <v>3806</v>
      </c>
      <c r="C12" s="0" t="s">
        <v>1453</v>
      </c>
      <c r="D12" s="31" t="n">
        <v>18297</v>
      </c>
      <c r="E12" s="31" t="n">
        <v>45629</v>
      </c>
      <c r="F12" s="32" t="s">
        <v>3807</v>
      </c>
      <c r="G12" s="0" t="n">
        <v>3</v>
      </c>
      <c r="H12" s="32" t="s">
        <v>3808</v>
      </c>
      <c r="I12" s="32" t="s">
        <v>3809</v>
      </c>
      <c r="J12" s="32" t="s">
        <v>3749</v>
      </c>
      <c r="K12" s="32" t="s">
        <v>2081</v>
      </c>
      <c r="L12" s="0" t="n">
        <v>49</v>
      </c>
      <c r="M12" s="32" t="s">
        <v>3750</v>
      </c>
      <c r="N12" s="32" t="s">
        <v>3751</v>
      </c>
      <c r="O12" s="32" t="n">
        <f aca="false">IF(I12="","",ROUND(MOD(TIMEVALUE(I12)-TIMEVALUE(F12),1)*1440,0))</f>
        <v>49</v>
      </c>
      <c r="P12" s="0" t="str">
        <f aca="false">IF(COUNTIF($A$2:A12,A12)&gt;1,"DUP","")</f>
        <v/>
      </c>
      <c r="Q12" s="0" t="str">
        <f aca="false">IF(O12="","",IF(O12&gt;240,"Y","N"))</f>
        <v>N</v>
      </c>
    </row>
    <row r="13" customFormat="false" ht="15" hidden="false" customHeight="false" outlineLevel="0" collapsed="false">
      <c r="A13" s="0" t="s">
        <v>3810</v>
      </c>
      <c r="B13" s="0" t="s">
        <v>3811</v>
      </c>
      <c r="C13" s="0" t="s">
        <v>757</v>
      </c>
      <c r="D13" s="31" t="n">
        <v>27925</v>
      </c>
      <c r="E13" s="31" t="n">
        <v>45578</v>
      </c>
      <c r="F13" s="32" t="s">
        <v>3812</v>
      </c>
      <c r="G13" s="0" t="n">
        <v>4</v>
      </c>
      <c r="H13" s="32" t="s">
        <v>3813</v>
      </c>
      <c r="I13" s="32" t="s">
        <v>3814</v>
      </c>
      <c r="J13" s="32" t="s">
        <v>3749</v>
      </c>
      <c r="K13" s="32" t="s">
        <v>2106</v>
      </c>
      <c r="L13" s="0" t="n">
        <v>578</v>
      </c>
      <c r="M13" s="32" t="s">
        <v>3815</v>
      </c>
      <c r="N13" s="32" t="s">
        <v>3751</v>
      </c>
      <c r="O13" s="32" t="n">
        <f aca="false">IF(I13="","",ROUND(MOD(TIMEVALUE(I13)-TIMEVALUE(F13),1)*1440,0))</f>
        <v>578</v>
      </c>
      <c r="P13" s="0" t="str">
        <f aca="false">IF(COUNTIF($A$2:A13,A13)&gt;1,"DUP","")</f>
        <v/>
      </c>
      <c r="Q13" s="0" t="str">
        <f aca="false">IF(O13="","",IF(O13&gt;240,"Y","N"))</f>
        <v>Y</v>
      </c>
    </row>
    <row r="14" customFormat="false" ht="15" hidden="false" customHeight="false" outlineLevel="0" collapsed="false">
      <c r="A14" s="0" t="s">
        <v>3816</v>
      </c>
      <c r="B14" s="0" t="s">
        <v>3817</v>
      </c>
      <c r="C14" s="0" t="s">
        <v>874</v>
      </c>
      <c r="D14" s="31" t="n">
        <v>33914</v>
      </c>
      <c r="E14" s="31" t="n">
        <v>45705</v>
      </c>
      <c r="F14" s="32" t="s">
        <v>3818</v>
      </c>
      <c r="G14" s="0" t="n">
        <v>3</v>
      </c>
      <c r="H14" s="32" t="s">
        <v>3819</v>
      </c>
      <c r="I14" s="32" t="s">
        <v>3820</v>
      </c>
      <c r="J14" s="32" t="s">
        <v>3749</v>
      </c>
      <c r="K14" s="32" t="s">
        <v>2081</v>
      </c>
      <c r="L14" s="0" t="n">
        <v>222</v>
      </c>
      <c r="M14" s="32" t="s">
        <v>3821</v>
      </c>
      <c r="N14" s="32" t="s">
        <v>3751</v>
      </c>
      <c r="O14" s="32" t="n">
        <f aca="false">IF(I14="","",ROUND(MOD(TIMEVALUE(I14)-TIMEVALUE(F14),1)*1440,0))</f>
        <v>222</v>
      </c>
      <c r="P14" s="0" t="str">
        <f aca="false">IF(COUNTIF($A$2:A14,A14)&gt;1,"DUP","")</f>
        <v/>
      </c>
      <c r="Q14" s="0" t="str">
        <f aca="false">IF(O14="","",IF(O14&gt;240,"Y","N"))</f>
        <v>N</v>
      </c>
    </row>
    <row r="15" customFormat="false" ht="15" hidden="false" customHeight="false" outlineLevel="0" collapsed="false">
      <c r="A15" s="0" t="s">
        <v>3822</v>
      </c>
      <c r="B15" s="0" t="s">
        <v>3823</v>
      </c>
      <c r="C15" s="0" t="s">
        <v>886</v>
      </c>
      <c r="D15" s="31" t="n">
        <v>36157</v>
      </c>
      <c r="E15" s="31" t="n">
        <v>45617</v>
      </c>
      <c r="F15" s="32" t="s">
        <v>3824</v>
      </c>
      <c r="G15" s="0" t="n">
        <v>2</v>
      </c>
      <c r="H15" s="32" t="s">
        <v>3825</v>
      </c>
      <c r="I15" s="32" t="s">
        <v>3826</v>
      </c>
      <c r="J15" s="32" t="s">
        <v>3749</v>
      </c>
      <c r="K15" s="32" t="s">
        <v>2106</v>
      </c>
      <c r="L15" s="0" t="n">
        <v>444</v>
      </c>
      <c r="M15" s="32" t="s">
        <v>3827</v>
      </c>
      <c r="N15" s="32" t="s">
        <v>3751</v>
      </c>
      <c r="O15" s="32" t="n">
        <f aca="false">IF(I15="","",ROUND(MOD(TIMEVALUE(I15)-TIMEVALUE(F15),1)*1440,0))</f>
        <v>444</v>
      </c>
      <c r="P15" s="0" t="str">
        <f aca="false">IF(COUNTIF($A$2:A15,A15)&gt;1,"DUP","")</f>
        <v/>
      </c>
      <c r="Q15" s="0" t="str">
        <f aca="false">IF(O15="","",IF(O15&gt;240,"Y","N"))</f>
        <v>Y</v>
      </c>
    </row>
    <row r="16" customFormat="false" ht="15" hidden="false" customHeight="false" outlineLevel="0" collapsed="false">
      <c r="A16" s="0" t="s">
        <v>3828</v>
      </c>
      <c r="B16" s="0" t="s">
        <v>3829</v>
      </c>
      <c r="C16" s="0" t="s">
        <v>1001</v>
      </c>
      <c r="D16" s="31" t="n">
        <v>19701</v>
      </c>
      <c r="E16" s="31" t="n">
        <v>45608</v>
      </c>
      <c r="F16" s="32" t="s">
        <v>3830</v>
      </c>
      <c r="G16" s="0" t="n">
        <v>3</v>
      </c>
      <c r="H16" s="32" t="s">
        <v>3831</v>
      </c>
      <c r="I16" s="32" t="s">
        <v>3832</v>
      </c>
      <c r="J16" s="32" t="s">
        <v>3749</v>
      </c>
      <c r="K16" s="32" t="s">
        <v>2081</v>
      </c>
      <c r="L16" s="0" t="n">
        <v>126</v>
      </c>
      <c r="M16" s="32" t="s">
        <v>3750</v>
      </c>
      <c r="N16" s="32" t="s">
        <v>3751</v>
      </c>
      <c r="O16" s="32" t="n">
        <f aca="false">IF(I16="","",ROUND(MOD(TIMEVALUE(I16)-TIMEVALUE(F16),1)*1440,0))</f>
        <v>126</v>
      </c>
      <c r="P16" s="0" t="str">
        <f aca="false">IF(COUNTIF($A$2:A16,A16)&gt;1,"DUP","")</f>
        <v/>
      </c>
      <c r="Q16" s="0" t="str">
        <f aca="false">IF(O16="","",IF(O16&gt;240,"Y","N"))</f>
        <v>N</v>
      </c>
    </row>
    <row r="17" customFormat="false" ht="15" hidden="false" customHeight="false" outlineLevel="0" collapsed="false">
      <c r="A17" s="0" t="s">
        <v>3833</v>
      </c>
      <c r="B17" s="0" t="s">
        <v>3834</v>
      </c>
      <c r="C17" s="0" t="s">
        <v>890</v>
      </c>
      <c r="D17" s="31" t="n">
        <v>17149</v>
      </c>
      <c r="E17" s="31" t="n">
        <v>45579</v>
      </c>
      <c r="F17" s="32" t="s">
        <v>3835</v>
      </c>
      <c r="G17" s="0" t="n">
        <v>4</v>
      </c>
      <c r="H17" s="32" t="s">
        <v>3836</v>
      </c>
      <c r="I17" s="32" t="s">
        <v>3837</v>
      </c>
      <c r="J17" s="32" t="s">
        <v>3749</v>
      </c>
      <c r="K17" s="32" t="s">
        <v>2106</v>
      </c>
      <c r="L17" s="0" t="n">
        <v>290</v>
      </c>
      <c r="M17" s="32" t="s">
        <v>3827</v>
      </c>
      <c r="N17" s="32" t="s">
        <v>3751</v>
      </c>
      <c r="O17" s="32" t="n">
        <f aca="false">IF(I17="","",ROUND(MOD(TIMEVALUE(I17)-TIMEVALUE(F17),1)*1440,0))</f>
        <v>290</v>
      </c>
      <c r="P17" s="0" t="str">
        <f aca="false">IF(COUNTIF($A$2:A17,A17)&gt;1,"DUP","")</f>
        <v/>
      </c>
      <c r="Q17" s="0" t="str">
        <f aca="false">IF(O17="","",IF(O17&gt;240,"Y","N"))</f>
        <v>Y</v>
      </c>
    </row>
    <row r="18" customFormat="false" ht="15" hidden="false" customHeight="false" outlineLevel="0" collapsed="false">
      <c r="A18" s="0" t="s">
        <v>3838</v>
      </c>
      <c r="B18" s="0" t="s">
        <v>3839</v>
      </c>
      <c r="C18" s="0" t="s">
        <v>950</v>
      </c>
      <c r="D18" s="31" t="n">
        <v>37236</v>
      </c>
      <c r="E18" s="31" t="n">
        <v>45654</v>
      </c>
      <c r="F18" s="32" t="s">
        <v>3840</v>
      </c>
      <c r="G18" s="0" t="n">
        <v>4</v>
      </c>
      <c r="H18" s="32" t="s">
        <v>3841</v>
      </c>
      <c r="I18" s="32" t="s">
        <v>3842</v>
      </c>
      <c r="J18" s="32" t="s">
        <v>3749</v>
      </c>
      <c r="K18" s="32" t="s">
        <v>2081</v>
      </c>
      <c r="L18" s="0" t="n">
        <v>96</v>
      </c>
      <c r="M18" s="32" t="s">
        <v>3843</v>
      </c>
      <c r="N18" s="32" t="s">
        <v>3751</v>
      </c>
      <c r="O18" s="32" t="n">
        <f aca="false">IF(I18="","",ROUND(MOD(TIMEVALUE(I18)-TIMEVALUE(F18),1)*1440,0))</f>
        <v>96</v>
      </c>
      <c r="P18" s="0" t="str">
        <f aca="false">IF(COUNTIF($A$2:A18,A18)&gt;1,"DUP","")</f>
        <v/>
      </c>
      <c r="Q18" s="0" t="str">
        <f aca="false">IF(O18="","",IF(O18&gt;240,"Y","N"))</f>
        <v>N</v>
      </c>
    </row>
    <row r="19" customFormat="false" ht="15" hidden="false" customHeight="false" outlineLevel="0" collapsed="false">
      <c r="A19" s="0" t="s">
        <v>3844</v>
      </c>
      <c r="B19" s="0" t="s">
        <v>3845</v>
      </c>
      <c r="C19" s="0" t="s">
        <v>1393</v>
      </c>
      <c r="D19" s="31" t="n">
        <v>14525</v>
      </c>
      <c r="E19" s="31" t="n">
        <v>45615</v>
      </c>
      <c r="F19" s="32" t="s">
        <v>3846</v>
      </c>
      <c r="G19" s="0" t="n">
        <v>3</v>
      </c>
      <c r="H19" s="32" t="s">
        <v>3847</v>
      </c>
      <c r="I19" s="32" t="s">
        <v>3848</v>
      </c>
      <c r="J19" s="32" t="s">
        <v>2307</v>
      </c>
      <c r="K19" s="32" t="s">
        <v>2081</v>
      </c>
      <c r="L19" s="0" t="n">
        <v>128</v>
      </c>
      <c r="M19" s="32" t="s">
        <v>3849</v>
      </c>
      <c r="N19" s="32" t="s">
        <v>3751</v>
      </c>
      <c r="O19" s="32" t="n">
        <f aca="false">IF(I19="","",ROUND(MOD(TIMEVALUE(I19)-TIMEVALUE(F19),1)*1440,0))</f>
        <v>128</v>
      </c>
      <c r="P19" s="0" t="str">
        <f aca="false">IF(COUNTIF($A$2:A19,A19)&gt;1,"DUP","")</f>
        <v/>
      </c>
      <c r="Q19" s="0" t="str">
        <f aca="false">IF(O19="","",IF(O19&gt;240,"Y","N"))</f>
        <v>N</v>
      </c>
    </row>
    <row r="20" customFormat="false" ht="15" hidden="false" customHeight="false" outlineLevel="0" collapsed="false">
      <c r="A20" s="0" t="s">
        <v>3850</v>
      </c>
      <c r="B20" s="0" t="s">
        <v>3851</v>
      </c>
      <c r="C20" s="0" t="s">
        <v>849</v>
      </c>
      <c r="D20" s="31" t="n">
        <v>14777</v>
      </c>
      <c r="E20" s="31" t="n">
        <v>45699</v>
      </c>
      <c r="F20" s="32" t="s">
        <v>3852</v>
      </c>
      <c r="G20" s="0" t="n">
        <v>3</v>
      </c>
      <c r="H20" s="32" t="s">
        <v>3853</v>
      </c>
      <c r="I20" s="32" t="s">
        <v>3854</v>
      </c>
      <c r="J20" s="32" t="s">
        <v>3749</v>
      </c>
      <c r="K20" s="32" t="s">
        <v>2081</v>
      </c>
      <c r="L20" s="0" t="n">
        <v>60</v>
      </c>
      <c r="M20" s="32" t="s">
        <v>3855</v>
      </c>
      <c r="N20" s="32" t="s">
        <v>3751</v>
      </c>
      <c r="O20" s="32" t="n">
        <f aca="false">IF(I20="","",ROUND(MOD(TIMEVALUE(I20)-TIMEVALUE(F20),1)*1440,0))</f>
        <v>60</v>
      </c>
      <c r="P20" s="0" t="str">
        <f aca="false">IF(COUNTIF($A$2:A20,A20)&gt;1,"DUP","")</f>
        <v/>
      </c>
      <c r="Q20" s="0" t="str">
        <f aca="false">IF(O20="","",IF(O20&gt;240,"Y","N"))</f>
        <v>N</v>
      </c>
    </row>
    <row r="21" customFormat="false" ht="15" hidden="false" customHeight="false" outlineLevel="0" collapsed="false">
      <c r="A21" s="0" t="s">
        <v>3856</v>
      </c>
      <c r="B21" s="0" t="s">
        <v>3857</v>
      </c>
      <c r="C21" s="0" t="s">
        <v>886</v>
      </c>
      <c r="D21" s="31" t="n">
        <v>33982</v>
      </c>
      <c r="E21" s="31" t="n">
        <v>45633</v>
      </c>
      <c r="F21" s="32" t="s">
        <v>3858</v>
      </c>
      <c r="G21" s="0" t="n">
        <v>3</v>
      </c>
      <c r="H21" s="32" t="s">
        <v>3859</v>
      </c>
      <c r="I21" s="32" t="s">
        <v>3860</v>
      </c>
      <c r="J21" s="32" t="s">
        <v>3749</v>
      </c>
      <c r="K21" s="32" t="s">
        <v>2081</v>
      </c>
      <c r="L21" s="0" t="n">
        <v>30</v>
      </c>
      <c r="M21" s="32" t="s">
        <v>3855</v>
      </c>
      <c r="N21" s="32" t="s">
        <v>3751</v>
      </c>
      <c r="O21" s="32" t="n">
        <f aca="false">IF(I21="","",ROUND(MOD(TIMEVALUE(I21)-TIMEVALUE(F21),1)*1440,0))</f>
        <v>30</v>
      </c>
      <c r="P21" s="0" t="str">
        <f aca="false">IF(COUNTIF($A$2:A21,A21)&gt;1,"DUP","")</f>
        <v/>
      </c>
      <c r="Q21" s="0" t="str">
        <f aca="false">IF(O21="","",IF(O21&gt;240,"Y","N"))</f>
        <v>N</v>
      </c>
    </row>
    <row r="22" customFormat="false" ht="15" hidden="false" customHeight="false" outlineLevel="0" collapsed="false">
      <c r="A22" s="0" t="s">
        <v>3861</v>
      </c>
      <c r="B22" s="0" t="s">
        <v>3862</v>
      </c>
      <c r="C22" s="0" t="s">
        <v>926</v>
      </c>
      <c r="D22" s="31" t="n">
        <v>20581</v>
      </c>
      <c r="E22" s="31" t="n">
        <v>45653</v>
      </c>
      <c r="F22" s="32" t="s">
        <v>3863</v>
      </c>
      <c r="G22" s="0" t="n">
        <v>1</v>
      </c>
      <c r="H22" s="32" t="s">
        <v>3864</v>
      </c>
      <c r="I22" s="32" t="s">
        <v>3865</v>
      </c>
      <c r="J22" s="32" t="s">
        <v>3749</v>
      </c>
      <c r="K22" s="32" t="s">
        <v>2081</v>
      </c>
      <c r="L22" s="0" t="n">
        <v>43</v>
      </c>
      <c r="M22" s="32" t="s">
        <v>3866</v>
      </c>
      <c r="N22" s="32" t="s">
        <v>3751</v>
      </c>
      <c r="O22" s="32" t="n">
        <f aca="false">IF(I22="","",ROUND(MOD(TIMEVALUE(I22)-TIMEVALUE(F22),1)*1440,0))</f>
        <v>43</v>
      </c>
      <c r="P22" s="0" t="str">
        <f aca="false">IF(COUNTIF($A$2:A22,A22)&gt;1,"DUP","")</f>
        <v/>
      </c>
      <c r="Q22" s="0" t="str">
        <f aca="false">IF(O22="","",IF(O22&gt;240,"Y","N"))</f>
        <v>N</v>
      </c>
    </row>
    <row r="23" customFormat="false" ht="15" hidden="false" customHeight="false" outlineLevel="0" collapsed="false">
      <c r="A23" s="0" t="s">
        <v>3867</v>
      </c>
      <c r="B23" s="0" t="s">
        <v>3868</v>
      </c>
      <c r="C23" s="0" t="s">
        <v>898</v>
      </c>
      <c r="D23" s="31" t="n">
        <v>23279</v>
      </c>
      <c r="E23" s="31" t="n">
        <v>45736</v>
      </c>
      <c r="F23" s="32" t="s">
        <v>3869</v>
      </c>
      <c r="G23" s="0" t="n">
        <v>3</v>
      </c>
      <c r="H23" s="32" t="s">
        <v>3797</v>
      </c>
      <c r="I23" s="32" t="s">
        <v>3870</v>
      </c>
      <c r="J23" s="32" t="s">
        <v>3749</v>
      </c>
      <c r="K23" s="32" t="s">
        <v>2081</v>
      </c>
      <c r="L23" s="0" t="n">
        <v>224</v>
      </c>
      <c r="M23" s="32" t="s">
        <v>3871</v>
      </c>
      <c r="N23" s="32" t="s">
        <v>3751</v>
      </c>
      <c r="O23" s="32" t="n">
        <f aca="false">IF(I23="","",ROUND(MOD(TIMEVALUE(I23)-TIMEVALUE(F23),1)*1440,0))</f>
        <v>224</v>
      </c>
      <c r="P23" s="0" t="str">
        <f aca="false">IF(COUNTIF($A$2:A23,A23)&gt;1,"DUP","")</f>
        <v/>
      </c>
      <c r="Q23" s="0" t="str">
        <f aca="false">IF(O23="","",IF(O23&gt;240,"Y","N"))</f>
        <v>N</v>
      </c>
    </row>
    <row r="24" customFormat="false" ht="15" hidden="false" customHeight="false" outlineLevel="0" collapsed="false">
      <c r="A24" s="0" t="s">
        <v>3872</v>
      </c>
      <c r="B24" s="0" t="s">
        <v>3873</v>
      </c>
      <c r="C24" s="0" t="s">
        <v>962</v>
      </c>
      <c r="D24" s="31" t="n">
        <v>15595</v>
      </c>
      <c r="E24" s="31" t="n">
        <v>45695</v>
      </c>
      <c r="F24" s="32" t="s">
        <v>3874</v>
      </c>
      <c r="G24" s="0" t="n">
        <v>4</v>
      </c>
      <c r="H24" s="32" t="s">
        <v>3875</v>
      </c>
      <c r="I24" s="32" t="s">
        <v>3876</v>
      </c>
      <c r="J24" s="32" t="s">
        <v>3749</v>
      </c>
      <c r="K24" s="32" t="s">
        <v>2081</v>
      </c>
      <c r="L24" s="0" t="n">
        <v>193</v>
      </c>
      <c r="M24" s="32" t="s">
        <v>3877</v>
      </c>
      <c r="N24" s="32" t="s">
        <v>3751</v>
      </c>
      <c r="O24" s="32" t="n">
        <f aca="false">IF(I24="","",ROUND(MOD(TIMEVALUE(I24)-TIMEVALUE(F24),1)*1440,0))</f>
        <v>193</v>
      </c>
      <c r="P24" s="0" t="str">
        <f aca="false">IF(COUNTIF($A$2:A24,A24)&gt;1,"DUP","")</f>
        <v/>
      </c>
      <c r="Q24" s="0" t="str">
        <f aca="false">IF(O24="","",IF(O24&gt;240,"Y","N"))</f>
        <v>N</v>
      </c>
    </row>
    <row r="25" customFormat="false" ht="15" hidden="false" customHeight="false" outlineLevel="0" collapsed="false">
      <c r="A25" s="0" t="s">
        <v>3878</v>
      </c>
      <c r="B25" s="0" t="s">
        <v>3879</v>
      </c>
      <c r="C25" s="0" t="s">
        <v>1410</v>
      </c>
      <c r="D25" s="31" t="n">
        <v>19613</v>
      </c>
      <c r="E25" s="31" t="n">
        <v>45673</v>
      </c>
      <c r="F25" s="32" t="s">
        <v>3880</v>
      </c>
      <c r="G25" s="0" t="n">
        <v>4</v>
      </c>
      <c r="H25" s="32" t="s">
        <v>3881</v>
      </c>
      <c r="I25" s="32" t="s">
        <v>821</v>
      </c>
      <c r="J25" s="32" t="s">
        <v>2307</v>
      </c>
      <c r="K25" s="32" t="s">
        <v>2106</v>
      </c>
      <c r="L25" s="0" t="n">
        <v>537</v>
      </c>
      <c r="M25" s="32" t="s">
        <v>3882</v>
      </c>
      <c r="N25" s="32" t="s">
        <v>3751</v>
      </c>
      <c r="O25" s="32" t="n">
        <f aca="false">IF(I25="","",ROUND(MOD(TIMEVALUE(I25)-TIMEVALUE(F25),1)*1440,0))</f>
        <v>537</v>
      </c>
      <c r="P25" s="0" t="str">
        <f aca="false">IF(COUNTIF($A$2:A25,A25)&gt;1,"DUP","")</f>
        <v/>
      </c>
      <c r="Q25" s="0" t="str">
        <f aca="false">IF(O25="","",IF(O25&gt;240,"Y","N"))</f>
        <v>Y</v>
      </c>
    </row>
    <row r="26" customFormat="false" ht="15" hidden="false" customHeight="false" outlineLevel="0" collapsed="false">
      <c r="A26" s="0" t="s">
        <v>3883</v>
      </c>
      <c r="C26" s="0" t="s">
        <v>1410</v>
      </c>
      <c r="D26" s="31" t="n">
        <v>31648</v>
      </c>
      <c r="E26" s="31" t="n">
        <v>45605</v>
      </c>
      <c r="F26" s="32" t="s">
        <v>3884</v>
      </c>
      <c r="G26" s="0" t="n">
        <v>4</v>
      </c>
      <c r="H26" s="32" t="s">
        <v>3885</v>
      </c>
      <c r="I26" s="32" t="s">
        <v>3886</v>
      </c>
      <c r="J26" s="32" t="s">
        <v>3763</v>
      </c>
      <c r="K26" s="32" t="s">
        <v>2081</v>
      </c>
      <c r="L26" s="0" t="n">
        <v>68</v>
      </c>
      <c r="M26" s="32" t="s">
        <v>3887</v>
      </c>
      <c r="N26" s="32" t="s">
        <v>3751</v>
      </c>
      <c r="O26" s="32" t="n">
        <f aca="false">IF(I26="","",ROUND(MOD(TIMEVALUE(I26)-TIMEVALUE(F26),1)*1440,0))</f>
        <v>68</v>
      </c>
      <c r="P26" s="0" t="str">
        <f aca="false">IF(COUNTIF($A$2:A26,A26)&gt;1,"DUP","")</f>
        <v/>
      </c>
      <c r="Q26" s="0" t="str">
        <f aca="false">IF(O26="","",IF(O26&gt;240,"Y","N"))</f>
        <v>N</v>
      </c>
    </row>
    <row r="27" customFormat="false" ht="15" hidden="false" customHeight="false" outlineLevel="0" collapsed="false">
      <c r="A27" s="0" t="s">
        <v>3888</v>
      </c>
      <c r="B27" s="0" t="s">
        <v>3889</v>
      </c>
      <c r="C27" s="0" t="s">
        <v>2206</v>
      </c>
      <c r="D27" s="31" t="n">
        <v>30317</v>
      </c>
      <c r="E27" s="31" t="n">
        <v>45590</v>
      </c>
      <c r="F27" s="32" t="s">
        <v>3890</v>
      </c>
      <c r="G27" s="0" t="n">
        <v>3</v>
      </c>
      <c r="H27" s="32" t="s">
        <v>3891</v>
      </c>
      <c r="I27" s="32" t="s">
        <v>3892</v>
      </c>
      <c r="J27" s="32" t="s">
        <v>3749</v>
      </c>
      <c r="K27" s="32" t="s">
        <v>2106</v>
      </c>
      <c r="L27" s="0" t="n">
        <v>569</v>
      </c>
      <c r="M27" s="32" t="s">
        <v>3843</v>
      </c>
      <c r="N27" s="32" t="s">
        <v>3751</v>
      </c>
      <c r="O27" s="32" t="n">
        <f aca="false">IF(I27="","",ROUND(MOD(TIMEVALUE(I27)-TIMEVALUE(F27),1)*1440,0))</f>
        <v>569</v>
      </c>
      <c r="P27" s="0" t="str">
        <f aca="false">IF(COUNTIF($A$2:A27,A27)&gt;1,"DUP","")</f>
        <v/>
      </c>
      <c r="Q27" s="0" t="str">
        <f aca="false">IF(O27="","",IF(O27&gt;240,"Y","N"))</f>
        <v>Y</v>
      </c>
    </row>
    <row r="28" customFormat="false" ht="15" hidden="false" customHeight="false" outlineLevel="0" collapsed="false">
      <c r="A28" s="0" t="s">
        <v>3893</v>
      </c>
      <c r="B28" s="0" t="s">
        <v>3894</v>
      </c>
      <c r="C28" s="0" t="s">
        <v>997</v>
      </c>
      <c r="D28" s="31" t="n">
        <v>36132</v>
      </c>
      <c r="E28" s="31" t="n">
        <v>45615</v>
      </c>
      <c r="F28" s="32" t="s">
        <v>3895</v>
      </c>
      <c r="G28" s="0" t="n">
        <v>1</v>
      </c>
      <c r="H28" s="32" t="s">
        <v>3896</v>
      </c>
      <c r="I28" s="32" t="s">
        <v>3897</v>
      </c>
      <c r="J28" s="32" t="s">
        <v>3793</v>
      </c>
      <c r="K28" s="32" t="s">
        <v>2081</v>
      </c>
      <c r="L28" s="0" t="n">
        <v>43</v>
      </c>
      <c r="M28" s="32" t="s">
        <v>3757</v>
      </c>
      <c r="N28" s="32" t="s">
        <v>758</v>
      </c>
      <c r="O28" s="32" t="n">
        <f aca="false">IF(I28="","",ROUND(MOD(TIMEVALUE(I28)-TIMEVALUE(F28),1)*1440,0))</f>
        <v>43</v>
      </c>
      <c r="P28" s="0" t="str">
        <f aca="false">IF(COUNTIF($A$2:A28,A28)&gt;1,"DUP","")</f>
        <v/>
      </c>
      <c r="Q28" s="0" t="str">
        <f aca="false">IF(O28="","",IF(O28&gt;240,"Y","N"))</f>
        <v>N</v>
      </c>
    </row>
    <row r="29" customFormat="false" ht="15" hidden="false" customHeight="false" outlineLevel="0" collapsed="false">
      <c r="A29" s="0" t="s">
        <v>3898</v>
      </c>
      <c r="B29" s="0" t="s">
        <v>3899</v>
      </c>
      <c r="C29" s="0" t="s">
        <v>970</v>
      </c>
      <c r="D29" s="31" t="n">
        <v>15864</v>
      </c>
      <c r="E29" s="31" t="n">
        <v>45641</v>
      </c>
      <c r="F29" s="32" t="s">
        <v>3900</v>
      </c>
      <c r="G29" s="0" t="n">
        <v>3</v>
      </c>
      <c r="I29" s="32" t="s">
        <v>3901</v>
      </c>
      <c r="J29" s="32" t="s">
        <v>3749</v>
      </c>
      <c r="K29" s="32" t="s">
        <v>2081</v>
      </c>
      <c r="L29" s="0" t="n">
        <v>77</v>
      </c>
      <c r="M29" s="32" t="s">
        <v>3902</v>
      </c>
      <c r="N29" s="32" t="s">
        <v>3751</v>
      </c>
      <c r="O29" s="32" t="n">
        <f aca="false">IF(I29="","",ROUND(MOD(TIMEVALUE(I29)-TIMEVALUE(F29),1)*1440,0))</f>
        <v>77</v>
      </c>
      <c r="P29" s="0" t="str">
        <f aca="false">IF(COUNTIF($A$2:A29,A29)&gt;1,"DUP","")</f>
        <v/>
      </c>
      <c r="Q29" s="0" t="str">
        <f aca="false">IF(O29="","",IF(O29&gt;240,"Y","N"))</f>
        <v>N</v>
      </c>
    </row>
    <row r="30" customFormat="false" ht="15" hidden="false" customHeight="false" outlineLevel="0" collapsed="false">
      <c r="A30" s="0" t="s">
        <v>3903</v>
      </c>
      <c r="B30" s="0" t="s">
        <v>3904</v>
      </c>
      <c r="C30" s="0" t="s">
        <v>934</v>
      </c>
      <c r="D30" s="31" t="n">
        <v>21786</v>
      </c>
      <c r="E30" s="31" t="n">
        <v>45577</v>
      </c>
      <c r="F30" s="32" t="s">
        <v>3905</v>
      </c>
      <c r="G30" s="0" t="n">
        <v>3</v>
      </c>
      <c r="H30" s="32" t="s">
        <v>3906</v>
      </c>
      <c r="I30" s="32" t="s">
        <v>3907</v>
      </c>
      <c r="J30" s="32" t="s">
        <v>3749</v>
      </c>
      <c r="K30" s="32" t="s">
        <v>2106</v>
      </c>
      <c r="L30" s="0" t="n">
        <v>468</v>
      </c>
      <c r="M30" s="32" t="s">
        <v>3782</v>
      </c>
      <c r="N30" s="32" t="s">
        <v>3751</v>
      </c>
      <c r="O30" s="32" t="n">
        <f aca="false">IF(I30="","",ROUND(MOD(TIMEVALUE(I30)-TIMEVALUE(F30),1)*1440,0))</f>
        <v>468</v>
      </c>
      <c r="P30" s="0" t="str">
        <f aca="false">IF(COUNTIF($A$2:A30,A30)&gt;1,"DUP","")</f>
        <v/>
      </c>
      <c r="Q30" s="0" t="str">
        <f aca="false">IF(O30="","",IF(O30&gt;240,"Y","N"))</f>
        <v>Y</v>
      </c>
    </row>
    <row r="31" customFormat="false" ht="15" hidden="false" customHeight="false" outlineLevel="0" collapsed="false">
      <c r="A31" s="0" t="s">
        <v>3908</v>
      </c>
      <c r="C31" s="0" t="s">
        <v>1410</v>
      </c>
      <c r="D31" s="31" t="n">
        <v>24639</v>
      </c>
      <c r="E31" s="31" t="n">
        <v>45570</v>
      </c>
      <c r="F31" s="32" t="s">
        <v>3820</v>
      </c>
      <c r="G31" s="0" t="n">
        <v>4</v>
      </c>
      <c r="H31" s="32" t="s">
        <v>3909</v>
      </c>
      <c r="I31" s="32" t="s">
        <v>3910</v>
      </c>
      <c r="J31" s="32" t="s">
        <v>3749</v>
      </c>
      <c r="K31" s="32" t="s">
        <v>2081</v>
      </c>
      <c r="L31" s="0" t="n">
        <v>130</v>
      </c>
      <c r="M31" s="32" t="s">
        <v>3849</v>
      </c>
      <c r="N31" s="32" t="s">
        <v>3751</v>
      </c>
      <c r="O31" s="32" t="n">
        <f aca="false">IF(I31="","",ROUND(MOD(TIMEVALUE(I31)-TIMEVALUE(F31),1)*1440,0))</f>
        <v>130</v>
      </c>
      <c r="P31" s="0" t="str">
        <f aca="false">IF(COUNTIF($A$2:A31,A31)&gt;1,"DUP","")</f>
        <v/>
      </c>
      <c r="Q31" s="0" t="str">
        <f aca="false">IF(O31="","",IF(O31&gt;240,"Y","N"))</f>
        <v>N</v>
      </c>
    </row>
    <row r="32" customFormat="false" ht="15" hidden="false" customHeight="false" outlineLevel="0" collapsed="false">
      <c r="A32" s="0" t="s">
        <v>3911</v>
      </c>
      <c r="B32" s="0" t="s">
        <v>3912</v>
      </c>
      <c r="C32" s="0" t="s">
        <v>853</v>
      </c>
      <c r="D32" s="31" t="n">
        <v>15672</v>
      </c>
      <c r="E32" s="31" t="n">
        <v>45714</v>
      </c>
      <c r="F32" s="32" t="s">
        <v>3910</v>
      </c>
      <c r="G32" s="0" t="n">
        <v>3</v>
      </c>
      <c r="H32" s="32" t="s">
        <v>3913</v>
      </c>
      <c r="I32" s="32" t="s">
        <v>3914</v>
      </c>
      <c r="J32" s="32" t="s">
        <v>3749</v>
      </c>
      <c r="K32" s="32" t="s">
        <v>2081</v>
      </c>
      <c r="L32" s="0" t="n">
        <v>35</v>
      </c>
      <c r="M32" s="32" t="s">
        <v>3866</v>
      </c>
      <c r="N32" s="32" t="s">
        <v>3751</v>
      </c>
      <c r="O32" s="32" t="n">
        <f aca="false">IF(I32="","",ROUND(MOD(TIMEVALUE(I32)-TIMEVALUE(F32),1)*1440,0))</f>
        <v>35</v>
      </c>
      <c r="P32" s="0" t="str">
        <f aca="false">IF(COUNTIF($A$2:A32,A32)&gt;1,"DUP","")</f>
        <v/>
      </c>
      <c r="Q32" s="0" t="str">
        <f aca="false">IF(O32="","",IF(O32&gt;240,"Y","N"))</f>
        <v>N</v>
      </c>
    </row>
    <row r="33" customFormat="false" ht="15" hidden="false" customHeight="false" outlineLevel="0" collapsed="false">
      <c r="A33" s="0" t="s">
        <v>3915</v>
      </c>
      <c r="B33" s="0" t="s">
        <v>3916</v>
      </c>
      <c r="C33" s="0" t="s">
        <v>938</v>
      </c>
      <c r="D33" s="31" t="n">
        <v>34046</v>
      </c>
      <c r="E33" s="31" t="n">
        <v>45693</v>
      </c>
      <c r="F33" s="32" t="s">
        <v>3917</v>
      </c>
      <c r="G33" s="0" t="n">
        <v>3</v>
      </c>
      <c r="H33" s="32" t="s">
        <v>3918</v>
      </c>
      <c r="I33" s="32" t="s">
        <v>3919</v>
      </c>
      <c r="J33" s="32" t="s">
        <v>3749</v>
      </c>
      <c r="K33" s="32" t="s">
        <v>2081</v>
      </c>
      <c r="L33" s="0" t="n">
        <v>124</v>
      </c>
      <c r="M33" s="32" t="s">
        <v>3815</v>
      </c>
      <c r="N33" s="32" t="s">
        <v>1455</v>
      </c>
      <c r="O33" s="32" t="n">
        <f aca="false">IF(I33="","",ROUND(MOD(TIMEVALUE(I33)-TIMEVALUE(F33),1)*1440,0))</f>
        <v>124</v>
      </c>
      <c r="P33" s="0" t="str">
        <f aca="false">IF(COUNTIF($A$2:A33,A33)&gt;1,"DUP","")</f>
        <v/>
      </c>
      <c r="Q33" s="0" t="str">
        <f aca="false">IF(O33="","",IF(O33&gt;240,"Y","N"))</f>
        <v>N</v>
      </c>
    </row>
    <row r="34" customFormat="false" ht="15" hidden="false" customHeight="false" outlineLevel="0" collapsed="false">
      <c r="A34" s="0" t="s">
        <v>3920</v>
      </c>
      <c r="B34" s="0" t="s">
        <v>3921</v>
      </c>
      <c r="C34" s="0" t="s">
        <v>906</v>
      </c>
      <c r="D34" s="31" t="n">
        <v>30353</v>
      </c>
      <c r="E34" s="31" t="n">
        <v>45620</v>
      </c>
      <c r="F34" s="32" t="s">
        <v>3922</v>
      </c>
      <c r="G34" s="0" t="n">
        <v>3</v>
      </c>
      <c r="H34" s="32" t="s">
        <v>3923</v>
      </c>
      <c r="I34" s="32" t="s">
        <v>3924</v>
      </c>
      <c r="J34" s="32" t="s">
        <v>3793</v>
      </c>
      <c r="K34" s="32" t="s">
        <v>2081</v>
      </c>
      <c r="L34" s="0" t="n">
        <v>165</v>
      </c>
      <c r="M34" s="32" t="s">
        <v>3925</v>
      </c>
      <c r="N34" s="32" t="s">
        <v>826</v>
      </c>
      <c r="O34" s="32" t="n">
        <f aca="false">IF(I34="","",ROUND(MOD(TIMEVALUE(I34)-TIMEVALUE(F34),1)*1440,0))</f>
        <v>165</v>
      </c>
      <c r="P34" s="0" t="str">
        <f aca="false">IF(COUNTIF($A$2:A34,A34)&gt;1,"DUP","")</f>
        <v/>
      </c>
      <c r="Q34" s="0" t="str">
        <f aca="false">IF(O34="","",IF(O34&gt;240,"Y","N"))</f>
        <v>N</v>
      </c>
    </row>
    <row r="35" customFormat="false" ht="15" hidden="false" customHeight="false" outlineLevel="0" collapsed="false">
      <c r="A35" s="0" t="s">
        <v>3926</v>
      </c>
      <c r="B35" s="0" t="s">
        <v>3927</v>
      </c>
      <c r="C35" s="0" t="s">
        <v>2148</v>
      </c>
      <c r="D35" s="31" t="n">
        <v>22746</v>
      </c>
      <c r="E35" s="31" t="n">
        <v>45654</v>
      </c>
      <c r="F35" s="32" t="s">
        <v>3928</v>
      </c>
      <c r="G35" s="0" t="n">
        <v>3</v>
      </c>
      <c r="H35" s="32" t="s">
        <v>3929</v>
      </c>
      <c r="I35" s="32" t="s">
        <v>3930</v>
      </c>
      <c r="J35" s="32" t="s">
        <v>3749</v>
      </c>
      <c r="K35" s="32" t="s">
        <v>2081</v>
      </c>
      <c r="L35" s="0" t="n">
        <v>205</v>
      </c>
      <c r="M35" s="32" t="s">
        <v>3877</v>
      </c>
      <c r="N35" s="32" t="s">
        <v>3751</v>
      </c>
      <c r="O35" s="32" t="n">
        <f aca="false">IF(I35="","",ROUND(MOD(TIMEVALUE(I35)-TIMEVALUE(F35),1)*1440,0))</f>
        <v>205</v>
      </c>
      <c r="P35" s="0" t="str">
        <f aca="false">IF(COUNTIF($A$2:A35,A35)&gt;1,"DUP","")</f>
        <v/>
      </c>
      <c r="Q35" s="0" t="str">
        <f aca="false">IF(O35="","",IF(O35&gt;240,"Y","N"))</f>
        <v>N</v>
      </c>
    </row>
    <row r="36" customFormat="false" ht="15" hidden="false" customHeight="false" outlineLevel="0" collapsed="false">
      <c r="A36" s="0" t="s">
        <v>3931</v>
      </c>
      <c r="B36" s="0" t="s">
        <v>3932</v>
      </c>
      <c r="C36" s="0" t="s">
        <v>1013</v>
      </c>
      <c r="D36" s="31" t="n">
        <v>19093</v>
      </c>
      <c r="E36" s="31" t="n">
        <v>45606</v>
      </c>
      <c r="F36" s="32" t="s">
        <v>3933</v>
      </c>
      <c r="G36" s="0" t="n">
        <v>3</v>
      </c>
      <c r="H36" s="32" t="s">
        <v>3934</v>
      </c>
      <c r="I36" s="32" t="s">
        <v>3935</v>
      </c>
      <c r="J36" s="32" t="s">
        <v>3793</v>
      </c>
      <c r="K36" s="32" t="s">
        <v>2081</v>
      </c>
      <c r="L36" s="0" t="n">
        <v>62</v>
      </c>
      <c r="M36" s="32" t="s">
        <v>3866</v>
      </c>
      <c r="N36" s="32" t="s">
        <v>776</v>
      </c>
      <c r="O36" s="32" t="n">
        <f aca="false">IF(I36="","",ROUND(MOD(TIMEVALUE(I36)-TIMEVALUE(F36),1)*1440,0))</f>
        <v>62</v>
      </c>
      <c r="P36" s="0" t="str">
        <f aca="false">IF(COUNTIF($A$2:A36,A36)&gt;1,"DUP","")</f>
        <v/>
      </c>
      <c r="Q36" s="0" t="str">
        <f aca="false">IF(O36="","",IF(O36&gt;240,"Y","N"))</f>
        <v>N</v>
      </c>
    </row>
    <row r="37" customFormat="false" ht="15" hidden="false" customHeight="false" outlineLevel="0" collapsed="false">
      <c r="A37" s="0" t="s">
        <v>3936</v>
      </c>
      <c r="B37" s="0" t="s">
        <v>3937</v>
      </c>
      <c r="C37" s="0" t="s">
        <v>1017</v>
      </c>
      <c r="D37" s="31" t="n">
        <v>23300</v>
      </c>
      <c r="E37" s="31" t="n">
        <v>45708</v>
      </c>
      <c r="F37" s="32" t="s">
        <v>3938</v>
      </c>
      <c r="G37" s="0" t="n">
        <v>4</v>
      </c>
      <c r="H37" s="32" t="s">
        <v>3939</v>
      </c>
      <c r="I37" s="32" t="s">
        <v>3940</v>
      </c>
      <c r="J37" s="32" t="s">
        <v>3749</v>
      </c>
      <c r="K37" s="32" t="s">
        <v>2081</v>
      </c>
      <c r="L37" s="0" t="n">
        <v>95</v>
      </c>
      <c r="M37" s="32" t="s">
        <v>3776</v>
      </c>
      <c r="N37" s="32" t="s">
        <v>3751</v>
      </c>
      <c r="O37" s="32" t="n">
        <f aca="false">IF(I37="","",ROUND(MOD(TIMEVALUE(I37)-TIMEVALUE(F37),1)*1440,0))</f>
        <v>95</v>
      </c>
      <c r="P37" s="0" t="str">
        <f aca="false">IF(COUNTIF($A$2:A37,A37)&gt;1,"DUP","")</f>
        <v/>
      </c>
      <c r="Q37" s="0" t="str">
        <f aca="false">IF(O37="","",IF(O37&gt;240,"Y","N"))</f>
        <v>N</v>
      </c>
    </row>
    <row r="38" customFormat="false" ht="15" hidden="false" customHeight="false" outlineLevel="0" collapsed="false">
      <c r="A38" s="0" t="s">
        <v>3941</v>
      </c>
      <c r="B38" s="0" t="s">
        <v>3942</v>
      </c>
      <c r="C38" s="0" t="s">
        <v>942</v>
      </c>
      <c r="D38" s="31" t="n">
        <v>32370</v>
      </c>
      <c r="E38" s="31" t="n">
        <v>45576</v>
      </c>
      <c r="F38" s="32" t="s">
        <v>3943</v>
      </c>
      <c r="G38" s="0" t="n">
        <v>5</v>
      </c>
      <c r="H38" s="32" t="s">
        <v>3944</v>
      </c>
      <c r="I38" s="32" t="s">
        <v>3945</v>
      </c>
      <c r="J38" s="32" t="s">
        <v>3749</v>
      </c>
      <c r="K38" s="32" t="s">
        <v>2081</v>
      </c>
      <c r="L38" s="0" t="n">
        <v>92</v>
      </c>
      <c r="M38" s="32" t="s">
        <v>3946</v>
      </c>
      <c r="N38" s="32" t="s">
        <v>3751</v>
      </c>
      <c r="O38" s="32" t="n">
        <f aca="false">IF(I38="","",ROUND(MOD(TIMEVALUE(I38)-TIMEVALUE(F38),1)*1440,0))</f>
        <v>92</v>
      </c>
      <c r="P38" s="0" t="str">
        <f aca="false">IF(COUNTIF($A$2:A38,A38)&gt;1,"DUP","")</f>
        <v/>
      </c>
      <c r="Q38" s="0" t="str">
        <f aca="false">IF(O38="","",IF(O38&gt;240,"Y","N"))</f>
        <v>N</v>
      </c>
    </row>
    <row r="39" customFormat="false" ht="15" hidden="false" customHeight="false" outlineLevel="0" collapsed="false">
      <c r="A39" s="0" t="s">
        <v>3947</v>
      </c>
      <c r="B39" s="0" t="s">
        <v>3948</v>
      </c>
      <c r="C39" s="0" t="s">
        <v>882</v>
      </c>
      <c r="D39" s="31" t="n">
        <v>26826</v>
      </c>
      <c r="E39" s="31" t="n">
        <v>45679</v>
      </c>
      <c r="F39" s="32" t="s">
        <v>3949</v>
      </c>
      <c r="G39" s="0" t="n">
        <v>2</v>
      </c>
      <c r="H39" s="32" t="s">
        <v>3950</v>
      </c>
      <c r="I39" s="32" t="s">
        <v>3951</v>
      </c>
      <c r="J39" s="32" t="s">
        <v>3793</v>
      </c>
      <c r="K39" s="32" t="s">
        <v>2081</v>
      </c>
      <c r="L39" s="0" t="n">
        <v>113</v>
      </c>
      <c r="M39" s="32" t="s">
        <v>3952</v>
      </c>
      <c r="N39" s="32" t="s">
        <v>818</v>
      </c>
      <c r="O39" s="32" t="n">
        <f aca="false">IF(I39="","",ROUND(MOD(TIMEVALUE(I39)-TIMEVALUE(F39),1)*1440,0))</f>
        <v>113</v>
      </c>
      <c r="P39" s="0" t="str">
        <f aca="false">IF(COUNTIF($A$2:A39,A39)&gt;1,"DUP","")</f>
        <v/>
      </c>
      <c r="Q39" s="0" t="str">
        <f aca="false">IF(O39="","",IF(O39&gt;240,"Y","N"))</f>
        <v>N</v>
      </c>
    </row>
    <row r="40" customFormat="false" ht="15" hidden="false" customHeight="false" outlineLevel="0" collapsed="false">
      <c r="A40" s="0" t="s">
        <v>3953</v>
      </c>
      <c r="B40" s="0" t="s">
        <v>3954</v>
      </c>
      <c r="C40" s="0" t="s">
        <v>2148</v>
      </c>
      <c r="D40" s="31" t="n">
        <v>33740</v>
      </c>
      <c r="E40" s="31" t="n">
        <v>45652</v>
      </c>
      <c r="F40" s="32" t="s">
        <v>3955</v>
      </c>
      <c r="G40" s="0" t="n">
        <v>5</v>
      </c>
      <c r="H40" s="32" t="s">
        <v>3956</v>
      </c>
      <c r="I40" s="32" t="s">
        <v>3957</v>
      </c>
      <c r="J40" s="32" t="s">
        <v>3763</v>
      </c>
      <c r="K40" s="32" t="s">
        <v>2081</v>
      </c>
      <c r="L40" s="0" t="n">
        <v>62</v>
      </c>
      <c r="M40" s="32" t="s">
        <v>3770</v>
      </c>
      <c r="N40" s="32" t="s">
        <v>3751</v>
      </c>
      <c r="O40" s="32" t="n">
        <f aca="false">IF(I40="","",ROUND(MOD(TIMEVALUE(I40)-TIMEVALUE(F40),1)*1440,0))</f>
        <v>62</v>
      </c>
      <c r="P40" s="0" t="str">
        <f aca="false">IF(COUNTIF($A$2:A40,A40)&gt;1,"DUP","")</f>
        <v/>
      </c>
      <c r="Q40" s="0" t="str">
        <f aca="false">IF(O40="","",IF(O40&gt;240,"Y","N"))</f>
        <v>N</v>
      </c>
    </row>
    <row r="41" customFormat="false" ht="15" hidden="false" customHeight="false" outlineLevel="0" collapsed="false">
      <c r="A41" s="0" t="s">
        <v>3958</v>
      </c>
      <c r="C41" s="0" t="s">
        <v>985</v>
      </c>
      <c r="D41" s="31" t="n">
        <v>17480</v>
      </c>
      <c r="E41" s="31" t="n">
        <v>45589</v>
      </c>
      <c r="F41" s="32" t="s">
        <v>3959</v>
      </c>
      <c r="G41" s="0" t="n">
        <v>4</v>
      </c>
      <c r="I41" s="32" t="s">
        <v>3960</v>
      </c>
      <c r="J41" s="32" t="s">
        <v>3793</v>
      </c>
      <c r="K41" s="32" t="s">
        <v>2081</v>
      </c>
      <c r="L41" s="0" t="n">
        <v>88</v>
      </c>
      <c r="M41" s="32" t="s">
        <v>3776</v>
      </c>
      <c r="N41" s="32" t="s">
        <v>818</v>
      </c>
      <c r="O41" s="32" t="n">
        <f aca="false">IF(I41="","",ROUND(MOD(TIMEVALUE(I41)-TIMEVALUE(F41),1)*1440,0))</f>
        <v>88</v>
      </c>
      <c r="P41" s="0" t="str">
        <f aca="false">IF(COUNTIF($A$2:A41,A41)&gt;1,"DUP","")</f>
        <v/>
      </c>
      <c r="Q41" s="0" t="str">
        <f aca="false">IF(O41="","",IF(O41&gt;240,"Y","N"))</f>
        <v>N</v>
      </c>
    </row>
    <row r="42" customFormat="false" ht="15" hidden="false" customHeight="false" outlineLevel="0" collapsed="false">
      <c r="A42" s="0" t="s">
        <v>3961</v>
      </c>
      <c r="B42" s="0" t="s">
        <v>3962</v>
      </c>
      <c r="C42" s="0" t="s">
        <v>890</v>
      </c>
      <c r="D42" s="31" t="n">
        <v>22109</v>
      </c>
      <c r="E42" s="31" t="n">
        <v>45572</v>
      </c>
      <c r="F42" s="32" t="s">
        <v>3963</v>
      </c>
      <c r="G42" s="0" t="n">
        <v>3</v>
      </c>
      <c r="H42" s="32" t="s">
        <v>3964</v>
      </c>
      <c r="I42" s="32" t="s">
        <v>3965</v>
      </c>
      <c r="J42" s="32" t="s">
        <v>2307</v>
      </c>
      <c r="K42" s="32" t="s">
        <v>2081</v>
      </c>
      <c r="L42" s="0" t="n">
        <v>73</v>
      </c>
      <c r="M42" s="32" t="s">
        <v>3966</v>
      </c>
      <c r="N42" s="32" t="s">
        <v>3751</v>
      </c>
      <c r="O42" s="32" t="n">
        <f aca="false">IF(I42="","",ROUND(MOD(TIMEVALUE(I42)-TIMEVALUE(F42),1)*1440,0))</f>
        <v>73</v>
      </c>
      <c r="P42" s="0" t="str">
        <f aca="false">IF(COUNTIF($A$2:A42,A42)&gt;1,"DUP","")</f>
        <v/>
      </c>
      <c r="Q42" s="0" t="str">
        <f aca="false">IF(O42="","",IF(O42&gt;240,"Y","N"))</f>
        <v>N</v>
      </c>
    </row>
    <row r="43" customFormat="false" ht="15" hidden="false" customHeight="false" outlineLevel="0" collapsed="false">
      <c r="A43" s="0" t="s">
        <v>3967</v>
      </c>
      <c r="B43" s="0" t="s">
        <v>3772</v>
      </c>
      <c r="C43" s="0" t="s">
        <v>886</v>
      </c>
      <c r="D43" s="31" t="n">
        <v>25486</v>
      </c>
      <c r="E43" s="31" t="n">
        <v>45630</v>
      </c>
      <c r="F43" s="32" t="s">
        <v>3968</v>
      </c>
      <c r="G43" s="0" t="n">
        <v>4</v>
      </c>
      <c r="H43" s="32" t="s">
        <v>3969</v>
      </c>
      <c r="I43" s="32" t="s">
        <v>3970</v>
      </c>
      <c r="J43" s="32" t="s">
        <v>3749</v>
      </c>
      <c r="K43" s="32" t="s">
        <v>2081</v>
      </c>
      <c r="L43" s="0" t="n">
        <v>34</v>
      </c>
      <c r="M43" s="32" t="s">
        <v>3799</v>
      </c>
      <c r="N43" s="32" t="s">
        <v>3751</v>
      </c>
      <c r="O43" s="32" t="n">
        <f aca="false">IF(I43="","",ROUND(MOD(TIMEVALUE(I43)-TIMEVALUE(F43),1)*1440,0))</f>
        <v>34</v>
      </c>
      <c r="P43" s="0" t="str">
        <f aca="false">IF(COUNTIF($A$2:A43,A43)&gt;1,"DUP","")</f>
        <v/>
      </c>
      <c r="Q43" s="0" t="str">
        <f aca="false">IF(O43="","",IF(O43&gt;240,"Y","N"))</f>
        <v>N</v>
      </c>
    </row>
    <row r="44" customFormat="false" ht="15" hidden="false" customHeight="false" outlineLevel="0" collapsed="false">
      <c r="A44" s="0" t="s">
        <v>3971</v>
      </c>
      <c r="B44" s="0" t="s">
        <v>3972</v>
      </c>
      <c r="C44" s="0" t="s">
        <v>894</v>
      </c>
      <c r="D44" s="31" t="n">
        <v>27476</v>
      </c>
      <c r="E44" s="31" t="n">
        <v>45585</v>
      </c>
      <c r="F44" s="32" t="s">
        <v>3973</v>
      </c>
      <c r="G44" s="0" t="n">
        <v>4</v>
      </c>
      <c r="H44" s="32" t="s">
        <v>3837</v>
      </c>
      <c r="I44" s="32" t="s">
        <v>3974</v>
      </c>
      <c r="J44" s="32" t="s">
        <v>3749</v>
      </c>
      <c r="K44" s="32" t="s">
        <v>2081</v>
      </c>
      <c r="L44" s="0" t="n">
        <v>236</v>
      </c>
      <c r="M44" s="32" t="s">
        <v>3975</v>
      </c>
      <c r="N44" s="32" t="s">
        <v>3751</v>
      </c>
      <c r="O44" s="32" t="n">
        <f aca="false">IF(I44="","",ROUND(MOD(TIMEVALUE(I44)-TIMEVALUE(F44),1)*1440,0))</f>
        <v>236</v>
      </c>
      <c r="P44" s="0" t="str">
        <f aca="false">IF(COUNTIF($A$2:A44,A44)&gt;1,"DUP","")</f>
        <v/>
      </c>
      <c r="Q44" s="0" t="str">
        <f aca="false">IF(O44="","",IF(O44&gt;240,"Y","N"))</f>
        <v>N</v>
      </c>
    </row>
    <row r="45" customFormat="false" ht="15" hidden="false" customHeight="false" outlineLevel="0" collapsed="false">
      <c r="A45" s="0" t="s">
        <v>3976</v>
      </c>
      <c r="B45" s="0" t="s">
        <v>3899</v>
      </c>
      <c r="C45" s="0" t="s">
        <v>938</v>
      </c>
      <c r="D45" s="31" t="n">
        <v>39423</v>
      </c>
      <c r="E45" s="31" t="n">
        <v>45653</v>
      </c>
      <c r="F45" s="32" t="s">
        <v>3977</v>
      </c>
      <c r="G45" s="0" t="n">
        <v>3</v>
      </c>
      <c r="H45" s="32" t="s">
        <v>3978</v>
      </c>
      <c r="I45" s="32" t="s">
        <v>3979</v>
      </c>
      <c r="J45" s="32" t="s">
        <v>3749</v>
      </c>
      <c r="K45" s="32" t="s">
        <v>2081</v>
      </c>
      <c r="L45" s="0" t="n">
        <v>238</v>
      </c>
      <c r="M45" s="32" t="s">
        <v>3794</v>
      </c>
      <c r="N45" s="32" t="s">
        <v>3751</v>
      </c>
      <c r="O45" s="32" t="n">
        <f aca="false">IF(I45="","",ROUND(MOD(TIMEVALUE(I45)-TIMEVALUE(F45),1)*1440,0))</f>
        <v>238</v>
      </c>
      <c r="P45" s="0" t="str">
        <f aca="false">IF(COUNTIF($A$2:A45,A45)&gt;1,"DUP","")</f>
        <v/>
      </c>
      <c r="Q45" s="0" t="str">
        <f aca="false">IF(O45="","",IF(O45&gt;240,"Y","N"))</f>
        <v>N</v>
      </c>
    </row>
    <row r="46" customFormat="false" ht="15" hidden="false" customHeight="false" outlineLevel="0" collapsed="false">
      <c r="A46" s="0" t="s">
        <v>3980</v>
      </c>
      <c r="B46" s="0" t="s">
        <v>3981</v>
      </c>
      <c r="C46" s="0" t="s">
        <v>966</v>
      </c>
      <c r="D46" s="31" t="n">
        <v>24161</v>
      </c>
      <c r="E46" s="31" t="n">
        <v>45659</v>
      </c>
      <c r="F46" s="32" t="s">
        <v>3982</v>
      </c>
      <c r="G46" s="0" t="n">
        <v>5</v>
      </c>
      <c r="H46" s="32" t="s">
        <v>3983</v>
      </c>
      <c r="I46" s="32" t="s">
        <v>3984</v>
      </c>
      <c r="J46" s="32" t="s">
        <v>3749</v>
      </c>
      <c r="K46" s="32" t="s">
        <v>2106</v>
      </c>
      <c r="L46" s="0" t="n">
        <v>381</v>
      </c>
      <c r="M46" s="32" t="s">
        <v>3966</v>
      </c>
      <c r="N46" s="32" t="s">
        <v>3751</v>
      </c>
      <c r="O46" s="32" t="n">
        <f aca="false">IF(I46="","",ROUND(MOD(TIMEVALUE(I46)-TIMEVALUE(F46),1)*1440,0))</f>
        <v>381</v>
      </c>
      <c r="P46" s="0" t="str">
        <f aca="false">IF(COUNTIF($A$2:A46,A46)&gt;1,"DUP","")</f>
        <v/>
      </c>
      <c r="Q46" s="0" t="str">
        <f aca="false">IF(O46="","",IF(O46&gt;240,"Y","N"))</f>
        <v>Y</v>
      </c>
    </row>
    <row r="47" customFormat="false" ht="15" hidden="false" customHeight="false" outlineLevel="0" collapsed="false">
      <c r="A47" s="0" t="s">
        <v>3985</v>
      </c>
      <c r="B47" s="0" t="s">
        <v>3753</v>
      </c>
      <c r="C47" s="0" t="s">
        <v>898</v>
      </c>
      <c r="D47" s="31" t="n">
        <v>19823</v>
      </c>
      <c r="E47" s="31" t="n">
        <v>45584</v>
      </c>
      <c r="F47" s="32" t="s">
        <v>3986</v>
      </c>
      <c r="G47" s="0" t="n">
        <v>3</v>
      </c>
      <c r="H47" s="32" t="s">
        <v>3987</v>
      </c>
      <c r="J47" s="32" t="s">
        <v>3793</v>
      </c>
      <c r="M47" s="32" t="s">
        <v>3877</v>
      </c>
      <c r="N47" s="32" t="s">
        <v>776</v>
      </c>
      <c r="O47" s="0" t="str">
        <f aca="false">IF(I47="","",ROUND(MOD(TIMEVALUE(I47)-TIMEVALUE(F47),1)*1440,0))</f>
        <v/>
      </c>
      <c r="P47" s="0" t="str">
        <f aca="false">IF(COUNTIF($A$2:A47,A47)&gt;1,"DUP","")</f>
        <v/>
      </c>
      <c r="Q47" s="0" t="str">
        <f aca="false">IF(O47="","",IF(O47&gt;240,"Y","N"))</f>
        <v/>
      </c>
    </row>
    <row r="48" customFormat="false" ht="15" hidden="false" customHeight="false" outlineLevel="0" collapsed="false">
      <c r="A48" s="0" t="s">
        <v>3988</v>
      </c>
      <c r="B48" s="0" t="s">
        <v>3989</v>
      </c>
      <c r="C48" s="0" t="s">
        <v>962</v>
      </c>
      <c r="D48" s="31" t="n">
        <v>35807</v>
      </c>
      <c r="E48" s="31" t="n">
        <v>45614</v>
      </c>
      <c r="F48" s="32" t="s">
        <v>3990</v>
      </c>
      <c r="G48" s="0" t="n">
        <v>3</v>
      </c>
      <c r="H48" s="32" t="s">
        <v>3991</v>
      </c>
      <c r="I48" s="32" t="s">
        <v>3992</v>
      </c>
      <c r="J48" s="32" t="s">
        <v>3749</v>
      </c>
      <c r="K48" s="32" t="s">
        <v>2081</v>
      </c>
      <c r="L48" s="0" t="n">
        <v>95</v>
      </c>
      <c r="M48" s="32" t="s">
        <v>3993</v>
      </c>
      <c r="N48" s="32" t="s">
        <v>3751</v>
      </c>
      <c r="O48" s="32" t="n">
        <f aca="false">IF(I48="","",ROUND(MOD(TIMEVALUE(I48)-TIMEVALUE(F48),1)*1440,0))</f>
        <v>95</v>
      </c>
      <c r="P48" s="0" t="str">
        <f aca="false">IF(COUNTIF($A$2:A48,A48)&gt;1,"DUP","")</f>
        <v/>
      </c>
      <c r="Q48" s="0" t="str">
        <f aca="false">IF(O48="","",IF(O48&gt;240,"Y","N"))</f>
        <v>N</v>
      </c>
    </row>
    <row r="49" customFormat="false" ht="15" hidden="false" customHeight="false" outlineLevel="0" collapsed="false">
      <c r="A49" s="0" t="s">
        <v>3994</v>
      </c>
      <c r="B49" s="0" t="s">
        <v>3995</v>
      </c>
      <c r="C49" s="0" t="s">
        <v>765</v>
      </c>
      <c r="D49" s="31" t="n">
        <v>17983</v>
      </c>
      <c r="E49" s="31" t="n">
        <v>45728</v>
      </c>
      <c r="F49" s="32" t="s">
        <v>3996</v>
      </c>
      <c r="G49" s="0" t="n">
        <v>3</v>
      </c>
      <c r="H49" s="32" t="s">
        <v>3852</v>
      </c>
      <c r="I49" s="32" t="s">
        <v>3997</v>
      </c>
      <c r="J49" s="32" t="s">
        <v>3793</v>
      </c>
      <c r="K49" s="32" t="s">
        <v>2081</v>
      </c>
      <c r="L49" s="0" t="n">
        <v>214</v>
      </c>
      <c r="M49" s="32" t="s">
        <v>3821</v>
      </c>
      <c r="N49" s="32" t="s">
        <v>766</v>
      </c>
      <c r="O49" s="32" t="n">
        <f aca="false">IF(I49="","",ROUND(MOD(TIMEVALUE(I49)-TIMEVALUE(F49),1)*1440,0))</f>
        <v>214</v>
      </c>
      <c r="P49" s="0" t="str">
        <f aca="false">IF(COUNTIF($A$2:A49,A49)&gt;1,"DUP","")</f>
        <v/>
      </c>
      <c r="Q49" s="0" t="str">
        <f aca="false">IF(O49="","",IF(O49&gt;240,"Y","N"))</f>
        <v>N</v>
      </c>
    </row>
    <row r="50" customFormat="false" ht="15" hidden="false" customHeight="false" outlineLevel="0" collapsed="false">
      <c r="A50" s="0" t="s">
        <v>3998</v>
      </c>
      <c r="B50" s="0" t="s">
        <v>3999</v>
      </c>
      <c r="C50" s="0" t="s">
        <v>914</v>
      </c>
      <c r="D50" s="31" t="n">
        <v>19248</v>
      </c>
      <c r="E50" s="31" t="n">
        <v>45625</v>
      </c>
      <c r="F50" s="32" t="s">
        <v>4000</v>
      </c>
      <c r="G50" s="0" t="n">
        <v>4</v>
      </c>
      <c r="H50" s="32" t="s">
        <v>3907</v>
      </c>
      <c r="I50" s="32" t="s">
        <v>4001</v>
      </c>
      <c r="J50" s="32" t="s">
        <v>3749</v>
      </c>
      <c r="K50" s="32" t="s">
        <v>2081</v>
      </c>
      <c r="L50" s="0" t="n">
        <v>155</v>
      </c>
      <c r="M50" s="32" t="s">
        <v>3925</v>
      </c>
      <c r="N50" s="32" t="s">
        <v>3751</v>
      </c>
      <c r="O50" s="32" t="n">
        <f aca="false">IF(I50="","",ROUND(MOD(TIMEVALUE(I50)-TIMEVALUE(F50),1)*1440,0))</f>
        <v>155</v>
      </c>
      <c r="P50" s="0" t="str">
        <f aca="false">IF(COUNTIF($A$2:A50,A50)&gt;1,"DUP","")</f>
        <v/>
      </c>
      <c r="Q50" s="0" t="str">
        <f aca="false">IF(O50="","",IF(O50&gt;240,"Y","N"))</f>
        <v>N</v>
      </c>
    </row>
    <row r="51" customFormat="false" ht="15" hidden="false" customHeight="false" outlineLevel="0" collapsed="false">
      <c r="A51" s="0" t="s">
        <v>4002</v>
      </c>
      <c r="B51" s="0" t="s">
        <v>4003</v>
      </c>
      <c r="C51" s="0" t="s">
        <v>746</v>
      </c>
      <c r="D51" s="31" t="n">
        <v>32397</v>
      </c>
      <c r="E51" s="31" t="n">
        <v>45666</v>
      </c>
      <c r="F51" s="32" t="s">
        <v>4004</v>
      </c>
      <c r="G51" s="0" t="n">
        <v>5</v>
      </c>
      <c r="H51" s="32" t="s">
        <v>4005</v>
      </c>
      <c r="I51" s="32" t="s">
        <v>4006</v>
      </c>
      <c r="J51" s="32" t="s">
        <v>3749</v>
      </c>
      <c r="K51" s="32" t="s">
        <v>2081</v>
      </c>
      <c r="L51" s="0" t="n">
        <v>59</v>
      </c>
      <c r="M51" s="32" t="s">
        <v>3952</v>
      </c>
      <c r="N51" s="32" t="s">
        <v>3751</v>
      </c>
      <c r="O51" s="32" t="n">
        <f aca="false">IF(I51="","",ROUND(MOD(TIMEVALUE(I51)-TIMEVALUE(F51),1)*1440,0))</f>
        <v>59</v>
      </c>
      <c r="P51" s="0" t="str">
        <f aca="false">IF(COUNTIF($A$2:A51,A51)&gt;1,"DUP","")</f>
        <v/>
      </c>
      <c r="Q51" s="0" t="str">
        <f aca="false">IF(O51="","",IF(O51&gt;240,"Y","N"))</f>
        <v>N</v>
      </c>
    </row>
    <row r="52" customFormat="false" ht="15" hidden="false" customHeight="false" outlineLevel="0" collapsed="false">
      <c r="A52" s="0" t="s">
        <v>4007</v>
      </c>
      <c r="B52" s="0" t="s">
        <v>4008</v>
      </c>
      <c r="C52" s="0" t="s">
        <v>2148</v>
      </c>
      <c r="D52" s="31" t="n">
        <v>20548</v>
      </c>
      <c r="E52" s="31" t="n">
        <v>45637</v>
      </c>
      <c r="F52" s="32" t="s">
        <v>4009</v>
      </c>
      <c r="G52" s="0" t="n">
        <v>4</v>
      </c>
      <c r="H52" s="32" t="s">
        <v>4010</v>
      </c>
      <c r="I52" s="32" t="s">
        <v>4011</v>
      </c>
      <c r="J52" s="32" t="s">
        <v>3749</v>
      </c>
      <c r="K52" s="32" t="s">
        <v>2081</v>
      </c>
      <c r="L52" s="0" t="n">
        <v>210</v>
      </c>
      <c r="M52" s="32" t="s">
        <v>3770</v>
      </c>
      <c r="N52" s="32" t="s">
        <v>3751</v>
      </c>
      <c r="O52" s="32" t="n">
        <f aca="false">IF(I52="","",ROUND(MOD(TIMEVALUE(I52)-TIMEVALUE(F52),1)*1440,0))</f>
        <v>210</v>
      </c>
      <c r="P52" s="0" t="str">
        <f aca="false">IF(COUNTIF($A$2:A52,A52)&gt;1,"DUP","")</f>
        <v/>
      </c>
      <c r="Q52" s="0" t="str">
        <f aca="false">IF(O52="","",IF(O52&gt;240,"Y","N"))</f>
        <v>N</v>
      </c>
    </row>
    <row r="53" customFormat="false" ht="15" hidden="false" customHeight="false" outlineLevel="0" collapsed="false">
      <c r="A53" s="0" t="s">
        <v>4012</v>
      </c>
      <c r="B53" s="0" t="s">
        <v>4013</v>
      </c>
      <c r="C53" s="0" t="s">
        <v>801</v>
      </c>
      <c r="D53" s="31" t="n">
        <v>22423</v>
      </c>
      <c r="E53" s="31" t="n">
        <v>45709</v>
      </c>
      <c r="F53" s="32" t="s">
        <v>4014</v>
      </c>
      <c r="G53" s="0" t="n">
        <v>4</v>
      </c>
      <c r="H53" s="32" t="s">
        <v>4015</v>
      </c>
      <c r="I53" s="32" t="s">
        <v>4016</v>
      </c>
      <c r="J53" s="32" t="s">
        <v>3763</v>
      </c>
      <c r="K53" s="32" t="s">
        <v>2081</v>
      </c>
      <c r="L53" s="0" t="n">
        <v>207</v>
      </c>
      <c r="M53" s="32" t="s">
        <v>3794</v>
      </c>
      <c r="N53" s="32" t="s">
        <v>3751</v>
      </c>
      <c r="O53" s="32" t="n">
        <f aca="false">IF(I53="","",ROUND(MOD(TIMEVALUE(I53)-TIMEVALUE(F53),1)*1440,0))</f>
        <v>207</v>
      </c>
      <c r="P53" s="0" t="str">
        <f aca="false">IF(COUNTIF($A$2:A53,A53)&gt;1,"DUP","")</f>
        <v/>
      </c>
      <c r="Q53" s="0" t="str">
        <f aca="false">IF(O53="","",IF(O53&gt;240,"Y","N"))</f>
        <v>N</v>
      </c>
    </row>
    <row r="54" customFormat="false" ht="15" hidden="false" customHeight="false" outlineLevel="0" collapsed="false">
      <c r="A54" s="0" t="s">
        <v>4017</v>
      </c>
      <c r="B54" s="0" t="s">
        <v>4018</v>
      </c>
      <c r="C54" s="0" t="s">
        <v>765</v>
      </c>
      <c r="D54" s="31" t="n">
        <v>33468</v>
      </c>
      <c r="E54" s="31" t="n">
        <v>45619</v>
      </c>
      <c r="F54" s="32" t="s">
        <v>3992</v>
      </c>
      <c r="G54" s="0" t="n">
        <v>2</v>
      </c>
      <c r="H54" s="32" t="s">
        <v>4019</v>
      </c>
      <c r="I54" s="32" t="s">
        <v>4020</v>
      </c>
      <c r="J54" s="32" t="s">
        <v>3763</v>
      </c>
      <c r="K54" s="32" t="s">
        <v>2081</v>
      </c>
      <c r="L54" s="0" t="n">
        <v>73</v>
      </c>
      <c r="M54" s="32" t="s">
        <v>3975</v>
      </c>
      <c r="N54" s="32" t="s">
        <v>3751</v>
      </c>
      <c r="O54" s="32" t="n">
        <f aca="false">IF(I54="","",ROUND(MOD(TIMEVALUE(I54)-TIMEVALUE(F54),1)*1440,0))</f>
        <v>73</v>
      </c>
      <c r="P54" s="0" t="str">
        <f aca="false">IF(COUNTIF($A$2:A54,A54)&gt;1,"DUP","")</f>
        <v/>
      </c>
      <c r="Q54" s="0" t="str">
        <f aca="false">IF(O54="","",IF(O54&gt;240,"Y","N"))</f>
        <v>N</v>
      </c>
    </row>
    <row r="55" customFormat="false" ht="15" hidden="false" customHeight="false" outlineLevel="0" collapsed="false">
      <c r="A55" s="0" t="s">
        <v>4021</v>
      </c>
      <c r="B55" s="0" t="s">
        <v>4022</v>
      </c>
      <c r="C55" s="0" t="s">
        <v>857</v>
      </c>
      <c r="D55" s="31" t="n">
        <v>30726</v>
      </c>
      <c r="E55" s="31" t="n">
        <v>45696</v>
      </c>
      <c r="F55" s="32" t="s">
        <v>4023</v>
      </c>
      <c r="G55" s="0" t="n">
        <v>4</v>
      </c>
      <c r="H55" s="32" t="s">
        <v>4024</v>
      </c>
      <c r="I55" s="32" t="s">
        <v>4025</v>
      </c>
      <c r="J55" s="32" t="s">
        <v>3749</v>
      </c>
      <c r="K55" s="32" t="s">
        <v>2081</v>
      </c>
      <c r="L55" s="0" t="n">
        <v>216</v>
      </c>
      <c r="M55" s="32" t="s">
        <v>3787</v>
      </c>
      <c r="N55" s="32" t="s">
        <v>3751</v>
      </c>
      <c r="O55" s="32" t="n">
        <f aca="false">IF(I55="","",ROUND(MOD(TIMEVALUE(I55)-TIMEVALUE(F55),1)*1440,0))</f>
        <v>216</v>
      </c>
      <c r="P55" s="0" t="str">
        <f aca="false">IF(COUNTIF($A$2:A55,A55)&gt;1,"DUP","")</f>
        <v/>
      </c>
      <c r="Q55" s="0" t="str">
        <f aca="false">IF(O55="","",IF(O55&gt;240,"Y","N"))</f>
        <v>N</v>
      </c>
    </row>
    <row r="56" customFormat="false" ht="15" hidden="false" customHeight="false" outlineLevel="0" collapsed="false">
      <c r="A56" s="0" t="s">
        <v>4026</v>
      </c>
      <c r="B56" s="0" t="s">
        <v>4027</v>
      </c>
      <c r="C56" s="0" t="s">
        <v>1009</v>
      </c>
      <c r="D56" s="31" t="n">
        <v>24528</v>
      </c>
      <c r="E56" s="31" t="n">
        <v>45639</v>
      </c>
      <c r="F56" s="32" t="s">
        <v>4028</v>
      </c>
      <c r="G56" s="0" t="n">
        <v>4</v>
      </c>
      <c r="H56" s="32" t="s">
        <v>4029</v>
      </c>
      <c r="I56" s="32" t="s">
        <v>4030</v>
      </c>
      <c r="J56" s="32" t="s">
        <v>2307</v>
      </c>
      <c r="K56" s="32" t="s">
        <v>2081</v>
      </c>
      <c r="L56" s="0" t="n">
        <v>120</v>
      </c>
      <c r="M56" s="32" t="s">
        <v>4031</v>
      </c>
      <c r="N56" s="32" t="s">
        <v>3751</v>
      </c>
      <c r="O56" s="32" t="n">
        <f aca="false">IF(I56="","",ROUND(MOD(TIMEVALUE(I56)-TIMEVALUE(F56),1)*1440,0))</f>
        <v>120</v>
      </c>
      <c r="P56" s="0" t="str">
        <f aca="false">IF(COUNTIF($A$2:A56,A56)&gt;1,"DUP","")</f>
        <v/>
      </c>
      <c r="Q56" s="0" t="str">
        <f aca="false">IF(O56="","",IF(O56&gt;240,"Y","N"))</f>
        <v>N</v>
      </c>
    </row>
    <row r="57" customFormat="false" ht="15" hidden="false" customHeight="false" outlineLevel="0" collapsed="false">
      <c r="A57" s="0" t="s">
        <v>4032</v>
      </c>
      <c r="B57" s="0" t="s">
        <v>4033</v>
      </c>
      <c r="C57" s="0" t="s">
        <v>993</v>
      </c>
      <c r="D57" s="31" t="n">
        <v>17800</v>
      </c>
      <c r="E57" s="31" t="n">
        <v>45619</v>
      </c>
      <c r="F57" s="32" t="s">
        <v>4034</v>
      </c>
      <c r="G57" s="0" t="n">
        <v>3</v>
      </c>
      <c r="H57" s="32" t="s">
        <v>4035</v>
      </c>
      <c r="I57" s="32" t="s">
        <v>4036</v>
      </c>
      <c r="J57" s="32" t="s">
        <v>3749</v>
      </c>
      <c r="K57" s="32" t="s">
        <v>2081</v>
      </c>
      <c r="L57" s="0" t="n">
        <v>223</v>
      </c>
      <c r="M57" s="32" t="s">
        <v>4037</v>
      </c>
      <c r="N57" s="32" t="s">
        <v>3751</v>
      </c>
      <c r="O57" s="32" t="n">
        <f aca="false">IF(I57="","",ROUND(MOD(TIMEVALUE(I57)-TIMEVALUE(F57),1)*1440,0))</f>
        <v>223</v>
      </c>
      <c r="P57" s="0" t="str">
        <f aca="false">IF(COUNTIF($A$2:A57,A57)&gt;1,"DUP","")</f>
        <v/>
      </c>
      <c r="Q57" s="0" t="str">
        <f aca="false">IF(O57="","",IF(O57&gt;240,"Y","N"))</f>
        <v>N</v>
      </c>
    </row>
    <row r="58" customFormat="false" ht="15" hidden="false" customHeight="false" outlineLevel="0" collapsed="false">
      <c r="A58" s="0" t="s">
        <v>4038</v>
      </c>
      <c r="B58" s="0" t="s">
        <v>4039</v>
      </c>
      <c r="C58" s="0" t="s">
        <v>922</v>
      </c>
      <c r="D58" s="31" t="n">
        <v>13858</v>
      </c>
      <c r="E58" s="31" t="n">
        <v>45598</v>
      </c>
      <c r="F58" s="32" t="s">
        <v>4040</v>
      </c>
      <c r="G58" s="0" t="n">
        <v>3</v>
      </c>
      <c r="H58" s="32" t="s">
        <v>3933</v>
      </c>
      <c r="I58" s="32" t="s">
        <v>4041</v>
      </c>
      <c r="J58" s="32" t="s">
        <v>3749</v>
      </c>
      <c r="K58" s="32" t="s">
        <v>2081</v>
      </c>
      <c r="L58" s="0" t="n">
        <v>59</v>
      </c>
      <c r="M58" s="32" t="s">
        <v>3776</v>
      </c>
      <c r="N58" s="32" t="s">
        <v>3751</v>
      </c>
      <c r="O58" s="32" t="n">
        <f aca="false">IF(I58="","",ROUND(MOD(TIMEVALUE(I58)-TIMEVALUE(F58),1)*1440,0))</f>
        <v>59</v>
      </c>
      <c r="P58" s="0" t="str">
        <f aca="false">IF(COUNTIF($A$2:A58,A58)&gt;1,"DUP","")</f>
        <v/>
      </c>
      <c r="Q58" s="0" t="str">
        <f aca="false">IF(O58="","",IF(O58&gt;240,"Y","N"))</f>
        <v>N</v>
      </c>
    </row>
    <row r="59" customFormat="false" ht="15" hidden="false" customHeight="false" outlineLevel="0" collapsed="false">
      <c r="A59" s="0" t="s">
        <v>4042</v>
      </c>
      <c r="B59" s="0" t="s">
        <v>4043</v>
      </c>
      <c r="C59" s="0" t="s">
        <v>2206</v>
      </c>
      <c r="D59" s="31" t="n">
        <v>34585</v>
      </c>
      <c r="E59" s="31" t="n">
        <v>45579</v>
      </c>
      <c r="F59" s="32" t="s">
        <v>4044</v>
      </c>
      <c r="G59" s="0" t="n">
        <v>3</v>
      </c>
      <c r="H59" s="32" t="s">
        <v>4045</v>
      </c>
      <c r="I59" s="32" t="s">
        <v>4046</v>
      </c>
      <c r="J59" s="32" t="s">
        <v>3749</v>
      </c>
      <c r="K59" s="32" t="s">
        <v>2106</v>
      </c>
      <c r="L59" s="0" t="n">
        <v>299</v>
      </c>
      <c r="M59" s="32" t="s">
        <v>4047</v>
      </c>
      <c r="N59" s="32" t="s">
        <v>3751</v>
      </c>
      <c r="O59" s="32" t="n">
        <f aca="false">IF(I59="","",ROUND(MOD(TIMEVALUE(I59)-TIMEVALUE(F59),1)*1440,0))</f>
        <v>299</v>
      </c>
      <c r="P59" s="0" t="str">
        <f aca="false">IF(COUNTIF($A$2:A59,A59)&gt;1,"DUP","")</f>
        <v/>
      </c>
      <c r="Q59" s="0" t="str">
        <f aca="false">IF(O59="","",IF(O59&gt;240,"Y","N"))</f>
        <v>Y</v>
      </c>
    </row>
    <row r="60" customFormat="false" ht="15" hidden="false" customHeight="false" outlineLevel="0" collapsed="false">
      <c r="A60" s="0" t="s">
        <v>4048</v>
      </c>
      <c r="B60" s="0" t="s">
        <v>4049</v>
      </c>
      <c r="C60" s="0" t="s">
        <v>857</v>
      </c>
      <c r="D60" s="31" t="n">
        <v>33629</v>
      </c>
      <c r="E60" s="31" t="n">
        <v>45700</v>
      </c>
      <c r="F60" s="32" t="s">
        <v>4050</v>
      </c>
      <c r="G60" s="0" t="n">
        <v>3</v>
      </c>
      <c r="H60" s="32" t="s">
        <v>4051</v>
      </c>
      <c r="I60" s="32" t="s">
        <v>3978</v>
      </c>
      <c r="J60" s="32" t="s">
        <v>3749</v>
      </c>
      <c r="K60" s="32" t="s">
        <v>2081</v>
      </c>
      <c r="L60" s="0" t="n">
        <v>53</v>
      </c>
      <c r="M60" s="32" t="s">
        <v>3815</v>
      </c>
      <c r="N60" s="32" t="s">
        <v>3751</v>
      </c>
      <c r="O60" s="32" t="n">
        <f aca="false">IF(I60="","",ROUND(MOD(TIMEVALUE(I60)-TIMEVALUE(F60),1)*1440,0))</f>
        <v>53</v>
      </c>
      <c r="P60" s="0" t="str">
        <f aca="false">IF(COUNTIF($A$2:A60,A60)&gt;1,"DUP","")</f>
        <v/>
      </c>
      <c r="Q60" s="0" t="str">
        <f aca="false">IF(O60="","",IF(O60&gt;240,"Y","N"))</f>
        <v>N</v>
      </c>
    </row>
    <row r="61" customFormat="false" ht="15" hidden="false" customHeight="false" outlineLevel="0" collapsed="false">
      <c r="A61" s="0" t="s">
        <v>4052</v>
      </c>
      <c r="C61" s="0" t="s">
        <v>4053</v>
      </c>
      <c r="D61" s="31" t="n">
        <v>38693</v>
      </c>
      <c r="E61" s="31" t="n">
        <v>45652</v>
      </c>
      <c r="F61" s="32" t="s">
        <v>4054</v>
      </c>
      <c r="G61" s="0" t="n">
        <v>5</v>
      </c>
      <c r="H61" s="32" t="s">
        <v>4055</v>
      </c>
      <c r="I61" s="32" t="s">
        <v>3875</v>
      </c>
      <c r="J61" s="32" t="s">
        <v>3749</v>
      </c>
      <c r="K61" s="32" t="s">
        <v>2106</v>
      </c>
      <c r="L61" s="0" t="n">
        <v>581</v>
      </c>
      <c r="M61" s="32" t="s">
        <v>3757</v>
      </c>
      <c r="N61" s="32" t="s">
        <v>3751</v>
      </c>
      <c r="O61" s="32" t="n">
        <f aca="false">IF(I61="","",ROUND(MOD(TIMEVALUE(I61)-TIMEVALUE(F61),1)*1440,0))</f>
        <v>581</v>
      </c>
      <c r="P61" s="0" t="str">
        <f aca="false">IF(COUNTIF($A$2:A61,A61)&gt;1,"DUP","")</f>
        <v/>
      </c>
      <c r="Q61" s="0" t="str">
        <f aca="false">IF(O61="","",IF(O61&gt;240,"Y","N"))</f>
        <v>Y</v>
      </c>
    </row>
    <row r="62" customFormat="false" ht="15" hidden="false" customHeight="false" outlineLevel="0" collapsed="false">
      <c r="A62" s="0" t="s">
        <v>4056</v>
      </c>
      <c r="B62" s="0" t="s">
        <v>3801</v>
      </c>
      <c r="C62" s="0" t="s">
        <v>950</v>
      </c>
      <c r="D62" s="31" t="n">
        <v>23153</v>
      </c>
      <c r="E62" s="31" t="n">
        <v>45612</v>
      </c>
      <c r="F62" s="32" t="s">
        <v>4057</v>
      </c>
      <c r="G62" s="0" t="n">
        <v>2</v>
      </c>
      <c r="H62" s="32" t="s">
        <v>4058</v>
      </c>
      <c r="I62" s="32" t="s">
        <v>4059</v>
      </c>
      <c r="J62" s="32" t="s">
        <v>3793</v>
      </c>
      <c r="K62" s="32" t="s">
        <v>2081</v>
      </c>
      <c r="L62" s="0" t="n">
        <v>220</v>
      </c>
      <c r="M62" s="32" t="s">
        <v>4060</v>
      </c>
      <c r="N62" s="32" t="s">
        <v>758</v>
      </c>
      <c r="O62" s="32" t="n">
        <f aca="false">IF(I62="","",ROUND(MOD(TIMEVALUE(I62)-TIMEVALUE(F62),1)*1440,0))</f>
        <v>220</v>
      </c>
      <c r="P62" s="0" t="str">
        <f aca="false">IF(COUNTIF($A$2:A62,A62)&gt;1,"DUP","")</f>
        <v/>
      </c>
      <c r="Q62" s="0" t="str">
        <f aca="false">IF(O62="","",IF(O62&gt;240,"Y","N"))</f>
        <v>N</v>
      </c>
    </row>
    <row r="63" customFormat="false" ht="15" hidden="false" customHeight="false" outlineLevel="0" collapsed="false">
      <c r="A63" s="0" t="s">
        <v>4061</v>
      </c>
      <c r="B63" s="0" t="s">
        <v>4062</v>
      </c>
      <c r="C63" s="0" t="s">
        <v>926</v>
      </c>
      <c r="D63" s="31" t="n">
        <v>17577</v>
      </c>
      <c r="E63" s="31" t="n">
        <v>45701</v>
      </c>
      <c r="F63" s="32" t="s">
        <v>4063</v>
      </c>
      <c r="G63" s="0" t="n">
        <v>3</v>
      </c>
      <c r="H63" s="32" t="s">
        <v>4064</v>
      </c>
      <c r="I63" s="32" t="s">
        <v>3786</v>
      </c>
      <c r="J63" s="32" t="s">
        <v>3749</v>
      </c>
      <c r="K63" s="32" t="s">
        <v>2081</v>
      </c>
      <c r="L63" s="0" t="n">
        <v>101</v>
      </c>
      <c r="M63" s="32" t="s">
        <v>3776</v>
      </c>
      <c r="N63" s="32" t="s">
        <v>1455</v>
      </c>
      <c r="O63" s="32" t="n">
        <f aca="false">IF(I63="","",ROUND(MOD(TIMEVALUE(I63)-TIMEVALUE(F63),1)*1440,0))</f>
        <v>101</v>
      </c>
      <c r="P63" s="0" t="str">
        <f aca="false">IF(COUNTIF($A$2:A63,A63)&gt;1,"DUP","")</f>
        <v/>
      </c>
      <c r="Q63" s="0" t="str">
        <f aca="false">IF(O63="","",IF(O63&gt;240,"Y","N"))</f>
        <v>N</v>
      </c>
    </row>
    <row r="64" customFormat="false" ht="15" hidden="false" customHeight="false" outlineLevel="0" collapsed="false">
      <c r="A64" s="0" t="s">
        <v>4065</v>
      </c>
      <c r="C64" s="0" t="s">
        <v>981</v>
      </c>
      <c r="D64" s="31" t="n">
        <v>23535</v>
      </c>
      <c r="E64" s="31" t="n">
        <v>45653</v>
      </c>
      <c r="F64" s="32" t="s">
        <v>4066</v>
      </c>
      <c r="G64" s="0" t="n">
        <v>3</v>
      </c>
      <c r="H64" s="32" t="s">
        <v>4067</v>
      </c>
      <c r="I64" s="32" t="s">
        <v>4068</v>
      </c>
      <c r="J64" s="32" t="s">
        <v>3749</v>
      </c>
      <c r="K64" s="32" t="s">
        <v>2106</v>
      </c>
      <c r="L64" s="0" t="n">
        <v>517</v>
      </c>
      <c r="M64" s="32" t="s">
        <v>4031</v>
      </c>
      <c r="N64" s="32" t="s">
        <v>3751</v>
      </c>
      <c r="O64" s="32" t="n">
        <f aca="false">IF(I64="","",ROUND(MOD(TIMEVALUE(I64)-TIMEVALUE(F64),1)*1440,0))</f>
        <v>517</v>
      </c>
      <c r="P64" s="0" t="str">
        <f aca="false">IF(COUNTIF($A$2:A64,A64)&gt;1,"DUP","")</f>
        <v/>
      </c>
      <c r="Q64" s="0" t="str">
        <f aca="false">IF(O64="","",IF(O64&gt;240,"Y","N"))</f>
        <v>Y</v>
      </c>
    </row>
    <row r="65" customFormat="false" ht="15" hidden="false" customHeight="false" outlineLevel="0" collapsed="false">
      <c r="A65" s="0" t="s">
        <v>4069</v>
      </c>
      <c r="B65" s="0" t="s">
        <v>4070</v>
      </c>
      <c r="C65" s="0" t="s">
        <v>882</v>
      </c>
      <c r="D65" s="31" t="n">
        <v>13521</v>
      </c>
      <c r="E65" s="31" t="n">
        <v>45719</v>
      </c>
      <c r="F65" s="32" t="s">
        <v>3860</v>
      </c>
      <c r="G65" s="0" t="n">
        <v>4</v>
      </c>
      <c r="H65" s="32" t="s">
        <v>4071</v>
      </c>
      <c r="I65" s="32" t="s">
        <v>4072</v>
      </c>
      <c r="J65" s="32" t="s">
        <v>3793</v>
      </c>
      <c r="K65" s="32" t="s">
        <v>2081</v>
      </c>
      <c r="L65" s="0" t="n">
        <v>108</v>
      </c>
      <c r="M65" s="32" t="s">
        <v>4073</v>
      </c>
      <c r="N65" s="32" t="s">
        <v>826</v>
      </c>
      <c r="O65" s="32" t="n">
        <f aca="false">IF(I65="","",ROUND(MOD(TIMEVALUE(I65)-TIMEVALUE(F65),1)*1440,0))</f>
        <v>108</v>
      </c>
      <c r="P65" s="0" t="str">
        <f aca="false">IF(COUNTIF($A$2:A65,A65)&gt;1,"DUP","")</f>
        <v/>
      </c>
      <c r="Q65" s="0" t="str">
        <f aca="false">IF(O65="","",IF(O65&gt;240,"Y","N"))</f>
        <v>N</v>
      </c>
    </row>
    <row r="66" customFormat="false" ht="15" hidden="false" customHeight="false" outlineLevel="0" collapsed="false">
      <c r="A66" s="0" t="s">
        <v>4074</v>
      </c>
      <c r="B66" s="0" t="s">
        <v>3829</v>
      </c>
      <c r="C66" s="0" t="s">
        <v>809</v>
      </c>
      <c r="D66" s="31" t="n">
        <v>24544</v>
      </c>
      <c r="E66" s="31" t="n">
        <v>45737</v>
      </c>
      <c r="F66" s="32" t="s">
        <v>4075</v>
      </c>
      <c r="G66" s="0" t="n">
        <v>2</v>
      </c>
      <c r="H66" s="32" t="s">
        <v>4076</v>
      </c>
      <c r="I66" s="32" t="s">
        <v>4077</v>
      </c>
      <c r="J66" s="32" t="s">
        <v>2307</v>
      </c>
      <c r="K66" s="32" t="s">
        <v>2081</v>
      </c>
      <c r="L66" s="0" t="n">
        <v>97</v>
      </c>
      <c r="M66" s="32" t="s">
        <v>4037</v>
      </c>
      <c r="N66" s="32" t="s">
        <v>3751</v>
      </c>
      <c r="O66" s="32" t="n">
        <f aca="false">IF(I66="","",ROUND(MOD(TIMEVALUE(I66)-TIMEVALUE(F66),1)*1440,0))</f>
        <v>97</v>
      </c>
      <c r="P66" s="0" t="str">
        <f aca="false">IF(COUNTIF($A$2:A66,A66)&gt;1,"DUP","")</f>
        <v/>
      </c>
      <c r="Q66" s="0" t="str">
        <f aca="false">IF(O66="","",IF(O66&gt;240,"Y","N"))</f>
        <v>N</v>
      </c>
    </row>
    <row r="67" customFormat="false" ht="15" hidden="false" customHeight="false" outlineLevel="0" collapsed="false">
      <c r="A67" s="0" t="s">
        <v>4078</v>
      </c>
      <c r="B67" s="0" t="s">
        <v>4079</v>
      </c>
      <c r="C67" s="0" t="s">
        <v>1414</v>
      </c>
      <c r="D67" s="31" t="n">
        <v>24996</v>
      </c>
      <c r="E67" s="31" t="n">
        <v>45704</v>
      </c>
      <c r="F67" s="32" t="s">
        <v>4080</v>
      </c>
      <c r="G67" s="0" t="n">
        <v>3</v>
      </c>
      <c r="H67" s="32" t="s">
        <v>4046</v>
      </c>
      <c r="I67" s="32" t="s">
        <v>4081</v>
      </c>
      <c r="J67" s="32" t="s">
        <v>3793</v>
      </c>
      <c r="K67" s="32" t="s">
        <v>2081</v>
      </c>
      <c r="L67" s="0" t="n">
        <v>236</v>
      </c>
      <c r="M67" s="32" t="s">
        <v>3871</v>
      </c>
      <c r="N67" s="32" t="s">
        <v>826</v>
      </c>
      <c r="O67" s="32" t="n">
        <f aca="false">IF(I67="","",ROUND(MOD(TIMEVALUE(I67)-TIMEVALUE(F67),1)*1440,0))</f>
        <v>236</v>
      </c>
      <c r="P67" s="0" t="str">
        <f aca="false">IF(COUNTIF($A$2:A67,A67)&gt;1,"DUP","")</f>
        <v/>
      </c>
      <c r="Q67" s="0" t="str">
        <f aca="false">IF(O67="","",IF(O67&gt;240,"Y","N"))</f>
        <v>N</v>
      </c>
    </row>
    <row r="68" customFormat="false" ht="15" hidden="false" customHeight="false" outlineLevel="0" collapsed="false">
      <c r="A68" s="0" t="s">
        <v>4082</v>
      </c>
      <c r="C68" s="0" t="s">
        <v>1453</v>
      </c>
      <c r="D68" s="31" t="n">
        <v>22174</v>
      </c>
      <c r="E68" s="31" t="n">
        <v>45654</v>
      </c>
      <c r="F68" s="32" t="s">
        <v>4083</v>
      </c>
      <c r="G68" s="0" t="n">
        <v>4</v>
      </c>
      <c r="H68" s="32" t="s">
        <v>4084</v>
      </c>
      <c r="I68" s="32" t="s">
        <v>4085</v>
      </c>
      <c r="J68" s="32" t="s">
        <v>2307</v>
      </c>
      <c r="K68" s="32" t="s">
        <v>2081</v>
      </c>
      <c r="L68" s="0" t="n">
        <v>122</v>
      </c>
      <c r="M68" s="32" t="s">
        <v>4073</v>
      </c>
      <c r="N68" s="32" t="s">
        <v>3751</v>
      </c>
      <c r="O68" s="32" t="n">
        <f aca="false">IF(I68="","",ROUND(MOD(TIMEVALUE(I68)-TIMEVALUE(F68),1)*1440,0))</f>
        <v>122</v>
      </c>
      <c r="P68" s="0" t="str">
        <f aca="false">IF(COUNTIF($A$2:A68,A68)&gt;1,"DUP","")</f>
        <v/>
      </c>
      <c r="Q68" s="0" t="str">
        <f aca="false">IF(O68="","",IF(O68&gt;240,"Y","N"))</f>
        <v>N</v>
      </c>
    </row>
    <row r="69" customFormat="false" ht="15" hidden="false" customHeight="false" outlineLevel="0" collapsed="false">
      <c r="A69" s="0" t="s">
        <v>4086</v>
      </c>
      <c r="B69" s="0" t="s">
        <v>4087</v>
      </c>
      <c r="C69" s="0" t="s">
        <v>1393</v>
      </c>
      <c r="D69" s="31" t="n">
        <v>34764</v>
      </c>
      <c r="E69" s="31" t="n">
        <v>45592</v>
      </c>
      <c r="F69" s="32" t="s">
        <v>3802</v>
      </c>
      <c r="G69" s="0" t="n">
        <v>4</v>
      </c>
      <c r="H69" s="32" t="s">
        <v>4088</v>
      </c>
      <c r="I69" s="32" t="s">
        <v>4089</v>
      </c>
      <c r="J69" s="32" t="s">
        <v>3749</v>
      </c>
      <c r="K69" s="32" t="s">
        <v>2106</v>
      </c>
      <c r="L69" s="0" t="n">
        <v>293</v>
      </c>
      <c r="M69" s="32" t="s">
        <v>3871</v>
      </c>
      <c r="N69" s="32" t="s">
        <v>3751</v>
      </c>
      <c r="O69" s="32" t="n">
        <f aca="false">IF(I69="","",ROUND(MOD(TIMEVALUE(I69)-TIMEVALUE(F69),1)*1440,0))</f>
        <v>293</v>
      </c>
      <c r="P69" s="0" t="str">
        <f aca="false">IF(COUNTIF($A$2:A69,A69)&gt;1,"DUP","")</f>
        <v/>
      </c>
      <c r="Q69" s="0" t="str">
        <f aca="false">IF(O69="","",IF(O69&gt;240,"Y","N"))</f>
        <v>Y</v>
      </c>
    </row>
    <row r="70" customFormat="false" ht="15" hidden="false" customHeight="false" outlineLevel="0" collapsed="false">
      <c r="A70" s="0" t="s">
        <v>4090</v>
      </c>
      <c r="B70" s="0" t="s">
        <v>4091</v>
      </c>
      <c r="C70" s="0" t="s">
        <v>997</v>
      </c>
      <c r="D70" s="31" t="n">
        <v>20040</v>
      </c>
      <c r="E70" s="31" t="n">
        <v>45624</v>
      </c>
      <c r="F70" s="32" t="s">
        <v>4092</v>
      </c>
      <c r="G70" s="0" t="n">
        <v>3</v>
      </c>
      <c r="H70" s="32" t="s">
        <v>3754</v>
      </c>
      <c r="I70" s="32" t="s">
        <v>4093</v>
      </c>
      <c r="J70" s="32" t="s">
        <v>3749</v>
      </c>
      <c r="K70" s="32" t="s">
        <v>2081</v>
      </c>
      <c r="L70" s="0" t="n">
        <v>141</v>
      </c>
      <c r="M70" s="32" t="s">
        <v>3757</v>
      </c>
      <c r="N70" s="32" t="s">
        <v>3751</v>
      </c>
      <c r="O70" s="32" t="n">
        <f aca="false">IF(I70="","",ROUND(MOD(TIMEVALUE(I70)-TIMEVALUE(F70),1)*1440,0))</f>
        <v>141</v>
      </c>
      <c r="P70" s="0" t="str">
        <f aca="false">IF(COUNTIF($A$2:A70,A70)&gt;1,"DUP","")</f>
        <v/>
      </c>
      <c r="Q70" s="0" t="str">
        <f aca="false">IF(O70="","",IF(O70&gt;240,"Y","N"))</f>
        <v>N</v>
      </c>
    </row>
    <row r="71" customFormat="false" ht="15" hidden="false" customHeight="false" outlineLevel="0" collapsed="false">
      <c r="A71" s="0" t="s">
        <v>4094</v>
      </c>
      <c r="C71" s="0" t="s">
        <v>1426</v>
      </c>
      <c r="D71" s="31" t="n">
        <v>21903</v>
      </c>
      <c r="E71" s="31" t="n">
        <v>45691</v>
      </c>
      <c r="F71" s="32" t="s">
        <v>4095</v>
      </c>
      <c r="G71" s="0" t="n">
        <v>3</v>
      </c>
      <c r="H71" s="32" t="s">
        <v>4096</v>
      </c>
      <c r="I71" s="32" t="s">
        <v>4097</v>
      </c>
      <c r="J71" s="32" t="s">
        <v>3749</v>
      </c>
      <c r="K71" s="32" t="s">
        <v>2081</v>
      </c>
      <c r="L71" s="0" t="n">
        <v>194</v>
      </c>
      <c r="M71" s="32" t="s">
        <v>3993</v>
      </c>
      <c r="N71" s="32" t="s">
        <v>3751</v>
      </c>
      <c r="O71" s="32" t="n">
        <f aca="false">IF(I71="","",ROUND(MOD(TIMEVALUE(I71)-TIMEVALUE(F71),1)*1440,0))</f>
        <v>194</v>
      </c>
      <c r="P71" s="0" t="str">
        <f aca="false">IF(COUNTIF($A$2:A71,A71)&gt;1,"DUP","")</f>
        <v/>
      </c>
      <c r="Q71" s="0" t="str">
        <f aca="false">IF(O71="","",IF(O71&gt;240,"Y","N"))</f>
        <v>N</v>
      </c>
    </row>
    <row r="72" customFormat="false" ht="15" hidden="false" customHeight="false" outlineLevel="0" collapsed="false">
      <c r="A72" s="0" t="s">
        <v>4098</v>
      </c>
      <c r="B72" s="0" t="s">
        <v>3962</v>
      </c>
      <c r="C72" s="0" t="s">
        <v>966</v>
      </c>
      <c r="D72" s="31" t="n">
        <v>38162</v>
      </c>
      <c r="E72" s="31" t="n">
        <v>45707</v>
      </c>
      <c r="F72" s="32" t="s">
        <v>4099</v>
      </c>
      <c r="G72" s="0" t="n">
        <v>4</v>
      </c>
      <c r="H72" s="32" t="s">
        <v>4100</v>
      </c>
      <c r="I72" s="32" t="s">
        <v>4083</v>
      </c>
      <c r="J72" s="32" t="s">
        <v>3749</v>
      </c>
      <c r="K72" s="32" t="s">
        <v>2081</v>
      </c>
      <c r="L72" s="0" t="n">
        <v>99</v>
      </c>
      <c r="M72" s="32" t="s">
        <v>3849</v>
      </c>
      <c r="N72" s="32" t="s">
        <v>3751</v>
      </c>
      <c r="O72" s="32" t="n">
        <f aca="false">IF(I72="","",ROUND(MOD(TIMEVALUE(I72)-TIMEVALUE(F72),1)*1440,0))</f>
        <v>99</v>
      </c>
      <c r="P72" s="0" t="str">
        <f aca="false">IF(COUNTIF($A$2:A72,A72)&gt;1,"DUP","")</f>
        <v/>
      </c>
      <c r="Q72" s="0" t="str">
        <f aca="false">IF(O72="","",IF(O72&gt;240,"Y","N"))</f>
        <v>N</v>
      </c>
    </row>
    <row r="73" customFormat="false" ht="15" hidden="false" customHeight="false" outlineLevel="0" collapsed="false">
      <c r="A73" s="0" t="s">
        <v>4101</v>
      </c>
      <c r="B73" s="0" t="s">
        <v>4102</v>
      </c>
      <c r="C73" s="0" t="s">
        <v>874</v>
      </c>
      <c r="D73" s="31" t="n">
        <v>29590</v>
      </c>
      <c r="E73" s="31" t="n">
        <v>45627</v>
      </c>
      <c r="F73" s="32" t="s">
        <v>4103</v>
      </c>
      <c r="G73" s="0" t="n">
        <v>3</v>
      </c>
      <c r="H73" s="32" t="s">
        <v>4104</v>
      </c>
      <c r="I73" s="32" t="s">
        <v>4105</v>
      </c>
      <c r="J73" s="32" t="s">
        <v>3749</v>
      </c>
      <c r="K73" s="32" t="s">
        <v>2081</v>
      </c>
      <c r="L73" s="0" t="n">
        <v>55</v>
      </c>
      <c r="M73" s="32" t="s">
        <v>4106</v>
      </c>
      <c r="N73" s="32" t="s">
        <v>3751</v>
      </c>
      <c r="O73" s="32" t="n">
        <f aca="false">IF(I73="","",ROUND(MOD(TIMEVALUE(I73)-TIMEVALUE(F73),1)*1440,0))</f>
        <v>55</v>
      </c>
      <c r="P73" s="0" t="str">
        <f aca="false">IF(COUNTIF($A$2:A73,A73)&gt;1,"DUP","")</f>
        <v/>
      </c>
      <c r="Q73" s="0" t="str">
        <f aca="false">IF(O73="","",IF(O73&gt;240,"Y","N"))</f>
        <v>N</v>
      </c>
    </row>
    <row r="74" customFormat="false" ht="15" hidden="false" customHeight="false" outlineLevel="0" collapsed="false">
      <c r="A74" s="0" t="s">
        <v>4107</v>
      </c>
      <c r="C74" s="0" t="s">
        <v>817</v>
      </c>
      <c r="D74" s="31" t="n">
        <v>26463</v>
      </c>
      <c r="E74" s="31" t="n">
        <v>45697</v>
      </c>
      <c r="F74" s="32" t="s">
        <v>4108</v>
      </c>
      <c r="G74" s="0" t="n">
        <v>3</v>
      </c>
      <c r="H74" s="32" t="s">
        <v>4109</v>
      </c>
      <c r="I74" s="32" t="s">
        <v>3865</v>
      </c>
      <c r="J74" s="32" t="s">
        <v>3749</v>
      </c>
      <c r="K74" s="32" t="s">
        <v>2081</v>
      </c>
      <c r="L74" s="0" t="n">
        <v>183</v>
      </c>
      <c r="M74" s="32" t="s">
        <v>3782</v>
      </c>
      <c r="N74" s="32" t="s">
        <v>3751</v>
      </c>
      <c r="O74" s="32" t="n">
        <f aca="false">IF(I74="","",ROUND(MOD(TIMEVALUE(I74)-TIMEVALUE(F74),1)*1440,0))</f>
        <v>183</v>
      </c>
      <c r="P74" s="0" t="str">
        <f aca="false">IF(COUNTIF($A$2:A74,A74)&gt;1,"DUP","")</f>
        <v/>
      </c>
      <c r="Q74" s="0" t="str">
        <f aca="false">IF(O74="","",IF(O74&gt;240,"Y","N"))</f>
        <v>N</v>
      </c>
    </row>
    <row r="75" customFormat="false" ht="15" hidden="false" customHeight="false" outlineLevel="0" collapsed="false">
      <c r="A75" s="0" t="s">
        <v>4110</v>
      </c>
      <c r="B75" s="0" t="s">
        <v>4111</v>
      </c>
      <c r="C75" s="0" t="s">
        <v>833</v>
      </c>
      <c r="D75" s="31" t="n">
        <v>35415</v>
      </c>
      <c r="E75" s="31" t="n">
        <v>45605</v>
      </c>
      <c r="F75" s="32" t="s">
        <v>4112</v>
      </c>
      <c r="G75" s="0" t="n">
        <v>3</v>
      </c>
      <c r="H75" s="32" t="s">
        <v>4058</v>
      </c>
      <c r="I75" s="32" t="s">
        <v>4113</v>
      </c>
      <c r="J75" s="32" t="s">
        <v>3749</v>
      </c>
      <c r="K75" s="32" t="s">
        <v>2106</v>
      </c>
      <c r="L75" s="0" t="n">
        <v>411</v>
      </c>
      <c r="M75" s="32" t="s">
        <v>4114</v>
      </c>
      <c r="N75" s="32" t="s">
        <v>3751</v>
      </c>
      <c r="O75" s="32" t="n">
        <f aca="false">IF(I75="","",ROUND(MOD(TIMEVALUE(I75)-TIMEVALUE(F75),1)*1440,0))</f>
        <v>411</v>
      </c>
      <c r="P75" s="0" t="str">
        <f aca="false">IF(COUNTIF($A$2:A75,A75)&gt;1,"DUP","")</f>
        <v/>
      </c>
      <c r="Q75" s="0" t="str">
        <f aca="false">IF(O75="","",IF(O75&gt;240,"Y","N"))</f>
        <v>Y</v>
      </c>
    </row>
    <row r="76" customFormat="false" ht="15" hidden="false" customHeight="false" outlineLevel="0" collapsed="false">
      <c r="A76" s="0" t="s">
        <v>4115</v>
      </c>
      <c r="B76" s="0" t="s">
        <v>4116</v>
      </c>
      <c r="C76" s="0" t="s">
        <v>950</v>
      </c>
      <c r="D76" s="31" t="n">
        <v>28933</v>
      </c>
      <c r="E76" s="31" t="n">
        <v>45604</v>
      </c>
      <c r="F76" s="32" t="s">
        <v>4117</v>
      </c>
      <c r="G76" s="0" t="n">
        <v>4</v>
      </c>
      <c r="H76" s="32" t="s">
        <v>3933</v>
      </c>
      <c r="I76" s="32" t="s">
        <v>4118</v>
      </c>
      <c r="J76" s="32" t="s">
        <v>3749</v>
      </c>
      <c r="K76" s="32" t="s">
        <v>2106</v>
      </c>
      <c r="L76" s="0" t="n">
        <v>380</v>
      </c>
      <c r="M76" s="32" t="s">
        <v>3794</v>
      </c>
      <c r="N76" s="32" t="s">
        <v>3751</v>
      </c>
      <c r="O76" s="32" t="n">
        <f aca="false">IF(I76="","",ROUND(MOD(TIMEVALUE(I76)-TIMEVALUE(F76),1)*1440,0))</f>
        <v>380</v>
      </c>
      <c r="P76" s="0" t="str">
        <f aca="false">IF(COUNTIF($A$2:A76,A76)&gt;1,"DUP","")</f>
        <v/>
      </c>
      <c r="Q76" s="0" t="str">
        <f aca="false">IF(O76="","",IF(O76&gt;240,"Y","N"))</f>
        <v>Y</v>
      </c>
    </row>
    <row r="77" customFormat="false" ht="15" hidden="false" customHeight="false" outlineLevel="0" collapsed="false">
      <c r="A77" s="0" t="s">
        <v>4119</v>
      </c>
      <c r="B77" s="0" t="s">
        <v>4111</v>
      </c>
      <c r="C77" s="0" t="s">
        <v>1398</v>
      </c>
      <c r="D77" s="31" t="n">
        <v>25468</v>
      </c>
      <c r="E77" s="31" t="n">
        <v>45726</v>
      </c>
      <c r="F77" s="32" t="s">
        <v>4120</v>
      </c>
      <c r="G77" s="0" t="n">
        <v>2</v>
      </c>
      <c r="I77" s="32" t="s">
        <v>4121</v>
      </c>
      <c r="J77" s="32" t="s">
        <v>3793</v>
      </c>
      <c r="K77" s="32" t="s">
        <v>2081</v>
      </c>
      <c r="L77" s="0" t="n">
        <v>220</v>
      </c>
      <c r="M77" s="32" t="s">
        <v>4122</v>
      </c>
      <c r="N77" s="32" t="s">
        <v>758</v>
      </c>
      <c r="O77" s="32" t="n">
        <f aca="false">IF(I77="","",ROUND(MOD(TIMEVALUE(I77)-TIMEVALUE(F77),1)*1440,0))</f>
        <v>220</v>
      </c>
      <c r="P77" s="0" t="str">
        <f aca="false">IF(COUNTIF($A$2:A77,A77)&gt;1,"DUP","")</f>
        <v/>
      </c>
      <c r="Q77" s="0" t="str">
        <f aca="false">IF(O77="","",IF(O77&gt;240,"Y","N"))</f>
        <v>N</v>
      </c>
    </row>
    <row r="78" customFormat="false" ht="15" hidden="false" customHeight="false" outlineLevel="0" collapsed="false">
      <c r="A78" s="0" t="s">
        <v>4123</v>
      </c>
      <c r="B78" s="0" t="s">
        <v>4124</v>
      </c>
      <c r="C78" s="0" t="s">
        <v>1414</v>
      </c>
      <c r="D78" s="31" t="n">
        <v>32671</v>
      </c>
      <c r="E78" s="31" t="n">
        <v>45640</v>
      </c>
      <c r="F78" s="32" t="s">
        <v>4125</v>
      </c>
      <c r="G78" s="0" t="n">
        <v>3</v>
      </c>
      <c r="H78" s="32" t="s">
        <v>4126</v>
      </c>
      <c r="I78" s="32" t="s">
        <v>4127</v>
      </c>
      <c r="J78" s="32" t="s">
        <v>3793</v>
      </c>
      <c r="K78" s="32" t="s">
        <v>2081</v>
      </c>
      <c r="L78" s="0" t="n">
        <v>193</v>
      </c>
      <c r="M78" s="32" t="s">
        <v>3887</v>
      </c>
      <c r="N78" s="32" t="s">
        <v>776</v>
      </c>
      <c r="O78" s="32" t="n">
        <f aca="false">IF(I78="","",ROUND(MOD(TIMEVALUE(I78)-TIMEVALUE(F78),1)*1440,0))</f>
        <v>193</v>
      </c>
      <c r="P78" s="0" t="str">
        <f aca="false">IF(COUNTIF($A$2:A78,A78)&gt;1,"DUP","")</f>
        <v/>
      </c>
      <c r="Q78" s="0" t="str">
        <f aca="false">IF(O78="","",IF(O78&gt;240,"Y","N"))</f>
        <v>N</v>
      </c>
    </row>
    <row r="79" customFormat="false" ht="15" hidden="false" customHeight="false" outlineLevel="0" collapsed="false">
      <c r="A79" s="0" t="s">
        <v>4128</v>
      </c>
      <c r="B79" s="0" t="s">
        <v>4129</v>
      </c>
      <c r="C79" s="0" t="s">
        <v>926</v>
      </c>
      <c r="D79" s="31" t="n">
        <v>24780</v>
      </c>
      <c r="E79" s="31" t="n">
        <v>45715</v>
      </c>
      <c r="F79" s="32" t="s">
        <v>4130</v>
      </c>
      <c r="G79" s="0" t="n">
        <v>4</v>
      </c>
      <c r="H79" s="32" t="s">
        <v>4131</v>
      </c>
      <c r="I79" s="32" t="s">
        <v>4132</v>
      </c>
      <c r="J79" s="32" t="s">
        <v>3749</v>
      </c>
      <c r="K79" s="32" t="s">
        <v>2081</v>
      </c>
      <c r="L79" s="0" t="n">
        <v>95</v>
      </c>
      <c r="M79" s="32" t="s">
        <v>4114</v>
      </c>
      <c r="N79" s="32" t="s">
        <v>3751</v>
      </c>
      <c r="O79" s="32" t="n">
        <f aca="false">IF(I79="","",ROUND(MOD(TIMEVALUE(I79)-TIMEVALUE(F79),1)*1440,0))</f>
        <v>95</v>
      </c>
      <c r="P79" s="0" t="str">
        <f aca="false">IF(COUNTIF($A$2:A79,A79)&gt;1,"DUP","")</f>
        <v/>
      </c>
      <c r="Q79" s="0" t="str">
        <f aca="false">IF(O79="","",IF(O79&gt;240,"Y","N"))</f>
        <v>N</v>
      </c>
    </row>
    <row r="80" customFormat="false" ht="15" hidden="false" customHeight="false" outlineLevel="0" collapsed="false">
      <c r="A80" s="0" t="s">
        <v>4133</v>
      </c>
      <c r="C80" s="0" t="s">
        <v>1398</v>
      </c>
      <c r="D80" s="31" t="n">
        <v>18828</v>
      </c>
      <c r="E80" s="31" t="n">
        <v>45675</v>
      </c>
      <c r="F80" s="32" t="s">
        <v>4134</v>
      </c>
      <c r="G80" s="0" t="n">
        <v>3</v>
      </c>
      <c r="H80" s="32" t="s">
        <v>4135</v>
      </c>
      <c r="I80" s="32" t="s">
        <v>4136</v>
      </c>
      <c r="J80" s="32" t="s">
        <v>2307</v>
      </c>
      <c r="K80" s="32" t="s">
        <v>2081</v>
      </c>
      <c r="L80" s="0" t="n">
        <v>106</v>
      </c>
      <c r="M80" s="32" t="s">
        <v>3764</v>
      </c>
      <c r="N80" s="32" t="s">
        <v>3751</v>
      </c>
      <c r="O80" s="32" t="n">
        <f aca="false">IF(I80="","",ROUND(MOD(TIMEVALUE(I80)-TIMEVALUE(F80),1)*1440,0))</f>
        <v>106</v>
      </c>
      <c r="P80" s="0" t="str">
        <f aca="false">IF(COUNTIF($A$2:A80,A80)&gt;1,"DUP","")</f>
        <v/>
      </c>
      <c r="Q80" s="0" t="str">
        <f aca="false">IF(O80="","",IF(O80&gt;240,"Y","N"))</f>
        <v>N</v>
      </c>
    </row>
    <row r="81" customFormat="false" ht="15" hidden="false" customHeight="false" outlineLevel="0" collapsed="false">
      <c r="A81" s="0" t="s">
        <v>4137</v>
      </c>
      <c r="B81" s="0" t="s">
        <v>4138</v>
      </c>
      <c r="C81" s="0" t="s">
        <v>950</v>
      </c>
      <c r="D81" s="31" t="n">
        <v>32148</v>
      </c>
      <c r="E81" s="31" t="n">
        <v>45693</v>
      </c>
      <c r="F81" s="32" t="s">
        <v>3950</v>
      </c>
      <c r="G81" s="0" t="n">
        <v>4</v>
      </c>
      <c r="H81" s="32" t="s">
        <v>4139</v>
      </c>
      <c r="I81" s="32" t="s">
        <v>4140</v>
      </c>
      <c r="J81" s="32" t="s">
        <v>3749</v>
      </c>
      <c r="K81" s="32" t="s">
        <v>2081</v>
      </c>
      <c r="L81" s="0" t="n">
        <v>33</v>
      </c>
      <c r="M81" s="32" t="s">
        <v>4141</v>
      </c>
      <c r="N81" s="32" t="s">
        <v>3751</v>
      </c>
      <c r="O81" s="32" t="n">
        <f aca="false">IF(I81="","",ROUND(MOD(TIMEVALUE(I81)-TIMEVALUE(F81),1)*1440,0))</f>
        <v>33</v>
      </c>
      <c r="P81" s="0" t="str">
        <f aca="false">IF(COUNTIF($A$2:A81,A81)&gt;1,"DUP","")</f>
        <v/>
      </c>
      <c r="Q81" s="0" t="str">
        <f aca="false">IF(O81="","",IF(O81&gt;240,"Y","N"))</f>
        <v>N</v>
      </c>
    </row>
    <row r="82" customFormat="false" ht="15" hidden="false" customHeight="false" outlineLevel="0" collapsed="false">
      <c r="A82" s="0" t="s">
        <v>4142</v>
      </c>
      <c r="B82" s="0" t="s">
        <v>3753</v>
      </c>
      <c r="C82" s="0" t="s">
        <v>1419</v>
      </c>
      <c r="D82" s="31" t="n">
        <v>33266</v>
      </c>
      <c r="E82" s="31" t="n">
        <v>45727</v>
      </c>
      <c r="F82" s="32" t="s">
        <v>4143</v>
      </c>
      <c r="G82" s="0" t="n">
        <v>3</v>
      </c>
      <c r="H82" s="32" t="s">
        <v>4144</v>
      </c>
      <c r="I82" s="32" t="s">
        <v>4145</v>
      </c>
      <c r="J82" s="32" t="s">
        <v>2307</v>
      </c>
      <c r="K82" s="32" t="s">
        <v>2081</v>
      </c>
      <c r="L82" s="0" t="n">
        <v>210</v>
      </c>
      <c r="M82" s="32" t="s">
        <v>3855</v>
      </c>
      <c r="N82" s="32" t="s">
        <v>3751</v>
      </c>
      <c r="O82" s="32" t="n">
        <f aca="false">IF(I82="","",ROUND(MOD(TIMEVALUE(I82)-TIMEVALUE(F82),1)*1440,0))</f>
        <v>210</v>
      </c>
      <c r="P82" s="0" t="str">
        <f aca="false">IF(COUNTIF($A$2:A82,A82)&gt;1,"DUP","")</f>
        <v/>
      </c>
      <c r="Q82" s="0" t="str">
        <f aca="false">IF(O82="","",IF(O82&gt;240,"Y","N"))</f>
        <v>N</v>
      </c>
    </row>
    <row r="83" customFormat="false" ht="15" hidden="false" customHeight="false" outlineLevel="0" collapsed="false">
      <c r="A83" s="0" t="s">
        <v>4146</v>
      </c>
      <c r="B83" s="0" t="s">
        <v>4147</v>
      </c>
      <c r="C83" s="0" t="s">
        <v>1009</v>
      </c>
      <c r="D83" s="31" t="n">
        <v>30764</v>
      </c>
      <c r="E83" s="31" t="n">
        <v>45613</v>
      </c>
      <c r="F83" s="32" t="s">
        <v>4148</v>
      </c>
      <c r="G83" s="0" t="n">
        <v>3</v>
      </c>
      <c r="H83" s="32" t="s">
        <v>769</v>
      </c>
      <c r="I83" s="32" t="s">
        <v>761</v>
      </c>
      <c r="J83" s="32" t="s">
        <v>2307</v>
      </c>
      <c r="K83" s="32" t="s">
        <v>2081</v>
      </c>
      <c r="L83" s="0" t="n">
        <v>39</v>
      </c>
      <c r="M83" s="32" t="s">
        <v>4149</v>
      </c>
      <c r="N83" s="32" t="s">
        <v>3751</v>
      </c>
      <c r="O83" s="32" t="n">
        <f aca="false">IF(I83="","",ROUND(MOD(TIMEVALUE(I83)-TIMEVALUE(F83),1)*1440,0))</f>
        <v>39</v>
      </c>
      <c r="P83" s="0" t="str">
        <f aca="false">IF(COUNTIF($A$2:A83,A83)&gt;1,"DUP","")</f>
        <v/>
      </c>
      <c r="Q83" s="0" t="str">
        <f aca="false">IF(O83="","",IF(O83&gt;240,"Y","N"))</f>
        <v>N</v>
      </c>
    </row>
    <row r="84" customFormat="false" ht="15" hidden="false" customHeight="false" outlineLevel="0" collapsed="false">
      <c r="A84" s="0" t="s">
        <v>4150</v>
      </c>
      <c r="C84" s="0" t="s">
        <v>1453</v>
      </c>
      <c r="D84" s="31" t="n">
        <v>19517</v>
      </c>
      <c r="E84" s="31" t="n">
        <v>45573</v>
      </c>
      <c r="F84" s="32" t="s">
        <v>4151</v>
      </c>
      <c r="G84" s="0" t="n">
        <v>2</v>
      </c>
      <c r="H84" s="32" t="s">
        <v>4152</v>
      </c>
      <c r="I84" s="32" t="s">
        <v>4153</v>
      </c>
      <c r="J84" s="32" t="s">
        <v>3749</v>
      </c>
      <c r="K84" s="32" t="s">
        <v>2081</v>
      </c>
      <c r="L84" s="0" t="n">
        <v>216</v>
      </c>
      <c r="M84" s="32" t="s">
        <v>3821</v>
      </c>
      <c r="N84" s="32" t="s">
        <v>3751</v>
      </c>
      <c r="O84" s="32" t="n">
        <f aca="false">IF(I84="","",ROUND(MOD(TIMEVALUE(I84)-TIMEVALUE(F84),1)*1440,0))</f>
        <v>216</v>
      </c>
      <c r="P84" s="0" t="str">
        <f aca="false">IF(COUNTIF($A$2:A84,A84)&gt;1,"DUP","")</f>
        <v/>
      </c>
      <c r="Q84" s="0" t="str">
        <f aca="false">IF(O84="","",IF(O84&gt;240,"Y","N"))</f>
        <v>N</v>
      </c>
    </row>
    <row r="85" customFormat="false" ht="15" hidden="false" customHeight="false" outlineLevel="0" collapsed="false">
      <c r="A85" s="0" t="s">
        <v>4154</v>
      </c>
      <c r="B85" s="0" t="s">
        <v>3899</v>
      </c>
      <c r="C85" s="0" t="s">
        <v>1025</v>
      </c>
      <c r="D85" s="31" t="n">
        <v>26802</v>
      </c>
      <c r="E85" s="31" t="n">
        <v>45685</v>
      </c>
      <c r="F85" s="32" t="s">
        <v>4155</v>
      </c>
      <c r="G85" s="0" t="n">
        <v>3</v>
      </c>
      <c r="H85" s="32" t="s">
        <v>4156</v>
      </c>
      <c r="I85" s="32" t="s">
        <v>4157</v>
      </c>
      <c r="J85" s="32" t="s">
        <v>3749</v>
      </c>
      <c r="K85" s="32" t="s">
        <v>2081</v>
      </c>
      <c r="L85" s="0" t="n">
        <v>123</v>
      </c>
      <c r="M85" s="32" t="s">
        <v>3782</v>
      </c>
      <c r="N85" s="32" t="s">
        <v>3751</v>
      </c>
      <c r="O85" s="32" t="n">
        <f aca="false">IF(I85="","",ROUND(MOD(TIMEVALUE(I85)-TIMEVALUE(F85),1)*1440,0))</f>
        <v>123</v>
      </c>
      <c r="P85" s="0" t="str">
        <f aca="false">IF(COUNTIF($A$2:A85,A85)&gt;1,"DUP","")</f>
        <v/>
      </c>
      <c r="Q85" s="0" t="str">
        <f aca="false">IF(O85="","",IF(O85&gt;240,"Y","N"))</f>
        <v>N</v>
      </c>
    </row>
    <row r="86" customFormat="false" ht="15" hidden="false" customHeight="false" outlineLevel="0" collapsed="false">
      <c r="A86" s="0" t="s">
        <v>4158</v>
      </c>
      <c r="C86" s="0" t="s">
        <v>886</v>
      </c>
      <c r="D86" s="31" t="n">
        <v>19778</v>
      </c>
      <c r="E86" s="31" t="n">
        <v>45637</v>
      </c>
      <c r="F86" s="32" t="s">
        <v>4159</v>
      </c>
      <c r="G86" s="0" t="n">
        <v>4</v>
      </c>
      <c r="H86" s="32" t="s">
        <v>4160</v>
      </c>
      <c r="I86" s="32" t="s">
        <v>4161</v>
      </c>
      <c r="J86" s="32" t="s">
        <v>3749</v>
      </c>
      <c r="K86" s="32" t="s">
        <v>2081</v>
      </c>
      <c r="L86" s="0" t="n">
        <v>35</v>
      </c>
      <c r="M86" s="32" t="s">
        <v>3827</v>
      </c>
      <c r="N86" s="32" t="s">
        <v>3751</v>
      </c>
      <c r="O86" s="32" t="n">
        <f aca="false">IF(I86="","",ROUND(MOD(TIMEVALUE(I86)-TIMEVALUE(F86),1)*1440,0))</f>
        <v>35</v>
      </c>
      <c r="P86" s="0" t="str">
        <f aca="false">IF(COUNTIF($A$2:A86,A86)&gt;1,"DUP","")</f>
        <v/>
      </c>
      <c r="Q86" s="0" t="str">
        <f aca="false">IF(O86="","",IF(O86&gt;240,"Y","N"))</f>
        <v>N</v>
      </c>
    </row>
    <row r="87" customFormat="false" ht="15" hidden="false" customHeight="false" outlineLevel="0" collapsed="false">
      <c r="A87" s="0" t="s">
        <v>4162</v>
      </c>
      <c r="B87" s="0" t="s">
        <v>3942</v>
      </c>
      <c r="C87" s="0" t="s">
        <v>1017</v>
      </c>
      <c r="D87" s="31" t="n">
        <v>14156</v>
      </c>
      <c r="E87" s="31" t="n">
        <v>45697</v>
      </c>
      <c r="F87" s="32" t="s">
        <v>4163</v>
      </c>
      <c r="G87" s="0" t="n">
        <v>1</v>
      </c>
      <c r="H87" s="32" t="s">
        <v>4164</v>
      </c>
      <c r="I87" s="32" t="s">
        <v>4035</v>
      </c>
      <c r="J87" s="32" t="s">
        <v>7</v>
      </c>
      <c r="K87" s="32" t="s">
        <v>2081</v>
      </c>
      <c r="L87" s="0" t="n">
        <v>224</v>
      </c>
      <c r="M87" s="32" t="s">
        <v>4165</v>
      </c>
      <c r="N87" s="32" t="s">
        <v>3751</v>
      </c>
      <c r="O87" s="32" t="n">
        <f aca="false">IF(I87="","",ROUND(MOD(TIMEVALUE(I87)-TIMEVALUE(F87),1)*1440,0))</f>
        <v>224</v>
      </c>
      <c r="P87" s="0" t="str">
        <f aca="false">IF(COUNTIF($A$2:A87,A87)&gt;1,"DUP","")</f>
        <v/>
      </c>
      <c r="Q87" s="0" t="str">
        <f aca="false">IF(O87="","",IF(O87&gt;240,"Y","N"))</f>
        <v>N</v>
      </c>
    </row>
    <row r="88" customFormat="false" ht="15" hidden="false" customHeight="false" outlineLevel="0" collapsed="false">
      <c r="A88" s="0" t="s">
        <v>4166</v>
      </c>
      <c r="C88" s="0" t="s">
        <v>1426</v>
      </c>
      <c r="D88" s="31" t="n">
        <v>37045</v>
      </c>
      <c r="E88" s="31" t="n">
        <v>45633</v>
      </c>
      <c r="F88" s="32" t="s">
        <v>4097</v>
      </c>
      <c r="G88" s="0" t="n">
        <v>4</v>
      </c>
      <c r="H88" s="32" t="s">
        <v>4167</v>
      </c>
      <c r="I88" s="32" t="s">
        <v>3979</v>
      </c>
      <c r="J88" s="32" t="s">
        <v>3749</v>
      </c>
      <c r="K88" s="32" t="s">
        <v>2081</v>
      </c>
      <c r="L88" s="0" t="n">
        <v>48</v>
      </c>
      <c r="M88" s="32" t="s">
        <v>4149</v>
      </c>
      <c r="N88" s="32" t="s">
        <v>3751</v>
      </c>
      <c r="O88" s="32" t="n">
        <f aca="false">IF(I88="","",ROUND(MOD(TIMEVALUE(I88)-TIMEVALUE(F88),1)*1440,0))</f>
        <v>48</v>
      </c>
      <c r="P88" s="0" t="str">
        <f aca="false">IF(COUNTIF($A$2:A88,A88)&gt;1,"DUP","")</f>
        <v/>
      </c>
      <c r="Q88" s="0" t="str">
        <f aca="false">IF(O88="","",IF(O88&gt;240,"Y","N"))</f>
        <v>N</v>
      </c>
    </row>
    <row r="89" customFormat="false" ht="15" hidden="false" customHeight="false" outlineLevel="0" collapsed="false">
      <c r="A89" s="0" t="s">
        <v>4168</v>
      </c>
      <c r="B89" s="0" t="s">
        <v>4169</v>
      </c>
      <c r="C89" s="0" t="s">
        <v>817</v>
      </c>
      <c r="D89" s="31" t="n">
        <v>16234</v>
      </c>
      <c r="E89" s="31" t="n">
        <v>45647</v>
      </c>
      <c r="F89" s="32" t="s">
        <v>4170</v>
      </c>
      <c r="G89" s="0" t="n">
        <v>3</v>
      </c>
      <c r="H89" s="32" t="s">
        <v>4171</v>
      </c>
      <c r="I89" s="32" t="s">
        <v>4172</v>
      </c>
      <c r="J89" s="32" t="s">
        <v>3749</v>
      </c>
      <c r="K89" s="32" t="s">
        <v>2081</v>
      </c>
      <c r="L89" s="0" t="n">
        <v>204</v>
      </c>
      <c r="M89" s="32" t="s">
        <v>3849</v>
      </c>
      <c r="N89" s="32" t="s">
        <v>3751</v>
      </c>
      <c r="O89" s="32" t="n">
        <f aca="false">IF(I89="","",ROUND(MOD(TIMEVALUE(I89)-TIMEVALUE(F89),1)*1440,0))</f>
        <v>204</v>
      </c>
      <c r="P89" s="0" t="str">
        <f aca="false">IF(COUNTIF($A$2:A89,A89)&gt;1,"DUP","")</f>
        <v/>
      </c>
      <c r="Q89" s="0" t="str">
        <f aca="false">IF(O89="","",IF(O89&gt;240,"Y","N"))</f>
        <v>N</v>
      </c>
    </row>
    <row r="90" customFormat="false" ht="15" hidden="false" customHeight="false" outlineLevel="0" collapsed="false">
      <c r="A90" s="0" t="s">
        <v>4173</v>
      </c>
      <c r="B90" s="0" t="s">
        <v>4174</v>
      </c>
      <c r="C90" s="0" t="s">
        <v>870</v>
      </c>
      <c r="D90" s="31" t="n">
        <v>23282</v>
      </c>
      <c r="E90" s="31" t="n">
        <v>45679</v>
      </c>
      <c r="F90" s="32" t="s">
        <v>4175</v>
      </c>
      <c r="G90" s="0" t="n">
        <v>3</v>
      </c>
      <c r="H90" s="32" t="s">
        <v>4176</v>
      </c>
      <c r="I90" s="32" t="s">
        <v>4177</v>
      </c>
      <c r="J90" s="32" t="s">
        <v>3749</v>
      </c>
      <c r="K90" s="32" t="s">
        <v>2081</v>
      </c>
      <c r="L90" s="0" t="n">
        <v>118</v>
      </c>
      <c r="M90" s="32" t="s">
        <v>3787</v>
      </c>
      <c r="N90" s="32" t="s">
        <v>3751</v>
      </c>
      <c r="O90" s="32" t="n">
        <f aca="false">IF(I90="","",ROUND(MOD(TIMEVALUE(I90)-TIMEVALUE(F90),1)*1440,0))</f>
        <v>118</v>
      </c>
      <c r="P90" s="0" t="str">
        <f aca="false">IF(COUNTIF($A$2:A90,A90)&gt;1,"DUP","")</f>
        <v/>
      </c>
      <c r="Q90" s="0" t="str">
        <f aca="false">IF(O90="","",IF(O90&gt;240,"Y","N"))</f>
        <v>N</v>
      </c>
    </row>
    <row r="91" customFormat="false" ht="15" hidden="false" customHeight="false" outlineLevel="0" collapsed="false">
      <c r="A91" s="0" t="s">
        <v>4178</v>
      </c>
      <c r="B91" s="0" t="s">
        <v>4179</v>
      </c>
      <c r="C91" s="0" t="s">
        <v>857</v>
      </c>
      <c r="D91" s="31" t="n">
        <v>19594</v>
      </c>
      <c r="E91" s="31" t="n">
        <v>45700</v>
      </c>
      <c r="F91" s="32" t="s">
        <v>4180</v>
      </c>
      <c r="G91" s="0" t="n">
        <v>3</v>
      </c>
      <c r="I91" s="32" t="s">
        <v>4181</v>
      </c>
      <c r="J91" s="32" t="s">
        <v>3763</v>
      </c>
      <c r="K91" s="32" t="s">
        <v>2106</v>
      </c>
      <c r="L91" s="0" t="n">
        <v>476</v>
      </c>
      <c r="M91" s="32" t="s">
        <v>3966</v>
      </c>
      <c r="N91" s="32" t="s">
        <v>3751</v>
      </c>
      <c r="O91" s="32" t="n">
        <f aca="false">IF(I91="","",ROUND(MOD(TIMEVALUE(I91)-TIMEVALUE(F91),1)*1440,0))</f>
        <v>476</v>
      </c>
      <c r="P91" s="0" t="str">
        <f aca="false">IF(COUNTIF($A$2:A91,A91)&gt;1,"DUP","")</f>
        <v/>
      </c>
      <c r="Q91" s="0" t="str">
        <f aca="false">IF(O91="","",IF(O91&gt;240,"Y","N"))</f>
        <v>Y</v>
      </c>
    </row>
    <row r="92" customFormat="false" ht="15" hidden="false" customHeight="false" outlineLevel="0" collapsed="false">
      <c r="A92" s="0" t="s">
        <v>4182</v>
      </c>
      <c r="B92" s="0" t="s">
        <v>4183</v>
      </c>
      <c r="C92" s="0" t="s">
        <v>938</v>
      </c>
      <c r="D92" s="31" t="n">
        <v>37253</v>
      </c>
      <c r="E92" s="31" t="n">
        <v>45593</v>
      </c>
      <c r="F92" s="32" t="s">
        <v>4184</v>
      </c>
      <c r="G92" s="0" t="n">
        <v>4</v>
      </c>
      <c r="H92" s="32" t="s">
        <v>4185</v>
      </c>
      <c r="I92" s="32" t="s">
        <v>4186</v>
      </c>
      <c r="J92" s="32" t="s">
        <v>2307</v>
      </c>
      <c r="K92" s="32" t="s">
        <v>2081</v>
      </c>
      <c r="L92" s="0" t="n">
        <v>189</v>
      </c>
      <c r="M92" s="32" t="s">
        <v>3770</v>
      </c>
      <c r="N92" s="32" t="s">
        <v>3751</v>
      </c>
      <c r="O92" s="32" t="n">
        <f aca="false">IF(I92="","",ROUND(MOD(TIMEVALUE(I92)-TIMEVALUE(F92),1)*1440,0))</f>
        <v>189</v>
      </c>
      <c r="P92" s="0" t="str">
        <f aca="false">IF(COUNTIF($A$2:A92,A92)&gt;1,"DUP","")</f>
        <v/>
      </c>
      <c r="Q92" s="0" t="str">
        <f aca="false">IF(O92="","",IF(O92&gt;240,"Y","N"))</f>
        <v>N</v>
      </c>
    </row>
    <row r="93" customFormat="false" ht="15" hidden="false" customHeight="false" outlineLevel="0" collapsed="false">
      <c r="A93" s="0" t="s">
        <v>4187</v>
      </c>
      <c r="B93" s="0" t="s">
        <v>4188</v>
      </c>
      <c r="C93" s="0" t="s">
        <v>849</v>
      </c>
      <c r="D93" s="31" t="n">
        <v>13677</v>
      </c>
      <c r="E93" s="31" t="n">
        <v>45721</v>
      </c>
      <c r="F93" s="32" t="s">
        <v>4189</v>
      </c>
      <c r="G93" s="0" t="n">
        <v>3</v>
      </c>
      <c r="H93" s="32" t="s">
        <v>4190</v>
      </c>
      <c r="I93" s="32" t="s">
        <v>3781</v>
      </c>
      <c r="J93" s="32" t="s">
        <v>3749</v>
      </c>
      <c r="K93" s="32" t="s">
        <v>2106</v>
      </c>
      <c r="L93" s="0" t="n">
        <v>555</v>
      </c>
      <c r="M93" s="32" t="s">
        <v>3821</v>
      </c>
      <c r="N93" s="32" t="s">
        <v>3751</v>
      </c>
      <c r="O93" s="32" t="n">
        <f aca="false">IF(I93="","",ROUND(MOD(TIMEVALUE(I93)-TIMEVALUE(F93),1)*1440,0))</f>
        <v>555</v>
      </c>
      <c r="P93" s="0" t="str">
        <f aca="false">IF(COUNTIF($A$2:A93,A93)&gt;1,"DUP","")</f>
        <v/>
      </c>
      <c r="Q93" s="0" t="str">
        <f aca="false">IF(O93="","",IF(O93&gt;240,"Y","N"))</f>
        <v>Y</v>
      </c>
    </row>
    <row r="94" customFormat="false" ht="15" hidden="false" customHeight="false" outlineLevel="0" collapsed="false">
      <c r="A94" s="0" t="s">
        <v>4191</v>
      </c>
      <c r="B94" s="0" t="s">
        <v>4192</v>
      </c>
      <c r="C94" s="0" t="s">
        <v>2178</v>
      </c>
      <c r="D94" s="31" t="n">
        <v>34452</v>
      </c>
      <c r="E94" s="31" t="n">
        <v>45687</v>
      </c>
      <c r="F94" s="32" t="s">
        <v>4193</v>
      </c>
      <c r="G94" s="0" t="n">
        <v>3</v>
      </c>
      <c r="H94" s="32" t="s">
        <v>4194</v>
      </c>
      <c r="I94" s="32" t="s">
        <v>4067</v>
      </c>
      <c r="J94" s="32" t="s">
        <v>3749</v>
      </c>
      <c r="K94" s="32" t="s">
        <v>2081</v>
      </c>
      <c r="L94" s="0" t="n">
        <v>200</v>
      </c>
      <c r="M94" s="32" t="s">
        <v>3993</v>
      </c>
      <c r="N94" s="32" t="s">
        <v>3751</v>
      </c>
      <c r="O94" s="32" t="n">
        <f aca="false">IF(I94="","",ROUND(MOD(TIMEVALUE(I94)-TIMEVALUE(F94),1)*1440,0))</f>
        <v>200</v>
      </c>
      <c r="P94" s="0" t="str">
        <f aca="false">IF(COUNTIF($A$2:A94,A94)&gt;1,"DUP","")</f>
        <v/>
      </c>
      <c r="Q94" s="0" t="str">
        <f aca="false">IF(O94="","",IF(O94&gt;240,"Y","N"))</f>
        <v>N</v>
      </c>
    </row>
    <row r="95" customFormat="false" ht="15" hidden="false" customHeight="false" outlineLevel="0" collapsed="false">
      <c r="A95" s="0" t="s">
        <v>4195</v>
      </c>
      <c r="B95" s="0" t="s">
        <v>4196</v>
      </c>
      <c r="C95" s="0" t="s">
        <v>922</v>
      </c>
      <c r="D95" s="31" t="n">
        <v>23921</v>
      </c>
      <c r="E95" s="31" t="n">
        <v>45710</v>
      </c>
      <c r="F95" s="32" t="s">
        <v>4197</v>
      </c>
      <c r="G95" s="0" t="n">
        <v>5</v>
      </c>
      <c r="H95" s="32" t="s">
        <v>4198</v>
      </c>
      <c r="J95" s="32" t="s">
        <v>3749</v>
      </c>
      <c r="M95" s="32" t="s">
        <v>3975</v>
      </c>
      <c r="N95" s="32" t="s">
        <v>3751</v>
      </c>
      <c r="O95" s="0" t="str">
        <f aca="false">IF(I95="","",ROUND(MOD(TIMEVALUE(I95)-TIMEVALUE(F95),1)*1440,0))</f>
        <v/>
      </c>
      <c r="P95" s="0" t="str">
        <f aca="false">IF(COUNTIF($A$2:A95,A95)&gt;1,"DUP","")</f>
        <v/>
      </c>
      <c r="Q95" s="0" t="str">
        <f aca="false">IF(O95="","",IF(O95&gt;240,"Y","N"))</f>
        <v/>
      </c>
    </row>
    <row r="96" customFormat="false" ht="15" hidden="false" customHeight="false" outlineLevel="0" collapsed="false">
      <c r="A96" s="0" t="s">
        <v>4199</v>
      </c>
      <c r="B96" s="0" t="s">
        <v>4200</v>
      </c>
      <c r="C96" s="0" t="s">
        <v>862</v>
      </c>
      <c r="D96" s="31" t="n">
        <v>15943</v>
      </c>
      <c r="E96" s="31" t="n">
        <v>45574</v>
      </c>
      <c r="F96" s="32" t="s">
        <v>4201</v>
      </c>
      <c r="G96" s="0" t="n">
        <v>4</v>
      </c>
      <c r="H96" s="32" t="s">
        <v>4202</v>
      </c>
      <c r="I96" s="32" t="s">
        <v>4203</v>
      </c>
      <c r="J96" s="32" t="s">
        <v>3749</v>
      </c>
      <c r="K96" s="32" t="s">
        <v>2081</v>
      </c>
      <c r="L96" s="0" t="n">
        <v>91</v>
      </c>
      <c r="M96" s="32" t="s">
        <v>4165</v>
      </c>
      <c r="N96" s="32" t="s">
        <v>3751</v>
      </c>
      <c r="O96" s="32" t="n">
        <f aca="false">IF(I96="","",ROUND(MOD(TIMEVALUE(I96)-TIMEVALUE(F96),1)*1440,0))</f>
        <v>91</v>
      </c>
      <c r="P96" s="0" t="str">
        <f aca="false">IF(COUNTIF($A$2:A96,A96)&gt;1,"DUP","")</f>
        <v/>
      </c>
      <c r="Q96" s="0" t="str">
        <f aca="false">IF(O96="","",IF(O96&gt;240,"Y","N"))</f>
        <v>N</v>
      </c>
    </row>
    <row r="97" customFormat="false" ht="15" hidden="false" customHeight="false" outlineLevel="0" collapsed="false">
      <c r="A97" s="0" t="s">
        <v>4204</v>
      </c>
      <c r="C97" s="0" t="s">
        <v>993</v>
      </c>
      <c r="D97" s="31" t="n">
        <v>14558</v>
      </c>
      <c r="E97" s="31" t="n">
        <v>45657</v>
      </c>
      <c r="F97" s="32" t="s">
        <v>4205</v>
      </c>
      <c r="G97" s="0" t="n">
        <v>3</v>
      </c>
      <c r="H97" s="32" t="s">
        <v>4127</v>
      </c>
      <c r="I97" s="32" t="s">
        <v>3945</v>
      </c>
      <c r="J97" s="32" t="s">
        <v>3749</v>
      </c>
      <c r="K97" s="32" t="s">
        <v>2081</v>
      </c>
      <c r="L97" s="0" t="n">
        <v>30</v>
      </c>
      <c r="M97" s="32" t="s">
        <v>4206</v>
      </c>
      <c r="N97" s="32" t="s">
        <v>3751</v>
      </c>
      <c r="O97" s="32" t="n">
        <f aca="false">IF(I97="","",ROUND(MOD(TIMEVALUE(I97)-TIMEVALUE(F97),1)*1440,0))</f>
        <v>30</v>
      </c>
      <c r="P97" s="0" t="str">
        <f aca="false">IF(COUNTIF($A$2:A97,A97)&gt;1,"DUP","")</f>
        <v/>
      </c>
      <c r="Q97" s="0" t="str">
        <f aca="false">IF(O97="","",IF(O97&gt;240,"Y","N"))</f>
        <v>N</v>
      </c>
    </row>
    <row r="98" customFormat="false" ht="15" hidden="false" customHeight="false" outlineLevel="0" collapsed="false">
      <c r="A98" s="0" t="s">
        <v>4207</v>
      </c>
      <c r="B98" s="0" t="s">
        <v>4208</v>
      </c>
      <c r="C98" s="0" t="s">
        <v>926</v>
      </c>
      <c r="D98" s="31" t="n">
        <v>32382</v>
      </c>
      <c r="E98" s="31" t="n">
        <v>45590</v>
      </c>
      <c r="F98" s="32" t="s">
        <v>3881</v>
      </c>
      <c r="G98" s="0" t="n">
        <v>4</v>
      </c>
      <c r="I98" s="32" t="s">
        <v>4209</v>
      </c>
      <c r="J98" s="32" t="s">
        <v>3749</v>
      </c>
      <c r="K98" s="32" t="s">
        <v>2081</v>
      </c>
      <c r="L98" s="0" t="n">
        <v>91</v>
      </c>
      <c r="M98" s="32" t="s">
        <v>3849</v>
      </c>
      <c r="N98" s="32" t="s">
        <v>3751</v>
      </c>
      <c r="O98" s="32" t="n">
        <f aca="false">IF(I98="","",ROUND(MOD(TIMEVALUE(I98)-TIMEVALUE(F98),1)*1440,0))</f>
        <v>91</v>
      </c>
      <c r="P98" s="0" t="str">
        <f aca="false">IF(COUNTIF($A$2:A98,A98)&gt;1,"DUP","")</f>
        <v/>
      </c>
      <c r="Q98" s="0" t="str">
        <f aca="false">IF(O98="","",IF(O98&gt;240,"Y","N"))</f>
        <v>N</v>
      </c>
    </row>
    <row r="99" customFormat="false" ht="15" hidden="false" customHeight="false" outlineLevel="0" collapsed="false">
      <c r="A99" s="0" t="s">
        <v>4210</v>
      </c>
      <c r="B99" s="0" t="s">
        <v>3766</v>
      </c>
      <c r="C99" s="0" t="s">
        <v>870</v>
      </c>
      <c r="D99" s="31" t="n">
        <v>37938</v>
      </c>
      <c r="E99" s="31" t="n">
        <v>45616</v>
      </c>
      <c r="F99" s="32" t="s">
        <v>4211</v>
      </c>
      <c r="G99" s="0" t="n">
        <v>4</v>
      </c>
      <c r="H99" s="32" t="s">
        <v>4212</v>
      </c>
      <c r="J99" s="32" t="s">
        <v>2307</v>
      </c>
      <c r="M99" s="32" t="s">
        <v>3782</v>
      </c>
      <c r="N99" s="32" t="s">
        <v>3751</v>
      </c>
      <c r="O99" s="0" t="str">
        <f aca="false">IF(I99="","",ROUND(MOD(TIMEVALUE(I99)-TIMEVALUE(F99),1)*1440,0))</f>
        <v/>
      </c>
      <c r="P99" s="0" t="str">
        <f aca="false">IF(COUNTIF($A$2:A99,A99)&gt;1,"DUP","")</f>
        <v/>
      </c>
      <c r="Q99" s="0" t="str">
        <f aca="false">IF(O99="","",IF(O99&gt;240,"Y","N"))</f>
        <v/>
      </c>
    </row>
    <row r="100" customFormat="false" ht="15" hidden="false" customHeight="false" outlineLevel="0" collapsed="false">
      <c r="A100" s="0" t="s">
        <v>4213</v>
      </c>
      <c r="B100" s="0" t="s">
        <v>4214</v>
      </c>
      <c r="C100" s="0" t="s">
        <v>997</v>
      </c>
      <c r="D100" s="31" t="n">
        <v>21912</v>
      </c>
      <c r="E100" s="31" t="n">
        <v>45623</v>
      </c>
      <c r="F100" s="32" t="s">
        <v>4175</v>
      </c>
      <c r="G100" s="0" t="n">
        <v>2</v>
      </c>
      <c r="H100" s="32" t="s">
        <v>4215</v>
      </c>
      <c r="I100" s="32" t="s">
        <v>3983</v>
      </c>
      <c r="J100" s="32" t="s">
        <v>3749</v>
      </c>
      <c r="K100" s="32" t="s">
        <v>2081</v>
      </c>
      <c r="L100" s="0" t="n">
        <v>211</v>
      </c>
      <c r="M100" s="32" t="s">
        <v>3776</v>
      </c>
      <c r="N100" s="32" t="s">
        <v>3751</v>
      </c>
      <c r="O100" s="32" t="n">
        <f aca="false">IF(I100="","",ROUND(MOD(TIMEVALUE(I100)-TIMEVALUE(F100),1)*1440,0))</f>
        <v>211</v>
      </c>
      <c r="P100" s="0" t="str">
        <f aca="false">IF(COUNTIF($A$2:A100,A100)&gt;1,"DUP","")</f>
        <v/>
      </c>
      <c r="Q100" s="0" t="str">
        <f aca="false">IF(O100="","",IF(O100&gt;240,"Y","N"))</f>
        <v>N</v>
      </c>
    </row>
    <row r="101" customFormat="false" ht="15" hidden="false" customHeight="false" outlineLevel="0" collapsed="false">
      <c r="A101" s="0" t="s">
        <v>4216</v>
      </c>
      <c r="C101" s="0" t="s">
        <v>914</v>
      </c>
      <c r="D101" s="31" t="n">
        <v>19871</v>
      </c>
      <c r="E101" s="31" t="n">
        <v>45682</v>
      </c>
      <c r="F101" s="32" t="s">
        <v>4217</v>
      </c>
      <c r="G101" s="0" t="n">
        <v>3</v>
      </c>
      <c r="H101" s="32" t="s">
        <v>4218</v>
      </c>
      <c r="I101" s="32" t="s">
        <v>4121</v>
      </c>
      <c r="J101" s="32" t="s">
        <v>3763</v>
      </c>
      <c r="K101" s="32" t="s">
        <v>2081</v>
      </c>
      <c r="L101" s="0" t="n">
        <v>95</v>
      </c>
      <c r="M101" s="32" t="s">
        <v>4219</v>
      </c>
      <c r="N101" s="32" t="s">
        <v>3751</v>
      </c>
      <c r="O101" s="32" t="n">
        <f aca="false">IF(I101="","",ROUND(MOD(TIMEVALUE(I101)-TIMEVALUE(F101),1)*1440,0))</f>
        <v>95</v>
      </c>
      <c r="P101" s="0" t="str">
        <f aca="false">IF(COUNTIF($A$2:A101,A101)&gt;1,"DUP","")</f>
        <v/>
      </c>
      <c r="Q101" s="0" t="str">
        <f aca="false">IF(O101="","",IF(O101&gt;240,"Y","N"))</f>
        <v>N</v>
      </c>
    </row>
    <row r="102" customFormat="false" ht="15" hidden="false" customHeight="false" outlineLevel="0" collapsed="false">
      <c r="A102" s="0" t="s">
        <v>4220</v>
      </c>
      <c r="C102" s="0" t="s">
        <v>757</v>
      </c>
      <c r="D102" s="31" t="n">
        <v>38553</v>
      </c>
      <c r="E102" s="31" t="n">
        <v>45589</v>
      </c>
      <c r="F102" s="32" t="s">
        <v>4221</v>
      </c>
      <c r="G102" s="0" t="n">
        <v>3</v>
      </c>
      <c r="I102" s="32" t="s">
        <v>4222</v>
      </c>
      <c r="J102" s="32" t="s">
        <v>3749</v>
      </c>
      <c r="K102" s="32" t="s">
        <v>2106</v>
      </c>
      <c r="L102" s="0" t="n">
        <v>474</v>
      </c>
      <c r="M102" s="32" t="s">
        <v>3871</v>
      </c>
      <c r="N102" s="32" t="s">
        <v>3751</v>
      </c>
      <c r="O102" s="32" t="n">
        <f aca="false">IF(I102="","",ROUND(MOD(TIMEVALUE(I102)-TIMEVALUE(F102),1)*1440,0))</f>
        <v>474</v>
      </c>
      <c r="P102" s="0" t="str">
        <f aca="false">IF(COUNTIF($A$2:A102,A102)&gt;1,"DUP","")</f>
        <v/>
      </c>
      <c r="Q102" s="0" t="str">
        <f aca="false">IF(O102="","",IF(O102&gt;240,"Y","N"))</f>
        <v>Y</v>
      </c>
    </row>
    <row r="103" customFormat="false" ht="15" hidden="false" customHeight="false" outlineLevel="0" collapsed="false">
      <c r="A103" s="0" t="s">
        <v>4223</v>
      </c>
      <c r="B103" s="0" t="s">
        <v>4224</v>
      </c>
      <c r="C103" s="0" t="s">
        <v>1402</v>
      </c>
      <c r="D103" s="31" t="n">
        <v>23228</v>
      </c>
      <c r="E103" s="31" t="n">
        <v>45640</v>
      </c>
      <c r="F103" s="32" t="s">
        <v>4225</v>
      </c>
      <c r="G103" s="0" t="n">
        <v>1</v>
      </c>
      <c r="H103" s="32" t="s">
        <v>4226</v>
      </c>
      <c r="I103" s="32" t="s">
        <v>4024</v>
      </c>
      <c r="J103" s="32" t="s">
        <v>3749</v>
      </c>
      <c r="K103" s="32" t="s">
        <v>2081</v>
      </c>
      <c r="L103" s="0" t="n">
        <v>35</v>
      </c>
      <c r="M103" s="32" t="s">
        <v>4106</v>
      </c>
      <c r="N103" s="32" t="s">
        <v>3751</v>
      </c>
      <c r="O103" s="32" t="n">
        <f aca="false">IF(I103="","",ROUND(MOD(TIMEVALUE(I103)-TIMEVALUE(F103),1)*1440,0))</f>
        <v>35</v>
      </c>
      <c r="P103" s="0" t="str">
        <f aca="false">IF(COUNTIF($A$2:A103,A103)&gt;1,"DUP","")</f>
        <v/>
      </c>
      <c r="Q103" s="0" t="str">
        <f aca="false">IF(O103="","",IF(O103&gt;240,"Y","N"))</f>
        <v>N</v>
      </c>
    </row>
    <row r="104" customFormat="false" ht="15" hidden="false" customHeight="false" outlineLevel="0" collapsed="false">
      <c r="A104" s="0" t="s">
        <v>4227</v>
      </c>
      <c r="B104" s="0" t="s">
        <v>3889</v>
      </c>
      <c r="C104" s="0" t="s">
        <v>890</v>
      </c>
      <c r="D104" s="31" t="n">
        <v>38546</v>
      </c>
      <c r="E104" s="31" t="n">
        <v>45667</v>
      </c>
      <c r="F104" s="32" t="s">
        <v>4089</v>
      </c>
      <c r="G104" s="0" t="n">
        <v>4</v>
      </c>
      <c r="H104" s="32" t="s">
        <v>4205</v>
      </c>
      <c r="J104" s="32" t="s">
        <v>3749</v>
      </c>
      <c r="M104" s="32" t="s">
        <v>3757</v>
      </c>
      <c r="N104" s="32" t="s">
        <v>3751</v>
      </c>
      <c r="O104" s="0" t="str">
        <f aca="false">IF(I104="","",ROUND(MOD(TIMEVALUE(I104)-TIMEVALUE(F104),1)*1440,0))</f>
        <v/>
      </c>
      <c r="P104" s="0" t="str">
        <f aca="false">IF(COUNTIF($A$2:A104,A104)&gt;1,"DUP","")</f>
        <v/>
      </c>
      <c r="Q104" s="0" t="str">
        <f aca="false">IF(O104="","",IF(O104&gt;240,"Y","N"))</f>
        <v/>
      </c>
    </row>
    <row r="105" customFormat="false" ht="15" hidden="false" customHeight="false" outlineLevel="0" collapsed="false">
      <c r="A105" s="0" t="s">
        <v>4228</v>
      </c>
      <c r="B105" s="0" t="s">
        <v>4229</v>
      </c>
      <c r="C105" s="0" t="s">
        <v>837</v>
      </c>
      <c r="D105" s="31" t="n">
        <v>18556</v>
      </c>
      <c r="E105" s="31" t="n">
        <v>45593</v>
      </c>
      <c r="F105" s="32" t="s">
        <v>3909</v>
      </c>
      <c r="G105" s="0" t="n">
        <v>2</v>
      </c>
      <c r="H105" s="32" t="s">
        <v>4230</v>
      </c>
      <c r="I105" s="32" t="s">
        <v>4231</v>
      </c>
      <c r="J105" s="32" t="s">
        <v>3763</v>
      </c>
      <c r="K105" s="32" t="s">
        <v>2081</v>
      </c>
      <c r="L105" s="0" t="n">
        <v>106</v>
      </c>
      <c r="M105" s="32" t="s">
        <v>3877</v>
      </c>
      <c r="N105" s="32" t="s">
        <v>3751</v>
      </c>
      <c r="O105" s="32" t="n">
        <f aca="false">IF(I105="","",ROUND(MOD(TIMEVALUE(I105)-TIMEVALUE(F105),1)*1440,0))</f>
        <v>106</v>
      </c>
      <c r="P105" s="0" t="str">
        <f aca="false">IF(COUNTIF($A$2:A105,A105)&gt;1,"DUP","")</f>
        <v/>
      </c>
      <c r="Q105" s="0" t="str">
        <f aca="false">IF(O105="","",IF(O105&gt;240,"Y","N"))</f>
        <v>N</v>
      </c>
    </row>
    <row r="106" customFormat="false" ht="15" hidden="false" customHeight="false" outlineLevel="0" collapsed="false">
      <c r="A106" s="0" t="s">
        <v>4232</v>
      </c>
      <c r="B106" s="0" t="s">
        <v>4196</v>
      </c>
      <c r="C106" s="0" t="s">
        <v>981</v>
      </c>
      <c r="D106" s="31" t="n">
        <v>34276</v>
      </c>
      <c r="E106" s="31" t="n">
        <v>45642</v>
      </c>
      <c r="F106" s="32" t="s">
        <v>4233</v>
      </c>
      <c r="G106" s="0" t="n">
        <v>3</v>
      </c>
      <c r="H106" s="32" t="s">
        <v>4234</v>
      </c>
      <c r="I106" s="32" t="s">
        <v>3909</v>
      </c>
      <c r="J106" s="32" t="s">
        <v>3749</v>
      </c>
      <c r="K106" s="32" t="s">
        <v>2081</v>
      </c>
      <c r="L106" s="0" t="n">
        <v>94</v>
      </c>
      <c r="M106" s="32" t="s">
        <v>3799</v>
      </c>
      <c r="N106" s="32" t="s">
        <v>3751</v>
      </c>
      <c r="O106" s="32" t="n">
        <f aca="false">IF(I106="","",ROUND(MOD(TIMEVALUE(I106)-TIMEVALUE(F106),1)*1440,0))</f>
        <v>94</v>
      </c>
      <c r="P106" s="0" t="str">
        <f aca="false">IF(COUNTIF($A$2:A106,A106)&gt;1,"DUP","")</f>
        <v/>
      </c>
      <c r="Q106" s="0" t="str">
        <f aca="false">IF(O106="","",IF(O106&gt;240,"Y","N"))</f>
        <v>N</v>
      </c>
    </row>
    <row r="107" customFormat="false" ht="15" hidden="false" customHeight="false" outlineLevel="0" collapsed="false">
      <c r="A107" s="0" t="s">
        <v>4235</v>
      </c>
      <c r="C107" s="0" t="s">
        <v>970</v>
      </c>
      <c r="D107" s="31" t="n">
        <v>15715</v>
      </c>
      <c r="E107" s="31" t="n">
        <v>45701</v>
      </c>
      <c r="F107" s="32" t="s">
        <v>4236</v>
      </c>
      <c r="G107" s="0" t="n">
        <v>4</v>
      </c>
      <c r="H107" s="32" t="s">
        <v>4237</v>
      </c>
      <c r="I107" s="32" t="s">
        <v>4238</v>
      </c>
      <c r="J107" s="32" t="s">
        <v>3763</v>
      </c>
      <c r="K107" s="32" t="s">
        <v>2081</v>
      </c>
      <c r="L107" s="0" t="n">
        <v>146</v>
      </c>
      <c r="M107" s="32" t="s">
        <v>4206</v>
      </c>
      <c r="N107" s="32" t="s">
        <v>3751</v>
      </c>
      <c r="O107" s="32" t="n">
        <f aca="false">IF(I107="","",ROUND(MOD(TIMEVALUE(I107)-TIMEVALUE(F107),1)*1440,0))</f>
        <v>146</v>
      </c>
      <c r="P107" s="0" t="str">
        <f aca="false">IF(COUNTIF($A$2:A107,A107)&gt;1,"DUP","")</f>
        <v/>
      </c>
      <c r="Q107" s="0" t="str">
        <f aca="false">IF(O107="","",IF(O107&gt;240,"Y","N"))</f>
        <v>N</v>
      </c>
    </row>
    <row r="108" customFormat="false" ht="15" hidden="false" customHeight="false" outlineLevel="0" collapsed="false">
      <c r="A108" s="0" t="s">
        <v>4239</v>
      </c>
      <c r="B108" s="0" t="s">
        <v>4138</v>
      </c>
      <c r="C108" s="0" t="s">
        <v>930</v>
      </c>
      <c r="D108" s="31" t="n">
        <v>25220</v>
      </c>
      <c r="E108" s="31" t="n">
        <v>45711</v>
      </c>
      <c r="F108" s="32" t="s">
        <v>4240</v>
      </c>
      <c r="G108" s="0" t="n">
        <v>3</v>
      </c>
      <c r="H108" s="32" t="s">
        <v>4241</v>
      </c>
      <c r="I108" s="32" t="s">
        <v>4242</v>
      </c>
      <c r="J108" s="32" t="s">
        <v>2307</v>
      </c>
      <c r="K108" s="32" t="s">
        <v>2081</v>
      </c>
      <c r="L108" s="0" t="n">
        <v>64</v>
      </c>
      <c r="M108" s="32" t="s">
        <v>3887</v>
      </c>
      <c r="N108" s="32" t="s">
        <v>3751</v>
      </c>
      <c r="O108" s="32" t="n">
        <f aca="false">IF(I108="","",ROUND(MOD(TIMEVALUE(I108)-TIMEVALUE(F108),1)*1440,0))</f>
        <v>64</v>
      </c>
      <c r="P108" s="0" t="str">
        <f aca="false">IF(COUNTIF($A$2:A108,A108)&gt;1,"DUP","")</f>
        <v/>
      </c>
      <c r="Q108" s="0" t="str">
        <f aca="false">IF(O108="","",IF(O108&gt;240,"Y","N"))</f>
        <v>N</v>
      </c>
    </row>
    <row r="109" customFormat="false" ht="15" hidden="false" customHeight="false" outlineLevel="0" collapsed="false">
      <c r="A109" s="0" t="s">
        <v>4243</v>
      </c>
      <c r="B109" s="0" t="s">
        <v>4244</v>
      </c>
      <c r="C109" s="0" t="s">
        <v>934</v>
      </c>
      <c r="D109" s="31" t="n">
        <v>16958</v>
      </c>
      <c r="E109" s="31" t="n">
        <v>45583</v>
      </c>
      <c r="F109" s="32" t="s">
        <v>4245</v>
      </c>
      <c r="G109" s="0" t="n">
        <v>3</v>
      </c>
      <c r="H109" s="32" t="s">
        <v>4246</v>
      </c>
      <c r="I109" s="32" t="s">
        <v>4247</v>
      </c>
      <c r="J109" s="32" t="s">
        <v>3749</v>
      </c>
      <c r="K109" s="32" t="s">
        <v>2081</v>
      </c>
      <c r="L109" s="0" t="n">
        <v>187</v>
      </c>
      <c r="M109" s="32" t="s">
        <v>3966</v>
      </c>
      <c r="N109" s="32" t="s">
        <v>3751</v>
      </c>
      <c r="O109" s="32" t="n">
        <f aca="false">IF(I109="","",ROUND(MOD(TIMEVALUE(I109)-TIMEVALUE(F109),1)*1440,0))</f>
        <v>187</v>
      </c>
      <c r="P109" s="0" t="str">
        <f aca="false">IF(COUNTIF($A$2:A109,A109)&gt;1,"DUP","")</f>
        <v/>
      </c>
      <c r="Q109" s="0" t="str">
        <f aca="false">IF(O109="","",IF(O109&gt;240,"Y","N"))</f>
        <v>N</v>
      </c>
    </row>
    <row r="110" customFormat="false" ht="15" hidden="false" customHeight="false" outlineLevel="0" collapsed="false">
      <c r="A110" s="0" t="s">
        <v>4248</v>
      </c>
      <c r="B110" s="0" t="s">
        <v>4249</v>
      </c>
      <c r="C110" s="0" t="s">
        <v>1021</v>
      </c>
      <c r="D110" s="31" t="n">
        <v>23580</v>
      </c>
      <c r="E110" s="31" t="n">
        <v>45698</v>
      </c>
      <c r="F110" s="32" t="s">
        <v>4250</v>
      </c>
      <c r="G110" s="0" t="n">
        <v>2</v>
      </c>
      <c r="H110" s="32" t="s">
        <v>3837</v>
      </c>
      <c r="I110" s="32" t="s">
        <v>4251</v>
      </c>
      <c r="J110" s="32" t="s">
        <v>3763</v>
      </c>
      <c r="K110" s="32" t="s">
        <v>2081</v>
      </c>
      <c r="L110" s="0" t="n">
        <v>73</v>
      </c>
      <c r="M110" s="32" t="s">
        <v>3871</v>
      </c>
      <c r="N110" s="32" t="s">
        <v>3751</v>
      </c>
      <c r="O110" s="32" t="n">
        <f aca="false">IF(I110="","",ROUND(MOD(TIMEVALUE(I110)-TIMEVALUE(F110),1)*1440,0))</f>
        <v>73</v>
      </c>
      <c r="P110" s="0" t="str">
        <f aca="false">IF(COUNTIF($A$2:A110,A110)&gt;1,"DUP","")</f>
        <v/>
      </c>
      <c r="Q110" s="0" t="str">
        <f aca="false">IF(O110="","",IF(O110&gt;240,"Y","N"))</f>
        <v>N</v>
      </c>
    </row>
    <row r="111" customFormat="false" ht="15" hidden="false" customHeight="false" outlineLevel="0" collapsed="false">
      <c r="A111" s="0" t="s">
        <v>4252</v>
      </c>
      <c r="B111" s="0" t="s">
        <v>4111</v>
      </c>
      <c r="C111" s="0" t="s">
        <v>841</v>
      </c>
      <c r="D111" s="31" t="n">
        <v>33656</v>
      </c>
      <c r="E111" s="31" t="n">
        <v>45594</v>
      </c>
      <c r="F111" s="32" t="s">
        <v>4014</v>
      </c>
      <c r="G111" s="0" t="n">
        <v>4</v>
      </c>
      <c r="H111" s="32" t="s">
        <v>4253</v>
      </c>
      <c r="I111" s="32" t="s">
        <v>4254</v>
      </c>
      <c r="J111" s="32" t="s">
        <v>3763</v>
      </c>
      <c r="K111" s="32" t="s">
        <v>2081</v>
      </c>
      <c r="L111" s="0" t="n">
        <v>221</v>
      </c>
      <c r="M111" s="32" t="s">
        <v>4255</v>
      </c>
      <c r="N111" s="32" t="s">
        <v>3751</v>
      </c>
      <c r="O111" s="32" t="n">
        <f aca="false">IF(I111="","",ROUND(MOD(TIMEVALUE(I111)-TIMEVALUE(F111),1)*1440,0))</f>
        <v>221</v>
      </c>
      <c r="P111" s="0" t="str">
        <f aca="false">IF(COUNTIF($A$2:A111,A111)&gt;1,"DUP","")</f>
        <v/>
      </c>
      <c r="Q111" s="0" t="str">
        <f aca="false">IF(O111="","",IF(O111&gt;240,"Y","N"))</f>
        <v>N</v>
      </c>
    </row>
    <row r="112" customFormat="false" ht="15" hidden="false" customHeight="false" outlineLevel="0" collapsed="false">
      <c r="A112" s="0" t="s">
        <v>4256</v>
      </c>
      <c r="B112" s="0" t="s">
        <v>3745</v>
      </c>
      <c r="C112" s="0" t="s">
        <v>906</v>
      </c>
      <c r="D112" s="31" t="n">
        <v>18249</v>
      </c>
      <c r="E112" s="31" t="n">
        <v>45717</v>
      </c>
      <c r="F112" s="32" t="s">
        <v>4257</v>
      </c>
      <c r="G112" s="0" t="n">
        <v>4</v>
      </c>
      <c r="H112" s="32" t="s">
        <v>4258</v>
      </c>
      <c r="I112" s="32" t="s">
        <v>4259</v>
      </c>
      <c r="J112" s="32" t="s">
        <v>2307</v>
      </c>
      <c r="K112" s="32" t="s">
        <v>2106</v>
      </c>
      <c r="L112" s="0" t="n">
        <v>333</v>
      </c>
      <c r="M112" s="32" t="s">
        <v>3821</v>
      </c>
      <c r="N112" s="32" t="s">
        <v>3751</v>
      </c>
      <c r="O112" s="32" t="n">
        <f aca="false">IF(I112="","",ROUND(MOD(TIMEVALUE(I112)-TIMEVALUE(F112),1)*1440,0))</f>
        <v>333</v>
      </c>
      <c r="P112" s="0" t="str">
        <f aca="false">IF(COUNTIF($A$2:A112,A112)&gt;1,"DUP","")</f>
        <v/>
      </c>
      <c r="Q112" s="0" t="str">
        <f aca="false">IF(O112="","",IF(O112&gt;240,"Y","N"))</f>
        <v>Y</v>
      </c>
    </row>
    <row r="113" customFormat="false" ht="15" hidden="false" customHeight="false" outlineLevel="0" collapsed="false">
      <c r="A113" s="0" t="s">
        <v>4260</v>
      </c>
      <c r="B113" s="0" t="s">
        <v>3753</v>
      </c>
      <c r="C113" s="0" t="s">
        <v>825</v>
      </c>
      <c r="D113" s="31" t="n">
        <v>37906</v>
      </c>
      <c r="E113" s="31" t="n">
        <v>45646</v>
      </c>
      <c r="F113" s="32" t="s">
        <v>4006</v>
      </c>
      <c r="G113" s="0" t="n">
        <v>4</v>
      </c>
      <c r="H113" s="32" t="s">
        <v>4261</v>
      </c>
      <c r="I113" s="32" t="s">
        <v>4262</v>
      </c>
      <c r="J113" s="32" t="s">
        <v>3793</v>
      </c>
      <c r="K113" s="32" t="s">
        <v>2081</v>
      </c>
      <c r="L113" s="0" t="n">
        <v>93</v>
      </c>
      <c r="M113" s="32" t="s">
        <v>3764</v>
      </c>
      <c r="N113" s="32" t="s">
        <v>776</v>
      </c>
      <c r="O113" s="32" t="n">
        <f aca="false">IF(I113="","",ROUND(MOD(TIMEVALUE(I113)-TIMEVALUE(F113),1)*1440,0))</f>
        <v>93</v>
      </c>
      <c r="P113" s="0" t="str">
        <f aca="false">IF(COUNTIF($A$2:A113,A113)&gt;1,"DUP","")</f>
        <v/>
      </c>
      <c r="Q113" s="0" t="str">
        <f aca="false">IF(O113="","",IF(O113&gt;240,"Y","N"))</f>
        <v>N</v>
      </c>
    </row>
    <row r="114" customFormat="false" ht="15" hidden="false" customHeight="false" outlineLevel="0" collapsed="false">
      <c r="A114" s="0" t="s">
        <v>4263</v>
      </c>
      <c r="C114" s="0" t="s">
        <v>902</v>
      </c>
      <c r="D114" s="31" t="n">
        <v>16715</v>
      </c>
      <c r="E114" s="31" t="n">
        <v>45652</v>
      </c>
      <c r="F114" s="32" t="s">
        <v>4264</v>
      </c>
      <c r="G114" s="0" t="n">
        <v>3</v>
      </c>
      <c r="H114" s="32" t="s">
        <v>4265</v>
      </c>
      <c r="I114" s="32" t="s">
        <v>4266</v>
      </c>
      <c r="J114" s="32" t="s">
        <v>3749</v>
      </c>
      <c r="K114" s="32" t="s">
        <v>2106</v>
      </c>
      <c r="L114" s="0" t="n">
        <v>275</v>
      </c>
      <c r="M114" s="32" t="s">
        <v>4267</v>
      </c>
      <c r="N114" s="32" t="s">
        <v>3751</v>
      </c>
      <c r="O114" s="32" t="n">
        <f aca="false">IF(I114="","",ROUND(MOD(TIMEVALUE(I114)-TIMEVALUE(F114),1)*1440,0))</f>
        <v>275</v>
      </c>
      <c r="P114" s="0" t="str">
        <f aca="false">IF(COUNTIF($A$2:A114,A114)&gt;1,"DUP","")</f>
        <v/>
      </c>
      <c r="Q114" s="0" t="str">
        <f aca="false">IF(O114="","",IF(O114&gt;240,"Y","N"))</f>
        <v>Y</v>
      </c>
    </row>
    <row r="115" customFormat="false" ht="15" hidden="false" customHeight="false" outlineLevel="0" collapsed="false">
      <c r="A115" s="0" t="s">
        <v>4268</v>
      </c>
      <c r="B115" s="0" t="s">
        <v>4269</v>
      </c>
      <c r="C115" s="0" t="s">
        <v>1390</v>
      </c>
      <c r="D115" s="31" t="n">
        <v>33433</v>
      </c>
      <c r="E115" s="31" t="n">
        <v>45637</v>
      </c>
      <c r="F115" s="32" t="s">
        <v>4270</v>
      </c>
      <c r="G115" s="0" t="n">
        <v>4</v>
      </c>
      <c r="H115" s="32" t="s">
        <v>4271</v>
      </c>
      <c r="I115" s="32" t="s">
        <v>3891</v>
      </c>
      <c r="J115" s="32" t="s">
        <v>3749</v>
      </c>
      <c r="K115" s="32" t="s">
        <v>2081</v>
      </c>
      <c r="L115" s="0" t="n">
        <v>169</v>
      </c>
      <c r="M115" s="32" t="s">
        <v>4122</v>
      </c>
      <c r="N115" s="32" t="s">
        <v>3751</v>
      </c>
      <c r="O115" s="32" t="n">
        <f aca="false">IF(I115="","",ROUND(MOD(TIMEVALUE(I115)-TIMEVALUE(F115),1)*1440,0))</f>
        <v>169</v>
      </c>
      <c r="P115" s="0" t="str">
        <f aca="false">IF(COUNTIF($A$2:A115,A115)&gt;1,"DUP","")</f>
        <v/>
      </c>
      <c r="Q115" s="0" t="str">
        <f aca="false">IF(O115="","",IF(O115&gt;240,"Y","N"))</f>
        <v>N</v>
      </c>
    </row>
    <row r="116" customFormat="false" ht="15" hidden="false" customHeight="false" outlineLevel="0" collapsed="false">
      <c r="A116" s="0" t="s">
        <v>4272</v>
      </c>
      <c r="B116" s="0" t="s">
        <v>4273</v>
      </c>
      <c r="C116" s="0" t="s">
        <v>1017</v>
      </c>
      <c r="D116" s="31" t="n">
        <v>31375</v>
      </c>
      <c r="E116" s="31" t="n">
        <v>45712</v>
      </c>
      <c r="F116" s="32" t="s">
        <v>4274</v>
      </c>
      <c r="G116" s="0" t="n">
        <v>5</v>
      </c>
      <c r="H116" s="32" t="s">
        <v>4275</v>
      </c>
      <c r="I116" s="32" t="s">
        <v>4081</v>
      </c>
      <c r="J116" s="32" t="s">
        <v>3749</v>
      </c>
      <c r="K116" s="32" t="s">
        <v>2081</v>
      </c>
      <c r="L116" s="0" t="n">
        <v>189</v>
      </c>
      <c r="M116" s="32" t="s">
        <v>3855</v>
      </c>
      <c r="N116" s="32" t="s">
        <v>3751</v>
      </c>
      <c r="O116" s="32" t="n">
        <f aca="false">IF(I116="","",ROUND(MOD(TIMEVALUE(I116)-TIMEVALUE(F116),1)*1440,0))</f>
        <v>189</v>
      </c>
      <c r="P116" s="0" t="str">
        <f aca="false">IF(COUNTIF($A$2:A116,A116)&gt;1,"DUP","")</f>
        <v/>
      </c>
      <c r="Q116" s="0" t="str">
        <f aca="false">IF(O116="","",IF(O116&gt;240,"Y","N"))</f>
        <v>N</v>
      </c>
    </row>
    <row r="117" customFormat="false" ht="15" hidden="false" customHeight="false" outlineLevel="0" collapsed="false">
      <c r="A117" s="0" t="s">
        <v>4276</v>
      </c>
      <c r="B117" s="0" t="s">
        <v>4277</v>
      </c>
      <c r="C117" s="0" t="s">
        <v>825</v>
      </c>
      <c r="D117" s="31" t="n">
        <v>38803</v>
      </c>
      <c r="E117" s="31" t="n">
        <v>45578</v>
      </c>
      <c r="F117" s="32" t="s">
        <v>4278</v>
      </c>
      <c r="G117" s="0" t="n">
        <v>4</v>
      </c>
      <c r="H117" s="32" t="s">
        <v>4279</v>
      </c>
      <c r="I117" s="32" t="s">
        <v>4280</v>
      </c>
      <c r="J117" s="32" t="s">
        <v>3749</v>
      </c>
      <c r="K117" s="32" t="s">
        <v>2081</v>
      </c>
      <c r="L117" s="0" t="n">
        <v>140</v>
      </c>
      <c r="M117" s="32" t="s">
        <v>4255</v>
      </c>
      <c r="N117" s="32" t="s">
        <v>3751</v>
      </c>
      <c r="O117" s="32" t="n">
        <f aca="false">IF(I117="","",ROUND(MOD(TIMEVALUE(I117)-TIMEVALUE(F117),1)*1440,0))</f>
        <v>140</v>
      </c>
      <c r="P117" s="0" t="str">
        <f aca="false">IF(COUNTIF($A$2:A117,A117)&gt;1,"DUP","")</f>
        <v/>
      </c>
      <c r="Q117" s="0" t="str">
        <f aca="false">IF(O117="","",IF(O117&gt;240,"Y","N"))</f>
        <v>N</v>
      </c>
    </row>
    <row r="118" customFormat="false" ht="15" hidden="false" customHeight="false" outlineLevel="0" collapsed="false">
      <c r="A118" s="0" t="s">
        <v>4281</v>
      </c>
      <c r="B118" s="0" t="s">
        <v>3868</v>
      </c>
      <c r="C118" s="0" t="s">
        <v>1410</v>
      </c>
      <c r="D118" s="31" t="n">
        <v>38993</v>
      </c>
      <c r="E118" s="31" t="n">
        <v>45664</v>
      </c>
      <c r="F118" s="32" t="s">
        <v>4282</v>
      </c>
      <c r="G118" s="0" t="n">
        <v>4</v>
      </c>
      <c r="H118" s="32" t="s">
        <v>4283</v>
      </c>
      <c r="I118" s="32" t="s">
        <v>4284</v>
      </c>
      <c r="J118" s="32" t="s">
        <v>7</v>
      </c>
      <c r="K118" s="32" t="s">
        <v>2081</v>
      </c>
      <c r="L118" s="0" t="n">
        <v>55</v>
      </c>
      <c r="M118" s="32" t="s">
        <v>4285</v>
      </c>
      <c r="N118" s="32" t="s">
        <v>3751</v>
      </c>
      <c r="O118" s="32" t="n">
        <f aca="false">IF(I118="","",ROUND(MOD(TIMEVALUE(I118)-TIMEVALUE(F118),1)*1440,0))</f>
        <v>55</v>
      </c>
      <c r="P118" s="0" t="str">
        <f aca="false">IF(COUNTIF($A$2:A118,A118)&gt;1,"DUP","")</f>
        <v/>
      </c>
      <c r="Q118" s="0" t="str">
        <f aca="false">IF(O118="","",IF(O118&gt;240,"Y","N"))</f>
        <v>N</v>
      </c>
    </row>
    <row r="119" customFormat="false" ht="15" hidden="false" customHeight="false" outlineLevel="0" collapsed="false">
      <c r="A119" s="0" t="s">
        <v>4286</v>
      </c>
      <c r="B119" s="0" t="s">
        <v>4287</v>
      </c>
      <c r="C119" s="0" t="s">
        <v>1426</v>
      </c>
      <c r="D119" s="31" t="n">
        <v>26097</v>
      </c>
      <c r="E119" s="31" t="n">
        <v>45699</v>
      </c>
      <c r="F119" s="32" t="s">
        <v>4288</v>
      </c>
      <c r="G119" s="0" t="n">
        <v>4</v>
      </c>
      <c r="H119" s="32" t="s">
        <v>4289</v>
      </c>
      <c r="I119" s="32" t="s">
        <v>4254</v>
      </c>
      <c r="J119" s="32" t="s">
        <v>3749</v>
      </c>
      <c r="K119" s="32" t="s">
        <v>2081</v>
      </c>
      <c r="L119" s="0" t="n">
        <v>153</v>
      </c>
      <c r="M119" s="32" t="s">
        <v>3757</v>
      </c>
      <c r="N119" s="32" t="s">
        <v>3751</v>
      </c>
      <c r="O119" s="32" t="n">
        <f aca="false">IF(I119="","",ROUND(MOD(TIMEVALUE(I119)-TIMEVALUE(F119),1)*1440,0))</f>
        <v>153</v>
      </c>
      <c r="P119" s="0" t="str">
        <f aca="false">IF(COUNTIF($A$2:A119,A119)&gt;1,"DUP","")</f>
        <v/>
      </c>
      <c r="Q119" s="0" t="str">
        <f aca="false">IF(O119="","",IF(O119&gt;240,"Y","N"))</f>
        <v>N</v>
      </c>
    </row>
    <row r="120" customFormat="false" ht="15" hidden="false" customHeight="false" outlineLevel="0" collapsed="false">
      <c r="A120" s="0" t="s">
        <v>4290</v>
      </c>
      <c r="B120" s="0" t="s">
        <v>4291</v>
      </c>
      <c r="C120" s="0" t="s">
        <v>922</v>
      </c>
      <c r="D120" s="31" t="n">
        <v>33342</v>
      </c>
      <c r="E120" s="31" t="n">
        <v>45568</v>
      </c>
      <c r="F120" s="32" t="s">
        <v>4292</v>
      </c>
      <c r="G120" s="0" t="n">
        <v>3</v>
      </c>
      <c r="H120" s="32" t="s">
        <v>4293</v>
      </c>
      <c r="I120" s="32" t="s">
        <v>4294</v>
      </c>
      <c r="J120" s="32" t="s">
        <v>3749</v>
      </c>
      <c r="K120" s="32" t="s">
        <v>2106</v>
      </c>
      <c r="L120" s="0" t="n">
        <v>588</v>
      </c>
      <c r="M120" s="32" t="s">
        <v>4295</v>
      </c>
      <c r="N120" s="32" t="s">
        <v>3751</v>
      </c>
      <c r="O120" s="32" t="n">
        <f aca="false">IF(I120="","",ROUND(MOD(TIMEVALUE(I120)-TIMEVALUE(F120),1)*1440,0))</f>
        <v>588</v>
      </c>
      <c r="P120" s="0" t="str">
        <f aca="false">IF(COUNTIF($A$2:A120,A120)&gt;1,"DUP","")</f>
        <v/>
      </c>
      <c r="Q120" s="0" t="str">
        <f aca="false">IF(O120="","",IF(O120&gt;240,"Y","N"))</f>
        <v>Y</v>
      </c>
    </row>
    <row r="121" customFormat="false" ht="15" hidden="false" customHeight="false" outlineLevel="0" collapsed="false">
      <c r="A121" s="0" t="s">
        <v>4296</v>
      </c>
      <c r="B121" s="0" t="s">
        <v>4297</v>
      </c>
      <c r="C121" s="0" t="s">
        <v>954</v>
      </c>
      <c r="D121" s="31" t="n">
        <v>25729</v>
      </c>
      <c r="E121" s="31" t="n">
        <v>45673</v>
      </c>
      <c r="F121" s="32" t="s">
        <v>3970</v>
      </c>
      <c r="G121" s="0" t="n">
        <v>3</v>
      </c>
      <c r="H121" s="32" t="s">
        <v>4298</v>
      </c>
      <c r="I121" s="32" t="s">
        <v>4299</v>
      </c>
      <c r="J121" s="32" t="s">
        <v>3749</v>
      </c>
      <c r="K121" s="32" t="s">
        <v>2081</v>
      </c>
      <c r="L121" s="0" t="n">
        <v>191</v>
      </c>
      <c r="M121" s="32" t="s">
        <v>3849</v>
      </c>
      <c r="N121" s="32" t="s">
        <v>3751</v>
      </c>
      <c r="O121" s="32" t="n">
        <f aca="false">IF(I121="","",ROUND(MOD(TIMEVALUE(I121)-TIMEVALUE(F121),1)*1440,0))</f>
        <v>191</v>
      </c>
      <c r="P121" s="0" t="str">
        <f aca="false">IF(COUNTIF($A$2:A121,A121)&gt;1,"DUP","")</f>
        <v/>
      </c>
      <c r="Q121" s="0" t="str">
        <f aca="false">IF(O121="","",IF(O121&gt;240,"Y","N"))</f>
        <v>N</v>
      </c>
    </row>
    <row r="122" customFormat="false" ht="15" hidden="false" customHeight="false" outlineLevel="0" collapsed="false">
      <c r="A122" s="0" t="s">
        <v>4300</v>
      </c>
      <c r="B122" s="0" t="s">
        <v>4301</v>
      </c>
      <c r="C122" s="0" t="s">
        <v>1005</v>
      </c>
      <c r="D122" s="31" t="n">
        <v>24637</v>
      </c>
      <c r="E122" s="31" t="n">
        <v>45724</v>
      </c>
      <c r="F122" s="32" t="s">
        <v>4302</v>
      </c>
      <c r="G122" s="0" t="n">
        <v>3</v>
      </c>
      <c r="H122" s="32" t="s">
        <v>761</v>
      </c>
      <c r="I122" s="32" t="s">
        <v>4303</v>
      </c>
      <c r="J122" s="32" t="s">
        <v>3749</v>
      </c>
      <c r="K122" s="32" t="s">
        <v>2106</v>
      </c>
      <c r="L122" s="0" t="n">
        <v>326</v>
      </c>
      <c r="M122" s="32" t="s">
        <v>3855</v>
      </c>
      <c r="N122" s="32" t="s">
        <v>3751</v>
      </c>
      <c r="O122" s="32" t="n">
        <f aca="false">IF(I122="","",ROUND(MOD(TIMEVALUE(I122)-TIMEVALUE(F122),1)*1440,0))</f>
        <v>326</v>
      </c>
      <c r="P122" s="0" t="str">
        <f aca="false">IF(COUNTIF($A$2:A122,A122)&gt;1,"DUP","")</f>
        <v/>
      </c>
      <c r="Q122" s="0" t="str">
        <f aca="false">IF(O122="","",IF(O122&gt;240,"Y","N"))</f>
        <v>Y</v>
      </c>
    </row>
    <row r="123" customFormat="false" ht="15" hidden="false" customHeight="false" outlineLevel="0" collapsed="false">
      <c r="A123" s="0" t="s">
        <v>4304</v>
      </c>
      <c r="B123" s="0" t="s">
        <v>4305</v>
      </c>
      <c r="C123" s="0" t="s">
        <v>1426</v>
      </c>
      <c r="D123" s="31" t="n">
        <v>39414</v>
      </c>
      <c r="E123" s="31" t="n">
        <v>45593</v>
      </c>
      <c r="F123" s="32" t="s">
        <v>4306</v>
      </c>
      <c r="G123" s="0" t="n">
        <v>3</v>
      </c>
      <c r="H123" s="32" t="s">
        <v>4307</v>
      </c>
      <c r="I123" s="32" t="s">
        <v>4308</v>
      </c>
      <c r="J123" s="32" t="s">
        <v>3749</v>
      </c>
      <c r="K123" s="32" t="s">
        <v>2081</v>
      </c>
      <c r="L123" s="0" t="n">
        <v>207</v>
      </c>
      <c r="M123" s="32" t="s">
        <v>3887</v>
      </c>
      <c r="N123" s="32" t="s">
        <v>3751</v>
      </c>
      <c r="O123" s="32" t="n">
        <f aca="false">IF(I123="","",ROUND(MOD(TIMEVALUE(I123)-TIMEVALUE(F123),1)*1440,0))</f>
        <v>207</v>
      </c>
      <c r="P123" s="0" t="str">
        <f aca="false">IF(COUNTIF($A$2:A123,A123)&gt;1,"DUP","")</f>
        <v/>
      </c>
      <c r="Q123" s="0" t="str">
        <f aca="false">IF(O123="","",IF(O123&gt;240,"Y","N"))</f>
        <v>N</v>
      </c>
    </row>
    <row r="124" customFormat="false" ht="15" hidden="false" customHeight="false" outlineLevel="0" collapsed="false">
      <c r="A124" s="0" t="s">
        <v>4252</v>
      </c>
      <c r="B124" s="0" t="s">
        <v>4111</v>
      </c>
      <c r="C124" s="0" t="s">
        <v>841</v>
      </c>
      <c r="D124" s="31" t="n">
        <v>33656</v>
      </c>
      <c r="E124" s="31" t="n">
        <v>45594</v>
      </c>
      <c r="F124" s="32" t="s">
        <v>4014</v>
      </c>
      <c r="G124" s="0" t="n">
        <v>4</v>
      </c>
      <c r="H124" s="32" t="s">
        <v>4253</v>
      </c>
      <c r="I124" s="32" t="s">
        <v>4254</v>
      </c>
      <c r="J124" s="32" t="s">
        <v>3763</v>
      </c>
      <c r="K124" s="32" t="s">
        <v>2081</v>
      </c>
      <c r="L124" s="0" t="n">
        <v>221</v>
      </c>
      <c r="M124" s="32" t="s">
        <v>4285</v>
      </c>
      <c r="N124" s="32" t="s">
        <v>3751</v>
      </c>
      <c r="O124" s="32" t="n">
        <f aca="false">IF(I124="","",ROUND(MOD(TIMEVALUE(I124)-TIMEVALUE(F124),1)*1440,0))</f>
        <v>221</v>
      </c>
      <c r="P124" s="0" t="str">
        <f aca="false">IF(COUNTIF($A$2:A124,A124)&gt;1,"DUP","")</f>
        <v>DUP</v>
      </c>
      <c r="Q124" s="0" t="str">
        <f aca="false">IF(O124="","",IF(O124&gt;240,"Y","N"))</f>
        <v>N</v>
      </c>
    </row>
    <row r="125" customFormat="false" ht="15" hidden="false" customHeight="false" outlineLevel="0" collapsed="false">
      <c r="A125" s="0" t="s">
        <v>4309</v>
      </c>
      <c r="B125" s="0" t="s">
        <v>4310</v>
      </c>
      <c r="C125" s="0" t="s">
        <v>942</v>
      </c>
      <c r="D125" s="31" t="n">
        <v>15615</v>
      </c>
      <c r="E125" s="31" t="n">
        <v>45730</v>
      </c>
      <c r="F125" s="32" t="s">
        <v>4311</v>
      </c>
      <c r="G125" s="0" t="n">
        <v>4</v>
      </c>
      <c r="H125" s="32" t="s">
        <v>4028</v>
      </c>
      <c r="I125" s="32" t="s">
        <v>4312</v>
      </c>
      <c r="J125" s="32" t="s">
        <v>2307</v>
      </c>
      <c r="K125" s="32" t="s">
        <v>2106</v>
      </c>
      <c r="L125" s="0" t="n">
        <v>347</v>
      </c>
      <c r="M125" s="32" t="s">
        <v>4313</v>
      </c>
      <c r="N125" s="32" t="s">
        <v>3751</v>
      </c>
      <c r="O125" s="32" t="n">
        <f aca="false">IF(I125="","",ROUND(MOD(TIMEVALUE(I125)-TIMEVALUE(F125),1)*1440,0))</f>
        <v>347</v>
      </c>
      <c r="P125" s="0" t="str">
        <f aca="false">IF(COUNTIF($A$2:A125,A125)&gt;1,"DUP","")</f>
        <v/>
      </c>
      <c r="Q125" s="0" t="str">
        <f aca="false">IF(O125="","",IF(O125&gt;240,"Y","N"))</f>
        <v>Y</v>
      </c>
    </row>
    <row r="126" customFormat="false" ht="15" hidden="false" customHeight="false" outlineLevel="0" collapsed="false">
      <c r="A126" s="0" t="s">
        <v>4314</v>
      </c>
      <c r="B126" s="0" t="s">
        <v>4315</v>
      </c>
      <c r="C126" s="0" t="s">
        <v>926</v>
      </c>
      <c r="D126" s="31" t="n">
        <v>15869</v>
      </c>
      <c r="E126" s="31" t="n">
        <v>45689</v>
      </c>
      <c r="F126" s="32" t="s">
        <v>3955</v>
      </c>
      <c r="G126" s="0" t="n">
        <v>3</v>
      </c>
      <c r="H126" s="32" t="s">
        <v>4280</v>
      </c>
      <c r="I126" s="32" t="s">
        <v>4316</v>
      </c>
      <c r="J126" s="32" t="s">
        <v>3749</v>
      </c>
      <c r="K126" s="32" t="s">
        <v>2081</v>
      </c>
      <c r="L126" s="0" t="n">
        <v>49</v>
      </c>
      <c r="M126" s="32" t="s">
        <v>4060</v>
      </c>
      <c r="N126" s="32" t="s">
        <v>3751</v>
      </c>
      <c r="O126" s="32" t="n">
        <f aca="false">IF(I126="","",ROUND(MOD(TIMEVALUE(I126)-TIMEVALUE(F126),1)*1440,0))</f>
        <v>49</v>
      </c>
      <c r="P126" s="0" t="str">
        <f aca="false">IF(COUNTIF($A$2:A126,A126)&gt;1,"DUP","")</f>
        <v/>
      </c>
      <c r="Q126" s="0" t="str">
        <f aca="false">IF(O126="","",IF(O126&gt;240,"Y","N"))</f>
        <v>N</v>
      </c>
    </row>
    <row r="127" customFormat="false" ht="15" hidden="false" customHeight="false" outlineLevel="0" collapsed="false">
      <c r="A127" s="0" t="s">
        <v>4317</v>
      </c>
      <c r="C127" s="0" t="s">
        <v>857</v>
      </c>
      <c r="D127" s="31" t="n">
        <v>31275</v>
      </c>
      <c r="E127" s="31" t="n">
        <v>45618</v>
      </c>
      <c r="F127" s="32" t="s">
        <v>4318</v>
      </c>
      <c r="G127" s="0" t="n">
        <v>4</v>
      </c>
      <c r="H127" s="32" t="s">
        <v>4319</v>
      </c>
      <c r="I127" s="32" t="s">
        <v>4320</v>
      </c>
      <c r="J127" s="32" t="s">
        <v>3749</v>
      </c>
      <c r="K127" s="32" t="s">
        <v>2081</v>
      </c>
      <c r="L127" s="0" t="n">
        <v>48</v>
      </c>
      <c r="M127" s="32" t="s">
        <v>4206</v>
      </c>
      <c r="N127" s="32" t="s">
        <v>3751</v>
      </c>
      <c r="O127" s="32" t="n">
        <f aca="false">IF(I127="","",ROUND(MOD(TIMEVALUE(I127)-TIMEVALUE(F127),1)*1440,0))</f>
        <v>48</v>
      </c>
      <c r="P127" s="0" t="str">
        <f aca="false">IF(COUNTIF($A$2:A127,A127)&gt;1,"DUP","")</f>
        <v/>
      </c>
      <c r="Q127" s="0" t="str">
        <f aca="false">IF(O127="","",IF(O127&gt;240,"Y","N"))</f>
        <v>N</v>
      </c>
    </row>
    <row r="128" customFormat="false" ht="15" hidden="false" customHeight="false" outlineLevel="0" collapsed="false">
      <c r="A128" s="0" t="s">
        <v>4321</v>
      </c>
      <c r="B128" s="0" t="s">
        <v>4322</v>
      </c>
      <c r="C128" s="0" t="s">
        <v>825</v>
      </c>
      <c r="D128" s="31" t="n">
        <v>31133</v>
      </c>
      <c r="E128" s="31" t="n">
        <v>45669</v>
      </c>
      <c r="F128" s="32" t="s">
        <v>4323</v>
      </c>
      <c r="G128" s="0" t="n">
        <v>4</v>
      </c>
      <c r="H128" s="32" t="s">
        <v>4324</v>
      </c>
      <c r="I128" s="32" t="s">
        <v>4325</v>
      </c>
      <c r="J128" s="32" t="s">
        <v>3749</v>
      </c>
      <c r="K128" s="32" t="s">
        <v>2081</v>
      </c>
      <c r="L128" s="0" t="n">
        <v>70</v>
      </c>
      <c r="M128" s="32" t="s">
        <v>3887</v>
      </c>
      <c r="N128" s="32" t="s">
        <v>3751</v>
      </c>
      <c r="O128" s="32" t="n">
        <f aca="false">IF(I128="","",ROUND(MOD(TIMEVALUE(I128)-TIMEVALUE(F128),1)*1440,0))</f>
        <v>70</v>
      </c>
      <c r="P128" s="0" t="str">
        <f aca="false">IF(COUNTIF($A$2:A128,A128)&gt;1,"DUP","")</f>
        <v/>
      </c>
      <c r="Q128" s="0" t="str">
        <f aca="false">IF(O128="","",IF(O128&gt;240,"Y","N"))</f>
        <v>N</v>
      </c>
    </row>
    <row r="129" customFormat="false" ht="15" hidden="false" customHeight="false" outlineLevel="0" collapsed="false">
      <c r="A129" s="0" t="s">
        <v>4326</v>
      </c>
      <c r="B129" s="0" t="s">
        <v>4327</v>
      </c>
      <c r="C129" s="0" t="s">
        <v>757</v>
      </c>
      <c r="D129" s="31" t="n">
        <v>15971</v>
      </c>
      <c r="E129" s="31" t="n">
        <v>45571</v>
      </c>
      <c r="F129" s="32" t="s">
        <v>4328</v>
      </c>
      <c r="G129" s="0" t="n">
        <v>5</v>
      </c>
      <c r="H129" s="32" t="s">
        <v>4329</v>
      </c>
      <c r="I129" s="32" t="s">
        <v>4330</v>
      </c>
      <c r="J129" s="32" t="s">
        <v>3749</v>
      </c>
      <c r="K129" s="32" t="s">
        <v>2081</v>
      </c>
      <c r="L129" s="0" t="n">
        <v>84</v>
      </c>
      <c r="M129" s="32" t="s">
        <v>4219</v>
      </c>
      <c r="N129" s="32" t="s">
        <v>3751</v>
      </c>
      <c r="O129" s="32" t="n">
        <f aca="false">IF(I129="","",ROUND(MOD(TIMEVALUE(I129)-TIMEVALUE(F129),1)*1440,0))</f>
        <v>84</v>
      </c>
      <c r="P129" s="0" t="str">
        <f aca="false">IF(COUNTIF($A$2:A129,A129)&gt;1,"DUP","")</f>
        <v/>
      </c>
      <c r="Q129" s="0" t="str">
        <f aca="false">IF(O129="","",IF(O129&gt;240,"Y","N"))</f>
        <v>N</v>
      </c>
    </row>
    <row r="130" customFormat="false" ht="15" hidden="false" customHeight="false" outlineLevel="0" collapsed="false">
      <c r="A130" s="0" t="s">
        <v>4331</v>
      </c>
      <c r="B130" s="0" t="s">
        <v>3811</v>
      </c>
      <c r="C130" s="0" t="s">
        <v>1398</v>
      </c>
      <c r="D130" s="31" t="n">
        <v>32433</v>
      </c>
      <c r="E130" s="31" t="n">
        <v>45590</v>
      </c>
      <c r="F130" s="32" t="s">
        <v>4332</v>
      </c>
      <c r="G130" s="0" t="n">
        <v>5</v>
      </c>
      <c r="H130" s="32" t="s">
        <v>4333</v>
      </c>
      <c r="I130" s="32" t="s">
        <v>4334</v>
      </c>
      <c r="J130" s="32" t="s">
        <v>3749</v>
      </c>
      <c r="K130" s="32" t="s">
        <v>2081</v>
      </c>
      <c r="L130" s="0" t="n">
        <v>154</v>
      </c>
      <c r="M130" s="32" t="s">
        <v>4106</v>
      </c>
      <c r="N130" s="32" t="s">
        <v>3751</v>
      </c>
      <c r="O130" s="32" t="n">
        <f aca="false">IF(I130="","",ROUND(MOD(TIMEVALUE(I130)-TIMEVALUE(F130),1)*1440,0))</f>
        <v>154</v>
      </c>
      <c r="P130" s="0" t="str">
        <f aca="false">IF(COUNTIF($A$2:A130,A130)&gt;1,"DUP","")</f>
        <v/>
      </c>
      <c r="Q130" s="0" t="str">
        <f aca="false">IF(O130="","",IF(O130&gt;240,"Y","N"))</f>
        <v>N</v>
      </c>
    </row>
    <row r="131" customFormat="false" ht="15" hidden="false" customHeight="false" outlineLevel="0" collapsed="false">
      <c r="A131" s="0" t="s">
        <v>4335</v>
      </c>
      <c r="B131" s="0" t="s">
        <v>4336</v>
      </c>
      <c r="C131" s="0" t="s">
        <v>746</v>
      </c>
      <c r="D131" s="31" t="n">
        <v>35716</v>
      </c>
      <c r="E131" s="31" t="n">
        <v>45716</v>
      </c>
      <c r="F131" s="32" t="s">
        <v>4337</v>
      </c>
      <c r="G131" s="0" t="n">
        <v>4</v>
      </c>
      <c r="H131" s="32" t="s">
        <v>4338</v>
      </c>
      <c r="I131" s="32" t="s">
        <v>4339</v>
      </c>
      <c r="J131" s="32" t="s">
        <v>3793</v>
      </c>
      <c r="K131" s="32" t="s">
        <v>2081</v>
      </c>
      <c r="L131" s="0" t="n">
        <v>141</v>
      </c>
      <c r="M131" s="32" t="s">
        <v>4031</v>
      </c>
      <c r="N131" s="32" t="s">
        <v>785</v>
      </c>
      <c r="O131" s="32" t="n">
        <f aca="false">IF(I131="","",ROUND(MOD(TIMEVALUE(I131)-TIMEVALUE(F131),1)*1440,0))</f>
        <v>141</v>
      </c>
      <c r="P131" s="0" t="str">
        <f aca="false">IF(COUNTIF($A$2:A131,A131)&gt;1,"DUP","")</f>
        <v/>
      </c>
      <c r="Q131" s="0" t="str">
        <f aca="false">IF(O131="","",IF(O131&gt;240,"Y","N"))</f>
        <v>N</v>
      </c>
    </row>
    <row r="132" customFormat="false" ht="15" hidden="false" customHeight="false" outlineLevel="0" collapsed="false">
      <c r="A132" s="0" t="s">
        <v>4340</v>
      </c>
      <c r="B132" s="0" t="s">
        <v>4341</v>
      </c>
      <c r="C132" s="0" t="s">
        <v>4053</v>
      </c>
      <c r="D132" s="31" t="n">
        <v>14703</v>
      </c>
      <c r="E132" s="31" t="n">
        <v>45688</v>
      </c>
      <c r="F132" s="32" t="s">
        <v>4342</v>
      </c>
      <c r="G132" s="0" t="n">
        <v>4</v>
      </c>
      <c r="H132" s="32" t="s">
        <v>3917</v>
      </c>
      <c r="I132" s="32" t="s">
        <v>4193</v>
      </c>
      <c r="J132" s="32" t="s">
        <v>3749</v>
      </c>
      <c r="K132" s="32" t="s">
        <v>2081</v>
      </c>
      <c r="L132" s="0" t="n">
        <v>56</v>
      </c>
      <c r="M132" s="32" t="s">
        <v>3821</v>
      </c>
      <c r="N132" s="32" t="s">
        <v>3751</v>
      </c>
      <c r="O132" s="32" t="n">
        <f aca="false">IF(I132="","",ROUND(MOD(TIMEVALUE(I132)-TIMEVALUE(F132),1)*1440,0))</f>
        <v>56</v>
      </c>
      <c r="P132" s="0" t="str">
        <f aca="false">IF(COUNTIF($A$2:A132,A132)&gt;1,"DUP","")</f>
        <v/>
      </c>
      <c r="Q132" s="0" t="str">
        <f aca="false">IF(O132="","",IF(O132&gt;240,"Y","N"))</f>
        <v>N</v>
      </c>
    </row>
    <row r="133" customFormat="false" ht="15" hidden="false" customHeight="false" outlineLevel="0" collapsed="false">
      <c r="A133" s="0" t="s">
        <v>4343</v>
      </c>
      <c r="B133" s="0" t="s">
        <v>4344</v>
      </c>
      <c r="C133" s="0" t="s">
        <v>985</v>
      </c>
      <c r="D133" s="31" t="n">
        <v>16668</v>
      </c>
      <c r="E133" s="31" t="n">
        <v>45694</v>
      </c>
      <c r="F133" s="32" t="s">
        <v>4345</v>
      </c>
      <c r="G133" s="0" t="n">
        <v>4</v>
      </c>
      <c r="H133" s="32" t="s">
        <v>4346</v>
      </c>
      <c r="I133" s="32" t="s">
        <v>4347</v>
      </c>
      <c r="J133" s="32" t="s">
        <v>3749</v>
      </c>
      <c r="K133" s="32" t="s">
        <v>2081</v>
      </c>
      <c r="L133" s="0" t="n">
        <v>125</v>
      </c>
      <c r="M133" s="32" t="s">
        <v>4047</v>
      </c>
      <c r="N133" s="32" t="s">
        <v>3751</v>
      </c>
      <c r="O133" s="32" t="n">
        <f aca="false">IF(I133="","",ROUND(MOD(TIMEVALUE(I133)-TIMEVALUE(F133),1)*1440,0))</f>
        <v>125</v>
      </c>
      <c r="P133" s="0" t="str">
        <f aca="false">IF(COUNTIF($A$2:A133,A133)&gt;1,"DUP","")</f>
        <v/>
      </c>
      <c r="Q133" s="0" t="str">
        <f aca="false">IF(O133="","",IF(O133&gt;240,"Y","N"))</f>
        <v>N</v>
      </c>
    </row>
    <row r="134" customFormat="false" ht="15" hidden="false" customHeight="false" outlineLevel="0" collapsed="false">
      <c r="A134" s="0" t="s">
        <v>4348</v>
      </c>
      <c r="B134" s="0" t="s">
        <v>4349</v>
      </c>
      <c r="C134" s="0" t="s">
        <v>1393</v>
      </c>
      <c r="D134" s="31" t="n">
        <v>28407</v>
      </c>
      <c r="E134" s="31" t="n">
        <v>45730</v>
      </c>
      <c r="F134" s="32" t="s">
        <v>4350</v>
      </c>
      <c r="G134" s="0" t="n">
        <v>4</v>
      </c>
      <c r="H134" s="32" t="s">
        <v>4351</v>
      </c>
      <c r="I134" s="32" t="s">
        <v>4215</v>
      </c>
      <c r="J134" s="32" t="s">
        <v>2307</v>
      </c>
      <c r="K134" s="32" t="s">
        <v>2081</v>
      </c>
      <c r="L134" s="0" t="n">
        <v>175</v>
      </c>
      <c r="M134" s="32" t="s">
        <v>3975</v>
      </c>
      <c r="N134" s="32" t="s">
        <v>3751</v>
      </c>
      <c r="O134" s="32" t="n">
        <f aca="false">IF(I134="","",ROUND(MOD(TIMEVALUE(I134)-TIMEVALUE(F134),1)*1440,0))</f>
        <v>175</v>
      </c>
      <c r="P134" s="0" t="str">
        <f aca="false">IF(COUNTIF($A$2:A134,A134)&gt;1,"DUP","")</f>
        <v/>
      </c>
      <c r="Q134" s="0" t="str">
        <f aca="false">IF(O134="","",IF(O134&gt;240,"Y","N"))</f>
        <v>N</v>
      </c>
    </row>
    <row r="135" customFormat="false" ht="15" hidden="false" customHeight="false" outlineLevel="0" collapsed="false">
      <c r="A135" s="0" t="s">
        <v>4352</v>
      </c>
      <c r="B135" s="0" t="s">
        <v>4353</v>
      </c>
      <c r="C135" s="0" t="s">
        <v>886</v>
      </c>
      <c r="D135" s="31" t="n">
        <v>35203</v>
      </c>
      <c r="E135" s="31" t="n">
        <v>45691</v>
      </c>
      <c r="F135" s="32" t="s">
        <v>4354</v>
      </c>
      <c r="G135" s="0" t="n">
        <v>4</v>
      </c>
      <c r="H135" s="32" t="s">
        <v>3875</v>
      </c>
      <c r="I135" s="32" t="s">
        <v>4355</v>
      </c>
      <c r="J135" s="32" t="s">
        <v>3793</v>
      </c>
      <c r="K135" s="32" t="s">
        <v>2081</v>
      </c>
      <c r="L135" s="0" t="n">
        <v>173</v>
      </c>
      <c r="M135" s="32" t="s">
        <v>3966</v>
      </c>
      <c r="N135" s="32" t="s">
        <v>747</v>
      </c>
      <c r="O135" s="32" t="n">
        <f aca="false">IF(I135="","",ROUND(MOD(TIMEVALUE(I135)-TIMEVALUE(F135),1)*1440,0))</f>
        <v>173</v>
      </c>
      <c r="P135" s="0" t="str">
        <f aca="false">IF(COUNTIF($A$2:A135,A135)&gt;1,"DUP","")</f>
        <v/>
      </c>
      <c r="Q135" s="0" t="str">
        <f aca="false">IF(O135="","",IF(O135&gt;240,"Y","N"))</f>
        <v>N</v>
      </c>
    </row>
    <row r="136" customFormat="false" ht="15" hidden="false" customHeight="false" outlineLevel="0" collapsed="false">
      <c r="A136" s="0" t="s">
        <v>4268</v>
      </c>
      <c r="B136" s="0" t="s">
        <v>4269</v>
      </c>
      <c r="C136" s="0" t="s">
        <v>1390</v>
      </c>
      <c r="D136" s="31" t="n">
        <v>33433</v>
      </c>
      <c r="E136" s="31" t="n">
        <v>45637</v>
      </c>
      <c r="F136" s="32" t="s">
        <v>4270</v>
      </c>
      <c r="G136" s="0" t="n">
        <v>4</v>
      </c>
      <c r="H136" s="32" t="s">
        <v>4271</v>
      </c>
      <c r="I136" s="32" t="s">
        <v>3891</v>
      </c>
      <c r="J136" s="32" t="s">
        <v>3749</v>
      </c>
      <c r="K136" s="32" t="s">
        <v>2081</v>
      </c>
      <c r="L136" s="0" t="n">
        <v>169</v>
      </c>
      <c r="M136" s="32" t="s">
        <v>3882</v>
      </c>
      <c r="N136" s="32" t="s">
        <v>3751</v>
      </c>
      <c r="O136" s="32" t="n">
        <f aca="false">IF(I136="","",ROUND(MOD(TIMEVALUE(I136)-TIMEVALUE(F136),1)*1440,0))</f>
        <v>169</v>
      </c>
      <c r="P136" s="0" t="str">
        <f aca="false">IF(COUNTIF($A$2:A136,A136)&gt;1,"DUP","")</f>
        <v>DUP</v>
      </c>
      <c r="Q136" s="0" t="str">
        <f aca="false">IF(O136="","",IF(O136&gt;240,"Y","N"))</f>
        <v>N</v>
      </c>
    </row>
    <row r="137" customFormat="false" ht="15" hidden="false" customHeight="false" outlineLevel="0" collapsed="false">
      <c r="A137" s="0" t="s">
        <v>4356</v>
      </c>
      <c r="B137" s="0" t="s">
        <v>4357</v>
      </c>
      <c r="C137" s="0" t="s">
        <v>906</v>
      </c>
      <c r="D137" s="31" t="n">
        <v>20556</v>
      </c>
      <c r="E137" s="31" t="n">
        <v>45595</v>
      </c>
      <c r="F137" s="32" t="s">
        <v>4358</v>
      </c>
      <c r="G137" s="0" t="n">
        <v>4</v>
      </c>
      <c r="H137" s="32" t="s">
        <v>4359</v>
      </c>
      <c r="I137" s="32" t="s">
        <v>4360</v>
      </c>
      <c r="J137" s="32" t="s">
        <v>3749</v>
      </c>
      <c r="K137" s="32" t="s">
        <v>2106</v>
      </c>
      <c r="L137" s="0" t="n">
        <v>445</v>
      </c>
      <c r="M137" s="32" t="s">
        <v>4037</v>
      </c>
      <c r="N137" s="32" t="s">
        <v>3751</v>
      </c>
      <c r="O137" s="32" t="n">
        <f aca="false">IF(I137="","",ROUND(MOD(TIMEVALUE(I137)-TIMEVALUE(F137),1)*1440,0))</f>
        <v>445</v>
      </c>
      <c r="P137" s="0" t="str">
        <f aca="false">IF(COUNTIF($A$2:A137,A137)&gt;1,"DUP","")</f>
        <v/>
      </c>
      <c r="Q137" s="0" t="str">
        <f aca="false">IF(O137="","",IF(O137&gt;240,"Y","N"))</f>
        <v>Y</v>
      </c>
    </row>
    <row r="138" customFormat="false" ht="15" hidden="false" customHeight="false" outlineLevel="0" collapsed="false">
      <c r="A138" s="0" t="s">
        <v>4361</v>
      </c>
      <c r="B138" s="0" t="s">
        <v>4043</v>
      </c>
      <c r="C138" s="0" t="s">
        <v>1005</v>
      </c>
      <c r="D138" s="31" t="n">
        <v>37092</v>
      </c>
      <c r="E138" s="31" t="n">
        <v>45591</v>
      </c>
      <c r="F138" s="32" t="s">
        <v>4362</v>
      </c>
      <c r="G138" s="0" t="n">
        <v>4</v>
      </c>
      <c r="H138" s="32" t="s">
        <v>4251</v>
      </c>
      <c r="I138" s="32" t="s">
        <v>4363</v>
      </c>
      <c r="J138" s="32" t="s">
        <v>3763</v>
      </c>
      <c r="K138" s="32" t="s">
        <v>2081</v>
      </c>
      <c r="L138" s="0" t="n">
        <v>232</v>
      </c>
      <c r="M138" s="32" t="s">
        <v>3787</v>
      </c>
      <c r="N138" s="32" t="s">
        <v>3751</v>
      </c>
      <c r="O138" s="32" t="n">
        <f aca="false">IF(I138="","",ROUND(MOD(TIMEVALUE(I138)-TIMEVALUE(F138),1)*1440,0))</f>
        <v>232</v>
      </c>
      <c r="P138" s="0" t="str">
        <f aca="false">IF(COUNTIF($A$2:A138,A138)&gt;1,"DUP","")</f>
        <v/>
      </c>
      <c r="Q138" s="0" t="str">
        <f aca="false">IF(O138="","",IF(O138&gt;240,"Y","N"))</f>
        <v>N</v>
      </c>
    </row>
    <row r="139" customFormat="false" ht="15" hidden="false" customHeight="false" outlineLevel="0" collapsed="false">
      <c r="A139" s="0" t="s">
        <v>4364</v>
      </c>
      <c r="B139" s="0" t="s">
        <v>4365</v>
      </c>
      <c r="C139" s="0" t="s">
        <v>801</v>
      </c>
      <c r="D139" s="31" t="n">
        <v>17372</v>
      </c>
      <c r="E139" s="31" t="n">
        <v>45704</v>
      </c>
      <c r="F139" s="32" t="s">
        <v>4366</v>
      </c>
      <c r="G139" s="0" t="n">
        <v>3</v>
      </c>
      <c r="H139" s="32" t="s">
        <v>4367</v>
      </c>
      <c r="I139" s="32" t="s">
        <v>4368</v>
      </c>
      <c r="J139" s="32" t="s">
        <v>3749</v>
      </c>
      <c r="K139" s="32" t="s">
        <v>2081</v>
      </c>
      <c r="L139" s="0" t="n">
        <v>81</v>
      </c>
      <c r="M139" s="32" t="s">
        <v>3966</v>
      </c>
      <c r="N139" s="32" t="s">
        <v>3751</v>
      </c>
      <c r="O139" s="32" t="n">
        <f aca="false">IF(I139="","",ROUND(MOD(TIMEVALUE(I139)-TIMEVALUE(F139),1)*1440,0))</f>
        <v>81</v>
      </c>
      <c r="P139" s="0" t="str">
        <f aca="false">IF(COUNTIF($A$2:A139,A139)&gt;1,"DUP","")</f>
        <v/>
      </c>
      <c r="Q139" s="0" t="str">
        <f aca="false">IF(O139="","",IF(O139&gt;240,"Y","N"))</f>
        <v>N</v>
      </c>
    </row>
    <row r="140" customFormat="false" ht="15" hidden="false" customHeight="false" outlineLevel="0" collapsed="false">
      <c r="A140" s="0" t="s">
        <v>4369</v>
      </c>
      <c r="C140" s="0" t="s">
        <v>1414</v>
      </c>
      <c r="D140" s="31" t="n">
        <v>39211</v>
      </c>
      <c r="E140" s="31" t="n">
        <v>45737</v>
      </c>
      <c r="F140" s="32" t="s">
        <v>4370</v>
      </c>
      <c r="G140" s="0" t="n">
        <v>2</v>
      </c>
      <c r="H140" s="32" t="s">
        <v>4371</v>
      </c>
      <c r="I140" s="32" t="s">
        <v>4372</v>
      </c>
      <c r="J140" s="32" t="s">
        <v>3749</v>
      </c>
      <c r="K140" s="32" t="s">
        <v>2081</v>
      </c>
      <c r="L140" s="0" t="n">
        <v>196</v>
      </c>
      <c r="M140" s="32" t="s">
        <v>4114</v>
      </c>
      <c r="N140" s="32" t="s">
        <v>3751</v>
      </c>
      <c r="O140" s="32" t="n">
        <f aca="false">IF(I140="","",ROUND(MOD(TIMEVALUE(I140)-TIMEVALUE(F140),1)*1440,0))</f>
        <v>196</v>
      </c>
      <c r="P140" s="0" t="str">
        <f aca="false">IF(COUNTIF($A$2:A140,A140)&gt;1,"DUP","")</f>
        <v/>
      </c>
      <c r="Q140" s="0" t="str">
        <f aca="false">IF(O140="","",IF(O140&gt;240,"Y","N"))</f>
        <v>N</v>
      </c>
    </row>
    <row r="141" customFormat="false" ht="15" hidden="false" customHeight="false" outlineLevel="0" collapsed="false">
      <c r="A141" s="0" t="s">
        <v>4373</v>
      </c>
      <c r="B141" s="0" t="s">
        <v>3745</v>
      </c>
      <c r="C141" s="0" t="s">
        <v>1398</v>
      </c>
      <c r="D141" s="31" t="n">
        <v>18086</v>
      </c>
      <c r="E141" s="31" t="n">
        <v>45596</v>
      </c>
      <c r="F141" s="32" t="s">
        <v>4374</v>
      </c>
      <c r="G141" s="0" t="n">
        <v>4</v>
      </c>
      <c r="H141" s="32" t="s">
        <v>4375</v>
      </c>
      <c r="I141" s="32" t="s">
        <v>4334</v>
      </c>
      <c r="J141" s="32" t="s">
        <v>3763</v>
      </c>
      <c r="K141" s="32" t="s">
        <v>2081</v>
      </c>
      <c r="L141" s="0" t="n">
        <v>133</v>
      </c>
      <c r="M141" s="32" t="s">
        <v>4267</v>
      </c>
      <c r="N141" s="32" t="s">
        <v>3751</v>
      </c>
      <c r="O141" s="32" t="n">
        <f aca="false">IF(I141="","",ROUND(MOD(TIMEVALUE(I141)-TIMEVALUE(F141),1)*1440,0))</f>
        <v>133</v>
      </c>
      <c r="P141" s="0" t="str">
        <f aca="false">IF(COUNTIF($A$2:A141,A141)&gt;1,"DUP","")</f>
        <v/>
      </c>
      <c r="Q141" s="0" t="str">
        <f aca="false">IF(O141="","",IF(O141&gt;240,"Y","N"))</f>
        <v>N</v>
      </c>
    </row>
    <row r="142" customFormat="false" ht="15" hidden="false" customHeight="false" outlineLevel="0" collapsed="false">
      <c r="A142" s="0" t="s">
        <v>4376</v>
      </c>
      <c r="B142" s="0" t="s">
        <v>4377</v>
      </c>
      <c r="C142" s="0" t="s">
        <v>792</v>
      </c>
      <c r="D142" s="31" t="n">
        <v>16498</v>
      </c>
      <c r="E142" s="31" t="n">
        <v>45591</v>
      </c>
      <c r="F142" s="32" t="s">
        <v>4378</v>
      </c>
      <c r="G142" s="0" t="n">
        <v>3</v>
      </c>
      <c r="H142" s="32" t="s">
        <v>4379</v>
      </c>
      <c r="I142" s="32" t="s">
        <v>4380</v>
      </c>
      <c r="J142" s="32" t="s">
        <v>3793</v>
      </c>
      <c r="K142" s="32" t="s">
        <v>2081</v>
      </c>
      <c r="L142" s="0" t="n">
        <v>186</v>
      </c>
      <c r="M142" s="32" t="s">
        <v>3799</v>
      </c>
      <c r="N142" s="32" t="s">
        <v>818</v>
      </c>
      <c r="O142" s="32" t="n">
        <f aca="false">IF(I142="","",ROUND(MOD(TIMEVALUE(I142)-TIMEVALUE(F142),1)*1440,0))</f>
        <v>186</v>
      </c>
      <c r="P142" s="0" t="str">
        <f aca="false">IF(COUNTIF($A$2:A142,A142)&gt;1,"DUP","")</f>
        <v/>
      </c>
      <c r="Q142" s="0" t="str">
        <f aca="false">IF(O142="","",IF(O142&gt;240,"Y","N"))</f>
        <v>N</v>
      </c>
    </row>
    <row r="143" customFormat="false" ht="15" hidden="false" customHeight="false" outlineLevel="0" collapsed="false">
      <c r="A143" s="0" t="s">
        <v>4381</v>
      </c>
      <c r="B143" s="0" t="s">
        <v>4382</v>
      </c>
      <c r="C143" s="0" t="s">
        <v>1453</v>
      </c>
      <c r="D143" s="31" t="n">
        <v>25265</v>
      </c>
      <c r="E143" s="31" t="n">
        <v>45643</v>
      </c>
      <c r="F143" s="32" t="s">
        <v>4383</v>
      </c>
      <c r="G143" s="0" t="n">
        <v>4</v>
      </c>
      <c r="H143" s="32" t="s">
        <v>4384</v>
      </c>
      <c r="I143" s="32" t="s">
        <v>4385</v>
      </c>
      <c r="J143" s="32" t="s">
        <v>2307</v>
      </c>
      <c r="K143" s="32" t="s">
        <v>2081</v>
      </c>
      <c r="L143" s="0" t="n">
        <v>78</v>
      </c>
      <c r="M143" s="32" t="s">
        <v>4114</v>
      </c>
      <c r="N143" s="32" t="s">
        <v>3751</v>
      </c>
      <c r="O143" s="32" t="n">
        <f aca="false">IF(I143="","",ROUND(MOD(TIMEVALUE(I143)-TIMEVALUE(F143),1)*1440,0))</f>
        <v>78</v>
      </c>
      <c r="P143" s="0" t="str">
        <f aca="false">IF(COUNTIF($A$2:A143,A143)&gt;1,"DUP","")</f>
        <v/>
      </c>
      <c r="Q143" s="0" t="str">
        <f aca="false">IF(O143="","",IF(O143&gt;240,"Y","N"))</f>
        <v>N</v>
      </c>
    </row>
    <row r="144" customFormat="false" ht="15" hidden="false" customHeight="false" outlineLevel="0" collapsed="false">
      <c r="A144" s="0" t="s">
        <v>4386</v>
      </c>
      <c r="C144" s="0" t="s">
        <v>1426</v>
      </c>
      <c r="D144" s="31" t="n">
        <v>16984</v>
      </c>
      <c r="E144" s="31" t="n">
        <v>45611</v>
      </c>
      <c r="F144" s="32" t="s">
        <v>4387</v>
      </c>
      <c r="G144" s="0" t="n">
        <v>4</v>
      </c>
      <c r="H144" s="32" t="s">
        <v>4388</v>
      </c>
      <c r="I144" s="32" t="s">
        <v>4389</v>
      </c>
      <c r="J144" s="32" t="s">
        <v>3749</v>
      </c>
      <c r="K144" s="32" t="s">
        <v>2081</v>
      </c>
      <c r="L144" s="0" t="n">
        <v>194</v>
      </c>
      <c r="M144" s="32" t="s">
        <v>4285</v>
      </c>
      <c r="N144" s="32" t="s">
        <v>3751</v>
      </c>
      <c r="O144" s="32" t="n">
        <f aca="false">IF(I144="","",ROUND(MOD(TIMEVALUE(I144)-TIMEVALUE(F144),1)*1440,0))</f>
        <v>194</v>
      </c>
      <c r="P144" s="0" t="str">
        <f aca="false">IF(COUNTIF($A$2:A144,A144)&gt;1,"DUP","")</f>
        <v/>
      </c>
      <c r="Q144" s="0" t="str">
        <f aca="false">IF(O144="","",IF(O144&gt;240,"Y","N"))</f>
        <v>N</v>
      </c>
    </row>
    <row r="145" customFormat="false" ht="15" hidden="false" customHeight="false" outlineLevel="0" collapsed="false">
      <c r="A145" s="0" t="s">
        <v>4390</v>
      </c>
      <c r="C145" s="0" t="s">
        <v>966</v>
      </c>
      <c r="D145" s="31" t="n">
        <v>23520</v>
      </c>
      <c r="E145" s="31" t="n">
        <v>45578</v>
      </c>
      <c r="F145" s="32" t="s">
        <v>3895</v>
      </c>
      <c r="G145" s="0" t="n">
        <v>3</v>
      </c>
      <c r="I145" s="32" t="s">
        <v>4391</v>
      </c>
      <c r="J145" s="32" t="s">
        <v>3763</v>
      </c>
      <c r="K145" s="32" t="s">
        <v>2081</v>
      </c>
      <c r="L145" s="0" t="n">
        <v>44</v>
      </c>
      <c r="M145" s="32" t="s">
        <v>3882</v>
      </c>
      <c r="N145" s="32" t="s">
        <v>3751</v>
      </c>
      <c r="O145" s="32" t="n">
        <f aca="false">IF(I145="","",ROUND(MOD(TIMEVALUE(I145)-TIMEVALUE(F145),1)*1440,0))</f>
        <v>44</v>
      </c>
      <c r="P145" s="0" t="str">
        <f aca="false">IF(COUNTIF($A$2:A145,A145)&gt;1,"DUP","")</f>
        <v/>
      </c>
      <c r="Q145" s="0" t="str">
        <f aca="false">IF(O145="","",IF(O145&gt;240,"Y","N"))</f>
        <v>N</v>
      </c>
    </row>
    <row r="146" customFormat="false" ht="15" hidden="false" customHeight="false" outlineLevel="0" collapsed="false">
      <c r="A146" s="0" t="s">
        <v>4392</v>
      </c>
      <c r="B146" s="0" t="s">
        <v>4393</v>
      </c>
      <c r="C146" s="0" t="s">
        <v>934</v>
      </c>
      <c r="D146" s="31" t="n">
        <v>22549</v>
      </c>
      <c r="E146" s="31" t="n">
        <v>45622</v>
      </c>
      <c r="F146" s="32" t="s">
        <v>4384</v>
      </c>
      <c r="G146" s="0" t="n">
        <v>3</v>
      </c>
      <c r="I146" s="32" t="s">
        <v>4046</v>
      </c>
      <c r="J146" s="32" t="s">
        <v>3749</v>
      </c>
      <c r="K146" s="32" t="s">
        <v>2081</v>
      </c>
      <c r="L146" s="0" t="n">
        <v>93</v>
      </c>
      <c r="M146" s="32" t="s">
        <v>4141</v>
      </c>
      <c r="N146" s="32" t="s">
        <v>3751</v>
      </c>
      <c r="O146" s="32" t="n">
        <f aca="false">IF(I146="","",ROUND(MOD(TIMEVALUE(I146)-TIMEVALUE(F146),1)*1440,0))</f>
        <v>93</v>
      </c>
      <c r="P146" s="0" t="str">
        <f aca="false">IF(COUNTIF($A$2:A146,A146)&gt;1,"DUP","")</f>
        <v/>
      </c>
      <c r="Q146" s="0" t="str">
        <f aca="false">IF(O146="","",IF(O146&gt;240,"Y","N"))</f>
        <v>N</v>
      </c>
    </row>
    <row r="147" customFormat="false" ht="15" hidden="false" customHeight="false" outlineLevel="0" collapsed="false">
      <c r="A147" s="0" t="s">
        <v>4394</v>
      </c>
      <c r="B147" s="0" t="s">
        <v>4395</v>
      </c>
      <c r="C147" s="0" t="s">
        <v>966</v>
      </c>
      <c r="D147" s="31" t="n">
        <v>30768</v>
      </c>
      <c r="E147" s="31" t="n">
        <v>45604</v>
      </c>
      <c r="F147" s="32" t="s">
        <v>4396</v>
      </c>
      <c r="G147" s="0" t="n">
        <v>2</v>
      </c>
      <c r="H147" s="32" t="s">
        <v>4397</v>
      </c>
      <c r="I147" s="32" t="s">
        <v>4398</v>
      </c>
      <c r="J147" s="32" t="s">
        <v>3793</v>
      </c>
      <c r="K147" s="32" t="s">
        <v>2081</v>
      </c>
      <c r="L147" s="0" t="n">
        <v>58</v>
      </c>
      <c r="M147" s="32" t="s">
        <v>3764</v>
      </c>
      <c r="N147" s="32" t="s">
        <v>785</v>
      </c>
      <c r="O147" s="32" t="n">
        <f aca="false">IF(I147="","",ROUND(MOD(TIMEVALUE(I147)-TIMEVALUE(F147),1)*1440,0))</f>
        <v>58</v>
      </c>
      <c r="P147" s="0" t="str">
        <f aca="false">IF(COUNTIF($A$2:A147,A147)&gt;1,"DUP","")</f>
        <v/>
      </c>
      <c r="Q147" s="0" t="str">
        <f aca="false">IF(O147="","",IF(O147&gt;240,"Y","N"))</f>
        <v>N</v>
      </c>
    </row>
    <row r="148" customFormat="false" ht="15" hidden="false" customHeight="false" outlineLevel="0" collapsed="false">
      <c r="A148" s="0" t="s">
        <v>4399</v>
      </c>
      <c r="B148" s="0" t="s">
        <v>4400</v>
      </c>
      <c r="C148" s="0" t="s">
        <v>977</v>
      </c>
      <c r="D148" s="31" t="n">
        <v>32157</v>
      </c>
      <c r="E148" s="31" t="n">
        <v>45711</v>
      </c>
      <c r="F148" s="32" t="s">
        <v>4401</v>
      </c>
      <c r="G148" s="0" t="n">
        <v>3</v>
      </c>
      <c r="H148" s="32" t="s">
        <v>4402</v>
      </c>
      <c r="I148" s="32" t="s">
        <v>4403</v>
      </c>
      <c r="J148" s="32" t="s">
        <v>3763</v>
      </c>
      <c r="K148" s="32" t="s">
        <v>2081</v>
      </c>
      <c r="L148" s="0" t="n">
        <v>158</v>
      </c>
      <c r="M148" s="32" t="s">
        <v>3827</v>
      </c>
      <c r="N148" s="32" t="s">
        <v>3751</v>
      </c>
      <c r="O148" s="32" t="n">
        <f aca="false">IF(I148="","",ROUND(MOD(TIMEVALUE(I148)-TIMEVALUE(F148),1)*1440,0))</f>
        <v>158</v>
      </c>
      <c r="P148" s="0" t="str">
        <f aca="false">IF(COUNTIF($A$2:A148,A148)&gt;1,"DUP","")</f>
        <v/>
      </c>
      <c r="Q148" s="0" t="str">
        <f aca="false">IF(O148="","",IF(O148&gt;240,"Y","N"))</f>
        <v>N</v>
      </c>
    </row>
    <row r="149" customFormat="false" ht="15" hidden="false" customHeight="false" outlineLevel="0" collapsed="false">
      <c r="A149" s="0" t="s">
        <v>4404</v>
      </c>
      <c r="B149" s="0" t="s">
        <v>4405</v>
      </c>
      <c r="C149" s="0" t="s">
        <v>757</v>
      </c>
      <c r="D149" s="31" t="n">
        <v>32100</v>
      </c>
      <c r="E149" s="31" t="n">
        <v>45719</v>
      </c>
      <c r="F149" s="32" t="s">
        <v>4406</v>
      </c>
      <c r="G149" s="0" t="n">
        <v>4</v>
      </c>
      <c r="H149" s="32" t="s">
        <v>4407</v>
      </c>
      <c r="I149" s="32" t="s">
        <v>4408</v>
      </c>
      <c r="J149" s="32" t="s">
        <v>3749</v>
      </c>
      <c r="K149" s="32" t="s">
        <v>2081</v>
      </c>
      <c r="L149" s="0" t="n">
        <v>101</v>
      </c>
      <c r="M149" s="32" t="s">
        <v>4409</v>
      </c>
      <c r="N149" s="32" t="s">
        <v>3751</v>
      </c>
      <c r="O149" s="32" t="n">
        <f aca="false">IF(I149="","",ROUND(MOD(TIMEVALUE(I149)-TIMEVALUE(F149),1)*1440,0))</f>
        <v>101</v>
      </c>
      <c r="P149" s="0" t="str">
        <f aca="false">IF(COUNTIF($A$2:A149,A149)&gt;1,"DUP","")</f>
        <v/>
      </c>
      <c r="Q149" s="0" t="str">
        <f aca="false">IF(O149="","",IF(O149&gt;240,"Y","N"))</f>
        <v>N</v>
      </c>
    </row>
    <row r="150" customFormat="false" ht="15" hidden="false" customHeight="false" outlineLevel="0" collapsed="false">
      <c r="A150" s="0" t="s">
        <v>4410</v>
      </c>
      <c r="C150" s="0" t="s">
        <v>1419</v>
      </c>
      <c r="D150" s="31" t="n">
        <v>38132</v>
      </c>
      <c r="E150" s="31" t="n">
        <v>45731</v>
      </c>
      <c r="F150" s="32" t="s">
        <v>4411</v>
      </c>
      <c r="G150" s="0" t="n">
        <v>3</v>
      </c>
      <c r="I150" s="32" t="s">
        <v>4412</v>
      </c>
      <c r="J150" s="32" t="s">
        <v>3793</v>
      </c>
      <c r="K150" s="32" t="s">
        <v>2106</v>
      </c>
      <c r="L150" s="0" t="n">
        <v>569</v>
      </c>
      <c r="M150" s="32" t="s">
        <v>3764</v>
      </c>
      <c r="N150" s="32" t="s">
        <v>747</v>
      </c>
      <c r="O150" s="32" t="n">
        <f aca="false">IF(I150="","",ROUND(MOD(TIMEVALUE(I150)-TIMEVALUE(F150),1)*1440,0))</f>
        <v>569</v>
      </c>
      <c r="P150" s="0" t="str">
        <f aca="false">IF(COUNTIF($A$2:A150,A150)&gt;1,"DUP","")</f>
        <v/>
      </c>
      <c r="Q150" s="0" t="str">
        <f aca="false">IF(O150="","",IF(O150&gt;240,"Y","N"))</f>
        <v>Y</v>
      </c>
    </row>
    <row r="151" customFormat="false" ht="15" hidden="false" customHeight="false" outlineLevel="0" collapsed="false">
      <c r="A151" s="0" t="s">
        <v>4413</v>
      </c>
      <c r="B151" s="0" t="s">
        <v>4062</v>
      </c>
      <c r="C151" s="0" t="s">
        <v>934</v>
      </c>
      <c r="D151" s="31" t="n">
        <v>36690</v>
      </c>
      <c r="E151" s="31" t="n">
        <v>45625</v>
      </c>
      <c r="F151" s="32" t="s">
        <v>4414</v>
      </c>
      <c r="G151" s="0" t="n">
        <v>4</v>
      </c>
      <c r="H151" s="32" t="s">
        <v>4415</v>
      </c>
      <c r="I151" s="32" t="s">
        <v>4416</v>
      </c>
      <c r="J151" s="32" t="s">
        <v>3749</v>
      </c>
      <c r="K151" s="32" t="s">
        <v>2081</v>
      </c>
      <c r="L151" s="0" t="n">
        <v>78</v>
      </c>
      <c r="M151" s="32" t="s">
        <v>3799</v>
      </c>
      <c r="N151" s="32" t="s">
        <v>3751</v>
      </c>
      <c r="O151" s="32" t="n">
        <f aca="false">IF(I151="","",ROUND(MOD(TIMEVALUE(I151)-TIMEVALUE(F151),1)*1440,0))</f>
        <v>78</v>
      </c>
      <c r="P151" s="0" t="str">
        <f aca="false">IF(COUNTIF($A$2:A151,A151)&gt;1,"DUP","")</f>
        <v/>
      </c>
      <c r="Q151" s="0" t="str">
        <f aca="false">IF(O151="","",IF(O151&gt;240,"Y","N"))</f>
        <v>N</v>
      </c>
    </row>
    <row r="152" customFormat="false" ht="15" hidden="false" customHeight="false" outlineLevel="0" collapsed="false">
      <c r="A152" s="0" t="s">
        <v>4417</v>
      </c>
      <c r="B152" s="0" t="s">
        <v>4418</v>
      </c>
      <c r="C152" s="0" t="s">
        <v>886</v>
      </c>
      <c r="D152" s="31" t="n">
        <v>27566</v>
      </c>
      <c r="E152" s="31" t="n">
        <v>45645</v>
      </c>
      <c r="F152" s="32" t="s">
        <v>4419</v>
      </c>
      <c r="G152" s="0" t="n">
        <v>4</v>
      </c>
      <c r="H152" s="32" t="s">
        <v>4420</v>
      </c>
      <c r="I152" s="32" t="s">
        <v>4421</v>
      </c>
      <c r="J152" s="32" t="s">
        <v>2307</v>
      </c>
      <c r="K152" s="32" t="s">
        <v>2081</v>
      </c>
      <c r="L152" s="0" t="n">
        <v>57</v>
      </c>
      <c r="M152" s="32" t="s">
        <v>4060</v>
      </c>
      <c r="N152" s="32" t="s">
        <v>3751</v>
      </c>
      <c r="O152" s="32" t="n">
        <f aca="false">IF(I152="","",ROUND(MOD(TIMEVALUE(I152)-TIMEVALUE(F152),1)*1440,0))</f>
        <v>57</v>
      </c>
      <c r="P152" s="0" t="str">
        <f aca="false">IF(COUNTIF($A$2:A152,A152)&gt;1,"DUP","")</f>
        <v/>
      </c>
      <c r="Q152" s="0" t="str">
        <f aca="false">IF(O152="","",IF(O152&gt;240,"Y","N"))</f>
        <v>N</v>
      </c>
    </row>
    <row r="153" customFormat="false" ht="15" hidden="false" customHeight="false" outlineLevel="0" collapsed="false">
      <c r="A153" s="0" t="s">
        <v>4422</v>
      </c>
      <c r="B153" s="0" t="s">
        <v>4423</v>
      </c>
      <c r="C153" s="0" t="s">
        <v>898</v>
      </c>
      <c r="D153" s="31" t="n">
        <v>25518</v>
      </c>
      <c r="E153" s="31" t="n">
        <v>45605</v>
      </c>
      <c r="F153" s="32" t="s">
        <v>4424</v>
      </c>
      <c r="G153" s="0" t="n">
        <v>3</v>
      </c>
      <c r="H153" s="32" t="s">
        <v>4194</v>
      </c>
      <c r="J153" s="32" t="s">
        <v>3793</v>
      </c>
      <c r="M153" s="32" t="s">
        <v>3877</v>
      </c>
      <c r="N153" s="32" t="s">
        <v>826</v>
      </c>
      <c r="O153" s="0" t="str">
        <f aca="false">IF(I153="","",ROUND(MOD(TIMEVALUE(I153)-TIMEVALUE(F153),1)*1440,0))</f>
        <v/>
      </c>
      <c r="P153" s="0" t="str">
        <f aca="false">IF(COUNTIF($A$2:A153,A153)&gt;1,"DUP","")</f>
        <v/>
      </c>
      <c r="Q153" s="0" t="str">
        <f aca="false">IF(O153="","",IF(O153&gt;240,"Y","N"))</f>
        <v/>
      </c>
    </row>
    <row r="154" customFormat="false" ht="15" hidden="false" customHeight="false" outlineLevel="0" collapsed="false">
      <c r="A154" s="0" t="s">
        <v>4425</v>
      </c>
      <c r="B154" s="0" t="s">
        <v>4426</v>
      </c>
      <c r="C154" s="0" t="s">
        <v>1005</v>
      </c>
      <c r="D154" s="31" t="n">
        <v>28894</v>
      </c>
      <c r="E154" s="31" t="n">
        <v>45693</v>
      </c>
      <c r="F154" s="32" t="s">
        <v>4427</v>
      </c>
      <c r="G154" s="0" t="n">
        <v>3</v>
      </c>
      <c r="H154" s="32" t="s">
        <v>4428</v>
      </c>
      <c r="I154" s="32" t="s">
        <v>4429</v>
      </c>
      <c r="J154" s="32" t="s">
        <v>3749</v>
      </c>
      <c r="K154" s="32" t="s">
        <v>2081</v>
      </c>
      <c r="L154" s="0" t="n">
        <v>59</v>
      </c>
      <c r="M154" s="32" t="s">
        <v>3952</v>
      </c>
      <c r="N154" s="32" t="s">
        <v>3751</v>
      </c>
      <c r="O154" s="32" t="n">
        <f aca="false">IF(I154="","",ROUND(MOD(TIMEVALUE(I154)-TIMEVALUE(F154),1)*1440,0))</f>
        <v>59</v>
      </c>
      <c r="P154" s="0" t="str">
        <f aca="false">IF(COUNTIF($A$2:A154,A154)&gt;1,"DUP","")</f>
        <v/>
      </c>
      <c r="Q154" s="0" t="str">
        <f aca="false">IF(O154="","",IF(O154&gt;240,"Y","N"))</f>
        <v>N</v>
      </c>
    </row>
    <row r="155" customFormat="false" ht="15" hidden="false" customHeight="false" outlineLevel="0" collapsed="false">
      <c r="A155" s="0" t="s">
        <v>4430</v>
      </c>
      <c r="B155" s="0" t="s">
        <v>4431</v>
      </c>
      <c r="C155" s="0" t="s">
        <v>962</v>
      </c>
      <c r="D155" s="31" t="n">
        <v>34366</v>
      </c>
      <c r="E155" s="31" t="n">
        <v>45573</v>
      </c>
      <c r="F155" s="32" t="s">
        <v>4432</v>
      </c>
      <c r="G155" s="0" t="n">
        <v>4</v>
      </c>
      <c r="H155" s="32" t="s">
        <v>4433</v>
      </c>
      <c r="I155" s="32" t="s">
        <v>4434</v>
      </c>
      <c r="J155" s="32" t="s">
        <v>2307</v>
      </c>
      <c r="K155" s="32" t="s">
        <v>2106</v>
      </c>
      <c r="L155" s="0" t="n">
        <v>300</v>
      </c>
      <c r="M155" s="32" t="s">
        <v>4122</v>
      </c>
      <c r="N155" s="32" t="s">
        <v>3751</v>
      </c>
      <c r="O155" s="32" t="n">
        <f aca="false">IF(I155="","",ROUND(MOD(TIMEVALUE(I155)-TIMEVALUE(F155),1)*1440,0))</f>
        <v>300</v>
      </c>
      <c r="P155" s="0" t="str">
        <f aca="false">IF(COUNTIF($A$2:A155,A155)&gt;1,"DUP","")</f>
        <v/>
      </c>
      <c r="Q155" s="0" t="str">
        <f aca="false">IF(O155="","",IF(O155&gt;240,"Y","N"))</f>
        <v>Y</v>
      </c>
    </row>
    <row r="156" customFormat="false" ht="15" hidden="false" customHeight="false" outlineLevel="0" collapsed="false">
      <c r="A156" s="0" t="s">
        <v>4435</v>
      </c>
      <c r="B156" s="0" t="s">
        <v>4436</v>
      </c>
      <c r="C156" s="0" t="s">
        <v>1410</v>
      </c>
      <c r="D156" s="31" t="n">
        <v>20629</v>
      </c>
      <c r="E156" s="31" t="n">
        <v>45682</v>
      </c>
      <c r="F156" s="32" t="s">
        <v>4437</v>
      </c>
      <c r="G156" s="0" t="n">
        <v>5</v>
      </c>
      <c r="I156" s="32" t="s">
        <v>4438</v>
      </c>
      <c r="J156" s="32" t="s">
        <v>3749</v>
      </c>
      <c r="K156" s="32" t="s">
        <v>2081</v>
      </c>
      <c r="L156" s="0" t="n">
        <v>164</v>
      </c>
      <c r="M156" s="32" t="s">
        <v>3782</v>
      </c>
      <c r="N156" s="32" t="s">
        <v>3751</v>
      </c>
      <c r="O156" s="32" t="n">
        <f aca="false">IF(I156="","",ROUND(MOD(TIMEVALUE(I156)-TIMEVALUE(F156),1)*1440,0))</f>
        <v>164</v>
      </c>
      <c r="P156" s="0" t="str">
        <f aca="false">IF(COUNTIF($A$2:A156,A156)&gt;1,"DUP","")</f>
        <v/>
      </c>
      <c r="Q156" s="0" t="str">
        <f aca="false">IF(O156="","",IF(O156&gt;240,"Y","N"))</f>
        <v>N</v>
      </c>
    </row>
    <row r="157" customFormat="false" ht="15" hidden="false" customHeight="false" outlineLevel="0" collapsed="false">
      <c r="A157" s="0" t="s">
        <v>4439</v>
      </c>
      <c r="C157" s="0" t="s">
        <v>2225</v>
      </c>
      <c r="D157" s="31" t="n">
        <v>29886</v>
      </c>
      <c r="E157" s="31" t="n">
        <v>45668</v>
      </c>
      <c r="F157" s="32" t="s">
        <v>4440</v>
      </c>
      <c r="G157" s="0" t="n">
        <v>3</v>
      </c>
      <c r="H157" s="32" t="s">
        <v>4441</v>
      </c>
      <c r="I157" s="32" t="s">
        <v>3860</v>
      </c>
      <c r="J157" s="32" t="s">
        <v>3749</v>
      </c>
      <c r="K157" s="32" t="s">
        <v>2081</v>
      </c>
      <c r="L157" s="0" t="n">
        <v>91</v>
      </c>
      <c r="M157" s="32" t="s">
        <v>3946</v>
      </c>
      <c r="N157" s="32" t="s">
        <v>3751</v>
      </c>
      <c r="O157" s="32" t="n">
        <f aca="false">IF(I157="","",ROUND(MOD(TIMEVALUE(I157)-TIMEVALUE(F157),1)*1440,0))</f>
        <v>91</v>
      </c>
      <c r="P157" s="0" t="str">
        <f aca="false">IF(COUNTIF($A$2:A157,A157)&gt;1,"DUP","")</f>
        <v/>
      </c>
      <c r="Q157" s="0" t="str">
        <f aca="false">IF(O157="","",IF(O157&gt;240,"Y","N"))</f>
        <v>N</v>
      </c>
    </row>
    <row r="158" customFormat="false" ht="15" hidden="false" customHeight="false" outlineLevel="0" collapsed="false">
      <c r="A158" s="0" t="s">
        <v>4442</v>
      </c>
      <c r="B158" s="0" t="s">
        <v>4188</v>
      </c>
      <c r="C158" s="0" t="s">
        <v>792</v>
      </c>
      <c r="D158" s="31" t="n">
        <v>34566</v>
      </c>
      <c r="E158" s="31" t="n">
        <v>45630</v>
      </c>
      <c r="F158" s="32" t="s">
        <v>4443</v>
      </c>
      <c r="G158" s="0" t="n">
        <v>4</v>
      </c>
      <c r="H158" s="32" t="s">
        <v>3796</v>
      </c>
      <c r="I158" s="32" t="s">
        <v>4444</v>
      </c>
      <c r="J158" s="32" t="s">
        <v>2307</v>
      </c>
      <c r="K158" s="32" t="s">
        <v>2081</v>
      </c>
      <c r="L158" s="0" t="n">
        <v>45</v>
      </c>
      <c r="M158" s="32" t="s">
        <v>4114</v>
      </c>
      <c r="N158" s="32" t="s">
        <v>3751</v>
      </c>
      <c r="O158" s="32" t="n">
        <f aca="false">IF(I158="","",ROUND(MOD(TIMEVALUE(I158)-TIMEVALUE(F158),1)*1440,0))</f>
        <v>45</v>
      </c>
      <c r="P158" s="0" t="str">
        <f aca="false">IF(COUNTIF($A$2:A158,A158)&gt;1,"DUP","")</f>
        <v/>
      </c>
      <c r="Q158" s="0" t="str">
        <f aca="false">IF(O158="","",IF(O158&gt;240,"Y","N"))</f>
        <v>N</v>
      </c>
    </row>
    <row r="159" customFormat="false" ht="15" hidden="false" customHeight="false" outlineLevel="0" collapsed="false">
      <c r="A159" s="0" t="s">
        <v>4445</v>
      </c>
      <c r="B159" s="0" t="s">
        <v>4079</v>
      </c>
      <c r="C159" s="0" t="s">
        <v>801</v>
      </c>
      <c r="D159" s="31" t="n">
        <v>33607</v>
      </c>
      <c r="E159" s="31" t="n">
        <v>45727</v>
      </c>
      <c r="F159" s="32" t="s">
        <v>4446</v>
      </c>
      <c r="G159" s="0" t="n">
        <v>4</v>
      </c>
      <c r="H159" s="32" t="s">
        <v>3901</v>
      </c>
      <c r="I159" s="32" t="s">
        <v>4447</v>
      </c>
      <c r="J159" s="32" t="s">
        <v>3749</v>
      </c>
      <c r="K159" s="32" t="s">
        <v>2081</v>
      </c>
      <c r="L159" s="0" t="n">
        <v>163</v>
      </c>
      <c r="M159" s="32" t="s">
        <v>3925</v>
      </c>
      <c r="N159" s="32" t="s">
        <v>3751</v>
      </c>
      <c r="O159" s="32" t="n">
        <f aca="false">IF(I159="","",ROUND(MOD(TIMEVALUE(I159)-TIMEVALUE(F159),1)*1440,0))</f>
        <v>163</v>
      </c>
      <c r="P159" s="0" t="str">
        <f aca="false">IF(COUNTIF($A$2:A159,A159)&gt;1,"DUP","")</f>
        <v/>
      </c>
      <c r="Q159" s="0" t="str">
        <f aca="false">IF(O159="","",IF(O159&gt;240,"Y","N"))</f>
        <v>N</v>
      </c>
    </row>
    <row r="160" customFormat="false" ht="15" hidden="false" customHeight="false" outlineLevel="0" collapsed="false">
      <c r="A160" s="0" t="s">
        <v>4448</v>
      </c>
      <c r="B160" s="0" t="s">
        <v>3916</v>
      </c>
      <c r="C160" s="0" t="s">
        <v>2225</v>
      </c>
      <c r="D160" s="31" t="n">
        <v>34085</v>
      </c>
      <c r="E160" s="31" t="n">
        <v>45703</v>
      </c>
      <c r="F160" s="32" t="s">
        <v>4449</v>
      </c>
      <c r="G160" s="0" t="n">
        <v>2</v>
      </c>
      <c r="H160" s="32" t="s">
        <v>4198</v>
      </c>
      <c r="I160" s="32" t="s">
        <v>4450</v>
      </c>
      <c r="J160" s="32" t="s">
        <v>3749</v>
      </c>
      <c r="K160" s="32" t="s">
        <v>2081</v>
      </c>
      <c r="L160" s="0" t="n">
        <v>196</v>
      </c>
      <c r="M160" s="32" t="s">
        <v>4060</v>
      </c>
      <c r="N160" s="32" t="s">
        <v>3751</v>
      </c>
      <c r="O160" s="32" t="n">
        <f aca="false">IF(I160="","",ROUND(MOD(TIMEVALUE(I160)-TIMEVALUE(F160),1)*1440,0))</f>
        <v>196</v>
      </c>
      <c r="P160" s="0" t="str">
        <f aca="false">IF(COUNTIF($A$2:A160,A160)&gt;1,"DUP","")</f>
        <v/>
      </c>
      <c r="Q160" s="0" t="str">
        <f aca="false">IF(O160="","",IF(O160&gt;240,"Y","N"))</f>
        <v>N</v>
      </c>
    </row>
    <row r="161" customFormat="false" ht="15" hidden="false" customHeight="false" outlineLevel="0" collapsed="false">
      <c r="A161" s="0" t="s">
        <v>4451</v>
      </c>
      <c r="C161" s="0" t="s">
        <v>837</v>
      </c>
      <c r="D161" s="31" t="n">
        <v>21610</v>
      </c>
      <c r="E161" s="31" t="n">
        <v>45687</v>
      </c>
      <c r="F161" s="32" t="s">
        <v>4452</v>
      </c>
      <c r="G161" s="0" t="n">
        <v>3</v>
      </c>
      <c r="H161" s="32" t="s">
        <v>4453</v>
      </c>
      <c r="I161" s="32" t="s">
        <v>4454</v>
      </c>
      <c r="J161" s="32" t="s">
        <v>3749</v>
      </c>
      <c r="K161" s="32" t="s">
        <v>2081</v>
      </c>
      <c r="L161" s="0" t="n">
        <v>189</v>
      </c>
      <c r="M161" s="32" t="s">
        <v>3882</v>
      </c>
      <c r="N161" s="32" t="s">
        <v>3751</v>
      </c>
      <c r="O161" s="32" t="n">
        <f aca="false">IF(I161="","",ROUND(MOD(TIMEVALUE(I161)-TIMEVALUE(F161),1)*1440,0))</f>
        <v>189</v>
      </c>
      <c r="P161" s="0" t="str">
        <f aca="false">IF(COUNTIF($A$2:A161,A161)&gt;1,"DUP","")</f>
        <v/>
      </c>
      <c r="Q161" s="0" t="str">
        <f aca="false">IF(O161="","",IF(O161&gt;240,"Y","N"))</f>
        <v>N</v>
      </c>
    </row>
    <row r="162" customFormat="false" ht="15" hidden="false" customHeight="false" outlineLevel="0" collapsed="false">
      <c r="A162" s="0" t="s">
        <v>4455</v>
      </c>
      <c r="C162" s="0" t="s">
        <v>922</v>
      </c>
      <c r="D162" s="31" t="n">
        <v>17139</v>
      </c>
      <c r="E162" s="31" t="n">
        <v>45609</v>
      </c>
      <c r="F162" s="32" t="s">
        <v>4456</v>
      </c>
      <c r="G162" s="0" t="n">
        <v>1</v>
      </c>
      <c r="H162" s="32" t="s">
        <v>4456</v>
      </c>
      <c r="I162" s="32" t="s">
        <v>4457</v>
      </c>
      <c r="J162" s="32" t="s">
        <v>3763</v>
      </c>
      <c r="K162" s="32" t="s">
        <v>2081</v>
      </c>
      <c r="L162" s="0" t="n">
        <v>55</v>
      </c>
      <c r="M162" s="32" t="s">
        <v>3770</v>
      </c>
      <c r="N162" s="32" t="s">
        <v>3751</v>
      </c>
      <c r="O162" s="32" t="n">
        <f aca="false">IF(I162="","",ROUND(MOD(TIMEVALUE(I162)-TIMEVALUE(F162),1)*1440,0))</f>
        <v>55</v>
      </c>
      <c r="P162" s="0" t="str">
        <f aca="false">IF(COUNTIF($A$2:A162,A162)&gt;1,"DUP","")</f>
        <v/>
      </c>
      <c r="Q162" s="0" t="str">
        <f aca="false">IF(O162="","",IF(O162&gt;240,"Y","N"))</f>
        <v>N</v>
      </c>
    </row>
    <row r="163" customFormat="false" ht="15" hidden="false" customHeight="false" outlineLevel="0" collapsed="false">
      <c r="A163" s="0" t="s">
        <v>4458</v>
      </c>
      <c r="C163" s="0" t="s">
        <v>2206</v>
      </c>
      <c r="D163" s="31" t="n">
        <v>37983</v>
      </c>
      <c r="E163" s="31" t="n">
        <v>45664</v>
      </c>
      <c r="F163" s="32" t="s">
        <v>4459</v>
      </c>
      <c r="G163" s="0" t="n">
        <v>3</v>
      </c>
      <c r="H163" s="32" t="s">
        <v>4460</v>
      </c>
      <c r="I163" s="32" t="s">
        <v>4461</v>
      </c>
      <c r="J163" s="32" t="s">
        <v>3749</v>
      </c>
      <c r="K163" s="32" t="s">
        <v>2081</v>
      </c>
      <c r="L163" s="0" t="n">
        <v>163</v>
      </c>
      <c r="M163" s="32" t="s">
        <v>3855</v>
      </c>
      <c r="N163" s="32" t="s">
        <v>3751</v>
      </c>
      <c r="O163" s="32" t="n">
        <f aca="false">IF(I163="","",ROUND(MOD(TIMEVALUE(I163)-TIMEVALUE(F163),1)*1440,0))</f>
        <v>163</v>
      </c>
      <c r="P163" s="0" t="str">
        <f aca="false">IF(COUNTIF($A$2:A163,A163)&gt;1,"DUP","")</f>
        <v/>
      </c>
      <c r="Q163" s="0" t="str">
        <f aca="false">IF(O163="","",IF(O163&gt;240,"Y","N"))</f>
        <v>N</v>
      </c>
    </row>
    <row r="164" customFormat="false" ht="15" hidden="false" customHeight="false" outlineLevel="0" collapsed="false">
      <c r="A164" s="0" t="s">
        <v>4462</v>
      </c>
      <c r="B164" s="0" t="s">
        <v>4229</v>
      </c>
      <c r="C164" s="0" t="s">
        <v>918</v>
      </c>
      <c r="D164" s="31" t="n">
        <v>15744</v>
      </c>
      <c r="E164" s="31" t="n">
        <v>45629</v>
      </c>
      <c r="F164" s="32" t="s">
        <v>4463</v>
      </c>
      <c r="G164" s="0" t="n">
        <v>5</v>
      </c>
      <c r="H164" s="32" t="s">
        <v>4464</v>
      </c>
      <c r="I164" s="32" t="s">
        <v>4465</v>
      </c>
      <c r="J164" s="32" t="s">
        <v>3749</v>
      </c>
      <c r="K164" s="32" t="s">
        <v>2081</v>
      </c>
      <c r="L164" s="0" t="n">
        <v>90</v>
      </c>
      <c r="M164" s="32" t="s">
        <v>3902</v>
      </c>
      <c r="N164" s="32" t="s">
        <v>3751</v>
      </c>
      <c r="O164" s="32" t="n">
        <f aca="false">IF(I164="","",ROUND(MOD(TIMEVALUE(I164)-TIMEVALUE(F164),1)*1440,0))</f>
        <v>90</v>
      </c>
      <c r="P164" s="0" t="str">
        <f aca="false">IF(COUNTIF($A$2:A164,A164)&gt;1,"DUP","")</f>
        <v/>
      </c>
      <c r="Q164" s="0" t="str">
        <f aca="false">IF(O164="","",IF(O164&gt;240,"Y","N"))</f>
        <v>N</v>
      </c>
    </row>
    <row r="165" customFormat="false" ht="15" hidden="false" customHeight="false" outlineLevel="0" collapsed="false">
      <c r="A165" s="0" t="s">
        <v>4466</v>
      </c>
      <c r="B165" s="0" t="s">
        <v>4467</v>
      </c>
      <c r="C165" s="0" t="s">
        <v>1390</v>
      </c>
      <c r="D165" s="31" t="n">
        <v>19558</v>
      </c>
      <c r="E165" s="31" t="n">
        <v>45653</v>
      </c>
      <c r="F165" s="32" t="s">
        <v>4468</v>
      </c>
      <c r="G165" s="0" t="n">
        <v>5</v>
      </c>
      <c r="H165" s="32" t="s">
        <v>4469</v>
      </c>
      <c r="J165" s="32" t="s">
        <v>3793</v>
      </c>
      <c r="M165" s="32" t="s">
        <v>3855</v>
      </c>
      <c r="N165" s="32" t="s">
        <v>785</v>
      </c>
      <c r="O165" s="0" t="str">
        <f aca="false">IF(I165="","",ROUND(MOD(TIMEVALUE(I165)-TIMEVALUE(F165),1)*1440,0))</f>
        <v/>
      </c>
      <c r="P165" s="0" t="str">
        <f aca="false">IF(COUNTIF($A$2:A165,A165)&gt;1,"DUP","")</f>
        <v/>
      </c>
      <c r="Q165" s="0" t="str">
        <f aca="false">IF(O165="","",IF(O165&gt;240,"Y","N"))</f>
        <v/>
      </c>
    </row>
    <row r="166" customFormat="false" ht="15" hidden="false" customHeight="false" outlineLevel="0" collapsed="false">
      <c r="A166" s="0" t="s">
        <v>4470</v>
      </c>
      <c r="B166" s="0" t="s">
        <v>4471</v>
      </c>
      <c r="C166" s="0" t="s">
        <v>930</v>
      </c>
      <c r="D166" s="31" t="n">
        <v>36756</v>
      </c>
      <c r="E166" s="31" t="n">
        <v>45727</v>
      </c>
      <c r="F166" s="32" t="s">
        <v>4201</v>
      </c>
      <c r="G166" s="0" t="n">
        <v>3</v>
      </c>
      <c r="H166" s="32" t="s">
        <v>4362</v>
      </c>
      <c r="I166" s="32" t="s">
        <v>4271</v>
      </c>
      <c r="J166" s="32" t="s">
        <v>3749</v>
      </c>
      <c r="K166" s="32" t="s">
        <v>2106</v>
      </c>
      <c r="L166" s="0" t="n">
        <v>498</v>
      </c>
      <c r="M166" s="32" t="s">
        <v>4141</v>
      </c>
      <c r="N166" s="32" t="s">
        <v>3751</v>
      </c>
      <c r="O166" s="32" t="n">
        <f aca="false">IF(I166="","",ROUND(MOD(TIMEVALUE(I166)-TIMEVALUE(F166),1)*1440,0))</f>
        <v>498</v>
      </c>
      <c r="P166" s="0" t="str">
        <f aca="false">IF(COUNTIF($A$2:A166,A166)&gt;1,"DUP","")</f>
        <v/>
      </c>
      <c r="Q166" s="0" t="str">
        <f aca="false">IF(O166="","",IF(O166&gt;240,"Y","N"))</f>
        <v>Y</v>
      </c>
    </row>
    <row r="167" customFormat="false" ht="15" hidden="false" customHeight="false" outlineLevel="0" collapsed="false">
      <c r="A167" s="0" t="s">
        <v>4472</v>
      </c>
      <c r="B167" s="0" t="s">
        <v>3806</v>
      </c>
      <c r="C167" s="0" t="s">
        <v>746</v>
      </c>
      <c r="D167" s="31" t="n">
        <v>13047</v>
      </c>
      <c r="E167" s="31" t="n">
        <v>45659</v>
      </c>
      <c r="F167" s="32" t="s">
        <v>4372</v>
      </c>
      <c r="G167" s="0" t="n">
        <v>5</v>
      </c>
      <c r="H167" s="32" t="s">
        <v>4473</v>
      </c>
      <c r="I167" s="32" t="s">
        <v>4474</v>
      </c>
      <c r="J167" s="32" t="s">
        <v>3749</v>
      </c>
      <c r="K167" s="32" t="s">
        <v>2081</v>
      </c>
      <c r="L167" s="0" t="n">
        <v>204</v>
      </c>
      <c r="M167" s="32" t="s">
        <v>3821</v>
      </c>
      <c r="N167" s="32" t="s">
        <v>3751</v>
      </c>
      <c r="O167" s="32" t="n">
        <f aca="false">IF(I167="","",ROUND(MOD(TIMEVALUE(I167)-TIMEVALUE(F167),1)*1440,0))</f>
        <v>204</v>
      </c>
      <c r="P167" s="0" t="str">
        <f aca="false">IF(COUNTIF($A$2:A167,A167)&gt;1,"DUP","")</f>
        <v/>
      </c>
      <c r="Q167" s="0" t="str">
        <f aca="false">IF(O167="","",IF(O167&gt;240,"Y","N"))</f>
        <v>N</v>
      </c>
    </row>
    <row r="168" customFormat="false" ht="15" hidden="false" customHeight="false" outlineLevel="0" collapsed="false">
      <c r="A168" s="0" t="s">
        <v>4475</v>
      </c>
      <c r="B168" s="0" t="s">
        <v>4476</v>
      </c>
      <c r="C168" s="0" t="s">
        <v>930</v>
      </c>
      <c r="D168" s="31" t="n">
        <v>19476</v>
      </c>
      <c r="E168" s="31" t="n">
        <v>45608</v>
      </c>
      <c r="F168" s="32" t="s">
        <v>4477</v>
      </c>
      <c r="G168" s="0" t="n">
        <v>3</v>
      </c>
      <c r="H168" s="32" t="s">
        <v>3848</v>
      </c>
      <c r="I168" s="32" t="s">
        <v>4478</v>
      </c>
      <c r="J168" s="32" t="s">
        <v>3749</v>
      </c>
      <c r="K168" s="32" t="s">
        <v>2081</v>
      </c>
      <c r="L168" s="0" t="n">
        <v>124</v>
      </c>
      <c r="M168" s="32" t="s">
        <v>3849</v>
      </c>
      <c r="N168" s="32" t="s">
        <v>3751</v>
      </c>
      <c r="O168" s="32" t="n">
        <f aca="false">IF(I168="","",ROUND(MOD(TIMEVALUE(I168)-TIMEVALUE(F168),1)*1440,0))</f>
        <v>124</v>
      </c>
      <c r="P168" s="0" t="str">
        <f aca="false">IF(COUNTIF($A$2:A168,A168)&gt;1,"DUP","")</f>
        <v/>
      </c>
      <c r="Q168" s="0" t="str">
        <f aca="false">IF(O168="","",IF(O168&gt;240,"Y","N"))</f>
        <v>N</v>
      </c>
    </row>
    <row r="169" customFormat="false" ht="15" hidden="false" customHeight="false" outlineLevel="0" collapsed="false">
      <c r="A169" s="0" t="s">
        <v>4479</v>
      </c>
      <c r="B169" s="0" t="s">
        <v>4480</v>
      </c>
      <c r="C169" s="0" t="s">
        <v>2225</v>
      </c>
      <c r="D169" s="31" t="n">
        <v>31676</v>
      </c>
      <c r="E169" s="31" t="n">
        <v>45629</v>
      </c>
      <c r="F169" s="32" t="s">
        <v>3791</v>
      </c>
      <c r="G169" s="0" t="n">
        <v>4</v>
      </c>
      <c r="H169" s="32" t="s">
        <v>4481</v>
      </c>
      <c r="I169" s="32" t="s">
        <v>4222</v>
      </c>
      <c r="J169" s="32" t="s">
        <v>2307</v>
      </c>
      <c r="K169" s="32" t="s">
        <v>2081</v>
      </c>
      <c r="L169" s="0" t="n">
        <v>83</v>
      </c>
      <c r="M169" s="32" t="s">
        <v>3750</v>
      </c>
      <c r="N169" s="32" t="s">
        <v>3751</v>
      </c>
      <c r="O169" s="32" t="n">
        <f aca="false">IF(I169="","",ROUND(MOD(TIMEVALUE(I169)-TIMEVALUE(F169),1)*1440,0))</f>
        <v>83</v>
      </c>
      <c r="P169" s="0" t="str">
        <f aca="false">IF(COUNTIF($A$2:A169,A169)&gt;1,"DUP","")</f>
        <v/>
      </c>
      <c r="Q169" s="0" t="str">
        <f aca="false">IF(O169="","",IF(O169&gt;240,"Y","N"))</f>
        <v>N</v>
      </c>
    </row>
    <row r="170" customFormat="false" ht="15" hidden="false" customHeight="false" outlineLevel="0" collapsed="false">
      <c r="A170" s="0" t="s">
        <v>4482</v>
      </c>
      <c r="B170" s="0" t="s">
        <v>4301</v>
      </c>
      <c r="C170" s="0" t="s">
        <v>2178</v>
      </c>
      <c r="D170" s="31" t="n">
        <v>35996</v>
      </c>
      <c r="E170" s="31" t="n">
        <v>45622</v>
      </c>
      <c r="F170" s="32" t="s">
        <v>4483</v>
      </c>
      <c r="G170" s="0" t="n">
        <v>3</v>
      </c>
      <c r="H170" s="32" t="s">
        <v>4484</v>
      </c>
      <c r="I170" s="32" t="s">
        <v>4485</v>
      </c>
      <c r="J170" s="32" t="s">
        <v>3749</v>
      </c>
      <c r="K170" s="32" t="s">
        <v>2081</v>
      </c>
      <c r="L170" s="0" t="n">
        <v>116</v>
      </c>
      <c r="M170" s="32" t="s">
        <v>3877</v>
      </c>
      <c r="N170" s="32" t="s">
        <v>3751</v>
      </c>
      <c r="O170" s="32" t="n">
        <f aca="false">IF(I170="","",ROUND(MOD(TIMEVALUE(I170)-TIMEVALUE(F170),1)*1440,0))</f>
        <v>116</v>
      </c>
      <c r="P170" s="0" t="str">
        <f aca="false">IF(COUNTIF($A$2:A170,A170)&gt;1,"DUP","")</f>
        <v/>
      </c>
      <c r="Q170" s="0" t="str">
        <f aca="false">IF(O170="","",IF(O170&gt;240,"Y","N"))</f>
        <v>N</v>
      </c>
    </row>
    <row r="171" customFormat="false" ht="15" hidden="false" customHeight="false" outlineLevel="0" collapsed="false">
      <c r="A171" s="0" t="s">
        <v>4486</v>
      </c>
      <c r="B171" s="0" t="s">
        <v>4487</v>
      </c>
      <c r="C171" s="0" t="s">
        <v>962</v>
      </c>
      <c r="D171" s="31" t="n">
        <v>20195</v>
      </c>
      <c r="E171" s="31" t="n">
        <v>45622</v>
      </c>
      <c r="F171" s="32" t="s">
        <v>4488</v>
      </c>
      <c r="G171" s="0" t="n">
        <v>5</v>
      </c>
      <c r="H171" s="32" t="s">
        <v>4489</v>
      </c>
      <c r="I171" s="32" t="s">
        <v>4490</v>
      </c>
      <c r="J171" s="32" t="s">
        <v>3749</v>
      </c>
      <c r="K171" s="32" t="s">
        <v>2081</v>
      </c>
      <c r="L171" s="0" t="n">
        <v>212</v>
      </c>
      <c r="M171" s="32" t="s">
        <v>3902</v>
      </c>
      <c r="N171" s="32" t="s">
        <v>3751</v>
      </c>
      <c r="O171" s="32" t="n">
        <f aca="false">IF(I171="","",ROUND(MOD(TIMEVALUE(I171)-TIMEVALUE(F171),1)*1440,0))</f>
        <v>212</v>
      </c>
      <c r="P171" s="0" t="str">
        <f aca="false">IF(COUNTIF($A$2:A171,A171)&gt;1,"DUP","")</f>
        <v/>
      </c>
      <c r="Q171" s="0" t="str">
        <f aca="false">IF(O171="","",IF(O171&gt;240,"Y","N"))</f>
        <v>N</v>
      </c>
    </row>
    <row r="172" customFormat="false" ht="15" hidden="false" customHeight="false" outlineLevel="0" collapsed="false">
      <c r="A172" s="0" t="s">
        <v>4491</v>
      </c>
      <c r="B172" s="0" t="s">
        <v>4327</v>
      </c>
      <c r="C172" s="0" t="s">
        <v>849</v>
      </c>
      <c r="D172" s="31" t="n">
        <v>20041</v>
      </c>
      <c r="E172" s="31" t="n">
        <v>45582</v>
      </c>
      <c r="F172" s="32" t="s">
        <v>4185</v>
      </c>
      <c r="G172" s="0" t="n">
        <v>4</v>
      </c>
      <c r="H172" s="32" t="s">
        <v>4492</v>
      </c>
      <c r="I172" s="32" t="s">
        <v>4493</v>
      </c>
      <c r="J172" s="32" t="s">
        <v>2307</v>
      </c>
      <c r="K172" s="32" t="s">
        <v>2081</v>
      </c>
      <c r="L172" s="0" t="n">
        <v>48</v>
      </c>
      <c r="M172" s="32" t="s">
        <v>3787</v>
      </c>
      <c r="N172" s="32" t="s">
        <v>3751</v>
      </c>
      <c r="O172" s="32" t="n">
        <f aca="false">IF(I172="","",ROUND(MOD(TIMEVALUE(I172)-TIMEVALUE(F172),1)*1440,0))</f>
        <v>48</v>
      </c>
      <c r="P172" s="0" t="str">
        <f aca="false">IF(COUNTIF($A$2:A172,A172)&gt;1,"DUP","")</f>
        <v/>
      </c>
      <c r="Q172" s="0" t="str">
        <f aca="false">IF(O172="","",IF(O172&gt;240,"Y","N"))</f>
        <v>N</v>
      </c>
    </row>
    <row r="173" customFormat="false" ht="15" hidden="false" customHeight="false" outlineLevel="0" collapsed="false">
      <c r="A173" s="0" t="s">
        <v>4494</v>
      </c>
      <c r="C173" s="0" t="s">
        <v>906</v>
      </c>
      <c r="D173" s="31" t="n">
        <v>30975</v>
      </c>
      <c r="E173" s="31" t="n">
        <v>45729</v>
      </c>
      <c r="F173" s="32" t="s">
        <v>4495</v>
      </c>
      <c r="G173" s="0" t="n">
        <v>4</v>
      </c>
      <c r="H173" s="32" t="s">
        <v>4496</v>
      </c>
      <c r="I173" s="32" t="s">
        <v>4397</v>
      </c>
      <c r="J173" s="32" t="s">
        <v>2307</v>
      </c>
      <c r="K173" s="32" t="s">
        <v>2081</v>
      </c>
      <c r="L173" s="0" t="n">
        <v>32</v>
      </c>
      <c r="M173" s="32" t="s">
        <v>4255</v>
      </c>
      <c r="N173" s="32" t="s">
        <v>3751</v>
      </c>
      <c r="O173" s="32" t="n">
        <f aca="false">IF(I173="","",ROUND(MOD(TIMEVALUE(I173)-TIMEVALUE(F173),1)*1440,0))</f>
        <v>32</v>
      </c>
      <c r="P173" s="0" t="str">
        <f aca="false">IF(COUNTIF($A$2:A173,A173)&gt;1,"DUP","")</f>
        <v/>
      </c>
      <c r="Q173" s="0" t="str">
        <f aca="false">IF(O173="","",IF(O173&gt;240,"Y","N"))</f>
        <v>N</v>
      </c>
    </row>
    <row r="174" customFormat="false" ht="15" hidden="false" customHeight="false" outlineLevel="0" collapsed="false">
      <c r="A174" s="0" t="s">
        <v>4497</v>
      </c>
      <c r="B174" s="0" t="s">
        <v>4498</v>
      </c>
      <c r="C174" s="0" t="s">
        <v>946</v>
      </c>
      <c r="D174" s="31" t="n">
        <v>16123</v>
      </c>
      <c r="E174" s="31" t="n">
        <v>45666</v>
      </c>
      <c r="F174" s="32" t="s">
        <v>4499</v>
      </c>
      <c r="G174" s="0" t="n">
        <v>4</v>
      </c>
      <c r="H174" s="32" t="s">
        <v>4057</v>
      </c>
      <c r="I174" s="32" t="s">
        <v>3991</v>
      </c>
      <c r="J174" s="32" t="s">
        <v>3749</v>
      </c>
      <c r="K174" s="32" t="s">
        <v>2081</v>
      </c>
      <c r="L174" s="0" t="n">
        <v>142</v>
      </c>
      <c r="M174" s="32" t="s">
        <v>3799</v>
      </c>
      <c r="N174" s="32" t="s">
        <v>3751</v>
      </c>
      <c r="O174" s="32" t="n">
        <f aca="false">IF(I174="","",ROUND(MOD(TIMEVALUE(I174)-TIMEVALUE(F174),1)*1440,0))</f>
        <v>142</v>
      </c>
      <c r="P174" s="0" t="str">
        <f aca="false">IF(COUNTIF($A$2:A174,A174)&gt;1,"DUP","")</f>
        <v/>
      </c>
      <c r="Q174" s="0" t="str">
        <f aca="false">IF(O174="","",IF(O174&gt;240,"Y","N"))</f>
        <v>N</v>
      </c>
    </row>
    <row r="175" customFormat="false" ht="15" hidden="false" customHeight="false" outlineLevel="0" collapsed="false">
      <c r="A175" s="0" t="s">
        <v>4500</v>
      </c>
      <c r="B175" s="0" t="s">
        <v>4301</v>
      </c>
      <c r="C175" s="0" t="s">
        <v>882</v>
      </c>
      <c r="D175" s="31" t="n">
        <v>17180</v>
      </c>
      <c r="E175" s="31" t="n">
        <v>45659</v>
      </c>
      <c r="F175" s="32" t="s">
        <v>4501</v>
      </c>
      <c r="G175" s="0" t="n">
        <v>3</v>
      </c>
      <c r="H175" s="32" t="s">
        <v>4051</v>
      </c>
      <c r="I175" s="32" t="s">
        <v>4502</v>
      </c>
      <c r="J175" s="32" t="s">
        <v>3749</v>
      </c>
      <c r="K175" s="32" t="s">
        <v>2081</v>
      </c>
      <c r="L175" s="0" t="n">
        <v>162</v>
      </c>
      <c r="M175" s="32" t="s">
        <v>3787</v>
      </c>
      <c r="N175" s="32" t="s">
        <v>3751</v>
      </c>
      <c r="O175" s="32" t="n">
        <f aca="false">IF(I175="","",ROUND(MOD(TIMEVALUE(I175)-TIMEVALUE(F175),1)*1440,0))</f>
        <v>162</v>
      </c>
      <c r="P175" s="0" t="str">
        <f aca="false">IF(COUNTIF($A$2:A175,A175)&gt;1,"DUP","")</f>
        <v/>
      </c>
      <c r="Q175" s="0" t="str">
        <f aca="false">IF(O175="","",IF(O175&gt;240,"Y","N"))</f>
        <v>N</v>
      </c>
    </row>
    <row r="176" customFormat="false" ht="15" hidden="false" customHeight="false" outlineLevel="0" collapsed="false">
      <c r="A176" s="0" t="s">
        <v>4503</v>
      </c>
      <c r="B176" s="0" t="s">
        <v>4070</v>
      </c>
      <c r="C176" s="0" t="s">
        <v>862</v>
      </c>
      <c r="D176" s="31" t="n">
        <v>16534</v>
      </c>
      <c r="E176" s="31" t="n">
        <v>45731</v>
      </c>
      <c r="F176" s="32" t="s">
        <v>4504</v>
      </c>
      <c r="G176" s="0" t="n">
        <v>4</v>
      </c>
      <c r="H176" s="32" t="s">
        <v>4505</v>
      </c>
      <c r="I176" s="32" t="s">
        <v>4506</v>
      </c>
      <c r="J176" s="32" t="s">
        <v>3749</v>
      </c>
      <c r="K176" s="32" t="s">
        <v>2081</v>
      </c>
      <c r="L176" s="0" t="n">
        <v>191</v>
      </c>
      <c r="M176" s="32" t="s">
        <v>3902</v>
      </c>
      <c r="N176" s="32" t="s">
        <v>3751</v>
      </c>
      <c r="O176" s="32" t="n">
        <f aca="false">IF(I176="","",ROUND(MOD(TIMEVALUE(I176)-TIMEVALUE(F176),1)*1440,0))</f>
        <v>191</v>
      </c>
      <c r="P176" s="0" t="str">
        <f aca="false">IF(COUNTIF($A$2:A176,A176)&gt;1,"DUP","")</f>
        <v/>
      </c>
      <c r="Q176" s="0" t="str">
        <f aca="false">IF(O176="","",IF(O176&gt;240,"Y","N"))</f>
        <v>N</v>
      </c>
    </row>
    <row r="177" customFormat="false" ht="15" hidden="false" customHeight="false" outlineLevel="0" collapsed="false">
      <c r="A177" s="0" t="s">
        <v>4507</v>
      </c>
      <c r="B177" s="0" t="s">
        <v>4508</v>
      </c>
      <c r="C177" s="0" t="s">
        <v>2206</v>
      </c>
      <c r="D177" s="31" t="n">
        <v>38438</v>
      </c>
      <c r="E177" s="31" t="n">
        <v>45723</v>
      </c>
      <c r="F177" s="32" t="s">
        <v>3909</v>
      </c>
      <c r="G177" s="0" t="n">
        <v>3</v>
      </c>
      <c r="H177" s="32" t="s">
        <v>3965</v>
      </c>
      <c r="I177" s="32" t="s">
        <v>4509</v>
      </c>
      <c r="J177" s="32" t="s">
        <v>3793</v>
      </c>
      <c r="K177" s="32" t="s">
        <v>2081</v>
      </c>
      <c r="L177" s="0" t="n">
        <v>202</v>
      </c>
      <c r="M177" s="32" t="s">
        <v>4047</v>
      </c>
      <c r="N177" s="32" t="s">
        <v>826</v>
      </c>
      <c r="O177" s="32" t="n">
        <f aca="false">IF(I177="","",ROUND(MOD(TIMEVALUE(I177)-TIMEVALUE(F177),1)*1440,0))</f>
        <v>202</v>
      </c>
      <c r="P177" s="0" t="str">
        <f aca="false">IF(COUNTIF($A$2:A177,A177)&gt;1,"DUP","")</f>
        <v/>
      </c>
      <c r="Q177" s="0" t="str">
        <f aca="false">IF(O177="","",IF(O177&gt;240,"Y","N"))</f>
        <v>N</v>
      </c>
    </row>
    <row r="178" customFormat="false" ht="15" hidden="false" customHeight="false" outlineLevel="0" collapsed="false">
      <c r="A178" s="0" t="s">
        <v>4510</v>
      </c>
      <c r="B178" s="0" t="s">
        <v>4511</v>
      </c>
      <c r="C178" s="0" t="s">
        <v>997</v>
      </c>
      <c r="D178" s="31" t="n">
        <v>25235</v>
      </c>
      <c r="E178" s="31" t="n">
        <v>45714</v>
      </c>
      <c r="F178" s="32" t="s">
        <v>4512</v>
      </c>
      <c r="G178" s="0" t="n">
        <v>3</v>
      </c>
      <c r="H178" s="32" t="s">
        <v>4513</v>
      </c>
      <c r="I178" s="32" t="s">
        <v>4131</v>
      </c>
      <c r="J178" s="32" t="s">
        <v>3749</v>
      </c>
      <c r="K178" s="32" t="s">
        <v>2081</v>
      </c>
      <c r="L178" s="0" t="n">
        <v>153</v>
      </c>
      <c r="M178" s="32" t="s">
        <v>3887</v>
      </c>
      <c r="N178" s="32" t="s">
        <v>3751</v>
      </c>
      <c r="O178" s="32" t="n">
        <f aca="false">IF(I178="","",ROUND(MOD(TIMEVALUE(I178)-TIMEVALUE(F178),1)*1440,0))</f>
        <v>153</v>
      </c>
      <c r="P178" s="0" t="str">
        <f aca="false">IF(COUNTIF($A$2:A178,A178)&gt;1,"DUP","")</f>
        <v/>
      </c>
      <c r="Q178" s="0" t="str">
        <f aca="false">IF(O178="","",IF(O178&gt;240,"Y","N"))</f>
        <v>N</v>
      </c>
    </row>
    <row r="179" customFormat="false" ht="15" hidden="false" customHeight="false" outlineLevel="0" collapsed="false">
      <c r="A179" s="0" t="s">
        <v>4514</v>
      </c>
      <c r="B179" s="0" t="s">
        <v>4515</v>
      </c>
      <c r="C179" s="0" t="s">
        <v>1460</v>
      </c>
      <c r="D179" s="31" t="n">
        <v>18557</v>
      </c>
      <c r="E179" s="31" t="n">
        <v>45600</v>
      </c>
      <c r="F179" s="32" t="s">
        <v>4403</v>
      </c>
      <c r="G179" s="0" t="n">
        <v>1</v>
      </c>
      <c r="H179" s="32" t="s">
        <v>4403</v>
      </c>
      <c r="J179" s="32" t="s">
        <v>3749</v>
      </c>
      <c r="M179" s="32" t="s">
        <v>3871</v>
      </c>
      <c r="N179" s="32" t="s">
        <v>3751</v>
      </c>
      <c r="O179" s="0" t="str">
        <f aca="false">IF(I179="","",ROUND(MOD(TIMEVALUE(I179)-TIMEVALUE(F179),1)*1440,0))</f>
        <v/>
      </c>
      <c r="P179" s="0" t="str">
        <f aca="false">IF(COUNTIF($A$2:A179,A179)&gt;1,"DUP","")</f>
        <v/>
      </c>
      <c r="Q179" s="0" t="str">
        <f aca="false">IF(O179="","",IF(O179&gt;240,"Y","N"))</f>
        <v/>
      </c>
    </row>
    <row r="180" customFormat="false" ht="15" hidden="false" customHeight="false" outlineLevel="0" collapsed="false">
      <c r="A180" s="0" t="s">
        <v>4516</v>
      </c>
      <c r="B180" s="0" t="s">
        <v>4244</v>
      </c>
      <c r="C180" s="0" t="s">
        <v>1393</v>
      </c>
      <c r="D180" s="31" t="n">
        <v>23848</v>
      </c>
      <c r="E180" s="31" t="n">
        <v>45626</v>
      </c>
      <c r="F180" s="32" t="s">
        <v>4517</v>
      </c>
      <c r="G180" s="0" t="n">
        <v>4</v>
      </c>
      <c r="H180" s="32" t="s">
        <v>4489</v>
      </c>
      <c r="I180" s="32" t="s">
        <v>4443</v>
      </c>
      <c r="J180" s="32" t="s">
        <v>3793</v>
      </c>
      <c r="K180" s="32" t="s">
        <v>2081</v>
      </c>
      <c r="L180" s="0" t="n">
        <v>172</v>
      </c>
      <c r="M180" s="32" t="s">
        <v>4206</v>
      </c>
      <c r="N180" s="32" t="s">
        <v>776</v>
      </c>
      <c r="O180" s="32" t="n">
        <f aca="false">IF(I180="","",ROUND(MOD(TIMEVALUE(I180)-TIMEVALUE(F180),1)*1440,0))</f>
        <v>172</v>
      </c>
      <c r="P180" s="0" t="str">
        <f aca="false">IF(COUNTIF($A$2:A180,A180)&gt;1,"DUP","")</f>
        <v/>
      </c>
      <c r="Q180" s="0" t="str">
        <f aca="false">IF(O180="","",IF(O180&gt;240,"Y","N"))</f>
        <v>N</v>
      </c>
    </row>
    <row r="181" customFormat="false" ht="15" hidden="false" customHeight="false" outlineLevel="0" collapsed="false">
      <c r="A181" s="0" t="s">
        <v>4518</v>
      </c>
      <c r="B181" s="0" t="s">
        <v>4519</v>
      </c>
      <c r="C181" s="0" t="s">
        <v>882</v>
      </c>
      <c r="D181" s="31" t="n">
        <v>22331</v>
      </c>
      <c r="E181" s="31" t="n">
        <v>45714</v>
      </c>
      <c r="F181" s="32" t="s">
        <v>4520</v>
      </c>
      <c r="G181" s="0" t="n">
        <v>5</v>
      </c>
      <c r="H181" s="32" t="s">
        <v>4521</v>
      </c>
      <c r="I181" s="32" t="s">
        <v>4522</v>
      </c>
      <c r="J181" s="32" t="s">
        <v>3749</v>
      </c>
      <c r="K181" s="32" t="s">
        <v>2081</v>
      </c>
      <c r="L181" s="0" t="n">
        <v>228</v>
      </c>
      <c r="M181" s="32" t="s">
        <v>3966</v>
      </c>
      <c r="N181" s="32" t="s">
        <v>3751</v>
      </c>
      <c r="O181" s="32" t="n">
        <f aca="false">IF(I181="","",ROUND(MOD(TIMEVALUE(I181)-TIMEVALUE(F181),1)*1440,0))</f>
        <v>228</v>
      </c>
      <c r="P181" s="0" t="str">
        <f aca="false">IF(COUNTIF($A$2:A181,A181)&gt;1,"DUP","")</f>
        <v/>
      </c>
      <c r="Q181" s="0" t="str">
        <f aca="false">IF(O181="","",IF(O181&gt;240,"Y","N"))</f>
        <v>N</v>
      </c>
    </row>
    <row r="182" customFormat="false" ht="15" hidden="false" customHeight="false" outlineLevel="0" collapsed="false">
      <c r="A182" s="0" t="s">
        <v>4523</v>
      </c>
      <c r="B182" s="0" t="s">
        <v>3811</v>
      </c>
      <c r="C182" s="0" t="s">
        <v>934</v>
      </c>
      <c r="D182" s="31" t="n">
        <v>29896</v>
      </c>
      <c r="E182" s="31" t="n">
        <v>45591</v>
      </c>
      <c r="F182" s="32" t="s">
        <v>4524</v>
      </c>
      <c r="G182" s="0" t="n">
        <v>2</v>
      </c>
      <c r="H182" s="32" t="s">
        <v>4525</v>
      </c>
      <c r="I182" s="32" t="s">
        <v>3852</v>
      </c>
      <c r="J182" s="32" t="s">
        <v>3749</v>
      </c>
      <c r="K182" s="32" t="s">
        <v>2081</v>
      </c>
      <c r="L182" s="0" t="n">
        <v>166</v>
      </c>
      <c r="M182" s="32" t="s">
        <v>3877</v>
      </c>
      <c r="N182" s="32" t="s">
        <v>3751</v>
      </c>
      <c r="O182" s="32" t="n">
        <f aca="false">IF(I182="","",ROUND(MOD(TIMEVALUE(I182)-TIMEVALUE(F182),1)*1440,0))</f>
        <v>166</v>
      </c>
      <c r="P182" s="0" t="str">
        <f aca="false">IF(COUNTIF($A$2:A182,A182)&gt;1,"DUP","")</f>
        <v/>
      </c>
      <c r="Q182" s="0" t="str">
        <f aca="false">IF(O182="","",IF(O182&gt;240,"Y","N"))</f>
        <v>N</v>
      </c>
    </row>
    <row r="183" customFormat="false" ht="15" hidden="false" customHeight="false" outlineLevel="0" collapsed="false">
      <c r="A183" s="0" t="s">
        <v>4526</v>
      </c>
      <c r="B183" s="0" t="s">
        <v>4527</v>
      </c>
      <c r="C183" s="0" t="s">
        <v>866</v>
      </c>
      <c r="D183" s="31" t="n">
        <v>19648</v>
      </c>
      <c r="E183" s="31" t="n">
        <v>45663</v>
      </c>
      <c r="F183" s="32" t="s">
        <v>4528</v>
      </c>
      <c r="G183" s="0" t="n">
        <v>3</v>
      </c>
      <c r="H183" s="32" t="s">
        <v>4529</v>
      </c>
      <c r="I183" s="32" t="s">
        <v>4530</v>
      </c>
      <c r="J183" s="32" t="s">
        <v>3749</v>
      </c>
      <c r="K183" s="32" t="s">
        <v>2081</v>
      </c>
      <c r="L183" s="0" t="n">
        <v>99</v>
      </c>
      <c r="M183" s="32" t="s">
        <v>4255</v>
      </c>
      <c r="N183" s="32" t="s">
        <v>3751</v>
      </c>
      <c r="O183" s="32" t="n">
        <f aca="false">IF(I183="","",ROUND(MOD(TIMEVALUE(I183)-TIMEVALUE(F183),1)*1440,0))</f>
        <v>99</v>
      </c>
      <c r="P183" s="0" t="str">
        <f aca="false">IF(COUNTIF($A$2:A183,A183)&gt;1,"DUP","")</f>
        <v/>
      </c>
      <c r="Q183" s="0" t="str">
        <f aca="false">IF(O183="","",IF(O183&gt;240,"Y","N"))</f>
        <v>N</v>
      </c>
    </row>
    <row r="184" customFormat="false" ht="15" hidden="false" customHeight="false" outlineLevel="0" collapsed="false">
      <c r="A184" s="0" t="s">
        <v>4531</v>
      </c>
      <c r="C184" s="0" t="s">
        <v>2206</v>
      </c>
      <c r="D184" s="31" t="n">
        <v>32403</v>
      </c>
      <c r="E184" s="31" t="n">
        <v>45641</v>
      </c>
      <c r="F184" s="32" t="s">
        <v>4532</v>
      </c>
      <c r="G184" s="0" t="n">
        <v>4</v>
      </c>
      <c r="H184" s="32" t="s">
        <v>4533</v>
      </c>
      <c r="I184" s="32" t="s">
        <v>3859</v>
      </c>
      <c r="J184" s="32" t="s">
        <v>3763</v>
      </c>
      <c r="K184" s="32" t="s">
        <v>2081</v>
      </c>
      <c r="L184" s="0" t="n">
        <v>191</v>
      </c>
      <c r="M184" s="32" t="s">
        <v>3952</v>
      </c>
      <c r="N184" s="32" t="s">
        <v>3751</v>
      </c>
      <c r="O184" s="32" t="n">
        <f aca="false">IF(I184="","",ROUND(MOD(TIMEVALUE(I184)-TIMEVALUE(F184),1)*1440,0))</f>
        <v>191</v>
      </c>
      <c r="P184" s="0" t="str">
        <f aca="false">IF(COUNTIF($A$2:A184,A184)&gt;1,"DUP","")</f>
        <v/>
      </c>
      <c r="Q184" s="0" t="str">
        <f aca="false">IF(O184="","",IF(O184&gt;240,"Y","N"))</f>
        <v>N</v>
      </c>
    </row>
    <row r="185" customFormat="false" ht="15" hidden="false" customHeight="false" outlineLevel="0" collapsed="false">
      <c r="A185" s="0" t="s">
        <v>4534</v>
      </c>
      <c r="B185" s="0" t="s">
        <v>3766</v>
      </c>
      <c r="C185" s="0" t="s">
        <v>809</v>
      </c>
      <c r="D185" s="31" t="n">
        <v>38660</v>
      </c>
      <c r="E185" s="31" t="n">
        <v>45599</v>
      </c>
      <c r="F185" s="32" t="s">
        <v>4535</v>
      </c>
      <c r="G185" s="0" t="n">
        <v>4</v>
      </c>
      <c r="H185" s="32" t="s">
        <v>4495</v>
      </c>
      <c r="I185" s="32" t="s">
        <v>4411</v>
      </c>
      <c r="J185" s="32" t="s">
        <v>3749</v>
      </c>
      <c r="K185" s="32" t="s">
        <v>2081</v>
      </c>
      <c r="L185" s="0" t="n">
        <v>90</v>
      </c>
      <c r="M185" s="32" t="s">
        <v>3952</v>
      </c>
      <c r="N185" s="32" t="s">
        <v>1455</v>
      </c>
      <c r="O185" s="32" t="n">
        <f aca="false">IF(I185="","",ROUND(MOD(TIMEVALUE(I185)-TIMEVALUE(F185),1)*1440,0))</f>
        <v>90</v>
      </c>
      <c r="P185" s="0" t="str">
        <f aca="false">IF(COUNTIF($A$2:A185,A185)&gt;1,"DUP","")</f>
        <v/>
      </c>
      <c r="Q185" s="0" t="str">
        <f aca="false">IF(O185="","",IF(O185&gt;240,"Y","N"))</f>
        <v>N</v>
      </c>
    </row>
    <row r="186" customFormat="false" ht="15" hidden="false" customHeight="false" outlineLevel="0" collapsed="false">
      <c r="A186" s="0" t="s">
        <v>4536</v>
      </c>
      <c r="B186" s="0" t="s">
        <v>4183</v>
      </c>
      <c r="C186" s="0" t="s">
        <v>906</v>
      </c>
      <c r="D186" s="31" t="n">
        <v>25918</v>
      </c>
      <c r="E186" s="31" t="n">
        <v>45596</v>
      </c>
      <c r="F186" s="32" t="s">
        <v>3930</v>
      </c>
      <c r="G186" s="0" t="n">
        <v>3</v>
      </c>
      <c r="H186" s="32" t="s">
        <v>3970</v>
      </c>
      <c r="I186" s="32" t="s">
        <v>4096</v>
      </c>
      <c r="J186" s="32" t="s">
        <v>3749</v>
      </c>
      <c r="K186" s="32" t="s">
        <v>2081</v>
      </c>
      <c r="L186" s="0" t="n">
        <v>189</v>
      </c>
      <c r="M186" s="32" t="s">
        <v>3821</v>
      </c>
      <c r="N186" s="32" t="s">
        <v>3751</v>
      </c>
      <c r="O186" s="32" t="n">
        <f aca="false">IF(I186="","",ROUND(MOD(TIMEVALUE(I186)-TIMEVALUE(F186),1)*1440,0))</f>
        <v>189</v>
      </c>
      <c r="P186" s="0" t="str">
        <f aca="false">IF(COUNTIF($A$2:A186,A186)&gt;1,"DUP","")</f>
        <v/>
      </c>
      <c r="Q186" s="0" t="str">
        <f aca="false">IF(O186="","",IF(O186&gt;240,"Y","N"))</f>
        <v>N</v>
      </c>
    </row>
    <row r="187" customFormat="false" ht="15" hidden="false" customHeight="false" outlineLevel="0" collapsed="false">
      <c r="A187" s="0" t="s">
        <v>4537</v>
      </c>
      <c r="B187" s="0" t="s">
        <v>4431</v>
      </c>
      <c r="C187" s="0" t="s">
        <v>1398</v>
      </c>
      <c r="D187" s="31" t="n">
        <v>24191</v>
      </c>
      <c r="E187" s="31" t="n">
        <v>45623</v>
      </c>
      <c r="F187" s="32" t="s">
        <v>4197</v>
      </c>
      <c r="G187" s="0" t="n">
        <v>3</v>
      </c>
      <c r="H187" s="32" t="s">
        <v>4538</v>
      </c>
      <c r="I187" s="32" t="s">
        <v>4412</v>
      </c>
      <c r="J187" s="32" t="s">
        <v>3749</v>
      </c>
      <c r="K187" s="32" t="s">
        <v>2081</v>
      </c>
      <c r="L187" s="0" t="n">
        <v>137</v>
      </c>
      <c r="M187" s="32" t="s">
        <v>3770</v>
      </c>
      <c r="N187" s="32" t="s">
        <v>3751</v>
      </c>
      <c r="O187" s="32" t="n">
        <f aca="false">IF(I187="","",ROUND(MOD(TIMEVALUE(I187)-TIMEVALUE(F187),1)*1440,0))</f>
        <v>137</v>
      </c>
      <c r="P187" s="0" t="str">
        <f aca="false">IF(COUNTIF($A$2:A187,A187)&gt;1,"DUP","")</f>
        <v/>
      </c>
      <c r="Q187" s="0" t="str">
        <f aca="false">IF(O187="","",IF(O187&gt;240,"Y","N"))</f>
        <v>N</v>
      </c>
    </row>
    <row r="188" customFormat="false" ht="15" hidden="false" customHeight="false" outlineLevel="0" collapsed="false">
      <c r="A188" s="0" t="s">
        <v>4539</v>
      </c>
      <c r="B188" s="0" t="s">
        <v>3789</v>
      </c>
      <c r="C188" s="0" t="s">
        <v>849</v>
      </c>
      <c r="D188" s="31" t="n">
        <v>23456</v>
      </c>
      <c r="E188" s="31" t="n">
        <v>45731</v>
      </c>
      <c r="F188" s="32" t="s">
        <v>4391</v>
      </c>
      <c r="G188" s="0" t="n">
        <v>4</v>
      </c>
      <c r="H188" s="32" t="s">
        <v>4540</v>
      </c>
      <c r="I188" s="32" t="s">
        <v>4226</v>
      </c>
      <c r="J188" s="32" t="s">
        <v>3749</v>
      </c>
      <c r="K188" s="32" t="s">
        <v>2081</v>
      </c>
      <c r="L188" s="0" t="n">
        <v>185</v>
      </c>
      <c r="M188" s="32" t="s">
        <v>3887</v>
      </c>
      <c r="N188" s="32" t="s">
        <v>3751</v>
      </c>
      <c r="O188" s="32" t="n">
        <f aca="false">IF(I188="","",ROUND(MOD(TIMEVALUE(I188)-TIMEVALUE(F188),1)*1440,0))</f>
        <v>185</v>
      </c>
      <c r="P188" s="0" t="str">
        <f aca="false">IF(COUNTIF($A$2:A188,A188)&gt;1,"DUP","")</f>
        <v/>
      </c>
      <c r="Q188" s="0" t="str">
        <f aca="false">IF(O188="","",IF(O188&gt;240,"Y","N"))</f>
        <v>N</v>
      </c>
    </row>
    <row r="189" customFormat="false" ht="15" hidden="false" customHeight="false" outlineLevel="0" collapsed="false">
      <c r="A189" s="0" t="s">
        <v>4541</v>
      </c>
      <c r="B189" s="0" t="s">
        <v>4542</v>
      </c>
      <c r="C189" s="0" t="s">
        <v>942</v>
      </c>
      <c r="D189" s="31" t="n">
        <v>37370</v>
      </c>
      <c r="E189" s="31" t="n">
        <v>45670</v>
      </c>
      <c r="F189" s="32" t="s">
        <v>3910</v>
      </c>
      <c r="G189" s="0" t="n">
        <v>3</v>
      </c>
      <c r="H189" s="32" t="s">
        <v>4543</v>
      </c>
      <c r="I189" s="32" t="s">
        <v>4544</v>
      </c>
      <c r="J189" s="32" t="s">
        <v>3763</v>
      </c>
      <c r="K189" s="32" t="s">
        <v>2081</v>
      </c>
      <c r="L189" s="0" t="n">
        <v>63</v>
      </c>
      <c r="M189" s="32" t="s">
        <v>4206</v>
      </c>
      <c r="N189" s="32" t="s">
        <v>3751</v>
      </c>
      <c r="O189" s="32" t="n">
        <f aca="false">IF(I189="","",ROUND(MOD(TIMEVALUE(I189)-TIMEVALUE(F189),1)*1440,0))</f>
        <v>63</v>
      </c>
      <c r="P189" s="0" t="str">
        <f aca="false">IF(COUNTIF($A$2:A189,A189)&gt;1,"DUP","")</f>
        <v/>
      </c>
      <c r="Q189" s="0" t="str">
        <f aca="false">IF(O189="","",IF(O189&gt;240,"Y","N"))</f>
        <v>N</v>
      </c>
    </row>
    <row r="190" customFormat="false" ht="15" hidden="false" customHeight="false" outlineLevel="0" collapsed="false">
      <c r="A190" s="0" t="s">
        <v>4545</v>
      </c>
      <c r="B190" s="0" t="s">
        <v>4546</v>
      </c>
      <c r="C190" s="0" t="s">
        <v>946</v>
      </c>
      <c r="D190" s="31" t="n">
        <v>20314</v>
      </c>
      <c r="E190" s="31" t="n">
        <v>45642</v>
      </c>
      <c r="F190" s="32" t="s">
        <v>4177</v>
      </c>
      <c r="G190" s="0" t="n">
        <v>4</v>
      </c>
      <c r="H190" s="32" t="s">
        <v>4547</v>
      </c>
      <c r="I190" s="32" t="s">
        <v>3934</v>
      </c>
      <c r="J190" s="32" t="s">
        <v>2307</v>
      </c>
      <c r="K190" s="32" t="s">
        <v>2106</v>
      </c>
      <c r="L190" s="0" t="n">
        <v>297</v>
      </c>
      <c r="M190" s="32" t="s">
        <v>4165</v>
      </c>
      <c r="N190" s="32" t="s">
        <v>3751</v>
      </c>
      <c r="O190" s="32" t="n">
        <f aca="false">IF(I190="","",ROUND(MOD(TIMEVALUE(I190)-TIMEVALUE(F190),1)*1440,0))</f>
        <v>297</v>
      </c>
      <c r="P190" s="0" t="str">
        <f aca="false">IF(COUNTIF($A$2:A190,A190)&gt;1,"DUP","")</f>
        <v/>
      </c>
      <c r="Q190" s="0" t="str">
        <f aca="false">IF(O190="","",IF(O190&gt;240,"Y","N"))</f>
        <v>Y</v>
      </c>
    </row>
    <row r="191" customFormat="false" ht="15" hidden="false" customHeight="false" outlineLevel="0" collapsed="false">
      <c r="A191" s="0" t="s">
        <v>4548</v>
      </c>
      <c r="B191" s="0" t="s">
        <v>3932</v>
      </c>
      <c r="C191" s="0" t="s">
        <v>1009</v>
      </c>
      <c r="D191" s="31" t="n">
        <v>21706</v>
      </c>
      <c r="E191" s="31" t="n">
        <v>45706</v>
      </c>
      <c r="F191" s="32" t="s">
        <v>4549</v>
      </c>
      <c r="G191" s="0" t="n">
        <v>3</v>
      </c>
      <c r="H191" s="32" t="s">
        <v>4550</v>
      </c>
      <c r="I191" s="32" t="s">
        <v>4551</v>
      </c>
      <c r="J191" s="32" t="s">
        <v>3763</v>
      </c>
      <c r="K191" s="32" t="s">
        <v>2081</v>
      </c>
      <c r="L191" s="0" t="n">
        <v>184</v>
      </c>
      <c r="M191" s="32" t="s">
        <v>3946</v>
      </c>
      <c r="N191" s="32" t="s">
        <v>3751</v>
      </c>
      <c r="O191" s="32" t="n">
        <f aca="false">IF(I191="","",ROUND(MOD(TIMEVALUE(I191)-TIMEVALUE(F191),1)*1440,0))</f>
        <v>184</v>
      </c>
      <c r="P191" s="0" t="str">
        <f aca="false">IF(COUNTIF($A$2:A191,A191)&gt;1,"DUP","")</f>
        <v/>
      </c>
      <c r="Q191" s="0" t="str">
        <f aca="false">IF(O191="","",IF(O191&gt;240,"Y","N"))</f>
        <v>N</v>
      </c>
    </row>
    <row r="192" customFormat="false" ht="15" hidden="false" customHeight="false" outlineLevel="0" collapsed="false">
      <c r="A192" s="0" t="s">
        <v>4552</v>
      </c>
      <c r="B192" s="0" t="s">
        <v>4553</v>
      </c>
      <c r="C192" s="0" t="s">
        <v>918</v>
      </c>
      <c r="D192" s="31" t="n">
        <v>33904</v>
      </c>
      <c r="E192" s="31" t="n">
        <v>45664</v>
      </c>
      <c r="F192" s="32" t="s">
        <v>4554</v>
      </c>
      <c r="G192" s="0" t="n">
        <v>4</v>
      </c>
      <c r="H192" s="32" t="s">
        <v>4555</v>
      </c>
      <c r="I192" s="32" t="s">
        <v>4463</v>
      </c>
      <c r="J192" s="32" t="s">
        <v>3763</v>
      </c>
      <c r="K192" s="32" t="s">
        <v>2081</v>
      </c>
      <c r="L192" s="0" t="n">
        <v>166</v>
      </c>
      <c r="M192" s="32" t="s">
        <v>4165</v>
      </c>
      <c r="N192" s="32" t="s">
        <v>3751</v>
      </c>
      <c r="O192" s="32" t="n">
        <f aca="false">IF(I192="","",ROUND(MOD(TIMEVALUE(I192)-TIMEVALUE(F192),1)*1440,0))</f>
        <v>166</v>
      </c>
      <c r="P192" s="0" t="str">
        <f aca="false">IF(COUNTIF($A$2:A192,A192)&gt;1,"DUP","")</f>
        <v/>
      </c>
      <c r="Q192" s="0" t="str">
        <f aca="false">IF(O192="","",IF(O192&gt;240,"Y","N"))</f>
        <v>N</v>
      </c>
    </row>
    <row r="193" customFormat="false" ht="15" hidden="false" customHeight="false" outlineLevel="0" collapsed="false">
      <c r="A193" s="0" t="s">
        <v>4556</v>
      </c>
      <c r="B193" s="0" t="s">
        <v>4214</v>
      </c>
      <c r="C193" s="0" t="s">
        <v>2178</v>
      </c>
      <c r="D193" s="31" t="n">
        <v>39127</v>
      </c>
      <c r="E193" s="31" t="n">
        <v>45625</v>
      </c>
      <c r="F193" s="32" t="s">
        <v>4557</v>
      </c>
      <c r="G193" s="0" t="n">
        <v>4</v>
      </c>
      <c r="H193" s="32" t="s">
        <v>4558</v>
      </c>
      <c r="I193" s="32" t="s">
        <v>4559</v>
      </c>
      <c r="J193" s="32" t="s">
        <v>3749</v>
      </c>
      <c r="K193" s="32" t="s">
        <v>2081</v>
      </c>
      <c r="L193" s="0" t="n">
        <v>110</v>
      </c>
      <c r="M193" s="32" t="s">
        <v>3750</v>
      </c>
      <c r="N193" s="32" t="s">
        <v>3751</v>
      </c>
      <c r="O193" s="32" t="n">
        <f aca="false">IF(I193="","",ROUND(MOD(TIMEVALUE(I193)-TIMEVALUE(F193),1)*1440,0))</f>
        <v>110</v>
      </c>
      <c r="P193" s="0" t="str">
        <f aca="false">IF(COUNTIF($A$2:A193,A193)&gt;1,"DUP","")</f>
        <v/>
      </c>
      <c r="Q193" s="0" t="str">
        <f aca="false">IF(O193="","",IF(O193&gt;240,"Y","N"))</f>
        <v>N</v>
      </c>
    </row>
    <row r="194" customFormat="false" ht="15" hidden="false" customHeight="false" outlineLevel="0" collapsed="false">
      <c r="A194" s="0" t="s">
        <v>4560</v>
      </c>
      <c r="B194" s="0" t="s">
        <v>4467</v>
      </c>
      <c r="C194" s="0" t="s">
        <v>1402</v>
      </c>
      <c r="D194" s="31" t="n">
        <v>27471</v>
      </c>
      <c r="E194" s="31" t="n">
        <v>45672</v>
      </c>
      <c r="F194" s="32" t="s">
        <v>4136</v>
      </c>
      <c r="G194" s="0" t="n">
        <v>2</v>
      </c>
      <c r="I194" s="32" t="s">
        <v>4279</v>
      </c>
      <c r="J194" s="32" t="s">
        <v>3763</v>
      </c>
      <c r="K194" s="32" t="s">
        <v>2081</v>
      </c>
      <c r="L194" s="0" t="n">
        <v>194</v>
      </c>
      <c r="M194" s="32" t="s">
        <v>3757</v>
      </c>
      <c r="N194" s="32" t="s">
        <v>3751</v>
      </c>
      <c r="O194" s="32" t="n">
        <f aca="false">IF(I194="","",ROUND(MOD(TIMEVALUE(I194)-TIMEVALUE(F194),1)*1440,0))</f>
        <v>194</v>
      </c>
      <c r="P194" s="0" t="str">
        <f aca="false">IF(COUNTIF($A$2:A194,A194)&gt;1,"DUP","")</f>
        <v/>
      </c>
      <c r="Q194" s="0" t="str">
        <f aca="false">IF(O194="","",IF(O194&gt;240,"Y","N"))</f>
        <v>N</v>
      </c>
    </row>
    <row r="195" customFormat="false" ht="15" hidden="false" customHeight="false" outlineLevel="0" collapsed="false">
      <c r="A195" s="0" t="s">
        <v>4561</v>
      </c>
      <c r="C195" s="0" t="s">
        <v>958</v>
      </c>
      <c r="D195" s="31" t="n">
        <v>26379</v>
      </c>
      <c r="E195" s="31" t="n">
        <v>45626</v>
      </c>
      <c r="F195" s="32" t="s">
        <v>4562</v>
      </c>
      <c r="G195" s="0" t="n">
        <v>3</v>
      </c>
      <c r="H195" s="32" t="s">
        <v>4563</v>
      </c>
      <c r="I195" s="32" t="s">
        <v>4338</v>
      </c>
      <c r="J195" s="32" t="s">
        <v>2307</v>
      </c>
      <c r="K195" s="32" t="s">
        <v>2081</v>
      </c>
      <c r="L195" s="0" t="n">
        <v>84</v>
      </c>
      <c r="M195" s="32" t="s">
        <v>4106</v>
      </c>
      <c r="N195" s="32" t="s">
        <v>3751</v>
      </c>
      <c r="O195" s="32" t="n">
        <f aca="false">IF(I195="","",ROUND(MOD(TIMEVALUE(I195)-TIMEVALUE(F195),1)*1440,0))</f>
        <v>84</v>
      </c>
      <c r="P195" s="0" t="str">
        <f aca="false">IF(COUNTIF($A$2:A195,A195)&gt;1,"DUP","")</f>
        <v/>
      </c>
      <c r="Q195" s="0" t="str">
        <f aca="false">IF(O195="","",IF(O195&gt;240,"Y","N"))</f>
        <v>N</v>
      </c>
    </row>
    <row r="196" customFormat="false" ht="15" hidden="false" customHeight="false" outlineLevel="0" collapsed="false">
      <c r="A196" s="0" t="s">
        <v>4564</v>
      </c>
      <c r="C196" s="0" t="s">
        <v>918</v>
      </c>
      <c r="D196" s="31" t="n">
        <v>38584</v>
      </c>
      <c r="E196" s="31" t="n">
        <v>45585</v>
      </c>
      <c r="F196" s="32" t="s">
        <v>3812</v>
      </c>
      <c r="G196" s="0" t="n">
        <v>5</v>
      </c>
      <c r="H196" s="32" t="s">
        <v>4565</v>
      </c>
      <c r="I196" s="32" t="s">
        <v>4566</v>
      </c>
      <c r="J196" s="32" t="s">
        <v>2307</v>
      </c>
      <c r="K196" s="32" t="s">
        <v>2081</v>
      </c>
      <c r="L196" s="0" t="n">
        <v>116</v>
      </c>
      <c r="M196" s="32" t="s">
        <v>3827</v>
      </c>
      <c r="N196" s="32" t="s">
        <v>3751</v>
      </c>
      <c r="O196" s="32" t="n">
        <f aca="false">IF(I196="","",ROUND(MOD(TIMEVALUE(I196)-TIMEVALUE(F196),1)*1440,0))</f>
        <v>116</v>
      </c>
      <c r="P196" s="0" t="str">
        <f aca="false">IF(COUNTIF($A$2:A196,A196)&gt;1,"DUP","")</f>
        <v/>
      </c>
      <c r="Q196" s="0" t="str">
        <f aca="false">IF(O196="","",IF(O196&gt;240,"Y","N"))</f>
        <v>N</v>
      </c>
    </row>
    <row r="197" customFormat="false" ht="15" hidden="false" customHeight="false" outlineLevel="0" collapsed="false">
      <c r="A197" s="0" t="s">
        <v>4567</v>
      </c>
      <c r="C197" s="0" t="s">
        <v>817</v>
      </c>
      <c r="D197" s="31" t="n">
        <v>24458</v>
      </c>
      <c r="E197" s="31" t="n">
        <v>45605</v>
      </c>
      <c r="F197" s="32" t="s">
        <v>4568</v>
      </c>
      <c r="G197" s="0" t="n">
        <v>4</v>
      </c>
      <c r="H197" s="32" t="s">
        <v>4569</v>
      </c>
      <c r="I197" s="32" t="s">
        <v>4570</v>
      </c>
      <c r="J197" s="32" t="s">
        <v>3793</v>
      </c>
      <c r="K197" s="32" t="s">
        <v>2081</v>
      </c>
      <c r="L197" s="0" t="n">
        <v>178</v>
      </c>
      <c r="M197" s="32" t="s">
        <v>3776</v>
      </c>
      <c r="N197" s="32" t="s">
        <v>826</v>
      </c>
      <c r="O197" s="32" t="n">
        <f aca="false">IF(I197="","",ROUND(MOD(TIMEVALUE(I197)-TIMEVALUE(F197),1)*1440,0))</f>
        <v>178</v>
      </c>
      <c r="P197" s="0" t="str">
        <f aca="false">IF(COUNTIF($A$2:A197,A197)&gt;1,"DUP","")</f>
        <v/>
      </c>
      <c r="Q197" s="0" t="str">
        <f aca="false">IF(O197="","",IF(O197&gt;240,"Y","N"))</f>
        <v>N</v>
      </c>
    </row>
    <row r="198" customFormat="false" ht="15" hidden="false" customHeight="false" outlineLevel="0" collapsed="false">
      <c r="A198" s="0" t="s">
        <v>4571</v>
      </c>
      <c r="B198" s="0" t="s">
        <v>4467</v>
      </c>
      <c r="C198" s="0" t="s">
        <v>2206</v>
      </c>
      <c r="D198" s="31" t="n">
        <v>27411</v>
      </c>
      <c r="E198" s="31" t="n">
        <v>45572</v>
      </c>
      <c r="F198" s="32" t="s">
        <v>4572</v>
      </c>
      <c r="G198" s="0" t="n">
        <v>4</v>
      </c>
      <c r="H198" s="32" t="s">
        <v>4573</v>
      </c>
      <c r="I198" s="32" t="s">
        <v>4574</v>
      </c>
      <c r="J198" s="32" t="s">
        <v>3793</v>
      </c>
      <c r="K198" s="32" t="s">
        <v>2081</v>
      </c>
      <c r="L198" s="0" t="n">
        <v>106</v>
      </c>
      <c r="M198" s="32" t="s">
        <v>3887</v>
      </c>
      <c r="N198" s="32" t="s">
        <v>747</v>
      </c>
      <c r="O198" s="32" t="n">
        <f aca="false">IF(I198="","",ROUND(MOD(TIMEVALUE(I198)-TIMEVALUE(F198),1)*1440,0))</f>
        <v>106</v>
      </c>
      <c r="P198" s="0" t="str">
        <f aca="false">IF(COUNTIF($A$2:A198,A198)&gt;1,"DUP","")</f>
        <v/>
      </c>
      <c r="Q198" s="0" t="str">
        <f aca="false">IF(O198="","",IF(O198&gt;240,"Y","N"))</f>
        <v>N</v>
      </c>
    </row>
    <row r="199" customFormat="false" ht="15" hidden="false" customHeight="false" outlineLevel="0" collapsed="false">
      <c r="A199" s="0" t="s">
        <v>4575</v>
      </c>
      <c r="B199" s="0" t="s">
        <v>4273</v>
      </c>
      <c r="C199" s="0" t="s">
        <v>926</v>
      </c>
      <c r="D199" s="31" t="n">
        <v>30091</v>
      </c>
      <c r="E199" s="31" t="n">
        <v>45625</v>
      </c>
      <c r="F199" s="32" t="s">
        <v>4576</v>
      </c>
      <c r="G199" s="0" t="n">
        <v>4</v>
      </c>
      <c r="H199" s="32" t="s">
        <v>4577</v>
      </c>
      <c r="I199" s="32" t="s">
        <v>4578</v>
      </c>
      <c r="J199" s="32" t="s">
        <v>3749</v>
      </c>
      <c r="K199" s="32" t="s">
        <v>2081</v>
      </c>
      <c r="L199" s="0" t="n">
        <v>145</v>
      </c>
      <c r="M199" s="32" t="s">
        <v>3866</v>
      </c>
      <c r="N199" s="32" t="s">
        <v>3751</v>
      </c>
      <c r="O199" s="32" t="n">
        <f aca="false">IF(I199="","",ROUND(MOD(TIMEVALUE(I199)-TIMEVALUE(F199),1)*1440,0))</f>
        <v>145</v>
      </c>
      <c r="P199" s="0" t="str">
        <f aca="false">IF(COUNTIF($A$2:A199,A199)&gt;1,"DUP","")</f>
        <v/>
      </c>
      <c r="Q199" s="0" t="str">
        <f aca="false">IF(O199="","",IF(O199&gt;240,"Y","N"))</f>
        <v>N</v>
      </c>
    </row>
    <row r="200" customFormat="false" ht="15" hidden="false" customHeight="false" outlineLevel="0" collapsed="false">
      <c r="A200" s="0" t="s">
        <v>4579</v>
      </c>
      <c r="B200" s="0" t="s">
        <v>4183</v>
      </c>
      <c r="C200" s="0" t="s">
        <v>1013</v>
      </c>
      <c r="D200" s="31" t="n">
        <v>17737</v>
      </c>
      <c r="E200" s="31" t="n">
        <v>45588</v>
      </c>
      <c r="F200" s="32" t="s">
        <v>4030</v>
      </c>
      <c r="G200" s="0" t="n">
        <v>4</v>
      </c>
      <c r="H200" s="32" t="s">
        <v>4580</v>
      </c>
      <c r="I200" s="32" t="s">
        <v>4581</v>
      </c>
      <c r="J200" s="32" t="s">
        <v>3793</v>
      </c>
      <c r="K200" s="32" t="s">
        <v>2081</v>
      </c>
      <c r="L200" s="0" t="n">
        <v>97</v>
      </c>
      <c r="M200" s="32" t="s">
        <v>4582</v>
      </c>
      <c r="N200" s="32" t="s">
        <v>776</v>
      </c>
      <c r="O200" s="32" t="n">
        <f aca="false">IF(I200="","",ROUND(MOD(TIMEVALUE(I200)-TIMEVALUE(F200),1)*1440,0))</f>
        <v>97</v>
      </c>
      <c r="P200" s="0" t="str">
        <f aca="false">IF(COUNTIF($A$2:A200,A200)&gt;1,"DUP","")</f>
        <v/>
      </c>
      <c r="Q200" s="0" t="str">
        <f aca="false">IF(O200="","",IF(O200&gt;240,"Y","N"))</f>
        <v>N</v>
      </c>
    </row>
    <row r="201" customFormat="false" ht="15" hidden="false" customHeight="false" outlineLevel="0" collapsed="false">
      <c r="A201" s="0" t="s">
        <v>4583</v>
      </c>
      <c r="C201" s="0" t="s">
        <v>1013</v>
      </c>
      <c r="D201" s="31" t="n">
        <v>27648</v>
      </c>
      <c r="E201" s="31" t="n">
        <v>45658</v>
      </c>
      <c r="F201" s="32" t="s">
        <v>4186</v>
      </c>
      <c r="G201" s="0" t="n">
        <v>4</v>
      </c>
      <c r="H201" s="32" t="s">
        <v>4380</v>
      </c>
      <c r="I201" s="32" t="s">
        <v>4155</v>
      </c>
      <c r="J201" s="32" t="s">
        <v>3793</v>
      </c>
      <c r="K201" s="32" t="s">
        <v>2081</v>
      </c>
      <c r="L201" s="0" t="n">
        <v>177</v>
      </c>
      <c r="M201" s="32" t="s">
        <v>3843</v>
      </c>
      <c r="N201" s="32" t="s">
        <v>747</v>
      </c>
      <c r="O201" s="32" t="n">
        <f aca="false">IF(I201="","",ROUND(MOD(TIMEVALUE(I201)-TIMEVALUE(F201),1)*1440,0))</f>
        <v>177</v>
      </c>
      <c r="P201" s="0" t="str">
        <f aca="false">IF(COUNTIF($A$2:A201,A201)&gt;1,"DUP","")</f>
        <v/>
      </c>
      <c r="Q201" s="0" t="str">
        <f aca="false">IF(O201="","",IF(O201&gt;240,"Y","N"))</f>
        <v>N</v>
      </c>
    </row>
    <row r="202" customFormat="false" ht="15" hidden="false" customHeight="false" outlineLevel="0" collapsed="false">
      <c r="A202" s="0" t="s">
        <v>4584</v>
      </c>
      <c r="C202" s="0" t="s">
        <v>1460</v>
      </c>
      <c r="D202" s="31" t="n">
        <v>27184</v>
      </c>
      <c r="E202" s="31" t="n">
        <v>45672</v>
      </c>
      <c r="F202" s="32" t="s">
        <v>4585</v>
      </c>
      <c r="G202" s="0" t="n">
        <v>3</v>
      </c>
      <c r="H202" s="32" t="s">
        <v>4586</v>
      </c>
      <c r="I202" s="32" t="s">
        <v>4587</v>
      </c>
      <c r="J202" s="32" t="s">
        <v>2307</v>
      </c>
      <c r="K202" s="32" t="s">
        <v>2081</v>
      </c>
      <c r="L202" s="0" t="n">
        <v>62</v>
      </c>
      <c r="M202" s="32" t="s">
        <v>4313</v>
      </c>
      <c r="N202" s="32" t="s">
        <v>3751</v>
      </c>
      <c r="O202" s="32" t="n">
        <f aca="false">IF(I202="","",ROUND(MOD(TIMEVALUE(I202)-TIMEVALUE(F202),1)*1440,0))</f>
        <v>62</v>
      </c>
      <c r="P202" s="0" t="str">
        <f aca="false">IF(COUNTIF($A$2:A202,A202)&gt;1,"DUP","")</f>
        <v/>
      </c>
      <c r="Q202" s="0" t="str">
        <f aca="false">IF(O202="","",IF(O202&gt;240,"Y","N"))</f>
        <v>N</v>
      </c>
    </row>
    <row r="203" customFormat="false" ht="15" hidden="false" customHeight="false" outlineLevel="0" collapsed="false">
      <c r="A203" s="0" t="s">
        <v>4588</v>
      </c>
      <c r="B203" s="0" t="s">
        <v>3745</v>
      </c>
      <c r="C203" s="0" t="s">
        <v>2178</v>
      </c>
      <c r="D203" s="31" t="n">
        <v>15824</v>
      </c>
      <c r="E203" s="31" t="n">
        <v>45692</v>
      </c>
      <c r="F203" s="32" t="s">
        <v>4589</v>
      </c>
      <c r="G203" s="0" t="n">
        <v>5</v>
      </c>
      <c r="H203" s="32" t="s">
        <v>4085</v>
      </c>
      <c r="I203" s="32" t="s">
        <v>4590</v>
      </c>
      <c r="J203" s="32" t="s">
        <v>2307</v>
      </c>
      <c r="K203" s="32" t="s">
        <v>2081</v>
      </c>
      <c r="L203" s="0" t="n">
        <v>56</v>
      </c>
      <c r="M203" s="32" t="s">
        <v>3770</v>
      </c>
      <c r="N203" s="32" t="s">
        <v>3751</v>
      </c>
      <c r="O203" s="32" t="n">
        <f aca="false">IF(I203="","",ROUND(MOD(TIMEVALUE(I203)-TIMEVALUE(F203),1)*1440,0))</f>
        <v>56</v>
      </c>
      <c r="P203" s="0" t="str">
        <f aca="false">IF(COUNTIF($A$2:A203,A203)&gt;1,"DUP","")</f>
        <v/>
      </c>
      <c r="Q203" s="0" t="str">
        <f aca="false">IF(O203="","",IF(O203&gt;240,"Y","N"))</f>
        <v>N</v>
      </c>
    </row>
    <row r="204" customFormat="false" ht="15" hidden="false" customHeight="false" outlineLevel="0" collapsed="false">
      <c r="A204" s="0" t="s">
        <v>4591</v>
      </c>
      <c r="B204" s="0" t="s">
        <v>4592</v>
      </c>
      <c r="C204" s="0" t="s">
        <v>930</v>
      </c>
      <c r="D204" s="31" t="n">
        <v>32420</v>
      </c>
      <c r="E204" s="31" t="n">
        <v>45589</v>
      </c>
      <c r="F204" s="32" t="s">
        <v>4593</v>
      </c>
      <c r="G204" s="0" t="n">
        <v>4</v>
      </c>
      <c r="H204" s="32" t="s">
        <v>4594</v>
      </c>
      <c r="I204" s="32" t="s">
        <v>4595</v>
      </c>
      <c r="J204" s="32" t="s">
        <v>2307</v>
      </c>
      <c r="K204" s="32" t="s">
        <v>2081</v>
      </c>
      <c r="L204" s="0" t="n">
        <v>205</v>
      </c>
      <c r="M204" s="32" t="s">
        <v>4047</v>
      </c>
      <c r="N204" s="32" t="s">
        <v>3751</v>
      </c>
      <c r="O204" s="32" t="n">
        <f aca="false">IF(I204="","",ROUND(MOD(TIMEVALUE(I204)-TIMEVALUE(F204),1)*1440,0))</f>
        <v>205</v>
      </c>
      <c r="P204" s="0" t="str">
        <f aca="false">IF(COUNTIF($A$2:A204,A204)&gt;1,"DUP","")</f>
        <v/>
      </c>
      <c r="Q204" s="0" t="str">
        <f aca="false">IF(O204="","",IF(O204&gt;240,"Y","N"))</f>
        <v>N</v>
      </c>
    </row>
    <row r="205" customFormat="false" ht="15" hidden="false" customHeight="false" outlineLevel="0" collapsed="false">
      <c r="A205" s="0" t="s">
        <v>4596</v>
      </c>
      <c r="B205" s="0" t="s">
        <v>4229</v>
      </c>
      <c r="C205" s="0" t="s">
        <v>910</v>
      </c>
      <c r="D205" s="31" t="n">
        <v>23298</v>
      </c>
      <c r="E205" s="31" t="n">
        <v>45599</v>
      </c>
      <c r="F205" s="32" t="s">
        <v>4597</v>
      </c>
      <c r="G205" s="0" t="n">
        <v>4</v>
      </c>
      <c r="H205" s="32" t="s">
        <v>3895</v>
      </c>
      <c r="I205" s="32" t="s">
        <v>4598</v>
      </c>
      <c r="J205" s="32" t="s">
        <v>3763</v>
      </c>
      <c r="K205" s="32" t="s">
        <v>2081</v>
      </c>
      <c r="L205" s="0" t="n">
        <v>75</v>
      </c>
      <c r="M205" s="32" t="s">
        <v>3882</v>
      </c>
      <c r="N205" s="32" t="s">
        <v>3751</v>
      </c>
      <c r="O205" s="32" t="n">
        <f aca="false">IF(I205="","",ROUND(MOD(TIMEVALUE(I205)-TIMEVALUE(F205),1)*1440,0))</f>
        <v>75</v>
      </c>
      <c r="P205" s="0" t="str">
        <f aca="false">IF(COUNTIF($A$2:A205,A205)&gt;1,"DUP","")</f>
        <v/>
      </c>
      <c r="Q205" s="0" t="str">
        <f aca="false">IF(O205="","",IF(O205&gt;240,"Y","N"))</f>
        <v>N</v>
      </c>
    </row>
    <row r="206" customFormat="false" ht="15" hidden="false" customHeight="false" outlineLevel="0" collapsed="false">
      <c r="A206" s="0" t="s">
        <v>4599</v>
      </c>
      <c r="B206" s="0" t="s">
        <v>4436</v>
      </c>
      <c r="C206" s="0" t="s">
        <v>1390</v>
      </c>
      <c r="D206" s="31" t="n">
        <v>35706</v>
      </c>
      <c r="E206" s="31" t="n">
        <v>45582</v>
      </c>
      <c r="F206" s="32" t="s">
        <v>4600</v>
      </c>
      <c r="G206" s="0" t="n">
        <v>5</v>
      </c>
      <c r="H206" s="32" t="s">
        <v>4601</v>
      </c>
      <c r="I206" s="32" t="s">
        <v>4167</v>
      </c>
      <c r="J206" s="32" t="s">
        <v>3749</v>
      </c>
      <c r="K206" s="32" t="s">
        <v>2081</v>
      </c>
      <c r="L206" s="0" t="n">
        <v>76</v>
      </c>
      <c r="M206" s="32" t="s">
        <v>3787</v>
      </c>
      <c r="N206" s="32" t="s">
        <v>3751</v>
      </c>
      <c r="O206" s="32" t="n">
        <f aca="false">IF(I206="","",ROUND(MOD(TIMEVALUE(I206)-TIMEVALUE(F206),1)*1440,0))</f>
        <v>76</v>
      </c>
      <c r="P206" s="0" t="str">
        <f aca="false">IF(COUNTIF($A$2:A206,A206)&gt;1,"DUP","")</f>
        <v/>
      </c>
      <c r="Q206" s="0" t="str">
        <f aca="false">IF(O206="","",IF(O206&gt;240,"Y","N"))</f>
        <v>N</v>
      </c>
    </row>
    <row r="207" customFormat="false" ht="15" hidden="false" customHeight="false" outlineLevel="0" collapsed="false">
      <c r="A207" s="0" t="s">
        <v>4602</v>
      </c>
      <c r="B207" s="0" t="s">
        <v>4603</v>
      </c>
      <c r="C207" s="0" t="s">
        <v>894</v>
      </c>
      <c r="D207" s="31" t="n">
        <v>17826</v>
      </c>
      <c r="E207" s="31" t="n">
        <v>45649</v>
      </c>
      <c r="F207" s="32" t="s">
        <v>4604</v>
      </c>
      <c r="G207" s="0" t="n">
        <v>1</v>
      </c>
      <c r="H207" s="32" t="s">
        <v>4604</v>
      </c>
      <c r="I207" s="32" t="s">
        <v>4605</v>
      </c>
      <c r="J207" s="32" t="s">
        <v>3749</v>
      </c>
      <c r="K207" s="32" t="s">
        <v>2081</v>
      </c>
      <c r="L207" s="0" t="n">
        <v>159</v>
      </c>
      <c r="M207" s="32" t="s">
        <v>4285</v>
      </c>
      <c r="N207" s="32" t="s">
        <v>3751</v>
      </c>
      <c r="O207" s="32" t="n">
        <f aca="false">IF(I207="","",ROUND(MOD(TIMEVALUE(I207)-TIMEVALUE(F207),1)*1440,0))</f>
        <v>159</v>
      </c>
      <c r="P207" s="0" t="str">
        <f aca="false">IF(COUNTIF($A$2:A207,A207)&gt;1,"DUP","")</f>
        <v/>
      </c>
      <c r="Q207" s="0" t="str">
        <f aca="false">IF(O207="","",IF(O207&gt;240,"Y","N"))</f>
        <v>N</v>
      </c>
    </row>
    <row r="208" customFormat="false" ht="15" hidden="false" customHeight="false" outlineLevel="0" collapsed="false">
      <c r="A208" s="0" t="s">
        <v>4606</v>
      </c>
      <c r="B208" s="0" t="s">
        <v>3894</v>
      </c>
      <c r="C208" s="0" t="s">
        <v>845</v>
      </c>
      <c r="D208" s="31" t="n">
        <v>14970</v>
      </c>
      <c r="E208" s="31" t="n">
        <v>45660</v>
      </c>
      <c r="F208" s="32" t="s">
        <v>4607</v>
      </c>
      <c r="G208" s="0" t="n">
        <v>4</v>
      </c>
      <c r="H208" s="32" t="s">
        <v>4608</v>
      </c>
      <c r="I208" s="32" t="s">
        <v>4609</v>
      </c>
      <c r="J208" s="32" t="s">
        <v>3749</v>
      </c>
      <c r="K208" s="32" t="s">
        <v>2081</v>
      </c>
      <c r="L208" s="0" t="n">
        <v>158</v>
      </c>
      <c r="M208" s="32" t="s">
        <v>4295</v>
      </c>
      <c r="N208" s="32" t="s">
        <v>3751</v>
      </c>
      <c r="O208" s="32" t="n">
        <f aca="false">IF(I208="","",ROUND(MOD(TIMEVALUE(I208)-TIMEVALUE(F208),1)*1440,0))</f>
        <v>158</v>
      </c>
      <c r="P208" s="0" t="str">
        <f aca="false">IF(COUNTIF($A$2:A208,A208)&gt;1,"DUP","")</f>
        <v/>
      </c>
      <c r="Q208" s="0" t="str">
        <f aca="false">IF(O208="","",IF(O208&gt;240,"Y","N"))</f>
        <v>N</v>
      </c>
    </row>
    <row r="209" customFormat="false" ht="15" hidden="false" customHeight="false" outlineLevel="0" collapsed="false">
      <c r="A209" s="0" t="s">
        <v>4610</v>
      </c>
      <c r="B209" s="0" t="s">
        <v>4336</v>
      </c>
      <c r="C209" s="0" t="s">
        <v>845</v>
      </c>
      <c r="D209" s="31" t="n">
        <v>32516</v>
      </c>
      <c r="E209" s="31" t="n">
        <v>45696</v>
      </c>
      <c r="F209" s="32" t="s">
        <v>4538</v>
      </c>
      <c r="G209" s="0" t="n">
        <v>6</v>
      </c>
      <c r="H209" s="32" t="s">
        <v>3748</v>
      </c>
      <c r="I209" s="32" t="s">
        <v>4611</v>
      </c>
      <c r="J209" s="32" t="s">
        <v>3793</v>
      </c>
      <c r="K209" s="32" t="s">
        <v>2081</v>
      </c>
      <c r="L209" s="0" t="n">
        <v>41</v>
      </c>
      <c r="M209" s="32" t="s">
        <v>3887</v>
      </c>
      <c r="N209" s="32" t="s">
        <v>747</v>
      </c>
      <c r="O209" s="32" t="n">
        <f aca="false">IF(I209="","",ROUND(MOD(TIMEVALUE(I209)-TIMEVALUE(F209),1)*1440,0))</f>
        <v>41</v>
      </c>
      <c r="P209" s="0" t="str">
        <f aca="false">IF(COUNTIF($A$2:A209,A209)&gt;1,"DUP","")</f>
        <v/>
      </c>
      <c r="Q209" s="0" t="str">
        <f aca="false">IF(O209="","",IF(O209&gt;240,"Y","N"))</f>
        <v>N</v>
      </c>
    </row>
    <row r="210" customFormat="false" ht="15" hidden="false" customHeight="false" outlineLevel="0" collapsed="false">
      <c r="A210" s="0" t="s">
        <v>4612</v>
      </c>
      <c r="B210" s="0" t="s">
        <v>4613</v>
      </c>
      <c r="C210" s="0" t="s">
        <v>1005</v>
      </c>
      <c r="D210" s="31" t="n">
        <v>17209</v>
      </c>
      <c r="E210" s="31" t="n">
        <v>45706</v>
      </c>
      <c r="F210" s="32" t="s">
        <v>4614</v>
      </c>
      <c r="G210" s="0" t="n">
        <v>4</v>
      </c>
      <c r="H210" s="32" t="s">
        <v>4615</v>
      </c>
      <c r="I210" s="32" t="s">
        <v>4616</v>
      </c>
      <c r="J210" s="32" t="s">
        <v>2307</v>
      </c>
      <c r="K210" s="32" t="s">
        <v>2081</v>
      </c>
      <c r="L210" s="0" t="n">
        <v>149</v>
      </c>
      <c r="M210" s="32" t="s">
        <v>4255</v>
      </c>
      <c r="N210" s="32" t="s">
        <v>3751</v>
      </c>
      <c r="O210" s="32" t="n">
        <f aca="false">IF(I210="","",ROUND(MOD(TIMEVALUE(I210)-TIMEVALUE(F210),1)*1440,0))</f>
        <v>149</v>
      </c>
      <c r="P210" s="0" t="str">
        <f aca="false">IF(COUNTIF($A$2:A210,A210)&gt;1,"DUP","")</f>
        <v/>
      </c>
      <c r="Q210" s="0" t="str">
        <f aca="false">IF(O210="","",IF(O210&gt;240,"Y","N"))</f>
        <v>N</v>
      </c>
    </row>
    <row r="211" customFormat="false" ht="15" hidden="false" customHeight="false" outlineLevel="0" collapsed="false">
      <c r="A211" s="0" t="s">
        <v>4617</v>
      </c>
      <c r="C211" s="0" t="s">
        <v>757</v>
      </c>
      <c r="D211" s="31" t="n">
        <v>39076</v>
      </c>
      <c r="E211" s="31" t="n">
        <v>45616</v>
      </c>
      <c r="F211" s="32" t="s">
        <v>4618</v>
      </c>
      <c r="G211" s="0" t="n">
        <v>3</v>
      </c>
      <c r="H211" s="32" t="s">
        <v>4619</v>
      </c>
      <c r="I211" s="32" t="s">
        <v>4620</v>
      </c>
      <c r="J211" s="32" t="s">
        <v>3749</v>
      </c>
      <c r="K211" s="32" t="s">
        <v>2081</v>
      </c>
      <c r="L211" s="0" t="n">
        <v>229</v>
      </c>
      <c r="M211" s="32" t="s">
        <v>3776</v>
      </c>
      <c r="N211" s="32" t="s">
        <v>3751</v>
      </c>
      <c r="O211" s="32" t="n">
        <f aca="false">IF(I211="","",ROUND(MOD(TIMEVALUE(I211)-TIMEVALUE(F211),1)*1440,0))</f>
        <v>229</v>
      </c>
      <c r="P211" s="0" t="str">
        <f aca="false">IF(COUNTIF($A$2:A211,A211)&gt;1,"DUP","")</f>
        <v/>
      </c>
      <c r="Q211" s="0" t="str">
        <f aca="false">IF(O211="","",IF(O211&gt;240,"Y","N"))</f>
        <v>N</v>
      </c>
    </row>
    <row r="212" customFormat="false" ht="15" hidden="false" customHeight="false" outlineLevel="0" collapsed="false">
      <c r="A212" s="0" t="s">
        <v>4621</v>
      </c>
      <c r="B212" s="0" t="s">
        <v>4188</v>
      </c>
      <c r="C212" s="0" t="s">
        <v>1393</v>
      </c>
      <c r="D212" s="31" t="n">
        <v>18090</v>
      </c>
      <c r="E212" s="31" t="n">
        <v>45733</v>
      </c>
      <c r="F212" s="32" t="s">
        <v>4464</v>
      </c>
      <c r="G212" s="0" t="n">
        <v>2</v>
      </c>
      <c r="H212" s="32" t="s">
        <v>4622</v>
      </c>
      <c r="I212" s="32" t="s">
        <v>4623</v>
      </c>
      <c r="J212" s="32" t="s">
        <v>3763</v>
      </c>
      <c r="K212" s="32" t="s">
        <v>2081</v>
      </c>
      <c r="L212" s="0" t="n">
        <v>79</v>
      </c>
      <c r="M212" s="32" t="s">
        <v>3782</v>
      </c>
      <c r="N212" s="32" t="s">
        <v>3751</v>
      </c>
      <c r="O212" s="32" t="n">
        <f aca="false">IF(I212="","",ROUND(MOD(TIMEVALUE(I212)-TIMEVALUE(F212),1)*1440,0))</f>
        <v>79</v>
      </c>
      <c r="P212" s="0" t="str">
        <f aca="false">IF(COUNTIF($A$2:A212,A212)&gt;1,"DUP","")</f>
        <v/>
      </c>
      <c r="Q212" s="0" t="str">
        <f aca="false">IF(O212="","",IF(O212&gt;240,"Y","N"))</f>
        <v>N</v>
      </c>
    </row>
    <row r="213" customFormat="false" ht="15" hidden="false" customHeight="false" outlineLevel="0" collapsed="false">
      <c r="A213" s="0" t="s">
        <v>4624</v>
      </c>
      <c r="B213" s="0" t="s">
        <v>4625</v>
      </c>
      <c r="C213" s="0" t="s">
        <v>2148</v>
      </c>
      <c r="D213" s="31" t="n">
        <v>26576</v>
      </c>
      <c r="E213" s="31" t="n">
        <v>45713</v>
      </c>
      <c r="F213" s="32" t="s">
        <v>3990</v>
      </c>
      <c r="G213" s="0" t="n">
        <v>5</v>
      </c>
      <c r="H213" s="32" t="s">
        <v>4100</v>
      </c>
      <c r="I213" s="32" t="s">
        <v>4240</v>
      </c>
      <c r="J213" s="32" t="s">
        <v>3793</v>
      </c>
      <c r="K213" s="32" t="s">
        <v>2081</v>
      </c>
      <c r="L213" s="0" t="n">
        <v>228</v>
      </c>
      <c r="M213" s="32" t="s">
        <v>3750</v>
      </c>
      <c r="N213" s="32" t="s">
        <v>818</v>
      </c>
      <c r="O213" s="32" t="n">
        <f aca="false">IF(I213="","",ROUND(MOD(TIMEVALUE(I213)-TIMEVALUE(F213),1)*1440,0))</f>
        <v>228</v>
      </c>
      <c r="P213" s="0" t="str">
        <f aca="false">IF(COUNTIF($A$2:A213,A213)&gt;1,"DUP","")</f>
        <v/>
      </c>
      <c r="Q213" s="0" t="str">
        <f aca="false">IF(O213="","",IF(O213&gt;240,"Y","N"))</f>
        <v>N</v>
      </c>
    </row>
    <row r="214" customFormat="false" ht="15" hidden="false" customHeight="false" outlineLevel="0" collapsed="false">
      <c r="A214" s="0" t="s">
        <v>4626</v>
      </c>
      <c r="B214" s="0" t="s">
        <v>4627</v>
      </c>
      <c r="C214" s="0" t="s">
        <v>1453</v>
      </c>
      <c r="D214" s="31" t="n">
        <v>17099</v>
      </c>
      <c r="E214" s="31" t="n">
        <v>45705</v>
      </c>
      <c r="F214" s="32" t="s">
        <v>4628</v>
      </c>
      <c r="G214" s="0" t="n">
        <v>4</v>
      </c>
      <c r="H214" s="32" t="s">
        <v>4629</v>
      </c>
      <c r="I214" s="32" t="s">
        <v>4630</v>
      </c>
      <c r="J214" s="32" t="s">
        <v>2307</v>
      </c>
      <c r="K214" s="32" t="s">
        <v>2081</v>
      </c>
      <c r="L214" s="0" t="n">
        <v>38</v>
      </c>
      <c r="M214" s="32" t="s">
        <v>3946</v>
      </c>
      <c r="N214" s="32" t="s">
        <v>3751</v>
      </c>
      <c r="O214" s="32" t="n">
        <f aca="false">IF(I214="","",ROUND(MOD(TIMEVALUE(I214)-TIMEVALUE(F214),1)*1440,0))</f>
        <v>38</v>
      </c>
      <c r="P214" s="0" t="str">
        <f aca="false">IF(COUNTIF($A$2:A214,A214)&gt;1,"DUP","")</f>
        <v/>
      </c>
      <c r="Q214" s="0" t="str">
        <f aca="false">IF(O214="","",IF(O214&gt;240,"Y","N"))</f>
        <v>N</v>
      </c>
    </row>
    <row r="215" customFormat="false" ht="15" hidden="false" customHeight="false" outlineLevel="0" collapsed="false">
      <c r="A215" s="0" t="s">
        <v>4631</v>
      </c>
      <c r="C215" s="0" t="s">
        <v>746</v>
      </c>
      <c r="D215" s="31" t="n">
        <v>13966</v>
      </c>
      <c r="E215" s="31" t="n">
        <v>45682</v>
      </c>
      <c r="F215" s="32" t="s">
        <v>4632</v>
      </c>
      <c r="G215" s="0" t="n">
        <v>4</v>
      </c>
      <c r="I215" s="32" t="s">
        <v>4076</v>
      </c>
      <c r="J215" s="32" t="s">
        <v>3749</v>
      </c>
      <c r="K215" s="32" t="s">
        <v>2106</v>
      </c>
      <c r="L215" s="0" t="n">
        <v>388</v>
      </c>
      <c r="M215" s="32" t="s">
        <v>3799</v>
      </c>
      <c r="N215" s="32" t="s">
        <v>3751</v>
      </c>
      <c r="O215" s="32" t="n">
        <f aca="false">IF(I215="","",ROUND(MOD(TIMEVALUE(I215)-TIMEVALUE(F215),1)*1440,0))</f>
        <v>388</v>
      </c>
      <c r="P215" s="0" t="str">
        <f aca="false">IF(COUNTIF($A$2:A215,A215)&gt;1,"DUP","")</f>
        <v/>
      </c>
      <c r="Q215" s="0" t="str">
        <f aca="false">IF(O215="","",IF(O215&gt;240,"Y","N"))</f>
        <v>Y</v>
      </c>
    </row>
    <row r="216" customFormat="false" ht="15" hidden="false" customHeight="false" outlineLevel="0" collapsed="false">
      <c r="A216" s="0" t="s">
        <v>4633</v>
      </c>
      <c r="B216" s="0" t="s">
        <v>4553</v>
      </c>
      <c r="C216" s="0" t="s">
        <v>934</v>
      </c>
      <c r="D216" s="31" t="n">
        <v>25455</v>
      </c>
      <c r="E216" s="31" t="n">
        <v>45656</v>
      </c>
      <c r="F216" s="32" t="s">
        <v>3841</v>
      </c>
      <c r="G216" s="0" t="n">
        <v>3</v>
      </c>
      <c r="H216" s="32" t="s">
        <v>4634</v>
      </c>
      <c r="I216" s="32" t="s">
        <v>4597</v>
      </c>
      <c r="J216" s="32" t="s">
        <v>3763</v>
      </c>
      <c r="K216" s="32" t="s">
        <v>2081</v>
      </c>
      <c r="L216" s="0" t="n">
        <v>107</v>
      </c>
      <c r="M216" s="32" t="s">
        <v>4047</v>
      </c>
      <c r="N216" s="32" t="s">
        <v>3751</v>
      </c>
      <c r="O216" s="32" t="n">
        <f aca="false">IF(I216="","",ROUND(MOD(TIMEVALUE(I216)-TIMEVALUE(F216),1)*1440,0))</f>
        <v>107</v>
      </c>
      <c r="P216" s="0" t="str">
        <f aca="false">IF(COUNTIF($A$2:A216,A216)&gt;1,"DUP","")</f>
        <v/>
      </c>
      <c r="Q216" s="0" t="str">
        <f aca="false">IF(O216="","",IF(O216&gt;240,"Y","N"))</f>
        <v>N</v>
      </c>
    </row>
    <row r="217" customFormat="false" ht="15" hidden="false" customHeight="false" outlineLevel="0" collapsed="false">
      <c r="A217" s="0" t="s">
        <v>4635</v>
      </c>
      <c r="B217" s="0" t="s">
        <v>3912</v>
      </c>
      <c r="C217" s="0" t="s">
        <v>1009</v>
      </c>
      <c r="D217" s="31" t="n">
        <v>23800</v>
      </c>
      <c r="E217" s="31" t="n">
        <v>45635</v>
      </c>
      <c r="F217" s="32" t="s">
        <v>4550</v>
      </c>
      <c r="G217" s="0" t="n">
        <v>3</v>
      </c>
      <c r="H217" s="32" t="s">
        <v>4636</v>
      </c>
      <c r="I217" s="32" t="s">
        <v>4637</v>
      </c>
      <c r="J217" s="32" t="s">
        <v>7</v>
      </c>
      <c r="K217" s="32" t="s">
        <v>2081</v>
      </c>
      <c r="L217" s="0" t="n">
        <v>206</v>
      </c>
      <c r="M217" s="32" t="s">
        <v>3799</v>
      </c>
      <c r="N217" s="32" t="s">
        <v>3751</v>
      </c>
      <c r="O217" s="32" t="n">
        <f aca="false">IF(I217="","",ROUND(MOD(TIMEVALUE(I217)-TIMEVALUE(F217),1)*1440,0))</f>
        <v>206</v>
      </c>
      <c r="P217" s="0" t="str">
        <f aca="false">IF(COUNTIF($A$2:A217,A217)&gt;1,"DUP","")</f>
        <v/>
      </c>
      <c r="Q217" s="0" t="str">
        <f aca="false">IF(O217="","",IF(O217&gt;240,"Y","N"))</f>
        <v>N</v>
      </c>
    </row>
    <row r="218" customFormat="false" ht="15" hidden="false" customHeight="false" outlineLevel="0" collapsed="false">
      <c r="A218" s="0" t="s">
        <v>4638</v>
      </c>
      <c r="B218" s="0" t="s">
        <v>4400</v>
      </c>
      <c r="C218" s="0" t="s">
        <v>894</v>
      </c>
      <c r="D218" s="31" t="n">
        <v>24892</v>
      </c>
      <c r="E218" s="31" t="n">
        <v>45620</v>
      </c>
      <c r="F218" s="32" t="s">
        <v>4639</v>
      </c>
      <c r="G218" s="0" t="n">
        <v>4</v>
      </c>
      <c r="I218" s="32" t="s">
        <v>4640</v>
      </c>
      <c r="J218" s="32" t="s">
        <v>3793</v>
      </c>
      <c r="K218" s="32" t="s">
        <v>2106</v>
      </c>
      <c r="L218" s="0" t="n">
        <v>515</v>
      </c>
      <c r="M218" s="32" t="s">
        <v>4219</v>
      </c>
      <c r="N218" s="32" t="s">
        <v>810</v>
      </c>
      <c r="O218" s="32" t="n">
        <f aca="false">IF(I218="","",ROUND(MOD(TIMEVALUE(I218)-TIMEVALUE(F218),1)*1440,0))</f>
        <v>515</v>
      </c>
      <c r="P218" s="0" t="str">
        <f aca="false">IF(COUNTIF($A$2:A218,A218)&gt;1,"DUP","")</f>
        <v/>
      </c>
      <c r="Q218" s="0" t="str">
        <f aca="false">IF(O218="","",IF(O218&gt;240,"Y","N"))</f>
        <v>Y</v>
      </c>
    </row>
    <row r="219" customFormat="false" ht="15" hidden="false" customHeight="false" outlineLevel="0" collapsed="false">
      <c r="A219" s="0" t="s">
        <v>4641</v>
      </c>
      <c r="B219" s="0" t="s">
        <v>4592</v>
      </c>
      <c r="C219" s="0" t="s">
        <v>757</v>
      </c>
      <c r="D219" s="31" t="n">
        <v>15283</v>
      </c>
      <c r="E219" s="31" t="n">
        <v>45599</v>
      </c>
      <c r="F219" s="32" t="s">
        <v>4642</v>
      </c>
      <c r="G219" s="0" t="n">
        <v>3</v>
      </c>
      <c r="H219" s="32" t="s">
        <v>4643</v>
      </c>
      <c r="I219" s="32" t="s">
        <v>4644</v>
      </c>
      <c r="J219" s="32" t="s">
        <v>3749</v>
      </c>
      <c r="K219" s="32" t="s">
        <v>2081</v>
      </c>
      <c r="L219" s="0" t="n">
        <v>237</v>
      </c>
      <c r="M219" s="32" t="s">
        <v>3827</v>
      </c>
      <c r="N219" s="32" t="s">
        <v>3751</v>
      </c>
      <c r="O219" s="32" t="n">
        <f aca="false">IF(I219="","",ROUND(MOD(TIMEVALUE(I219)-TIMEVALUE(F219),1)*1440,0))</f>
        <v>237</v>
      </c>
      <c r="P219" s="0" t="str">
        <f aca="false">IF(COUNTIF($A$2:A219,A219)&gt;1,"DUP","")</f>
        <v/>
      </c>
      <c r="Q219" s="0" t="str">
        <f aca="false">IF(O219="","",IF(O219&gt;240,"Y","N"))</f>
        <v>N</v>
      </c>
    </row>
    <row r="220" customFormat="false" ht="15" hidden="false" customHeight="false" outlineLevel="0" collapsed="false">
      <c r="A220" s="0" t="s">
        <v>4633</v>
      </c>
      <c r="B220" s="0" t="s">
        <v>4553</v>
      </c>
      <c r="C220" s="0" t="s">
        <v>934</v>
      </c>
      <c r="D220" s="31" t="n">
        <v>25455</v>
      </c>
      <c r="E220" s="31" t="n">
        <v>45656</v>
      </c>
      <c r="F220" s="32" t="s">
        <v>3841</v>
      </c>
      <c r="G220" s="0" t="n">
        <v>3</v>
      </c>
      <c r="H220" s="32" t="s">
        <v>4634</v>
      </c>
      <c r="I220" s="32" t="s">
        <v>4597</v>
      </c>
      <c r="J220" s="32" t="s">
        <v>3763</v>
      </c>
      <c r="K220" s="32" t="s">
        <v>2081</v>
      </c>
      <c r="L220" s="0" t="n">
        <v>107</v>
      </c>
      <c r="M220" s="32" t="s">
        <v>4031</v>
      </c>
      <c r="N220" s="32" t="s">
        <v>3751</v>
      </c>
      <c r="O220" s="32" t="n">
        <f aca="false">IF(I220="","",ROUND(MOD(TIMEVALUE(I220)-TIMEVALUE(F220),1)*1440,0))</f>
        <v>107</v>
      </c>
      <c r="P220" s="0" t="str">
        <f aca="false">IF(COUNTIF($A$2:A220,A220)&gt;1,"DUP","")</f>
        <v>DUP</v>
      </c>
      <c r="Q220" s="0" t="str">
        <f aca="false">IF(O220="","",IF(O220&gt;240,"Y","N"))</f>
        <v>N</v>
      </c>
    </row>
    <row r="221" customFormat="false" ht="15" hidden="false" customHeight="false" outlineLevel="0" collapsed="false">
      <c r="A221" s="0" t="s">
        <v>4645</v>
      </c>
      <c r="B221" s="0" t="s">
        <v>4269</v>
      </c>
      <c r="C221" s="0" t="s">
        <v>926</v>
      </c>
      <c r="D221" s="31" t="n">
        <v>24202</v>
      </c>
      <c r="E221" s="31" t="n">
        <v>45662</v>
      </c>
      <c r="F221" s="32" t="s">
        <v>4646</v>
      </c>
      <c r="G221" s="0" t="n">
        <v>4</v>
      </c>
      <c r="H221" s="32" t="s">
        <v>4559</v>
      </c>
      <c r="I221" s="32" t="s">
        <v>4647</v>
      </c>
      <c r="J221" s="32" t="s">
        <v>3749</v>
      </c>
      <c r="K221" s="32" t="s">
        <v>2106</v>
      </c>
      <c r="L221" s="0" t="n">
        <v>546</v>
      </c>
      <c r="M221" s="32" t="s">
        <v>3887</v>
      </c>
      <c r="N221" s="32" t="s">
        <v>3751</v>
      </c>
      <c r="O221" s="32" t="n">
        <f aca="false">IF(I221="","",ROUND(MOD(TIMEVALUE(I221)-TIMEVALUE(F221),1)*1440,0))</f>
        <v>546</v>
      </c>
      <c r="P221" s="0" t="str">
        <f aca="false">IF(COUNTIF($A$2:A221,A221)&gt;1,"DUP","")</f>
        <v/>
      </c>
      <c r="Q221" s="0" t="str">
        <f aca="false">IF(O221="","",IF(O221&gt;240,"Y","N"))</f>
        <v>Y</v>
      </c>
    </row>
    <row r="222" customFormat="false" ht="15" hidden="false" customHeight="false" outlineLevel="0" collapsed="false">
      <c r="A222" s="0" t="s">
        <v>4648</v>
      </c>
      <c r="B222" s="0" t="s">
        <v>4649</v>
      </c>
      <c r="C222" s="0" t="s">
        <v>958</v>
      </c>
      <c r="D222" s="31" t="n">
        <v>18828</v>
      </c>
      <c r="E222" s="31" t="n">
        <v>45677</v>
      </c>
      <c r="F222" s="32" t="s">
        <v>4650</v>
      </c>
      <c r="G222" s="0" t="n">
        <v>4</v>
      </c>
      <c r="H222" s="32" t="s">
        <v>4651</v>
      </c>
      <c r="I222" s="32" t="s">
        <v>4652</v>
      </c>
      <c r="J222" s="32" t="s">
        <v>2307</v>
      </c>
      <c r="K222" s="32" t="s">
        <v>2106</v>
      </c>
      <c r="L222" s="0" t="n">
        <v>362</v>
      </c>
      <c r="M222" s="32" t="s">
        <v>3887</v>
      </c>
      <c r="N222" s="32" t="s">
        <v>3751</v>
      </c>
      <c r="O222" s="32" t="n">
        <f aca="false">IF(I222="","",ROUND(MOD(TIMEVALUE(I222)-TIMEVALUE(F222),1)*1440,0))</f>
        <v>362</v>
      </c>
      <c r="P222" s="0" t="str">
        <f aca="false">IF(COUNTIF($A$2:A222,A222)&gt;1,"DUP","")</f>
        <v/>
      </c>
      <c r="Q222" s="0" t="str">
        <f aca="false">IF(O222="","",IF(O222&gt;240,"Y","N"))</f>
        <v>Y</v>
      </c>
    </row>
    <row r="223" customFormat="false" ht="15" hidden="false" customHeight="false" outlineLevel="0" collapsed="false">
      <c r="A223" s="0" t="s">
        <v>4653</v>
      </c>
      <c r="B223" s="0" t="s">
        <v>4542</v>
      </c>
      <c r="C223" s="0" t="s">
        <v>930</v>
      </c>
      <c r="D223" s="31" t="n">
        <v>35485</v>
      </c>
      <c r="E223" s="31" t="n">
        <v>45706</v>
      </c>
      <c r="F223" s="32" t="s">
        <v>4654</v>
      </c>
      <c r="G223" s="0" t="n">
        <v>4</v>
      </c>
      <c r="H223" s="32" t="s">
        <v>4655</v>
      </c>
      <c r="I223" s="32" t="s">
        <v>4656</v>
      </c>
      <c r="J223" s="32" t="s">
        <v>3793</v>
      </c>
      <c r="K223" s="32" t="s">
        <v>2081</v>
      </c>
      <c r="L223" s="0" t="n">
        <v>215</v>
      </c>
      <c r="M223" s="32" t="s">
        <v>3849</v>
      </c>
      <c r="N223" s="32" t="s">
        <v>810</v>
      </c>
      <c r="O223" s="32" t="n">
        <f aca="false">IF(I223="","",ROUND(MOD(TIMEVALUE(I223)-TIMEVALUE(F223),1)*1440,0))</f>
        <v>215</v>
      </c>
      <c r="P223" s="0" t="str">
        <f aca="false">IF(COUNTIF($A$2:A223,A223)&gt;1,"DUP","")</f>
        <v/>
      </c>
      <c r="Q223" s="0" t="str">
        <f aca="false">IF(O223="","",IF(O223&gt;240,"Y","N"))</f>
        <v>N</v>
      </c>
    </row>
    <row r="224" customFormat="false" ht="15" hidden="false" customHeight="false" outlineLevel="0" collapsed="false">
      <c r="A224" s="0" t="s">
        <v>4657</v>
      </c>
      <c r="B224" s="0" t="s">
        <v>3921</v>
      </c>
      <c r="C224" s="0" t="s">
        <v>1419</v>
      </c>
      <c r="D224" s="31" t="n">
        <v>36590</v>
      </c>
      <c r="E224" s="31" t="n">
        <v>45590</v>
      </c>
      <c r="F224" s="32" t="s">
        <v>4457</v>
      </c>
      <c r="G224" s="0" t="n">
        <v>5</v>
      </c>
      <c r="H224" s="32" t="s">
        <v>4658</v>
      </c>
      <c r="I224" s="32" t="s">
        <v>4659</v>
      </c>
      <c r="J224" s="32" t="s">
        <v>3749</v>
      </c>
      <c r="K224" s="32" t="s">
        <v>2106</v>
      </c>
      <c r="L224" s="0" t="n">
        <v>510</v>
      </c>
      <c r="M224" s="32" t="s">
        <v>4106</v>
      </c>
      <c r="N224" s="32" t="s">
        <v>3751</v>
      </c>
      <c r="O224" s="32" t="n">
        <f aca="false">IF(I224="","",ROUND(MOD(TIMEVALUE(I224)-TIMEVALUE(F224),1)*1440,0))</f>
        <v>510</v>
      </c>
      <c r="P224" s="0" t="str">
        <f aca="false">IF(COUNTIF($A$2:A224,A224)&gt;1,"DUP","")</f>
        <v/>
      </c>
      <c r="Q224" s="0" t="str">
        <f aca="false">IF(O224="","",IF(O224&gt;240,"Y","N"))</f>
        <v>Y</v>
      </c>
    </row>
    <row r="225" customFormat="false" ht="15" hidden="false" customHeight="false" outlineLevel="0" collapsed="false">
      <c r="A225" s="0" t="s">
        <v>4660</v>
      </c>
      <c r="B225" s="0" t="s">
        <v>3851</v>
      </c>
      <c r="C225" s="0" t="s">
        <v>4053</v>
      </c>
      <c r="D225" s="31" t="n">
        <v>36940</v>
      </c>
      <c r="E225" s="31" t="n">
        <v>45727</v>
      </c>
      <c r="F225" s="32" t="s">
        <v>4444</v>
      </c>
      <c r="G225" s="0" t="n">
        <v>5</v>
      </c>
      <c r="H225" s="32" t="s">
        <v>3797</v>
      </c>
      <c r="I225" s="32" t="s">
        <v>4661</v>
      </c>
      <c r="J225" s="32" t="s">
        <v>3749</v>
      </c>
      <c r="K225" s="32" t="s">
        <v>2081</v>
      </c>
      <c r="L225" s="0" t="n">
        <v>148</v>
      </c>
      <c r="M225" s="32" t="s">
        <v>3952</v>
      </c>
      <c r="N225" s="32" t="s">
        <v>3751</v>
      </c>
      <c r="O225" s="32" t="n">
        <f aca="false">IF(I225="","",ROUND(MOD(TIMEVALUE(I225)-TIMEVALUE(F225),1)*1440,0))</f>
        <v>148</v>
      </c>
      <c r="P225" s="0" t="str">
        <f aca="false">IF(COUNTIF($A$2:A225,A225)&gt;1,"DUP","")</f>
        <v/>
      </c>
      <c r="Q225" s="0" t="str">
        <f aca="false">IF(O225="","",IF(O225&gt;240,"Y","N"))</f>
        <v>N</v>
      </c>
    </row>
    <row r="226" customFormat="false" ht="15" hidden="false" customHeight="false" outlineLevel="0" collapsed="false">
      <c r="A226" s="0" t="s">
        <v>4662</v>
      </c>
      <c r="B226" s="0" t="s">
        <v>4663</v>
      </c>
      <c r="C226" s="0" t="s">
        <v>946</v>
      </c>
      <c r="D226" s="31" t="n">
        <v>27976</v>
      </c>
      <c r="E226" s="31" t="n">
        <v>45594</v>
      </c>
      <c r="F226" s="32" t="s">
        <v>4664</v>
      </c>
      <c r="G226" s="0" t="n">
        <v>5</v>
      </c>
      <c r="H226" s="32" t="s">
        <v>4665</v>
      </c>
      <c r="I226" s="32" t="s">
        <v>4666</v>
      </c>
      <c r="J226" s="32" t="s">
        <v>3749</v>
      </c>
      <c r="K226" s="32" t="s">
        <v>2081</v>
      </c>
      <c r="L226" s="0" t="n">
        <v>67</v>
      </c>
      <c r="M226" s="32" t="s">
        <v>4255</v>
      </c>
      <c r="N226" s="32" t="s">
        <v>3751</v>
      </c>
      <c r="O226" s="32" t="n">
        <f aca="false">IF(I226="","",ROUND(MOD(TIMEVALUE(I226)-TIMEVALUE(F226),1)*1440,0))</f>
        <v>67</v>
      </c>
      <c r="P226" s="0" t="str">
        <f aca="false">IF(COUNTIF($A$2:A226,A226)&gt;1,"DUP","")</f>
        <v/>
      </c>
      <c r="Q226" s="0" t="str">
        <f aca="false">IF(O226="","",IF(O226&gt;240,"Y","N"))</f>
        <v>N</v>
      </c>
    </row>
    <row r="227" customFormat="false" ht="15" hidden="false" customHeight="false" outlineLevel="0" collapsed="false">
      <c r="A227" s="0" t="s">
        <v>4667</v>
      </c>
      <c r="B227" s="0" t="s">
        <v>4480</v>
      </c>
      <c r="C227" s="0" t="s">
        <v>849</v>
      </c>
      <c r="D227" s="31" t="n">
        <v>29740</v>
      </c>
      <c r="E227" s="31" t="n">
        <v>45633</v>
      </c>
      <c r="F227" s="32" t="s">
        <v>4668</v>
      </c>
      <c r="G227" s="0" t="n">
        <v>4</v>
      </c>
      <c r="H227" s="32" t="s">
        <v>4669</v>
      </c>
      <c r="I227" s="32" t="s">
        <v>4670</v>
      </c>
      <c r="J227" s="32" t="s">
        <v>2307</v>
      </c>
      <c r="K227" s="32" t="s">
        <v>2081</v>
      </c>
      <c r="L227" s="0" t="n">
        <v>72</v>
      </c>
      <c r="M227" s="32" t="s">
        <v>3975</v>
      </c>
      <c r="N227" s="32" t="s">
        <v>3751</v>
      </c>
      <c r="O227" s="32" t="n">
        <f aca="false">IF(I227="","",ROUND(MOD(TIMEVALUE(I227)-TIMEVALUE(F227),1)*1440,0))</f>
        <v>72</v>
      </c>
      <c r="P227" s="0" t="str">
        <f aca="false">IF(COUNTIF($A$2:A227,A227)&gt;1,"DUP","")</f>
        <v/>
      </c>
      <c r="Q227" s="0" t="str">
        <f aca="false">IF(O227="","",IF(O227&gt;240,"Y","N"))</f>
        <v>N</v>
      </c>
    </row>
    <row r="228" customFormat="false" ht="15" hidden="false" customHeight="false" outlineLevel="0" collapsed="false">
      <c r="A228" s="0" t="s">
        <v>4671</v>
      </c>
      <c r="B228" s="0" t="s">
        <v>4672</v>
      </c>
      <c r="C228" s="0" t="s">
        <v>2148</v>
      </c>
      <c r="D228" s="31" t="n">
        <v>34114</v>
      </c>
      <c r="E228" s="31" t="n">
        <v>45650</v>
      </c>
      <c r="F228" s="32" t="s">
        <v>4673</v>
      </c>
      <c r="G228" s="0" t="n">
        <v>5</v>
      </c>
      <c r="H228" s="32" t="s">
        <v>4674</v>
      </c>
      <c r="I228" s="32" t="s">
        <v>4675</v>
      </c>
      <c r="J228" s="32" t="s">
        <v>3749</v>
      </c>
      <c r="K228" s="32" t="s">
        <v>2081</v>
      </c>
      <c r="L228" s="0" t="n">
        <v>98</v>
      </c>
      <c r="M228" s="32" t="s">
        <v>4285</v>
      </c>
      <c r="N228" s="32" t="s">
        <v>3751</v>
      </c>
      <c r="O228" s="32" t="n">
        <f aca="false">IF(I228="","",ROUND(MOD(TIMEVALUE(I228)-TIMEVALUE(F228),1)*1440,0))</f>
        <v>98</v>
      </c>
      <c r="P228" s="0" t="str">
        <f aca="false">IF(COUNTIF($A$2:A228,A228)&gt;1,"DUP","")</f>
        <v/>
      </c>
      <c r="Q228" s="0" t="str">
        <f aca="false">IF(O228="","",IF(O228&gt;240,"Y","N"))</f>
        <v>N</v>
      </c>
    </row>
    <row r="229" customFormat="false" ht="15" hidden="false" customHeight="false" outlineLevel="0" collapsed="false">
      <c r="A229" s="0" t="s">
        <v>4676</v>
      </c>
      <c r="B229" s="0" t="s">
        <v>4188</v>
      </c>
      <c r="C229" s="0" t="s">
        <v>882</v>
      </c>
      <c r="D229" s="31" t="n">
        <v>24784</v>
      </c>
      <c r="E229" s="31" t="n">
        <v>45576</v>
      </c>
      <c r="F229" s="32" t="s">
        <v>4465</v>
      </c>
      <c r="G229" s="0" t="n">
        <v>4</v>
      </c>
      <c r="H229" s="32" t="s">
        <v>4677</v>
      </c>
      <c r="I229" s="32" t="s">
        <v>4678</v>
      </c>
      <c r="J229" s="32" t="s">
        <v>3749</v>
      </c>
      <c r="K229" s="32" t="s">
        <v>2081</v>
      </c>
      <c r="L229" s="0" t="n">
        <v>72</v>
      </c>
      <c r="M229" s="32" t="s">
        <v>3849</v>
      </c>
      <c r="N229" s="32" t="s">
        <v>3751</v>
      </c>
      <c r="O229" s="32" t="n">
        <f aca="false">IF(I229="","",ROUND(MOD(TIMEVALUE(I229)-TIMEVALUE(F229),1)*1440,0))</f>
        <v>72</v>
      </c>
      <c r="P229" s="0" t="str">
        <f aca="false">IF(COUNTIF($A$2:A229,A229)&gt;1,"DUP","")</f>
        <v/>
      </c>
      <c r="Q229" s="0" t="str">
        <f aca="false">IF(O229="","",IF(O229&gt;240,"Y","N"))</f>
        <v>N</v>
      </c>
    </row>
    <row r="230" customFormat="false" ht="15" hidden="false" customHeight="false" outlineLevel="0" collapsed="false">
      <c r="A230" s="0" t="s">
        <v>4679</v>
      </c>
      <c r="C230" s="0" t="s">
        <v>886</v>
      </c>
      <c r="D230" s="31" t="n">
        <v>25046</v>
      </c>
      <c r="E230" s="31" t="n">
        <v>45577</v>
      </c>
      <c r="F230" s="32" t="s">
        <v>4004</v>
      </c>
      <c r="G230" s="0" t="n">
        <v>4</v>
      </c>
      <c r="H230" s="32" t="s">
        <v>4159</v>
      </c>
      <c r="I230" s="32" t="s">
        <v>4680</v>
      </c>
      <c r="J230" s="32" t="s">
        <v>3763</v>
      </c>
      <c r="K230" s="32" t="s">
        <v>2106</v>
      </c>
      <c r="L230" s="0" t="n">
        <v>483</v>
      </c>
      <c r="M230" s="32" t="s">
        <v>4267</v>
      </c>
      <c r="N230" s="32" t="s">
        <v>3751</v>
      </c>
      <c r="O230" s="32" t="n">
        <f aca="false">IF(I230="","",ROUND(MOD(TIMEVALUE(I230)-TIMEVALUE(F230),1)*1440,0))</f>
        <v>483</v>
      </c>
      <c r="P230" s="0" t="str">
        <f aca="false">IF(COUNTIF($A$2:A230,A230)&gt;1,"DUP","")</f>
        <v/>
      </c>
      <c r="Q230" s="0" t="str">
        <f aca="false">IF(O230="","",IF(O230&gt;240,"Y","N"))</f>
        <v>Y</v>
      </c>
    </row>
    <row r="231" customFormat="false" ht="15" hidden="false" customHeight="false" outlineLevel="0" collapsed="false">
      <c r="A231" s="0" t="s">
        <v>4681</v>
      </c>
      <c r="C231" s="0" t="s">
        <v>817</v>
      </c>
      <c r="D231" s="31" t="n">
        <v>19469</v>
      </c>
      <c r="E231" s="31" t="n">
        <v>45712</v>
      </c>
      <c r="F231" s="32" t="s">
        <v>4456</v>
      </c>
      <c r="G231" s="0" t="n">
        <v>3</v>
      </c>
      <c r="H231" s="32" t="s">
        <v>3885</v>
      </c>
      <c r="I231" s="32" t="s">
        <v>4682</v>
      </c>
      <c r="J231" s="32" t="s">
        <v>3793</v>
      </c>
      <c r="K231" s="32" t="s">
        <v>2081</v>
      </c>
      <c r="L231" s="0" t="n">
        <v>159</v>
      </c>
      <c r="M231" s="32" t="s">
        <v>4141</v>
      </c>
      <c r="N231" s="32" t="s">
        <v>802</v>
      </c>
      <c r="O231" s="32" t="n">
        <f aca="false">IF(I231="","",ROUND(MOD(TIMEVALUE(I231)-TIMEVALUE(F231),1)*1440,0))</f>
        <v>159</v>
      </c>
      <c r="P231" s="0" t="str">
        <f aca="false">IF(COUNTIF($A$2:A231,A231)&gt;1,"DUP","")</f>
        <v/>
      </c>
      <c r="Q231" s="0" t="str">
        <f aca="false">IF(O231="","",IF(O231&gt;240,"Y","N"))</f>
        <v>N</v>
      </c>
    </row>
    <row r="232" customFormat="false" ht="15" hidden="false" customHeight="false" outlineLevel="0" collapsed="false">
      <c r="A232" s="0" t="s">
        <v>4683</v>
      </c>
      <c r="B232" s="0" t="s">
        <v>4684</v>
      </c>
      <c r="C232" s="0" t="s">
        <v>930</v>
      </c>
      <c r="D232" s="31" t="n">
        <v>16480</v>
      </c>
      <c r="E232" s="31" t="n">
        <v>45609</v>
      </c>
      <c r="F232" s="32" t="s">
        <v>4685</v>
      </c>
      <c r="G232" s="0" t="n">
        <v>0</v>
      </c>
      <c r="H232" s="32" t="s">
        <v>4686</v>
      </c>
      <c r="I232" s="32" t="s">
        <v>4687</v>
      </c>
      <c r="J232" s="32" t="s">
        <v>3749</v>
      </c>
      <c r="K232" s="32" t="s">
        <v>2081</v>
      </c>
      <c r="L232" s="0" t="n">
        <v>83</v>
      </c>
      <c r="M232" s="32" t="s">
        <v>4114</v>
      </c>
      <c r="N232" s="32" t="s">
        <v>3751</v>
      </c>
      <c r="O232" s="32" t="n">
        <f aca="false">IF(I232="","",ROUND(MOD(TIMEVALUE(I232)-TIMEVALUE(F232),1)*1440,0))</f>
        <v>83</v>
      </c>
      <c r="P232" s="0" t="str">
        <f aca="false">IF(COUNTIF($A$2:A232,A232)&gt;1,"DUP","")</f>
        <v/>
      </c>
      <c r="Q232" s="0" t="str">
        <f aca="false">IF(O232="","",IF(O232&gt;240,"Y","N"))</f>
        <v>N</v>
      </c>
    </row>
    <row r="233" customFormat="false" ht="15" hidden="false" customHeight="false" outlineLevel="0" collapsed="false">
      <c r="A233" s="0" t="s">
        <v>4688</v>
      </c>
      <c r="B233" s="0" t="s">
        <v>4208</v>
      </c>
      <c r="C233" s="0" t="s">
        <v>817</v>
      </c>
      <c r="D233" s="31" t="n">
        <v>28960</v>
      </c>
      <c r="E233" s="31" t="n">
        <v>45630</v>
      </c>
      <c r="F233" s="32" t="s">
        <v>4687</v>
      </c>
      <c r="G233" s="0" t="n">
        <v>3</v>
      </c>
      <c r="H233" s="32" t="s">
        <v>4689</v>
      </c>
      <c r="I233" s="32" t="s">
        <v>4690</v>
      </c>
      <c r="J233" s="32" t="s">
        <v>3749</v>
      </c>
      <c r="K233" s="32" t="s">
        <v>2081</v>
      </c>
      <c r="L233" s="0" t="n">
        <v>110</v>
      </c>
      <c r="M233" s="32" t="s">
        <v>3843</v>
      </c>
      <c r="N233" s="32" t="s">
        <v>3751</v>
      </c>
      <c r="O233" s="32" t="n">
        <f aca="false">IF(I233="","",ROUND(MOD(TIMEVALUE(I233)-TIMEVALUE(F233),1)*1440,0))</f>
        <v>110</v>
      </c>
      <c r="P233" s="0" t="str">
        <f aca="false">IF(COUNTIF($A$2:A233,A233)&gt;1,"DUP","")</f>
        <v/>
      </c>
      <c r="Q233" s="0" t="str">
        <f aca="false">IF(O233="","",IF(O233&gt;240,"Y","N"))</f>
        <v>N</v>
      </c>
    </row>
    <row r="234" customFormat="false" ht="15" hidden="false" customHeight="false" outlineLevel="0" collapsed="false">
      <c r="A234" s="0" t="s">
        <v>4691</v>
      </c>
      <c r="B234" s="0" t="s">
        <v>3857</v>
      </c>
      <c r="C234" s="0" t="s">
        <v>775</v>
      </c>
      <c r="D234" s="31" t="n">
        <v>24789</v>
      </c>
      <c r="E234" s="31" t="n">
        <v>45720</v>
      </c>
      <c r="F234" s="32" t="s">
        <v>4692</v>
      </c>
      <c r="G234" s="0" t="n">
        <v>3</v>
      </c>
      <c r="H234" s="32" t="s">
        <v>3914</v>
      </c>
      <c r="I234" s="32" t="s">
        <v>3991</v>
      </c>
      <c r="J234" s="32" t="s">
        <v>3749</v>
      </c>
      <c r="K234" s="32" t="s">
        <v>2081</v>
      </c>
      <c r="L234" s="0" t="n">
        <v>176</v>
      </c>
      <c r="M234" s="32" t="s">
        <v>4037</v>
      </c>
      <c r="N234" s="32" t="s">
        <v>3751</v>
      </c>
      <c r="O234" s="32" t="n">
        <f aca="false">IF(I234="","",ROUND(MOD(TIMEVALUE(I234)-TIMEVALUE(F234),1)*1440,0))</f>
        <v>176</v>
      </c>
      <c r="P234" s="0" t="str">
        <f aca="false">IF(COUNTIF($A$2:A234,A234)&gt;1,"DUP","")</f>
        <v/>
      </c>
      <c r="Q234" s="0" t="str">
        <f aca="false">IF(O234="","",IF(O234&gt;240,"Y","N"))</f>
        <v>N</v>
      </c>
    </row>
    <row r="235" customFormat="false" ht="15" hidden="false" customHeight="false" outlineLevel="0" collapsed="false">
      <c r="A235" s="0" t="s">
        <v>4693</v>
      </c>
      <c r="B235" s="0" t="s">
        <v>4694</v>
      </c>
      <c r="C235" s="0" t="s">
        <v>918</v>
      </c>
      <c r="D235" s="31" t="n">
        <v>27948</v>
      </c>
      <c r="E235" s="31" t="n">
        <v>45718</v>
      </c>
      <c r="F235" s="32" t="s">
        <v>4695</v>
      </c>
      <c r="G235" s="0" t="n">
        <v>5</v>
      </c>
      <c r="H235" s="32" t="s">
        <v>4513</v>
      </c>
      <c r="I235" s="32" t="s">
        <v>3791</v>
      </c>
      <c r="J235" s="32" t="s">
        <v>3749</v>
      </c>
      <c r="K235" s="32" t="s">
        <v>2081</v>
      </c>
      <c r="L235" s="0" t="n">
        <v>109</v>
      </c>
      <c r="M235" s="32" t="s">
        <v>4313</v>
      </c>
      <c r="N235" s="32" t="s">
        <v>3751</v>
      </c>
      <c r="O235" s="32" t="n">
        <f aca="false">IF(I235="","",ROUND(MOD(TIMEVALUE(I235)-TIMEVALUE(F235),1)*1440,0))</f>
        <v>109</v>
      </c>
      <c r="P235" s="0" t="str">
        <f aca="false">IF(COUNTIF($A$2:A235,A235)&gt;1,"DUP","")</f>
        <v/>
      </c>
      <c r="Q235" s="0" t="str">
        <f aca="false">IF(O235="","",IF(O235&gt;240,"Y","N"))</f>
        <v>N</v>
      </c>
    </row>
    <row r="236" customFormat="false" ht="15" hidden="false" customHeight="false" outlineLevel="0" collapsed="false">
      <c r="A236" s="0" t="s">
        <v>4696</v>
      </c>
      <c r="B236" s="0" t="s">
        <v>3851</v>
      </c>
      <c r="C236" s="0" t="s">
        <v>825</v>
      </c>
      <c r="D236" s="31" t="n">
        <v>19749</v>
      </c>
      <c r="E236" s="31" t="n">
        <v>45719</v>
      </c>
      <c r="F236" s="32" t="s">
        <v>4697</v>
      </c>
      <c r="G236" s="0" t="n">
        <v>4</v>
      </c>
      <c r="H236" s="32" t="s">
        <v>4698</v>
      </c>
      <c r="I236" s="32" t="s">
        <v>4699</v>
      </c>
      <c r="J236" s="32" t="s">
        <v>2307</v>
      </c>
      <c r="K236" s="32" t="s">
        <v>2081</v>
      </c>
      <c r="L236" s="0" t="n">
        <v>132</v>
      </c>
      <c r="M236" s="32" t="s">
        <v>3849</v>
      </c>
      <c r="N236" s="32" t="s">
        <v>3751</v>
      </c>
      <c r="O236" s="32" t="n">
        <f aca="false">IF(I236="","",ROUND(MOD(TIMEVALUE(I236)-TIMEVALUE(F236),1)*1440,0))</f>
        <v>132</v>
      </c>
      <c r="P236" s="0" t="str">
        <f aca="false">IF(COUNTIF($A$2:A236,A236)&gt;1,"DUP","")</f>
        <v/>
      </c>
      <c r="Q236" s="0" t="str">
        <f aca="false">IF(O236="","",IF(O236&gt;240,"Y","N"))</f>
        <v>N</v>
      </c>
    </row>
    <row r="237" customFormat="false" ht="15" hidden="false" customHeight="false" outlineLevel="0" collapsed="false">
      <c r="A237" s="0" t="s">
        <v>4700</v>
      </c>
      <c r="B237" s="0" t="s">
        <v>4701</v>
      </c>
      <c r="C237" s="0" t="s">
        <v>866</v>
      </c>
      <c r="D237" s="31" t="n">
        <v>38681</v>
      </c>
      <c r="E237" s="31" t="n">
        <v>45603</v>
      </c>
      <c r="F237" s="32" t="s">
        <v>3930</v>
      </c>
      <c r="G237" s="0" t="n">
        <v>5</v>
      </c>
      <c r="H237" s="32" t="s">
        <v>829</v>
      </c>
      <c r="I237" s="32" t="s">
        <v>4702</v>
      </c>
      <c r="J237" s="32" t="s">
        <v>3749</v>
      </c>
      <c r="K237" s="32" t="s">
        <v>2081</v>
      </c>
      <c r="L237" s="0" t="n">
        <v>232</v>
      </c>
      <c r="M237" s="32" t="s">
        <v>3799</v>
      </c>
      <c r="N237" s="32" t="s">
        <v>3751</v>
      </c>
      <c r="O237" s="32" t="n">
        <f aca="false">IF(I237="","",ROUND(MOD(TIMEVALUE(I237)-TIMEVALUE(F237),1)*1440,0))</f>
        <v>232</v>
      </c>
      <c r="P237" s="0" t="str">
        <f aca="false">IF(COUNTIF($A$2:A237,A237)&gt;1,"DUP","")</f>
        <v/>
      </c>
      <c r="Q237" s="0" t="str">
        <f aca="false">IF(O237="","",IF(O237&gt;240,"Y","N"))</f>
        <v>N</v>
      </c>
    </row>
    <row r="238" customFormat="false" ht="15" hidden="false" customHeight="false" outlineLevel="0" collapsed="false">
      <c r="A238" s="0" t="s">
        <v>4703</v>
      </c>
      <c r="B238" s="0" t="s">
        <v>4208</v>
      </c>
      <c r="C238" s="0" t="s">
        <v>1453</v>
      </c>
      <c r="D238" s="31" t="n">
        <v>13820</v>
      </c>
      <c r="E238" s="31" t="n">
        <v>45721</v>
      </c>
      <c r="F238" s="32" t="s">
        <v>4704</v>
      </c>
      <c r="G238" s="0" t="n">
        <v>4</v>
      </c>
      <c r="H238" s="32" t="s">
        <v>4388</v>
      </c>
      <c r="I238" s="32" t="s">
        <v>4705</v>
      </c>
      <c r="J238" s="32" t="s">
        <v>2307</v>
      </c>
      <c r="K238" s="32" t="s">
        <v>2081</v>
      </c>
      <c r="L238" s="0" t="n">
        <v>87</v>
      </c>
      <c r="M238" s="32" t="s">
        <v>4031</v>
      </c>
      <c r="N238" s="32" t="s">
        <v>3751</v>
      </c>
      <c r="O238" s="32" t="n">
        <f aca="false">IF(I238="","",ROUND(MOD(TIMEVALUE(I238)-TIMEVALUE(F238),1)*1440,0))</f>
        <v>87</v>
      </c>
      <c r="P238" s="0" t="str">
        <f aca="false">IF(COUNTIF($A$2:A238,A238)&gt;1,"DUP","")</f>
        <v/>
      </c>
      <c r="Q238" s="0" t="str">
        <f aca="false">IF(O238="","",IF(O238&gt;240,"Y","N"))</f>
        <v>N</v>
      </c>
    </row>
    <row r="239" customFormat="false" ht="15" hidden="false" customHeight="false" outlineLevel="0" collapsed="false">
      <c r="A239" s="0" t="s">
        <v>4706</v>
      </c>
      <c r="B239" s="0" t="s">
        <v>4707</v>
      </c>
      <c r="C239" s="0" t="s">
        <v>906</v>
      </c>
      <c r="D239" s="31" t="n">
        <v>30307</v>
      </c>
      <c r="E239" s="31" t="n">
        <v>45604</v>
      </c>
      <c r="F239" s="32" t="s">
        <v>4708</v>
      </c>
      <c r="G239" s="0" t="n">
        <v>4</v>
      </c>
      <c r="H239" s="32" t="s">
        <v>4709</v>
      </c>
      <c r="I239" s="32" t="s">
        <v>4710</v>
      </c>
      <c r="J239" s="32" t="s">
        <v>2307</v>
      </c>
      <c r="K239" s="32" t="s">
        <v>2081</v>
      </c>
      <c r="L239" s="0" t="n">
        <v>216</v>
      </c>
      <c r="M239" s="32" t="s">
        <v>3952</v>
      </c>
      <c r="N239" s="32" t="s">
        <v>3751</v>
      </c>
      <c r="O239" s="32" t="n">
        <f aca="false">IF(I239="","",ROUND(MOD(TIMEVALUE(I239)-TIMEVALUE(F239),1)*1440,0))</f>
        <v>216</v>
      </c>
      <c r="P239" s="0" t="str">
        <f aca="false">IF(COUNTIF($A$2:A239,A239)&gt;1,"DUP","")</f>
        <v/>
      </c>
      <c r="Q239" s="0" t="str">
        <f aca="false">IF(O239="","",IF(O239&gt;240,"Y","N"))</f>
        <v>N</v>
      </c>
    </row>
    <row r="240" customFormat="false" ht="15" hidden="false" customHeight="false" outlineLevel="0" collapsed="false">
      <c r="A240" s="0" t="s">
        <v>4711</v>
      </c>
      <c r="C240" s="0" t="s">
        <v>817</v>
      </c>
      <c r="D240" s="31" t="n">
        <v>17686</v>
      </c>
      <c r="E240" s="31" t="n">
        <v>45699</v>
      </c>
      <c r="F240" s="32" t="s">
        <v>4712</v>
      </c>
      <c r="G240" s="0" t="n">
        <v>4</v>
      </c>
      <c r="H240" s="32" t="s">
        <v>4713</v>
      </c>
      <c r="I240" s="32" t="s">
        <v>3835</v>
      </c>
      <c r="J240" s="32" t="s">
        <v>3749</v>
      </c>
      <c r="K240" s="32" t="s">
        <v>2081</v>
      </c>
      <c r="L240" s="0" t="n">
        <v>238</v>
      </c>
      <c r="M240" s="32" t="s">
        <v>4255</v>
      </c>
      <c r="N240" s="32" t="s">
        <v>3751</v>
      </c>
      <c r="O240" s="32" t="n">
        <f aca="false">IF(I240="","",ROUND(MOD(TIMEVALUE(I240)-TIMEVALUE(F240),1)*1440,0))</f>
        <v>238</v>
      </c>
      <c r="P240" s="0" t="str">
        <f aca="false">IF(COUNTIF($A$2:A240,A240)&gt;1,"DUP","")</f>
        <v/>
      </c>
      <c r="Q240" s="0" t="str">
        <f aca="false">IF(O240="","",IF(O240&gt;240,"Y","N"))</f>
        <v>N</v>
      </c>
    </row>
    <row r="241" customFormat="false" ht="15" hidden="false" customHeight="false" outlineLevel="0" collapsed="false">
      <c r="A241" s="0" t="s">
        <v>4714</v>
      </c>
      <c r="B241" s="0" t="s">
        <v>4715</v>
      </c>
      <c r="C241" s="0" t="s">
        <v>886</v>
      </c>
      <c r="D241" s="31" t="n">
        <v>33320</v>
      </c>
      <c r="E241" s="31" t="n">
        <v>45638</v>
      </c>
      <c r="F241" s="32" t="s">
        <v>4366</v>
      </c>
      <c r="G241" s="0" t="n">
        <v>3</v>
      </c>
      <c r="H241" s="32" t="s">
        <v>4716</v>
      </c>
      <c r="I241" s="32" t="s">
        <v>4717</v>
      </c>
      <c r="J241" s="32" t="s">
        <v>3763</v>
      </c>
      <c r="K241" s="32" t="s">
        <v>2081</v>
      </c>
      <c r="L241" s="0" t="n">
        <v>181</v>
      </c>
      <c r="M241" s="32" t="s">
        <v>3993</v>
      </c>
      <c r="N241" s="32" t="s">
        <v>3751</v>
      </c>
      <c r="O241" s="32" t="n">
        <f aca="false">IF(I241="","",ROUND(MOD(TIMEVALUE(I241)-TIMEVALUE(F241),1)*1440,0))</f>
        <v>181</v>
      </c>
      <c r="P241" s="0" t="str">
        <f aca="false">IF(COUNTIF($A$2:A241,A241)&gt;1,"DUP","")</f>
        <v/>
      </c>
      <c r="Q241" s="0" t="str">
        <f aca="false">IF(O241="","",IF(O241&gt;240,"Y","N"))</f>
        <v>N</v>
      </c>
    </row>
    <row r="242" customFormat="false" ht="15" hidden="false" customHeight="false" outlineLevel="0" collapsed="false">
      <c r="A242" s="0" t="s">
        <v>4718</v>
      </c>
      <c r="B242" s="0" t="s">
        <v>3981</v>
      </c>
      <c r="C242" s="0" t="s">
        <v>1410</v>
      </c>
      <c r="D242" s="31" t="n">
        <v>38565</v>
      </c>
      <c r="E242" s="31" t="n">
        <v>45731</v>
      </c>
      <c r="F242" s="32" t="s">
        <v>4719</v>
      </c>
      <c r="G242" s="0" t="n">
        <v>3</v>
      </c>
      <c r="H242" s="32" t="s">
        <v>4264</v>
      </c>
      <c r="I242" s="32" t="s">
        <v>3900</v>
      </c>
      <c r="J242" s="32" t="s">
        <v>3749</v>
      </c>
      <c r="K242" s="32" t="s">
        <v>2081</v>
      </c>
      <c r="L242" s="0" t="n">
        <v>124</v>
      </c>
      <c r="M242" s="32" t="s">
        <v>3975</v>
      </c>
      <c r="N242" s="32" t="s">
        <v>3751</v>
      </c>
      <c r="O242" s="32" t="n">
        <f aca="false">IF(I242="","",ROUND(MOD(TIMEVALUE(I242)-TIMEVALUE(F242),1)*1440,0))</f>
        <v>124</v>
      </c>
      <c r="P242" s="0" t="str">
        <f aca="false">IF(COUNTIF($A$2:A242,A242)&gt;1,"DUP","")</f>
        <v/>
      </c>
      <c r="Q242" s="0" t="str">
        <f aca="false">IF(O242="","",IF(O242&gt;240,"Y","N"))</f>
        <v>N</v>
      </c>
    </row>
    <row r="243" customFormat="false" ht="15" hidden="false" customHeight="false" outlineLevel="0" collapsed="false">
      <c r="A243" s="0" t="s">
        <v>4720</v>
      </c>
      <c r="B243" s="0" t="s">
        <v>3868</v>
      </c>
      <c r="C243" s="0" t="s">
        <v>882</v>
      </c>
      <c r="D243" s="31" t="n">
        <v>38196</v>
      </c>
      <c r="E243" s="31" t="n">
        <v>45688</v>
      </c>
      <c r="F243" s="32" t="s">
        <v>4721</v>
      </c>
      <c r="G243" s="0" t="n">
        <v>4</v>
      </c>
      <c r="H243" s="32" t="s">
        <v>4722</v>
      </c>
      <c r="I243" s="32" t="s">
        <v>4108</v>
      </c>
      <c r="J243" s="32" t="s">
        <v>3793</v>
      </c>
      <c r="K243" s="32" t="s">
        <v>2106</v>
      </c>
      <c r="L243" s="0" t="n">
        <v>436</v>
      </c>
      <c r="M243" s="32" t="s">
        <v>3750</v>
      </c>
      <c r="N243" s="32" t="s">
        <v>747</v>
      </c>
      <c r="O243" s="32" t="n">
        <f aca="false">IF(I243="","",ROUND(MOD(TIMEVALUE(I243)-TIMEVALUE(F243),1)*1440,0))</f>
        <v>436</v>
      </c>
      <c r="P243" s="0" t="str">
        <f aca="false">IF(COUNTIF($A$2:A243,A243)&gt;1,"DUP","")</f>
        <v/>
      </c>
      <c r="Q243" s="0" t="str">
        <f aca="false">IF(O243="","",IF(O243&gt;240,"Y","N"))</f>
        <v>Y</v>
      </c>
    </row>
    <row r="244" customFormat="false" ht="15" hidden="false" customHeight="false" outlineLevel="0" collapsed="false">
      <c r="A244" s="0" t="s">
        <v>4723</v>
      </c>
      <c r="B244" s="0" t="s">
        <v>4724</v>
      </c>
      <c r="C244" s="0" t="s">
        <v>930</v>
      </c>
      <c r="D244" s="31" t="n">
        <v>27988</v>
      </c>
      <c r="E244" s="31" t="n">
        <v>45723</v>
      </c>
      <c r="F244" s="32" t="s">
        <v>4452</v>
      </c>
      <c r="G244" s="0" t="n">
        <v>4</v>
      </c>
      <c r="H244" s="32" t="s">
        <v>4725</v>
      </c>
      <c r="I244" s="32" t="s">
        <v>4722</v>
      </c>
      <c r="J244" s="32" t="s">
        <v>3793</v>
      </c>
      <c r="K244" s="32" t="s">
        <v>2106</v>
      </c>
      <c r="L244" s="0" t="n">
        <v>289</v>
      </c>
      <c r="M244" s="32" t="s">
        <v>4141</v>
      </c>
      <c r="N244" s="32" t="s">
        <v>766</v>
      </c>
      <c r="O244" s="32" t="n">
        <f aca="false">IF(I244="","",ROUND(MOD(TIMEVALUE(I244)-TIMEVALUE(F244),1)*1440,0))</f>
        <v>289</v>
      </c>
      <c r="P244" s="0" t="str">
        <f aca="false">IF(COUNTIF($A$2:A244,A244)&gt;1,"DUP","")</f>
        <v/>
      </c>
      <c r="Q244" s="0" t="str">
        <f aca="false">IF(O244="","",IF(O244&gt;240,"Y","N"))</f>
        <v>Y</v>
      </c>
    </row>
    <row r="245" customFormat="false" ht="15" hidden="false" customHeight="false" outlineLevel="0" collapsed="false">
      <c r="A245" s="0" t="s">
        <v>4726</v>
      </c>
      <c r="B245" s="0" t="s">
        <v>4727</v>
      </c>
      <c r="C245" s="0" t="s">
        <v>784</v>
      </c>
      <c r="D245" s="31" t="n">
        <v>36882</v>
      </c>
      <c r="E245" s="31" t="n">
        <v>45674</v>
      </c>
      <c r="F245" s="32" t="s">
        <v>4728</v>
      </c>
      <c r="G245" s="0" t="n">
        <v>3</v>
      </c>
      <c r="H245" s="32" t="s">
        <v>4729</v>
      </c>
      <c r="I245" s="32" t="s">
        <v>4730</v>
      </c>
      <c r="J245" s="32" t="s">
        <v>2307</v>
      </c>
      <c r="K245" s="32" t="s">
        <v>2106</v>
      </c>
      <c r="L245" s="0" t="n">
        <v>364</v>
      </c>
      <c r="M245" s="32" t="s">
        <v>3877</v>
      </c>
      <c r="N245" s="32" t="s">
        <v>3751</v>
      </c>
      <c r="O245" s="32" t="n">
        <f aca="false">IF(I245="","",ROUND(MOD(TIMEVALUE(I245)-TIMEVALUE(F245),1)*1440,0))</f>
        <v>364</v>
      </c>
      <c r="P245" s="0" t="str">
        <f aca="false">IF(COUNTIF($A$2:A245,A245)&gt;1,"DUP","")</f>
        <v/>
      </c>
      <c r="Q245" s="0" t="str">
        <f aca="false">IF(O245="","",IF(O245&gt;240,"Y","N"))</f>
        <v>Y</v>
      </c>
    </row>
    <row r="246" customFormat="false" ht="15" hidden="false" customHeight="false" outlineLevel="0" collapsed="false">
      <c r="A246" s="0" t="s">
        <v>4731</v>
      </c>
      <c r="B246" s="0" t="s">
        <v>4519</v>
      </c>
      <c r="C246" s="0" t="s">
        <v>946</v>
      </c>
      <c r="D246" s="31" t="n">
        <v>20738</v>
      </c>
      <c r="E246" s="31" t="n">
        <v>45581</v>
      </c>
      <c r="F246" s="32" t="s">
        <v>4732</v>
      </c>
      <c r="G246" s="0" t="n">
        <v>5</v>
      </c>
      <c r="H246" s="32" t="s">
        <v>3938</v>
      </c>
      <c r="I246" s="32" t="s">
        <v>3854</v>
      </c>
      <c r="J246" s="32" t="s">
        <v>3763</v>
      </c>
      <c r="K246" s="32" t="s">
        <v>2081</v>
      </c>
      <c r="L246" s="0" t="n">
        <v>146</v>
      </c>
      <c r="M246" s="32" t="s">
        <v>3827</v>
      </c>
      <c r="N246" s="32" t="s">
        <v>3751</v>
      </c>
      <c r="O246" s="32" t="n">
        <f aca="false">IF(I246="","",ROUND(MOD(TIMEVALUE(I246)-TIMEVALUE(F246),1)*1440,0))</f>
        <v>146</v>
      </c>
      <c r="P246" s="0" t="str">
        <f aca="false">IF(COUNTIF($A$2:A246,A246)&gt;1,"DUP","")</f>
        <v/>
      </c>
      <c r="Q246" s="0" t="str">
        <f aca="false">IF(O246="","",IF(O246&gt;240,"Y","N"))</f>
        <v>N</v>
      </c>
    </row>
    <row r="247" customFormat="false" ht="15" hidden="false" customHeight="false" outlineLevel="0" collapsed="false">
      <c r="A247" s="0" t="s">
        <v>4733</v>
      </c>
      <c r="B247" s="0" t="s">
        <v>4734</v>
      </c>
      <c r="C247" s="0" t="s">
        <v>962</v>
      </c>
      <c r="D247" s="31" t="n">
        <v>31660</v>
      </c>
      <c r="E247" s="31" t="n">
        <v>45733</v>
      </c>
      <c r="F247" s="32" t="s">
        <v>4735</v>
      </c>
      <c r="G247" s="0" t="n">
        <v>5</v>
      </c>
      <c r="H247" s="32" t="s">
        <v>4636</v>
      </c>
      <c r="I247" s="32" t="s">
        <v>4736</v>
      </c>
      <c r="J247" s="32" t="s">
        <v>3749</v>
      </c>
      <c r="K247" s="32" t="s">
        <v>2081</v>
      </c>
      <c r="L247" s="0" t="n">
        <v>108</v>
      </c>
      <c r="M247" s="32" t="s">
        <v>4122</v>
      </c>
      <c r="N247" s="32" t="s">
        <v>3751</v>
      </c>
      <c r="O247" s="32" t="n">
        <f aca="false">IF(I247="","",ROUND(MOD(TIMEVALUE(I247)-TIMEVALUE(F247),1)*1440,0))</f>
        <v>108</v>
      </c>
      <c r="P247" s="0" t="str">
        <f aca="false">IF(COUNTIF($A$2:A247,A247)&gt;1,"DUP","")</f>
        <v/>
      </c>
      <c r="Q247" s="0" t="str">
        <f aca="false">IF(O247="","",IF(O247&gt;240,"Y","N"))</f>
        <v>N</v>
      </c>
    </row>
    <row r="248" customFormat="false" ht="15" hidden="false" customHeight="false" outlineLevel="0" collapsed="false">
      <c r="A248" s="0" t="s">
        <v>4737</v>
      </c>
      <c r="B248" s="0" t="s">
        <v>4738</v>
      </c>
      <c r="C248" s="0" t="s">
        <v>2148</v>
      </c>
      <c r="D248" s="31" t="n">
        <v>30997</v>
      </c>
      <c r="E248" s="31" t="n">
        <v>45614</v>
      </c>
      <c r="F248" s="32" t="s">
        <v>4739</v>
      </c>
      <c r="G248" s="0" t="n">
        <v>4</v>
      </c>
      <c r="H248" s="32" t="s">
        <v>4740</v>
      </c>
      <c r="I248" s="32" t="s">
        <v>4741</v>
      </c>
      <c r="J248" s="32" t="s">
        <v>2307</v>
      </c>
      <c r="K248" s="32" t="s">
        <v>2081</v>
      </c>
      <c r="L248" s="0" t="n">
        <v>38</v>
      </c>
      <c r="M248" s="32" t="s">
        <v>4114</v>
      </c>
      <c r="N248" s="32" t="s">
        <v>3751</v>
      </c>
      <c r="O248" s="32" t="n">
        <f aca="false">IF(I248="","",ROUND(MOD(TIMEVALUE(I248)-TIMEVALUE(F248),1)*1440,0))</f>
        <v>38</v>
      </c>
      <c r="P248" s="0" t="str">
        <f aca="false">IF(COUNTIF($A$2:A248,A248)&gt;1,"DUP","")</f>
        <v/>
      </c>
      <c r="Q248" s="0" t="str">
        <f aca="false">IF(O248="","",IF(O248&gt;240,"Y","N"))</f>
        <v>N</v>
      </c>
    </row>
    <row r="249" customFormat="false" ht="15" hidden="false" customHeight="false" outlineLevel="0" collapsed="false">
      <c r="A249" s="0" t="s">
        <v>4742</v>
      </c>
      <c r="B249" s="0" t="s">
        <v>4471</v>
      </c>
      <c r="C249" s="0" t="s">
        <v>775</v>
      </c>
      <c r="D249" s="31" t="n">
        <v>23542</v>
      </c>
      <c r="E249" s="31" t="n">
        <v>45729</v>
      </c>
      <c r="F249" s="32" t="s">
        <v>3964</v>
      </c>
      <c r="G249" s="0" t="n">
        <v>4</v>
      </c>
      <c r="H249" s="32" t="s">
        <v>4743</v>
      </c>
      <c r="I249" s="32" t="s">
        <v>4744</v>
      </c>
      <c r="J249" s="32" t="s">
        <v>3763</v>
      </c>
      <c r="K249" s="32" t="s">
        <v>2081</v>
      </c>
      <c r="L249" s="0" t="n">
        <v>163</v>
      </c>
      <c r="M249" s="32" t="s">
        <v>3770</v>
      </c>
      <c r="N249" s="32" t="s">
        <v>3751</v>
      </c>
      <c r="O249" s="32" t="n">
        <f aca="false">IF(I249="","",ROUND(MOD(TIMEVALUE(I249)-TIMEVALUE(F249),1)*1440,0))</f>
        <v>163</v>
      </c>
      <c r="P249" s="0" t="str">
        <f aca="false">IF(COUNTIF($A$2:A249,A249)&gt;1,"DUP","")</f>
        <v/>
      </c>
      <c r="Q249" s="0" t="str">
        <f aca="false">IF(O249="","",IF(O249&gt;240,"Y","N"))</f>
        <v>N</v>
      </c>
    </row>
    <row r="250" customFormat="false" ht="15" hidden="false" customHeight="false" outlineLevel="0" collapsed="false">
      <c r="A250" s="0" t="s">
        <v>4745</v>
      </c>
      <c r="B250" s="0" t="s">
        <v>4649</v>
      </c>
      <c r="C250" s="0" t="s">
        <v>1021</v>
      </c>
      <c r="D250" s="31" t="n">
        <v>33362</v>
      </c>
      <c r="E250" s="31" t="n">
        <v>45656</v>
      </c>
      <c r="F250" s="32" t="s">
        <v>4308</v>
      </c>
      <c r="G250" s="0" t="n">
        <v>4</v>
      </c>
      <c r="H250" s="32" t="s">
        <v>4746</v>
      </c>
      <c r="I250" s="32" t="s">
        <v>4747</v>
      </c>
      <c r="J250" s="32" t="s">
        <v>7</v>
      </c>
      <c r="K250" s="32" t="s">
        <v>2106</v>
      </c>
      <c r="L250" s="0" t="n">
        <v>278</v>
      </c>
      <c r="M250" s="32" t="s">
        <v>3877</v>
      </c>
      <c r="N250" s="32" t="s">
        <v>3751</v>
      </c>
      <c r="O250" s="32" t="n">
        <f aca="false">IF(I250="","",ROUND(MOD(TIMEVALUE(I250)-TIMEVALUE(F250),1)*1440,0))</f>
        <v>278</v>
      </c>
      <c r="P250" s="0" t="str">
        <f aca="false">IF(COUNTIF($A$2:A250,A250)&gt;1,"DUP","")</f>
        <v/>
      </c>
      <c r="Q250" s="0" t="str">
        <f aca="false">IF(O250="","",IF(O250&gt;240,"Y","N"))</f>
        <v>Y</v>
      </c>
    </row>
    <row r="251" customFormat="false" ht="15" hidden="false" customHeight="false" outlineLevel="0" collapsed="false">
      <c r="A251" s="0" t="s">
        <v>4748</v>
      </c>
      <c r="B251" s="0" t="s">
        <v>4749</v>
      </c>
      <c r="C251" s="0" t="s">
        <v>862</v>
      </c>
      <c r="D251" s="31" t="n">
        <v>13883</v>
      </c>
      <c r="E251" s="31" t="n">
        <v>45659</v>
      </c>
      <c r="F251" s="32" t="s">
        <v>4750</v>
      </c>
      <c r="G251" s="0" t="n">
        <v>5</v>
      </c>
      <c r="H251" s="32" t="s">
        <v>4167</v>
      </c>
      <c r="I251" s="32" t="s">
        <v>4751</v>
      </c>
      <c r="J251" s="32" t="s">
        <v>2307</v>
      </c>
      <c r="K251" s="32" t="s">
        <v>2081</v>
      </c>
      <c r="L251" s="0" t="n">
        <v>91</v>
      </c>
      <c r="M251" s="32" t="s">
        <v>3757</v>
      </c>
      <c r="N251" s="32" t="s">
        <v>3751</v>
      </c>
      <c r="O251" s="32" t="n">
        <f aca="false">IF(I251="","",ROUND(MOD(TIMEVALUE(I251)-TIMEVALUE(F251),1)*1440,0))</f>
        <v>91</v>
      </c>
      <c r="P251" s="0" t="str">
        <f aca="false">IF(COUNTIF($A$2:A251,A251)&gt;1,"DUP","")</f>
        <v/>
      </c>
      <c r="Q251" s="0" t="str">
        <f aca="false">IF(O251="","",IF(O251&gt;240,"Y","N"))</f>
        <v>N</v>
      </c>
    </row>
    <row r="252" customFormat="false" ht="15" hidden="false" customHeight="false" outlineLevel="0" collapsed="false">
      <c r="A252" s="0" t="s">
        <v>4752</v>
      </c>
      <c r="B252" s="0" t="s">
        <v>4138</v>
      </c>
      <c r="C252" s="0" t="s">
        <v>894</v>
      </c>
      <c r="D252" s="31" t="n">
        <v>23986</v>
      </c>
      <c r="E252" s="31" t="n">
        <v>45585</v>
      </c>
      <c r="F252" s="32" t="s">
        <v>4753</v>
      </c>
      <c r="G252" s="0" t="n">
        <v>4</v>
      </c>
      <c r="H252" s="32" t="s">
        <v>4020</v>
      </c>
      <c r="I252" s="32" t="s">
        <v>4637</v>
      </c>
      <c r="J252" s="32" t="s">
        <v>2307</v>
      </c>
      <c r="K252" s="32" t="s">
        <v>2081</v>
      </c>
      <c r="L252" s="0" t="n">
        <v>230</v>
      </c>
      <c r="M252" s="32" t="s">
        <v>3849</v>
      </c>
      <c r="N252" s="32" t="s">
        <v>3751</v>
      </c>
      <c r="O252" s="32" t="n">
        <f aca="false">IF(I252="","",ROUND(MOD(TIMEVALUE(I252)-TIMEVALUE(F252),1)*1440,0))</f>
        <v>230</v>
      </c>
      <c r="P252" s="0" t="str">
        <f aca="false">IF(COUNTIF($A$2:A252,A252)&gt;1,"DUP","")</f>
        <v/>
      </c>
      <c r="Q252" s="0" t="str">
        <f aca="false">IF(O252="","",IF(O252&gt;240,"Y","N"))</f>
        <v>N</v>
      </c>
    </row>
    <row r="253" customFormat="false" ht="15" hidden="false" customHeight="false" outlineLevel="0" collapsed="false">
      <c r="A253" s="0" t="s">
        <v>4754</v>
      </c>
      <c r="B253" s="0" t="s">
        <v>4018</v>
      </c>
      <c r="C253" s="0" t="s">
        <v>801</v>
      </c>
      <c r="D253" s="31" t="n">
        <v>27780</v>
      </c>
      <c r="E253" s="31" t="n">
        <v>45735</v>
      </c>
      <c r="F253" s="32" t="s">
        <v>4035</v>
      </c>
      <c r="G253" s="0" t="n">
        <v>4</v>
      </c>
      <c r="I253" s="32" t="s">
        <v>4755</v>
      </c>
      <c r="J253" s="32" t="s">
        <v>3749</v>
      </c>
      <c r="K253" s="32" t="s">
        <v>2081</v>
      </c>
      <c r="L253" s="0" t="n">
        <v>130</v>
      </c>
      <c r="M253" s="32" t="s">
        <v>3866</v>
      </c>
      <c r="N253" s="32" t="s">
        <v>3751</v>
      </c>
      <c r="O253" s="32" t="n">
        <f aca="false">IF(I253="","",ROUND(MOD(TIMEVALUE(I253)-TIMEVALUE(F253),1)*1440,0))</f>
        <v>130</v>
      </c>
      <c r="P253" s="0" t="str">
        <f aca="false">IF(COUNTIF($A$2:A253,A253)&gt;1,"DUP","")</f>
        <v/>
      </c>
      <c r="Q253" s="0" t="str">
        <f aca="false">IF(O253="","",IF(O253&gt;240,"Y","N"))</f>
        <v>N</v>
      </c>
    </row>
    <row r="254" customFormat="false" ht="15" hidden="false" customHeight="false" outlineLevel="0" collapsed="false">
      <c r="A254" s="0" t="s">
        <v>4756</v>
      </c>
      <c r="B254" s="0" t="s">
        <v>4200</v>
      </c>
      <c r="C254" s="0" t="s">
        <v>997</v>
      </c>
      <c r="D254" s="31" t="n">
        <v>30779</v>
      </c>
      <c r="E254" s="31" t="n">
        <v>45677</v>
      </c>
      <c r="F254" s="32" t="s">
        <v>4757</v>
      </c>
      <c r="G254" s="0" t="n">
        <v>2</v>
      </c>
      <c r="H254" s="32" t="s">
        <v>4758</v>
      </c>
      <c r="I254" s="32" t="s">
        <v>4759</v>
      </c>
      <c r="J254" s="32" t="s">
        <v>3793</v>
      </c>
      <c r="K254" s="32" t="s">
        <v>2081</v>
      </c>
      <c r="L254" s="0" t="n">
        <v>201</v>
      </c>
      <c r="M254" s="32" t="s">
        <v>3993</v>
      </c>
      <c r="N254" s="32" t="s">
        <v>747</v>
      </c>
      <c r="O254" s="32" t="n">
        <f aca="false">IF(I254="","",ROUND(MOD(TIMEVALUE(I254)-TIMEVALUE(F254),1)*1440,0))</f>
        <v>201</v>
      </c>
      <c r="P254" s="0" t="str">
        <f aca="false">IF(COUNTIF($A$2:A254,A254)&gt;1,"DUP","")</f>
        <v/>
      </c>
      <c r="Q254" s="0" t="str">
        <f aca="false">IF(O254="","",IF(O254&gt;240,"Y","N"))</f>
        <v>N</v>
      </c>
    </row>
    <row r="255" customFormat="false" ht="15" hidden="false" customHeight="false" outlineLevel="0" collapsed="false">
      <c r="A255" s="0" t="s">
        <v>4760</v>
      </c>
      <c r="B255" s="0" t="s">
        <v>4761</v>
      </c>
      <c r="C255" s="0" t="s">
        <v>1402</v>
      </c>
      <c r="D255" s="31" t="n">
        <v>16142</v>
      </c>
      <c r="E255" s="31" t="n">
        <v>45685</v>
      </c>
      <c r="F255" s="32" t="s">
        <v>4762</v>
      </c>
      <c r="G255" s="0" t="n">
        <v>3</v>
      </c>
      <c r="H255" s="32" t="s">
        <v>4311</v>
      </c>
      <c r="I255" s="32" t="s">
        <v>4763</v>
      </c>
      <c r="J255" s="32" t="s">
        <v>2307</v>
      </c>
      <c r="K255" s="32" t="s">
        <v>2106</v>
      </c>
      <c r="L255" s="0" t="n">
        <v>445</v>
      </c>
      <c r="M255" s="32" t="s">
        <v>4409</v>
      </c>
      <c r="N255" s="32" t="s">
        <v>3751</v>
      </c>
      <c r="O255" s="32" t="n">
        <f aca="false">IF(I255="","",ROUND(MOD(TIMEVALUE(I255)-TIMEVALUE(F255),1)*1440,0))</f>
        <v>445</v>
      </c>
      <c r="P255" s="0" t="str">
        <f aca="false">IF(COUNTIF($A$2:A255,A255)&gt;1,"DUP","")</f>
        <v/>
      </c>
      <c r="Q255" s="0" t="str">
        <f aca="false">IF(O255="","",IF(O255&gt;240,"Y","N"))</f>
        <v>Y</v>
      </c>
    </row>
    <row r="256" customFormat="false" ht="15" hidden="false" customHeight="false" outlineLevel="0" collapsed="false">
      <c r="A256" s="0" t="s">
        <v>4764</v>
      </c>
      <c r="C256" s="0" t="s">
        <v>886</v>
      </c>
      <c r="D256" s="31" t="n">
        <v>13161</v>
      </c>
      <c r="E256" s="31" t="n">
        <v>45609</v>
      </c>
      <c r="F256" s="32" t="s">
        <v>4698</v>
      </c>
      <c r="G256" s="0" t="n">
        <v>2</v>
      </c>
      <c r="H256" s="32" t="s">
        <v>4765</v>
      </c>
      <c r="I256" s="32" t="s">
        <v>4766</v>
      </c>
      <c r="J256" s="32" t="s">
        <v>3749</v>
      </c>
      <c r="K256" s="32" t="s">
        <v>2081</v>
      </c>
      <c r="L256" s="0" t="n">
        <v>37</v>
      </c>
      <c r="M256" s="32" t="s">
        <v>4165</v>
      </c>
      <c r="N256" s="32" t="s">
        <v>3751</v>
      </c>
      <c r="O256" s="32" t="n">
        <f aca="false">IF(I256="","",ROUND(MOD(TIMEVALUE(I256)-TIMEVALUE(F256),1)*1440,0))</f>
        <v>37</v>
      </c>
      <c r="P256" s="0" t="str">
        <f aca="false">IF(COUNTIF($A$2:A256,A256)&gt;1,"DUP","")</f>
        <v/>
      </c>
      <c r="Q256" s="0" t="str">
        <f aca="false">IF(O256="","",IF(O256&gt;240,"Y","N"))</f>
        <v>N</v>
      </c>
    </row>
    <row r="257" customFormat="false" ht="15" hidden="false" customHeight="false" outlineLevel="0" collapsed="false">
      <c r="A257" s="0" t="s">
        <v>4767</v>
      </c>
      <c r="B257" s="0" t="s">
        <v>4734</v>
      </c>
      <c r="C257" s="0" t="s">
        <v>894</v>
      </c>
      <c r="D257" s="31" t="n">
        <v>27406</v>
      </c>
      <c r="E257" s="31" t="n">
        <v>45684</v>
      </c>
      <c r="F257" s="32" t="s">
        <v>3930</v>
      </c>
      <c r="G257" s="0" t="n">
        <v>3</v>
      </c>
      <c r="H257" s="32" t="s">
        <v>4768</v>
      </c>
      <c r="I257" s="32" t="s">
        <v>4125</v>
      </c>
      <c r="J257" s="32" t="s">
        <v>3763</v>
      </c>
      <c r="K257" s="32" t="s">
        <v>2081</v>
      </c>
      <c r="L257" s="0" t="n">
        <v>225</v>
      </c>
      <c r="M257" s="32" t="s">
        <v>4122</v>
      </c>
      <c r="N257" s="32" t="s">
        <v>3751</v>
      </c>
      <c r="O257" s="32" t="n">
        <f aca="false">IF(I257="","",ROUND(MOD(TIMEVALUE(I257)-TIMEVALUE(F257),1)*1440,0))</f>
        <v>225</v>
      </c>
      <c r="P257" s="0" t="str">
        <f aca="false">IF(COUNTIF($A$2:A257,A257)&gt;1,"DUP","")</f>
        <v/>
      </c>
      <c r="Q257" s="0" t="str">
        <f aca="false">IF(O257="","",IF(O257&gt;240,"Y","N"))</f>
        <v>N</v>
      </c>
    </row>
    <row r="258" customFormat="false" ht="15" hidden="false" customHeight="false" outlineLevel="0" collapsed="false">
      <c r="A258" s="0" t="s">
        <v>4769</v>
      </c>
      <c r="B258" s="0" t="s">
        <v>4770</v>
      </c>
      <c r="C258" s="0" t="s">
        <v>902</v>
      </c>
      <c r="D258" s="31" t="n">
        <v>32198</v>
      </c>
      <c r="E258" s="31" t="n">
        <v>45652</v>
      </c>
      <c r="F258" s="32" t="s">
        <v>4398</v>
      </c>
      <c r="G258" s="0" t="n">
        <v>3</v>
      </c>
      <c r="H258" s="32" t="s">
        <v>3964</v>
      </c>
      <c r="I258" s="32" t="s">
        <v>4771</v>
      </c>
      <c r="J258" s="32" t="s">
        <v>3749</v>
      </c>
      <c r="K258" s="32" t="s">
        <v>2081</v>
      </c>
      <c r="L258" s="0" t="n">
        <v>68</v>
      </c>
      <c r="M258" s="32" t="s">
        <v>3975</v>
      </c>
      <c r="N258" s="32" t="s">
        <v>3751</v>
      </c>
      <c r="O258" s="32" t="n">
        <f aca="false">IF(I258="","",ROUND(MOD(TIMEVALUE(I258)-TIMEVALUE(F258),1)*1440,0))</f>
        <v>68</v>
      </c>
      <c r="P258" s="0" t="str">
        <f aca="false">IF(COUNTIF($A$2:A258,A258)&gt;1,"DUP","")</f>
        <v/>
      </c>
      <c r="Q258" s="0" t="str">
        <f aca="false">IF(O258="","",IF(O258&gt;240,"Y","N"))</f>
        <v>N</v>
      </c>
    </row>
    <row r="259" customFormat="false" ht="15" hidden="false" customHeight="false" outlineLevel="0" collapsed="false">
      <c r="A259" s="0" t="s">
        <v>4772</v>
      </c>
      <c r="B259" s="0" t="s">
        <v>4773</v>
      </c>
      <c r="C259" s="0" t="s">
        <v>857</v>
      </c>
      <c r="D259" s="31" t="n">
        <v>35761</v>
      </c>
      <c r="E259" s="31" t="n">
        <v>45706</v>
      </c>
      <c r="F259" s="32" t="s">
        <v>3945</v>
      </c>
      <c r="G259" s="0" t="n">
        <v>4</v>
      </c>
      <c r="H259" s="32" t="s">
        <v>4774</v>
      </c>
      <c r="I259" s="32" t="s">
        <v>4261</v>
      </c>
      <c r="J259" s="32" t="s">
        <v>3793</v>
      </c>
      <c r="K259" s="32" t="s">
        <v>2081</v>
      </c>
      <c r="L259" s="0" t="n">
        <v>180</v>
      </c>
      <c r="M259" s="32" t="s">
        <v>3821</v>
      </c>
      <c r="N259" s="32" t="s">
        <v>776</v>
      </c>
      <c r="O259" s="32" t="n">
        <f aca="false">IF(I259="","",ROUND(MOD(TIMEVALUE(I259)-TIMEVALUE(F259),1)*1440,0))</f>
        <v>180</v>
      </c>
      <c r="P259" s="0" t="str">
        <f aca="false">IF(COUNTIF($A$2:A259,A259)&gt;1,"DUP","")</f>
        <v/>
      </c>
      <c r="Q259" s="0" t="str">
        <f aca="false">IF(O259="","",IF(O259&gt;240,"Y","N"))</f>
        <v>N</v>
      </c>
    </row>
    <row r="260" customFormat="false" ht="15" hidden="false" customHeight="false" outlineLevel="0" collapsed="false">
      <c r="A260" s="0" t="s">
        <v>4775</v>
      </c>
      <c r="B260" s="0" t="s">
        <v>4776</v>
      </c>
      <c r="C260" s="0" t="s">
        <v>898</v>
      </c>
      <c r="D260" s="31" t="n">
        <v>33255</v>
      </c>
      <c r="E260" s="31" t="n">
        <v>45730</v>
      </c>
      <c r="F260" s="32" t="s">
        <v>4222</v>
      </c>
      <c r="G260" s="0" t="n">
        <v>3</v>
      </c>
      <c r="H260" s="32" t="s">
        <v>4777</v>
      </c>
      <c r="I260" s="32" t="s">
        <v>4302</v>
      </c>
      <c r="J260" s="32" t="s">
        <v>3749</v>
      </c>
      <c r="L260" s="0" t="n">
        <v>-57</v>
      </c>
      <c r="M260" s="32" t="s">
        <v>4582</v>
      </c>
      <c r="N260" s="32" t="s">
        <v>3751</v>
      </c>
      <c r="O260" s="32" t="n">
        <f aca="false">IF(I260="","",ROUND(MOD(TIMEVALUE(I260)-TIMEVALUE(F260),1)*1440,0))</f>
        <v>166</v>
      </c>
      <c r="P260" s="0" t="str">
        <f aca="false">IF(COUNTIF($A$2:A260,A260)&gt;1,"DUP","")</f>
        <v/>
      </c>
      <c r="Q260" s="0" t="str">
        <f aca="false">IF(O260="","",IF(O260&gt;240,"Y","N"))</f>
        <v>N</v>
      </c>
    </row>
    <row r="261" customFormat="false" ht="15" hidden="false" customHeight="false" outlineLevel="0" collapsed="false">
      <c r="A261" s="0" t="s">
        <v>4778</v>
      </c>
      <c r="B261" s="0" t="s">
        <v>4393</v>
      </c>
      <c r="C261" s="0" t="s">
        <v>1453</v>
      </c>
      <c r="D261" s="31" t="n">
        <v>12948</v>
      </c>
      <c r="E261" s="31" t="n">
        <v>45633</v>
      </c>
      <c r="F261" s="32" t="s">
        <v>4164</v>
      </c>
      <c r="G261" s="0" t="n">
        <v>5</v>
      </c>
      <c r="H261" s="32" t="s">
        <v>4779</v>
      </c>
      <c r="I261" s="32" t="s">
        <v>4780</v>
      </c>
      <c r="J261" s="32" t="s">
        <v>3749</v>
      </c>
      <c r="K261" s="32" t="s">
        <v>2081</v>
      </c>
      <c r="L261" s="0" t="n">
        <v>214</v>
      </c>
      <c r="M261" s="32" t="s">
        <v>4781</v>
      </c>
      <c r="N261" s="32" t="s">
        <v>3751</v>
      </c>
      <c r="O261" s="32" t="n">
        <f aca="false">IF(I261="","",ROUND(MOD(TIMEVALUE(I261)-TIMEVALUE(F261),1)*1440,0))</f>
        <v>214</v>
      </c>
      <c r="P261" s="0" t="str">
        <f aca="false">IF(COUNTIF($A$2:A261,A261)&gt;1,"DUP","")</f>
        <v/>
      </c>
      <c r="Q261" s="0" t="str">
        <f aca="false">IF(O261="","",IF(O261&gt;240,"Y","N"))</f>
        <v>N</v>
      </c>
    </row>
    <row r="262" customFormat="false" ht="15" hidden="false" customHeight="false" outlineLevel="0" collapsed="false">
      <c r="A262" s="0" t="s">
        <v>4782</v>
      </c>
      <c r="B262" s="0" t="s">
        <v>4783</v>
      </c>
      <c r="C262" s="0" t="s">
        <v>962</v>
      </c>
      <c r="D262" s="31" t="n">
        <v>21114</v>
      </c>
      <c r="E262" s="31" t="n">
        <v>45594</v>
      </c>
      <c r="F262" s="32" t="s">
        <v>4784</v>
      </c>
      <c r="G262" s="0" t="n">
        <v>4</v>
      </c>
      <c r="H262" s="32" t="s">
        <v>4785</v>
      </c>
      <c r="I262" s="32" t="s">
        <v>4786</v>
      </c>
      <c r="J262" s="32" t="s">
        <v>3749</v>
      </c>
      <c r="K262" s="32" t="s">
        <v>2081</v>
      </c>
      <c r="L262" s="0" t="n">
        <v>118</v>
      </c>
      <c r="M262" s="32" t="s">
        <v>3821</v>
      </c>
      <c r="N262" s="32" t="s">
        <v>3751</v>
      </c>
      <c r="O262" s="32" t="n">
        <f aca="false">IF(I262="","",ROUND(MOD(TIMEVALUE(I262)-TIMEVALUE(F262),1)*1440,0))</f>
        <v>118</v>
      </c>
      <c r="P262" s="0" t="str">
        <f aca="false">IF(COUNTIF($A$2:A262,A262)&gt;1,"DUP","")</f>
        <v/>
      </c>
      <c r="Q262" s="0" t="str">
        <f aca="false">IF(O262="","",IF(O262&gt;240,"Y","N"))</f>
        <v>N</v>
      </c>
    </row>
    <row r="263" customFormat="false" ht="15" hidden="false" customHeight="false" outlineLevel="0" collapsed="false">
      <c r="A263" s="0" t="s">
        <v>4787</v>
      </c>
      <c r="B263" s="0" t="s">
        <v>4788</v>
      </c>
      <c r="C263" s="0" t="s">
        <v>857</v>
      </c>
      <c r="D263" s="31" t="n">
        <v>18031</v>
      </c>
      <c r="E263" s="31" t="n">
        <v>45597</v>
      </c>
      <c r="F263" s="32" t="s">
        <v>4259</v>
      </c>
      <c r="G263" s="0" t="n">
        <v>4</v>
      </c>
      <c r="H263" s="32" t="s">
        <v>4283</v>
      </c>
      <c r="I263" s="32" t="s">
        <v>3773</v>
      </c>
      <c r="J263" s="32" t="s">
        <v>3749</v>
      </c>
      <c r="K263" s="32" t="s">
        <v>2106</v>
      </c>
      <c r="L263" s="0" t="n">
        <v>361</v>
      </c>
      <c r="M263" s="32" t="s">
        <v>4219</v>
      </c>
      <c r="N263" s="32" t="s">
        <v>3751</v>
      </c>
      <c r="O263" s="32" t="n">
        <f aca="false">IF(I263="","",ROUND(MOD(TIMEVALUE(I263)-TIMEVALUE(F263),1)*1440,0))</f>
        <v>361</v>
      </c>
      <c r="P263" s="0" t="str">
        <f aca="false">IF(COUNTIF($A$2:A263,A263)&gt;1,"DUP","")</f>
        <v/>
      </c>
      <c r="Q263" s="0" t="str">
        <f aca="false">IF(O263="","",IF(O263&gt;240,"Y","N"))</f>
        <v>Y</v>
      </c>
    </row>
    <row r="264" customFormat="false" ht="15" hidden="false" customHeight="false" outlineLevel="0" collapsed="false">
      <c r="A264" s="0" t="s">
        <v>4789</v>
      </c>
      <c r="B264" s="0" t="s">
        <v>3766</v>
      </c>
      <c r="C264" s="0" t="s">
        <v>1398</v>
      </c>
      <c r="D264" s="31" t="n">
        <v>30939</v>
      </c>
      <c r="E264" s="31" t="n">
        <v>45634</v>
      </c>
      <c r="F264" s="32" t="s">
        <v>4790</v>
      </c>
      <c r="G264" s="0" t="n">
        <v>3</v>
      </c>
      <c r="H264" s="32" t="s">
        <v>4791</v>
      </c>
      <c r="I264" s="32" t="s">
        <v>4792</v>
      </c>
      <c r="J264" s="32" t="s">
        <v>3793</v>
      </c>
      <c r="K264" s="32" t="s">
        <v>2106</v>
      </c>
      <c r="L264" s="0" t="n">
        <v>406</v>
      </c>
      <c r="M264" s="32" t="s">
        <v>4122</v>
      </c>
      <c r="N264" s="32" t="s">
        <v>810</v>
      </c>
      <c r="O264" s="32" t="n">
        <f aca="false">IF(I264="","",ROUND(MOD(TIMEVALUE(I264)-TIMEVALUE(F264),1)*1440,0))</f>
        <v>406</v>
      </c>
      <c r="P264" s="0" t="str">
        <f aca="false">IF(COUNTIF($A$2:A264,A264)&gt;1,"DUP","")</f>
        <v/>
      </c>
      <c r="Q264" s="0" t="str">
        <f aca="false">IF(O264="","",IF(O264&gt;240,"Y","N"))</f>
        <v>Y</v>
      </c>
    </row>
    <row r="265" customFormat="false" ht="15" hidden="false" customHeight="false" outlineLevel="0" collapsed="false">
      <c r="A265" s="0" t="s">
        <v>4793</v>
      </c>
      <c r="B265" s="0" t="s">
        <v>3766</v>
      </c>
      <c r="C265" s="0" t="s">
        <v>746</v>
      </c>
      <c r="D265" s="31" t="n">
        <v>15469</v>
      </c>
      <c r="E265" s="31" t="n">
        <v>45597</v>
      </c>
      <c r="F265" s="32" t="s">
        <v>3840</v>
      </c>
      <c r="G265" s="0" t="n">
        <v>3</v>
      </c>
      <c r="H265" s="32" t="s">
        <v>4001</v>
      </c>
      <c r="I265" s="32" t="s">
        <v>4794</v>
      </c>
      <c r="J265" s="32" t="s">
        <v>3749</v>
      </c>
      <c r="K265" s="32" t="s">
        <v>2081</v>
      </c>
      <c r="L265" s="0" t="n">
        <v>220</v>
      </c>
      <c r="M265" s="32" t="s">
        <v>3827</v>
      </c>
      <c r="N265" s="32" t="s">
        <v>3751</v>
      </c>
      <c r="O265" s="32" t="n">
        <f aca="false">IF(I265="","",ROUND(MOD(TIMEVALUE(I265)-TIMEVALUE(F265),1)*1440,0))</f>
        <v>220</v>
      </c>
      <c r="P265" s="0" t="str">
        <f aca="false">IF(COUNTIF($A$2:A265,A265)&gt;1,"DUP","")</f>
        <v/>
      </c>
      <c r="Q265" s="0" t="str">
        <f aca="false">IF(O265="","",IF(O265&gt;240,"Y","N"))</f>
        <v>N</v>
      </c>
    </row>
    <row r="266" customFormat="false" ht="15" hidden="false" customHeight="false" outlineLevel="0" collapsed="false">
      <c r="A266" s="0" t="s">
        <v>4795</v>
      </c>
      <c r="B266" s="0" t="s">
        <v>4796</v>
      </c>
      <c r="C266" s="0" t="s">
        <v>1013</v>
      </c>
      <c r="D266" s="31" t="n">
        <v>12837</v>
      </c>
      <c r="E266" s="31" t="n">
        <v>45617</v>
      </c>
      <c r="F266" s="32" t="s">
        <v>4587</v>
      </c>
      <c r="G266" s="0" t="n">
        <v>5</v>
      </c>
      <c r="H266" s="32" t="s">
        <v>3907</v>
      </c>
      <c r="I266" s="32" t="s">
        <v>4218</v>
      </c>
      <c r="J266" s="32" t="s">
        <v>2307</v>
      </c>
      <c r="K266" s="32" t="s">
        <v>2106</v>
      </c>
      <c r="L266" s="0" t="n">
        <v>282</v>
      </c>
      <c r="M266" s="32" t="s">
        <v>3975</v>
      </c>
      <c r="N266" s="32" t="s">
        <v>3751</v>
      </c>
      <c r="O266" s="32" t="n">
        <f aca="false">IF(I266="","",ROUND(MOD(TIMEVALUE(I266)-TIMEVALUE(F266),1)*1440,0))</f>
        <v>282</v>
      </c>
      <c r="P266" s="0" t="str">
        <f aca="false">IF(COUNTIF($A$2:A266,A266)&gt;1,"DUP","")</f>
        <v/>
      </c>
      <c r="Q266" s="0" t="str">
        <f aca="false">IF(O266="","",IF(O266&gt;240,"Y","N"))</f>
        <v>Y</v>
      </c>
    </row>
    <row r="267" customFormat="false" ht="15" hidden="false" customHeight="false" outlineLevel="0" collapsed="false">
      <c r="A267" s="0" t="s">
        <v>4797</v>
      </c>
      <c r="B267" s="0" t="s">
        <v>4798</v>
      </c>
      <c r="C267" s="0" t="s">
        <v>792</v>
      </c>
      <c r="D267" s="31" t="n">
        <v>28361</v>
      </c>
      <c r="E267" s="31" t="n">
        <v>45618</v>
      </c>
      <c r="F267" s="32" t="s">
        <v>4799</v>
      </c>
      <c r="G267" s="0" t="n">
        <v>5</v>
      </c>
      <c r="H267" s="32" t="s">
        <v>4265</v>
      </c>
      <c r="I267" s="32" t="s">
        <v>4800</v>
      </c>
      <c r="J267" s="32" t="s">
        <v>3749</v>
      </c>
      <c r="K267" s="32" t="s">
        <v>2106</v>
      </c>
      <c r="L267" s="0" t="n">
        <v>524</v>
      </c>
      <c r="M267" s="32" t="s">
        <v>4073</v>
      </c>
      <c r="N267" s="32" t="s">
        <v>3751</v>
      </c>
      <c r="O267" s="32" t="n">
        <f aca="false">IF(I267="","",ROUND(MOD(TIMEVALUE(I267)-TIMEVALUE(F267),1)*1440,0))</f>
        <v>524</v>
      </c>
      <c r="P267" s="0" t="str">
        <f aca="false">IF(COUNTIF($A$2:A267,A267)&gt;1,"DUP","")</f>
        <v/>
      </c>
      <c r="Q267" s="0" t="str">
        <f aca="false">IF(O267="","",IF(O267&gt;240,"Y","N"))</f>
        <v>Y</v>
      </c>
    </row>
    <row r="268" customFormat="false" ht="15" hidden="false" customHeight="false" outlineLevel="0" collapsed="false">
      <c r="A268" s="0" t="s">
        <v>4801</v>
      </c>
      <c r="B268" s="0" t="s">
        <v>3995</v>
      </c>
      <c r="C268" s="0" t="s">
        <v>942</v>
      </c>
      <c r="D268" s="31" t="n">
        <v>15870</v>
      </c>
      <c r="E268" s="31" t="n">
        <v>45576</v>
      </c>
      <c r="F268" s="32" t="s">
        <v>4473</v>
      </c>
      <c r="G268" s="0" t="n">
        <v>4</v>
      </c>
      <c r="H268" s="32" t="s">
        <v>4802</v>
      </c>
      <c r="I268" s="32" t="s">
        <v>4461</v>
      </c>
      <c r="J268" s="32" t="s">
        <v>3749</v>
      </c>
      <c r="K268" s="32" t="s">
        <v>2081</v>
      </c>
      <c r="L268" s="0" t="n">
        <v>43</v>
      </c>
      <c r="M268" s="32" t="s">
        <v>3764</v>
      </c>
      <c r="N268" s="32" t="s">
        <v>3751</v>
      </c>
      <c r="O268" s="32" t="n">
        <f aca="false">IF(I268="","",ROUND(MOD(TIMEVALUE(I268)-TIMEVALUE(F268),1)*1440,0))</f>
        <v>43</v>
      </c>
      <c r="P268" s="0" t="str">
        <f aca="false">IF(COUNTIF($A$2:A268,A268)&gt;1,"DUP","")</f>
        <v/>
      </c>
      <c r="Q268" s="0" t="str">
        <f aca="false">IF(O268="","",IF(O268&gt;240,"Y","N"))</f>
        <v>N</v>
      </c>
    </row>
    <row r="269" customFormat="false" ht="15" hidden="false" customHeight="false" outlineLevel="0" collapsed="false">
      <c r="A269" s="0" t="s">
        <v>4803</v>
      </c>
      <c r="B269" s="0" t="s">
        <v>4804</v>
      </c>
      <c r="C269" s="0" t="s">
        <v>966</v>
      </c>
      <c r="D269" s="31" t="n">
        <v>36426</v>
      </c>
      <c r="E269" s="31" t="n">
        <v>45650</v>
      </c>
      <c r="F269" s="32" t="s">
        <v>4805</v>
      </c>
      <c r="G269" s="0" t="n">
        <v>4</v>
      </c>
      <c r="H269" s="32" t="s">
        <v>4806</v>
      </c>
      <c r="I269" s="32" t="s">
        <v>4807</v>
      </c>
      <c r="J269" s="32" t="s">
        <v>3749</v>
      </c>
      <c r="K269" s="32" t="s">
        <v>2081</v>
      </c>
      <c r="L269" s="0" t="n">
        <v>165</v>
      </c>
      <c r="M269" s="32" t="s">
        <v>3815</v>
      </c>
      <c r="N269" s="32" t="s">
        <v>3751</v>
      </c>
      <c r="O269" s="32" t="n">
        <f aca="false">IF(I269="","",ROUND(MOD(TIMEVALUE(I269)-TIMEVALUE(F269),1)*1440,0))</f>
        <v>165</v>
      </c>
      <c r="P269" s="0" t="str">
        <f aca="false">IF(COUNTIF($A$2:A269,A269)&gt;1,"DUP","")</f>
        <v/>
      </c>
      <c r="Q269" s="0" t="str">
        <f aca="false">IF(O269="","",IF(O269&gt;240,"Y","N"))</f>
        <v>N</v>
      </c>
    </row>
    <row r="270" customFormat="false" ht="15" hidden="false" customHeight="false" outlineLevel="0" collapsed="false">
      <c r="A270" s="0" t="s">
        <v>4808</v>
      </c>
      <c r="B270" s="0" t="s">
        <v>4809</v>
      </c>
      <c r="C270" s="0" t="s">
        <v>2148</v>
      </c>
      <c r="D270" s="31" t="n">
        <v>33150</v>
      </c>
      <c r="E270" s="31" t="n">
        <v>45644</v>
      </c>
      <c r="F270" s="32" t="s">
        <v>4810</v>
      </c>
      <c r="G270" s="0" t="n">
        <v>4</v>
      </c>
      <c r="H270" s="32" t="s">
        <v>3803</v>
      </c>
      <c r="I270" s="32" t="s">
        <v>4811</v>
      </c>
      <c r="J270" s="32" t="s">
        <v>3793</v>
      </c>
      <c r="K270" s="32" t="s">
        <v>2081</v>
      </c>
      <c r="L270" s="0" t="n">
        <v>233</v>
      </c>
      <c r="M270" s="32" t="s">
        <v>3787</v>
      </c>
      <c r="N270" s="32" t="s">
        <v>776</v>
      </c>
      <c r="O270" s="32" t="n">
        <f aca="false">IF(I270="","",ROUND(MOD(TIMEVALUE(I270)-TIMEVALUE(F270),1)*1440,0))</f>
        <v>233</v>
      </c>
      <c r="P270" s="0" t="str">
        <f aca="false">IF(COUNTIF($A$2:A270,A270)&gt;1,"DUP","")</f>
        <v/>
      </c>
      <c r="Q270" s="0" t="str">
        <f aca="false">IF(O270="","",IF(O270&gt;240,"Y","N"))</f>
        <v>N</v>
      </c>
    </row>
    <row r="271" customFormat="false" ht="15" hidden="false" customHeight="false" outlineLevel="0" collapsed="false">
      <c r="A271" s="0" t="s">
        <v>4812</v>
      </c>
      <c r="B271" s="0" t="s">
        <v>4813</v>
      </c>
      <c r="C271" s="0" t="s">
        <v>845</v>
      </c>
      <c r="D271" s="31" t="n">
        <v>30953</v>
      </c>
      <c r="E271" s="31" t="n">
        <v>45572</v>
      </c>
      <c r="F271" s="32" t="s">
        <v>4814</v>
      </c>
      <c r="G271" s="0" t="n">
        <v>3</v>
      </c>
      <c r="H271" s="32" t="s">
        <v>4815</v>
      </c>
      <c r="I271" s="32" t="s">
        <v>3860</v>
      </c>
      <c r="J271" s="32" t="s">
        <v>3749</v>
      </c>
      <c r="K271" s="32" t="s">
        <v>2081</v>
      </c>
      <c r="L271" s="0" t="n">
        <v>75</v>
      </c>
      <c r="M271" s="32" t="s">
        <v>3757</v>
      </c>
      <c r="N271" s="32" t="s">
        <v>3751</v>
      </c>
      <c r="O271" s="32" t="n">
        <f aca="false">IF(I271="","",ROUND(MOD(TIMEVALUE(I271)-TIMEVALUE(F271),1)*1440,0))</f>
        <v>75</v>
      </c>
      <c r="P271" s="0" t="str">
        <f aca="false">IF(COUNTIF($A$2:A271,A271)&gt;1,"DUP","")</f>
        <v/>
      </c>
      <c r="Q271" s="0" t="str">
        <f aca="false">IF(O271="","",IF(O271&gt;240,"Y","N"))</f>
        <v>N</v>
      </c>
    </row>
    <row r="272" customFormat="false" ht="15" hidden="false" customHeight="false" outlineLevel="0" collapsed="false">
      <c r="A272" s="0" t="s">
        <v>4816</v>
      </c>
      <c r="B272" s="0" t="s">
        <v>3937</v>
      </c>
      <c r="C272" s="0" t="s">
        <v>1419</v>
      </c>
      <c r="D272" s="31" t="n">
        <v>26522</v>
      </c>
      <c r="E272" s="31" t="n">
        <v>45694</v>
      </c>
      <c r="F272" s="32" t="s">
        <v>4817</v>
      </c>
      <c r="G272" s="0" t="n">
        <v>5</v>
      </c>
      <c r="H272" s="32" t="s">
        <v>4818</v>
      </c>
      <c r="I272" s="32" t="s">
        <v>3761</v>
      </c>
      <c r="J272" s="32" t="s">
        <v>3749</v>
      </c>
      <c r="K272" s="32" t="s">
        <v>2106</v>
      </c>
      <c r="L272" s="0" t="n">
        <v>386</v>
      </c>
      <c r="M272" s="32" t="s">
        <v>4781</v>
      </c>
      <c r="N272" s="32" t="s">
        <v>1455</v>
      </c>
      <c r="O272" s="32" t="n">
        <f aca="false">IF(I272="","",ROUND(MOD(TIMEVALUE(I272)-TIMEVALUE(F272),1)*1440,0))</f>
        <v>386</v>
      </c>
      <c r="P272" s="0" t="str">
        <f aca="false">IF(COUNTIF($A$2:A272,A272)&gt;1,"DUP","")</f>
        <v/>
      </c>
      <c r="Q272" s="0" t="str">
        <f aca="false">IF(O272="","",IF(O272&gt;240,"Y","N"))</f>
        <v>Y</v>
      </c>
    </row>
    <row r="273" customFormat="false" ht="15" hidden="false" customHeight="false" outlineLevel="0" collapsed="false">
      <c r="A273" s="0" t="s">
        <v>4819</v>
      </c>
      <c r="B273" s="0" t="s">
        <v>4820</v>
      </c>
      <c r="C273" s="0" t="s">
        <v>985</v>
      </c>
      <c r="D273" s="31" t="n">
        <v>15195</v>
      </c>
      <c r="E273" s="31" t="n">
        <v>45732</v>
      </c>
      <c r="F273" s="32" t="s">
        <v>4821</v>
      </c>
      <c r="G273" s="0" t="n">
        <v>3</v>
      </c>
      <c r="H273" s="32" t="s">
        <v>4822</v>
      </c>
      <c r="I273" s="32" t="s">
        <v>3970</v>
      </c>
      <c r="J273" s="32" t="s">
        <v>3793</v>
      </c>
      <c r="K273" s="32" t="s">
        <v>2106</v>
      </c>
      <c r="L273" s="0" t="n">
        <v>589</v>
      </c>
      <c r="M273" s="32" t="s">
        <v>4285</v>
      </c>
      <c r="N273" s="32" t="s">
        <v>810</v>
      </c>
      <c r="O273" s="32" t="n">
        <f aca="false">IF(I273="","",ROUND(MOD(TIMEVALUE(I273)-TIMEVALUE(F273),1)*1440,0))</f>
        <v>589</v>
      </c>
      <c r="P273" s="0" t="str">
        <f aca="false">IF(COUNTIF($A$2:A273,A273)&gt;1,"DUP","")</f>
        <v/>
      </c>
      <c r="Q273" s="0" t="str">
        <f aca="false">IF(O273="","",IF(O273&gt;240,"Y","N"))</f>
        <v>Y</v>
      </c>
    </row>
    <row r="274" customFormat="false" ht="15" hidden="false" customHeight="false" outlineLevel="0" collapsed="false">
      <c r="A274" s="0" t="s">
        <v>4823</v>
      </c>
      <c r="B274" s="0" t="s">
        <v>3806</v>
      </c>
      <c r="C274" s="0" t="s">
        <v>946</v>
      </c>
      <c r="D274" s="31" t="n">
        <v>16384</v>
      </c>
      <c r="E274" s="31" t="n">
        <v>45683</v>
      </c>
      <c r="F274" s="32" t="s">
        <v>3836</v>
      </c>
      <c r="G274" s="0" t="n">
        <v>3</v>
      </c>
      <c r="H274" s="32" t="s">
        <v>4824</v>
      </c>
      <c r="J274" s="32" t="s">
        <v>3793</v>
      </c>
      <c r="M274" s="32" t="s">
        <v>4037</v>
      </c>
      <c r="N274" s="32" t="s">
        <v>766</v>
      </c>
      <c r="O274" s="0" t="str">
        <f aca="false">IF(I274="","",ROUND(MOD(TIMEVALUE(I274)-TIMEVALUE(F274),1)*1440,0))</f>
        <v/>
      </c>
      <c r="P274" s="0" t="str">
        <f aca="false">IF(COUNTIF($A$2:A274,A274)&gt;1,"DUP","")</f>
        <v/>
      </c>
      <c r="Q274" s="0" t="str">
        <f aca="false">IF(O274="","",IF(O274&gt;240,"Y","N"))</f>
        <v/>
      </c>
    </row>
    <row r="275" customFormat="false" ht="15" hidden="false" customHeight="false" outlineLevel="0" collapsed="false">
      <c r="A275" s="0" t="s">
        <v>4825</v>
      </c>
      <c r="B275" s="0" t="s">
        <v>4826</v>
      </c>
      <c r="C275" s="0" t="s">
        <v>977</v>
      </c>
      <c r="D275" s="31" t="n">
        <v>13196</v>
      </c>
      <c r="E275" s="31" t="n">
        <v>45702</v>
      </c>
      <c r="F275" s="32" t="s">
        <v>4827</v>
      </c>
      <c r="G275" s="0" t="n">
        <v>4</v>
      </c>
      <c r="H275" s="32" t="s">
        <v>4828</v>
      </c>
      <c r="I275" s="32" t="s">
        <v>4829</v>
      </c>
      <c r="J275" s="32" t="s">
        <v>3749</v>
      </c>
      <c r="K275" s="32" t="s">
        <v>2081</v>
      </c>
      <c r="L275" s="0" t="n">
        <v>107</v>
      </c>
      <c r="M275" s="32" t="s">
        <v>3770</v>
      </c>
      <c r="N275" s="32" t="s">
        <v>3751</v>
      </c>
      <c r="O275" s="32" t="n">
        <f aca="false">IF(I275="","",ROUND(MOD(TIMEVALUE(I275)-TIMEVALUE(F275),1)*1440,0))</f>
        <v>107</v>
      </c>
      <c r="P275" s="0" t="str">
        <f aca="false">IF(COUNTIF($A$2:A275,A275)&gt;1,"DUP","")</f>
        <v/>
      </c>
      <c r="Q275" s="0" t="str">
        <f aca="false">IF(O275="","",IF(O275&gt;240,"Y","N"))</f>
        <v>N</v>
      </c>
    </row>
    <row r="276" customFormat="false" ht="15" hidden="false" customHeight="false" outlineLevel="0" collapsed="false">
      <c r="A276" s="0" t="s">
        <v>4830</v>
      </c>
      <c r="B276" s="0" t="s">
        <v>4831</v>
      </c>
      <c r="C276" s="0" t="s">
        <v>894</v>
      </c>
      <c r="D276" s="31" t="n">
        <v>13190</v>
      </c>
      <c r="E276" s="31" t="n">
        <v>45647</v>
      </c>
      <c r="F276" s="32" t="s">
        <v>4832</v>
      </c>
      <c r="G276" s="0" t="n">
        <v>3</v>
      </c>
      <c r="H276" s="32" t="s">
        <v>4139</v>
      </c>
      <c r="I276" s="32" t="s">
        <v>3935</v>
      </c>
      <c r="J276" s="32" t="s">
        <v>3749</v>
      </c>
      <c r="K276" s="32" t="s">
        <v>2081</v>
      </c>
      <c r="L276" s="0" t="n">
        <v>35</v>
      </c>
      <c r="M276" s="32" t="s">
        <v>3827</v>
      </c>
      <c r="N276" s="32" t="s">
        <v>3751</v>
      </c>
      <c r="O276" s="32" t="n">
        <f aca="false">IF(I276="","",ROUND(MOD(TIMEVALUE(I276)-TIMEVALUE(F276),1)*1440,0))</f>
        <v>35</v>
      </c>
      <c r="P276" s="0" t="str">
        <f aca="false">IF(COUNTIF($A$2:A276,A276)&gt;1,"DUP","")</f>
        <v/>
      </c>
      <c r="Q276" s="0" t="str">
        <f aca="false">IF(O276="","",IF(O276&gt;240,"Y","N"))</f>
        <v>N</v>
      </c>
    </row>
    <row r="277" customFormat="false" ht="15" hidden="false" customHeight="false" outlineLevel="0" collapsed="false">
      <c r="A277" s="0" t="s">
        <v>4833</v>
      </c>
      <c r="B277" s="0" t="s">
        <v>4834</v>
      </c>
      <c r="C277" s="0" t="s">
        <v>809</v>
      </c>
      <c r="D277" s="31" t="n">
        <v>23021</v>
      </c>
      <c r="E277" s="31" t="n">
        <v>45662</v>
      </c>
      <c r="F277" s="32" t="s">
        <v>3870</v>
      </c>
      <c r="G277" s="0" t="n">
        <v>3</v>
      </c>
      <c r="H277" s="32" t="s">
        <v>4835</v>
      </c>
      <c r="I277" s="32" t="s">
        <v>4836</v>
      </c>
      <c r="J277" s="32" t="s">
        <v>3749</v>
      </c>
      <c r="K277" s="32" t="s">
        <v>2081</v>
      </c>
      <c r="L277" s="0" t="n">
        <v>224</v>
      </c>
      <c r="M277" s="32" t="s">
        <v>3782</v>
      </c>
      <c r="N277" s="32" t="s">
        <v>3751</v>
      </c>
      <c r="O277" s="32" t="n">
        <f aca="false">IF(I277="","",ROUND(MOD(TIMEVALUE(I277)-TIMEVALUE(F277),1)*1440,0))</f>
        <v>224</v>
      </c>
      <c r="P277" s="0" t="str">
        <f aca="false">IF(COUNTIF($A$2:A277,A277)&gt;1,"DUP","")</f>
        <v/>
      </c>
      <c r="Q277" s="0" t="str">
        <f aca="false">IF(O277="","",IF(O277&gt;240,"Y","N"))</f>
        <v>N</v>
      </c>
    </row>
    <row r="278" customFormat="false" ht="15" hidden="false" customHeight="false" outlineLevel="0" collapsed="false">
      <c r="A278" s="0" t="s">
        <v>4837</v>
      </c>
      <c r="B278" s="0" t="s">
        <v>3921</v>
      </c>
      <c r="C278" s="0" t="s">
        <v>962</v>
      </c>
      <c r="D278" s="31" t="n">
        <v>30024</v>
      </c>
      <c r="E278" s="31" t="n">
        <v>45602</v>
      </c>
      <c r="F278" s="32" t="s">
        <v>4838</v>
      </c>
      <c r="G278" s="0" t="n">
        <v>3</v>
      </c>
      <c r="I278" s="32" t="s">
        <v>4839</v>
      </c>
      <c r="J278" s="32" t="s">
        <v>3793</v>
      </c>
      <c r="K278" s="32" t="s">
        <v>2106</v>
      </c>
      <c r="L278" s="0" t="n">
        <v>565</v>
      </c>
      <c r="M278" s="32" t="s">
        <v>3975</v>
      </c>
      <c r="N278" s="32" t="s">
        <v>747</v>
      </c>
      <c r="O278" s="32" t="n">
        <f aca="false">IF(I278="","",ROUND(MOD(TIMEVALUE(I278)-TIMEVALUE(F278),1)*1440,0))</f>
        <v>565</v>
      </c>
      <c r="P278" s="0" t="str">
        <f aca="false">IF(COUNTIF($A$2:A278,A278)&gt;1,"DUP","")</f>
        <v/>
      </c>
      <c r="Q278" s="0" t="str">
        <f aca="false">IF(O278="","",IF(O278&gt;240,"Y","N"))</f>
        <v>Y</v>
      </c>
    </row>
    <row r="279" customFormat="false" ht="15" hidden="false" customHeight="false" outlineLevel="0" collapsed="false">
      <c r="A279" s="0" t="s">
        <v>4840</v>
      </c>
      <c r="B279" s="0" t="s">
        <v>4511</v>
      </c>
      <c r="C279" s="0" t="s">
        <v>1426</v>
      </c>
      <c r="D279" s="31" t="n">
        <v>14868</v>
      </c>
      <c r="E279" s="31" t="n">
        <v>45737</v>
      </c>
      <c r="F279" s="32" t="s">
        <v>4522</v>
      </c>
      <c r="G279" s="0" t="n">
        <v>4</v>
      </c>
      <c r="H279" s="32" t="s">
        <v>3756</v>
      </c>
      <c r="I279" s="32" t="s">
        <v>4841</v>
      </c>
      <c r="J279" s="32" t="s">
        <v>3749</v>
      </c>
      <c r="K279" s="32" t="s">
        <v>2081</v>
      </c>
      <c r="L279" s="0" t="n">
        <v>201</v>
      </c>
      <c r="M279" s="32" t="s">
        <v>3855</v>
      </c>
      <c r="N279" s="32" t="s">
        <v>3751</v>
      </c>
      <c r="O279" s="32" t="n">
        <f aca="false">IF(I279="","",ROUND(MOD(TIMEVALUE(I279)-TIMEVALUE(F279),1)*1440,0))</f>
        <v>201</v>
      </c>
      <c r="P279" s="0" t="str">
        <f aca="false">IF(COUNTIF($A$2:A279,A279)&gt;1,"DUP","")</f>
        <v/>
      </c>
      <c r="Q279" s="0" t="str">
        <f aca="false">IF(O279="","",IF(O279&gt;240,"Y","N"))</f>
        <v>N</v>
      </c>
    </row>
    <row r="280" customFormat="false" ht="15" hidden="false" customHeight="false" outlineLevel="0" collapsed="false">
      <c r="A280" s="0" t="s">
        <v>4842</v>
      </c>
      <c r="B280" s="0" t="s">
        <v>4305</v>
      </c>
      <c r="C280" s="0" t="s">
        <v>2148</v>
      </c>
      <c r="D280" s="31" t="n">
        <v>28049</v>
      </c>
      <c r="E280" s="31" t="n">
        <v>45596</v>
      </c>
      <c r="F280" s="32" t="s">
        <v>4461</v>
      </c>
      <c r="G280" s="0" t="n">
        <v>4</v>
      </c>
      <c r="H280" s="32" t="s">
        <v>4397</v>
      </c>
      <c r="I280" s="32" t="s">
        <v>4843</v>
      </c>
      <c r="J280" s="32" t="s">
        <v>3749</v>
      </c>
      <c r="K280" s="32" t="s">
        <v>2081</v>
      </c>
      <c r="L280" s="0" t="n">
        <v>214</v>
      </c>
      <c r="M280" s="32" t="s">
        <v>3882</v>
      </c>
      <c r="N280" s="32" t="s">
        <v>3751</v>
      </c>
      <c r="O280" s="32" t="n">
        <f aca="false">IF(I280="","",ROUND(MOD(TIMEVALUE(I280)-TIMEVALUE(F280),1)*1440,0))</f>
        <v>214</v>
      </c>
      <c r="P280" s="0" t="str">
        <f aca="false">IF(COUNTIF($A$2:A280,A280)&gt;1,"DUP","")</f>
        <v/>
      </c>
      <c r="Q280" s="0" t="str">
        <f aca="false">IF(O280="","",IF(O280&gt;240,"Y","N"))</f>
        <v>N</v>
      </c>
    </row>
    <row r="281" customFormat="false" ht="15" hidden="false" customHeight="false" outlineLevel="0" collapsed="false">
      <c r="A281" s="0" t="s">
        <v>4844</v>
      </c>
      <c r="B281" s="0" t="s">
        <v>4845</v>
      </c>
      <c r="C281" s="0" t="s">
        <v>849</v>
      </c>
      <c r="D281" s="31" t="n">
        <v>21481</v>
      </c>
      <c r="E281" s="31" t="n">
        <v>45697</v>
      </c>
      <c r="F281" s="32" t="s">
        <v>4846</v>
      </c>
      <c r="G281" s="0" t="n">
        <v>3</v>
      </c>
      <c r="H281" s="32" t="s">
        <v>4847</v>
      </c>
      <c r="I281" s="32" t="s">
        <v>4359</v>
      </c>
      <c r="J281" s="32" t="s">
        <v>7</v>
      </c>
      <c r="K281" s="32" t="s">
        <v>2081</v>
      </c>
      <c r="L281" s="0" t="n">
        <v>158</v>
      </c>
      <c r="M281" s="32" t="s">
        <v>3993</v>
      </c>
      <c r="N281" s="32" t="s">
        <v>3751</v>
      </c>
      <c r="O281" s="32" t="n">
        <f aca="false">IF(I281="","",ROUND(MOD(TIMEVALUE(I281)-TIMEVALUE(F281),1)*1440,0))</f>
        <v>158</v>
      </c>
      <c r="P281" s="0" t="str">
        <f aca="false">IF(COUNTIF($A$2:A281,A281)&gt;1,"DUP","")</f>
        <v/>
      </c>
      <c r="Q281" s="0" t="str">
        <f aca="false">IF(O281="","",IF(O281&gt;240,"Y","N"))</f>
        <v>N</v>
      </c>
    </row>
    <row r="282" customFormat="false" ht="15" hidden="false" customHeight="false" outlineLevel="0" collapsed="false">
      <c r="A282" s="0" t="s">
        <v>4848</v>
      </c>
      <c r="B282" s="0" t="s">
        <v>4287</v>
      </c>
      <c r="C282" s="0" t="s">
        <v>962</v>
      </c>
      <c r="D282" s="31" t="n">
        <v>17481</v>
      </c>
      <c r="E282" s="31" t="n">
        <v>45611</v>
      </c>
      <c r="F282" s="32" t="s">
        <v>3797</v>
      </c>
      <c r="G282" s="0" t="n">
        <v>3</v>
      </c>
      <c r="H282" s="32" t="s">
        <v>4473</v>
      </c>
      <c r="I282" s="32" t="s">
        <v>3870</v>
      </c>
      <c r="J282" s="32" t="s">
        <v>3749</v>
      </c>
      <c r="K282" s="32" t="s">
        <v>2081</v>
      </c>
      <c r="L282" s="0" t="n">
        <v>139</v>
      </c>
      <c r="M282" s="32" t="s">
        <v>3849</v>
      </c>
      <c r="N282" s="32" t="s">
        <v>3751</v>
      </c>
      <c r="O282" s="32" t="n">
        <f aca="false">IF(I282="","",ROUND(MOD(TIMEVALUE(I282)-TIMEVALUE(F282),1)*1440,0))</f>
        <v>139</v>
      </c>
      <c r="P282" s="0" t="str">
        <f aca="false">IF(COUNTIF($A$2:A282,A282)&gt;1,"DUP","")</f>
        <v/>
      </c>
      <c r="Q282" s="0" t="str">
        <f aca="false">IF(O282="","",IF(O282&gt;240,"Y","N"))</f>
        <v>N</v>
      </c>
    </row>
    <row r="283" customFormat="false" ht="15" hidden="false" customHeight="false" outlineLevel="0" collapsed="false">
      <c r="A283" s="0" t="s">
        <v>4849</v>
      </c>
      <c r="B283" s="0" t="s">
        <v>4179</v>
      </c>
      <c r="C283" s="0" t="s">
        <v>977</v>
      </c>
      <c r="D283" s="31" t="n">
        <v>25471</v>
      </c>
      <c r="E283" s="31" t="n">
        <v>45648</v>
      </c>
      <c r="F283" s="32" t="s">
        <v>4850</v>
      </c>
      <c r="G283" s="0" t="n">
        <v>4</v>
      </c>
      <c r="H283" s="32" t="s">
        <v>4851</v>
      </c>
      <c r="I283" s="32" t="s">
        <v>4852</v>
      </c>
      <c r="J283" s="32" t="s">
        <v>3749</v>
      </c>
      <c r="K283" s="32" t="s">
        <v>2081</v>
      </c>
      <c r="L283" s="0" t="n">
        <v>98</v>
      </c>
      <c r="M283" s="32" t="s">
        <v>3877</v>
      </c>
      <c r="N283" s="32" t="s">
        <v>3751</v>
      </c>
      <c r="O283" s="32" t="n">
        <f aca="false">IF(I283="","",ROUND(MOD(TIMEVALUE(I283)-TIMEVALUE(F283),1)*1440,0))</f>
        <v>98</v>
      </c>
      <c r="P283" s="0" t="str">
        <f aca="false">IF(COUNTIF($A$2:A283,A283)&gt;1,"DUP","")</f>
        <v/>
      </c>
      <c r="Q283" s="0" t="str">
        <f aca="false">IF(O283="","",IF(O283&gt;240,"Y","N"))</f>
        <v>N</v>
      </c>
    </row>
    <row r="284" customFormat="false" ht="15" hidden="false" customHeight="false" outlineLevel="0" collapsed="false">
      <c r="A284" s="0" t="s">
        <v>4853</v>
      </c>
      <c r="B284" s="0" t="s">
        <v>4854</v>
      </c>
      <c r="C284" s="0" t="s">
        <v>1001</v>
      </c>
      <c r="D284" s="31" t="n">
        <v>14928</v>
      </c>
      <c r="E284" s="31" t="n">
        <v>45704</v>
      </c>
      <c r="F284" s="32" t="s">
        <v>4855</v>
      </c>
      <c r="G284" s="0" t="n">
        <v>2</v>
      </c>
      <c r="H284" s="32" t="s">
        <v>4856</v>
      </c>
      <c r="I284" s="32" t="s">
        <v>4857</v>
      </c>
      <c r="J284" s="32" t="s">
        <v>3749</v>
      </c>
      <c r="K284" s="32" t="s">
        <v>2081</v>
      </c>
      <c r="L284" s="0" t="n">
        <v>132</v>
      </c>
      <c r="M284" s="32" t="s">
        <v>3815</v>
      </c>
      <c r="N284" s="32" t="s">
        <v>3751</v>
      </c>
      <c r="O284" s="32" t="n">
        <f aca="false">IF(I284="","",ROUND(MOD(TIMEVALUE(I284)-TIMEVALUE(F284),1)*1440,0))</f>
        <v>132</v>
      </c>
      <c r="P284" s="0" t="str">
        <f aca="false">IF(COUNTIF($A$2:A284,A284)&gt;1,"DUP","")</f>
        <v/>
      </c>
      <c r="Q284" s="0" t="str">
        <f aca="false">IF(O284="","",IF(O284&gt;240,"Y","N"))</f>
        <v>N</v>
      </c>
    </row>
    <row r="285" customFormat="false" ht="15" hidden="false" customHeight="false" outlineLevel="0" collapsed="false">
      <c r="A285" s="0" t="s">
        <v>4858</v>
      </c>
      <c r="B285" s="0" t="s">
        <v>4625</v>
      </c>
      <c r="C285" s="0" t="s">
        <v>1393</v>
      </c>
      <c r="D285" s="31" t="n">
        <v>36368</v>
      </c>
      <c r="E285" s="31" t="n">
        <v>45695</v>
      </c>
      <c r="F285" s="32" t="s">
        <v>4859</v>
      </c>
      <c r="G285" s="0" t="n">
        <v>4</v>
      </c>
      <c r="H285" s="32" t="s">
        <v>4794</v>
      </c>
      <c r="I285" s="32" t="s">
        <v>3853</v>
      </c>
      <c r="J285" s="32" t="s">
        <v>3793</v>
      </c>
      <c r="K285" s="32" t="s">
        <v>2081</v>
      </c>
      <c r="L285" s="0" t="n">
        <v>170</v>
      </c>
      <c r="M285" s="32" t="s">
        <v>4295</v>
      </c>
      <c r="N285" s="32" t="s">
        <v>776</v>
      </c>
      <c r="O285" s="32" t="n">
        <f aca="false">IF(I285="","",ROUND(MOD(TIMEVALUE(I285)-TIMEVALUE(F285),1)*1440,0))</f>
        <v>170</v>
      </c>
      <c r="P285" s="0" t="str">
        <f aca="false">IF(COUNTIF($A$2:A285,A285)&gt;1,"DUP","")</f>
        <v/>
      </c>
      <c r="Q285" s="0" t="str">
        <f aca="false">IF(O285="","",IF(O285&gt;240,"Y","N"))</f>
        <v>N</v>
      </c>
    </row>
    <row r="286" customFormat="false" ht="15" hidden="false" customHeight="false" outlineLevel="0" collapsed="false">
      <c r="A286" s="0" t="s">
        <v>4860</v>
      </c>
      <c r="C286" s="0" t="s">
        <v>894</v>
      </c>
      <c r="D286" s="31" t="n">
        <v>36187</v>
      </c>
      <c r="E286" s="31" t="n">
        <v>45616</v>
      </c>
      <c r="F286" s="32" t="s">
        <v>4861</v>
      </c>
      <c r="G286" s="0" t="n">
        <v>3</v>
      </c>
      <c r="H286" s="32" t="s">
        <v>4862</v>
      </c>
      <c r="I286" s="32" t="s">
        <v>4863</v>
      </c>
      <c r="J286" s="32" t="s">
        <v>3749</v>
      </c>
      <c r="K286" s="32" t="s">
        <v>2081</v>
      </c>
      <c r="L286" s="0" t="n">
        <v>76</v>
      </c>
      <c r="M286" s="32" t="s">
        <v>4267</v>
      </c>
      <c r="N286" s="32" t="s">
        <v>3751</v>
      </c>
      <c r="O286" s="32" t="n">
        <f aca="false">IF(I286="","",ROUND(MOD(TIMEVALUE(I286)-TIMEVALUE(F286),1)*1440,0))</f>
        <v>76</v>
      </c>
      <c r="P286" s="0" t="str">
        <f aca="false">IF(COUNTIF($A$2:A286,A286)&gt;1,"DUP","")</f>
        <v/>
      </c>
      <c r="Q286" s="0" t="str">
        <f aca="false">IF(O286="","",IF(O286&gt;240,"Y","N"))</f>
        <v>N</v>
      </c>
    </row>
    <row r="287" customFormat="false" ht="15" hidden="false" customHeight="false" outlineLevel="0" collapsed="false">
      <c r="A287" s="0" t="s">
        <v>4864</v>
      </c>
      <c r="B287" s="0" t="s">
        <v>4865</v>
      </c>
      <c r="C287" s="0" t="s">
        <v>946</v>
      </c>
      <c r="D287" s="31" t="n">
        <v>34171</v>
      </c>
      <c r="E287" s="31" t="n">
        <v>45730</v>
      </c>
      <c r="F287" s="32" t="s">
        <v>4104</v>
      </c>
      <c r="G287" s="0" t="n">
        <v>4</v>
      </c>
      <c r="H287" s="32" t="s">
        <v>4866</v>
      </c>
      <c r="I287" s="32" t="s">
        <v>4867</v>
      </c>
      <c r="J287" s="32" t="s">
        <v>3793</v>
      </c>
      <c r="K287" s="32" t="s">
        <v>2081</v>
      </c>
      <c r="L287" s="0" t="n">
        <v>36</v>
      </c>
      <c r="M287" s="32" t="s">
        <v>3843</v>
      </c>
      <c r="N287" s="32" t="s">
        <v>818</v>
      </c>
      <c r="O287" s="32" t="n">
        <f aca="false">IF(I287="","",ROUND(MOD(TIMEVALUE(I287)-TIMEVALUE(F287),1)*1440,0))</f>
        <v>36</v>
      </c>
      <c r="P287" s="0" t="str">
        <f aca="false">IF(COUNTIF($A$2:A287,A287)&gt;1,"DUP","")</f>
        <v/>
      </c>
      <c r="Q287" s="0" t="str">
        <f aca="false">IF(O287="","",IF(O287&gt;240,"Y","N"))</f>
        <v>N</v>
      </c>
    </row>
    <row r="288" customFormat="false" ht="15" hidden="false" customHeight="false" outlineLevel="0" collapsed="false">
      <c r="A288" s="0" t="s">
        <v>4868</v>
      </c>
      <c r="B288" s="0" t="s">
        <v>4684</v>
      </c>
      <c r="C288" s="0" t="s">
        <v>902</v>
      </c>
      <c r="D288" s="31" t="n">
        <v>36078</v>
      </c>
      <c r="E288" s="31" t="n">
        <v>45707</v>
      </c>
      <c r="F288" s="32" t="s">
        <v>4113</v>
      </c>
      <c r="G288" s="0" t="n">
        <v>3</v>
      </c>
      <c r="H288" s="32" t="s">
        <v>4483</v>
      </c>
      <c r="I288" s="32" t="s">
        <v>4869</v>
      </c>
      <c r="J288" s="32" t="s">
        <v>2307</v>
      </c>
      <c r="K288" s="32" t="s">
        <v>2081</v>
      </c>
      <c r="L288" s="0" t="n">
        <v>86</v>
      </c>
      <c r="M288" s="32" t="s">
        <v>3849</v>
      </c>
      <c r="N288" s="32" t="s">
        <v>3751</v>
      </c>
      <c r="O288" s="32" t="n">
        <f aca="false">IF(I288="","",ROUND(MOD(TIMEVALUE(I288)-TIMEVALUE(F288),1)*1440,0))</f>
        <v>86</v>
      </c>
      <c r="P288" s="0" t="str">
        <f aca="false">IF(COUNTIF($A$2:A288,A288)&gt;1,"DUP","")</f>
        <v/>
      </c>
      <c r="Q288" s="0" t="str">
        <f aca="false">IF(O288="","",IF(O288&gt;240,"Y","N"))</f>
        <v>N</v>
      </c>
    </row>
    <row r="289" customFormat="false" ht="15" hidden="false" customHeight="false" outlineLevel="0" collapsed="false">
      <c r="A289" s="0" t="s">
        <v>4870</v>
      </c>
      <c r="C289" s="0" t="s">
        <v>4053</v>
      </c>
      <c r="D289" s="31" t="n">
        <v>18320</v>
      </c>
      <c r="E289" s="31" t="n">
        <v>45641</v>
      </c>
      <c r="F289" s="32" t="s">
        <v>4559</v>
      </c>
      <c r="G289" s="0" t="n">
        <v>4</v>
      </c>
      <c r="H289" s="32" t="s">
        <v>4871</v>
      </c>
      <c r="I289" s="32" t="s">
        <v>4872</v>
      </c>
      <c r="J289" s="32" t="s">
        <v>3793</v>
      </c>
      <c r="K289" s="32" t="s">
        <v>2081</v>
      </c>
      <c r="L289" s="0" t="n">
        <v>90</v>
      </c>
      <c r="M289" s="32" t="s">
        <v>3925</v>
      </c>
      <c r="N289" s="32" t="s">
        <v>747</v>
      </c>
      <c r="O289" s="32" t="n">
        <f aca="false">IF(I289="","",ROUND(MOD(TIMEVALUE(I289)-TIMEVALUE(F289),1)*1440,0))</f>
        <v>90</v>
      </c>
      <c r="P289" s="0" t="str">
        <f aca="false">IF(COUNTIF($A$2:A289,A289)&gt;1,"DUP","")</f>
        <v/>
      </c>
      <c r="Q289" s="0" t="str">
        <f aca="false">IF(O289="","",IF(O289&gt;240,"Y","N"))</f>
        <v>N</v>
      </c>
    </row>
    <row r="290" customFormat="false" ht="15" hidden="false" customHeight="false" outlineLevel="0" collapsed="false">
      <c r="A290" s="0" t="s">
        <v>4873</v>
      </c>
      <c r="B290" s="0" t="s">
        <v>4874</v>
      </c>
      <c r="C290" s="0" t="s">
        <v>906</v>
      </c>
      <c r="D290" s="31" t="n">
        <v>24529</v>
      </c>
      <c r="E290" s="31" t="n">
        <v>45729</v>
      </c>
      <c r="F290" s="32" t="s">
        <v>4135</v>
      </c>
      <c r="G290" s="0" t="n">
        <v>5</v>
      </c>
      <c r="H290" s="32" t="s">
        <v>4153</v>
      </c>
      <c r="I290" s="32" t="s">
        <v>4875</v>
      </c>
      <c r="J290" s="32" t="s">
        <v>2307</v>
      </c>
      <c r="K290" s="32" t="s">
        <v>2081</v>
      </c>
      <c r="L290" s="0" t="n">
        <v>219</v>
      </c>
      <c r="M290" s="32" t="s">
        <v>4106</v>
      </c>
      <c r="N290" s="32" t="s">
        <v>3751</v>
      </c>
      <c r="O290" s="32" t="n">
        <f aca="false">IF(I290="","",ROUND(MOD(TIMEVALUE(I290)-TIMEVALUE(F290),1)*1440,0))</f>
        <v>219</v>
      </c>
      <c r="P290" s="0" t="str">
        <f aca="false">IF(COUNTIF($A$2:A290,A290)&gt;1,"DUP","")</f>
        <v/>
      </c>
      <c r="Q290" s="0" t="str">
        <f aca="false">IF(O290="","",IF(O290&gt;240,"Y","N"))</f>
        <v>N</v>
      </c>
    </row>
    <row r="291" customFormat="false" ht="15" hidden="false" customHeight="false" outlineLevel="0" collapsed="false">
      <c r="A291" s="0" t="s">
        <v>4876</v>
      </c>
      <c r="B291" s="0" t="s">
        <v>4542</v>
      </c>
      <c r="C291" s="0" t="s">
        <v>1414</v>
      </c>
      <c r="D291" s="31" t="n">
        <v>20165</v>
      </c>
      <c r="E291" s="31" t="n">
        <v>45652</v>
      </c>
      <c r="F291" s="32" t="s">
        <v>4877</v>
      </c>
      <c r="G291" s="0" t="n">
        <v>4</v>
      </c>
      <c r="H291" s="32" t="s">
        <v>4113</v>
      </c>
      <c r="I291" s="32" t="s">
        <v>4878</v>
      </c>
      <c r="J291" s="32" t="s">
        <v>3749</v>
      </c>
      <c r="K291" s="32" t="s">
        <v>2081</v>
      </c>
      <c r="L291" s="0" t="n">
        <v>139</v>
      </c>
      <c r="M291" s="32" t="s">
        <v>4060</v>
      </c>
      <c r="N291" s="32" t="s">
        <v>3751</v>
      </c>
      <c r="O291" s="32" t="n">
        <f aca="false">IF(I291="","",ROUND(MOD(TIMEVALUE(I291)-TIMEVALUE(F291),1)*1440,0))</f>
        <v>139</v>
      </c>
      <c r="P291" s="0" t="str">
        <f aca="false">IF(COUNTIF($A$2:A291,A291)&gt;1,"DUP","")</f>
        <v/>
      </c>
      <c r="Q291" s="0" t="str">
        <f aca="false">IF(O291="","",IF(O291&gt;240,"Y","N"))</f>
        <v>N</v>
      </c>
    </row>
    <row r="292" customFormat="false" ht="15" hidden="false" customHeight="false" outlineLevel="0" collapsed="false">
      <c r="A292" s="0" t="s">
        <v>4879</v>
      </c>
      <c r="B292" s="0" t="s">
        <v>4880</v>
      </c>
      <c r="C292" s="0" t="s">
        <v>962</v>
      </c>
      <c r="D292" s="31" t="n">
        <v>28038</v>
      </c>
      <c r="E292" s="31" t="n">
        <v>45690</v>
      </c>
      <c r="F292" s="32" t="s">
        <v>4881</v>
      </c>
      <c r="G292" s="0" t="n">
        <v>5</v>
      </c>
      <c r="H292" s="32" t="s">
        <v>4009</v>
      </c>
      <c r="I292" s="32" t="s">
        <v>4402</v>
      </c>
      <c r="J292" s="32" t="s">
        <v>3749</v>
      </c>
      <c r="K292" s="32" t="s">
        <v>2081</v>
      </c>
      <c r="L292" s="0" t="n">
        <v>76</v>
      </c>
      <c r="M292" s="32" t="s">
        <v>4285</v>
      </c>
      <c r="N292" s="32" t="s">
        <v>3751</v>
      </c>
      <c r="O292" s="32" t="n">
        <f aca="false">IF(I292="","",ROUND(MOD(TIMEVALUE(I292)-TIMEVALUE(F292),1)*1440,0))</f>
        <v>76</v>
      </c>
      <c r="P292" s="0" t="str">
        <f aca="false">IF(COUNTIF($A$2:A292,A292)&gt;1,"DUP","")</f>
        <v/>
      </c>
      <c r="Q292" s="0" t="str">
        <f aca="false">IF(O292="","",IF(O292&gt;240,"Y","N"))</f>
        <v>N</v>
      </c>
    </row>
    <row r="293" customFormat="false" ht="15" hidden="false" customHeight="false" outlineLevel="0" collapsed="false">
      <c r="A293" s="0" t="s">
        <v>4882</v>
      </c>
      <c r="B293" s="0" t="s">
        <v>4883</v>
      </c>
      <c r="C293" s="0" t="s">
        <v>906</v>
      </c>
      <c r="D293" s="31" t="n">
        <v>18531</v>
      </c>
      <c r="E293" s="31" t="n">
        <v>45575</v>
      </c>
      <c r="F293" s="32" t="s">
        <v>4329</v>
      </c>
      <c r="G293" s="0" t="n">
        <v>2</v>
      </c>
      <c r="H293" s="32" t="s">
        <v>4134</v>
      </c>
      <c r="I293" s="32" t="s">
        <v>4838</v>
      </c>
      <c r="J293" s="32" t="s">
        <v>3749</v>
      </c>
      <c r="K293" s="32" t="s">
        <v>2106</v>
      </c>
      <c r="L293" s="0" t="n">
        <v>585</v>
      </c>
      <c r="M293" s="32" t="s">
        <v>4165</v>
      </c>
      <c r="N293" s="32" t="s">
        <v>3751</v>
      </c>
      <c r="O293" s="32" t="n">
        <f aca="false">IF(I293="","",ROUND(MOD(TIMEVALUE(I293)-TIMEVALUE(F293),1)*1440,0))</f>
        <v>585</v>
      </c>
      <c r="P293" s="0" t="str">
        <f aca="false">IF(COUNTIF($A$2:A293,A293)&gt;1,"DUP","")</f>
        <v/>
      </c>
      <c r="Q293" s="0" t="str">
        <f aca="false">IF(O293="","",IF(O293&gt;240,"Y","N"))</f>
        <v>Y</v>
      </c>
    </row>
    <row r="294" customFormat="false" ht="15" hidden="false" customHeight="false" outlineLevel="0" collapsed="false">
      <c r="A294" s="0" t="s">
        <v>4884</v>
      </c>
      <c r="B294" s="0" t="s">
        <v>3894</v>
      </c>
      <c r="C294" s="0" t="s">
        <v>1029</v>
      </c>
      <c r="D294" s="31" t="n">
        <v>26660</v>
      </c>
      <c r="E294" s="31" t="n">
        <v>45591</v>
      </c>
      <c r="F294" s="32" t="s">
        <v>4885</v>
      </c>
      <c r="G294" s="0" t="n">
        <v>5</v>
      </c>
      <c r="H294" s="32" t="s">
        <v>3978</v>
      </c>
      <c r="I294" s="32" t="s">
        <v>4886</v>
      </c>
      <c r="J294" s="32" t="s">
        <v>3793</v>
      </c>
      <c r="K294" s="32" t="s">
        <v>2081</v>
      </c>
      <c r="L294" s="0" t="n">
        <v>175</v>
      </c>
      <c r="M294" s="32" t="s">
        <v>3925</v>
      </c>
      <c r="N294" s="32" t="s">
        <v>776</v>
      </c>
      <c r="O294" s="32" t="n">
        <f aca="false">IF(I294="","",ROUND(MOD(TIMEVALUE(I294)-TIMEVALUE(F294),1)*1440,0))</f>
        <v>175</v>
      </c>
      <c r="P294" s="0" t="str">
        <f aca="false">IF(COUNTIF($A$2:A294,A294)&gt;1,"DUP","")</f>
        <v/>
      </c>
      <c r="Q294" s="0" t="str">
        <f aca="false">IF(O294="","",IF(O294&gt;240,"Y","N"))</f>
        <v>N</v>
      </c>
    </row>
    <row r="295" customFormat="false" ht="15" hidden="false" customHeight="false" outlineLevel="0" collapsed="false">
      <c r="A295" s="0" t="s">
        <v>4887</v>
      </c>
      <c r="B295" s="0" t="s">
        <v>3753</v>
      </c>
      <c r="C295" s="0" t="s">
        <v>870</v>
      </c>
      <c r="D295" s="31" t="n">
        <v>38944</v>
      </c>
      <c r="E295" s="31" t="n">
        <v>45690</v>
      </c>
      <c r="F295" s="32" t="s">
        <v>4888</v>
      </c>
      <c r="G295" s="0" t="n">
        <v>4</v>
      </c>
      <c r="H295" s="32" t="s">
        <v>4009</v>
      </c>
      <c r="I295" s="32" t="s">
        <v>3768</v>
      </c>
      <c r="J295" s="32" t="s">
        <v>3749</v>
      </c>
      <c r="K295" s="32" t="s">
        <v>2106</v>
      </c>
      <c r="L295" s="0" t="n">
        <v>573</v>
      </c>
      <c r="M295" s="32" t="s">
        <v>3871</v>
      </c>
      <c r="N295" s="32" t="s">
        <v>3751</v>
      </c>
      <c r="O295" s="32" t="n">
        <f aca="false">IF(I295="","",ROUND(MOD(TIMEVALUE(I295)-TIMEVALUE(F295),1)*1440,0))</f>
        <v>573</v>
      </c>
      <c r="P295" s="0" t="str">
        <f aca="false">IF(COUNTIF($A$2:A295,A295)&gt;1,"DUP","")</f>
        <v/>
      </c>
      <c r="Q295" s="0" t="str">
        <f aca="false">IF(O295="","",IF(O295&gt;240,"Y","N"))</f>
        <v>Y</v>
      </c>
    </row>
    <row r="296" customFormat="false" ht="15" hidden="false" customHeight="false" outlineLevel="0" collapsed="false">
      <c r="A296" s="0" t="s">
        <v>4889</v>
      </c>
      <c r="C296" s="0" t="s">
        <v>958</v>
      </c>
      <c r="D296" s="31" t="n">
        <v>28268</v>
      </c>
      <c r="E296" s="31" t="n">
        <v>45600</v>
      </c>
      <c r="F296" s="32" t="s">
        <v>4890</v>
      </c>
      <c r="G296" s="0" t="n">
        <v>3</v>
      </c>
      <c r="H296" s="32" t="s">
        <v>4685</v>
      </c>
      <c r="I296" s="32" t="s">
        <v>4402</v>
      </c>
      <c r="J296" s="32" t="s">
        <v>3749</v>
      </c>
      <c r="K296" s="32" t="s">
        <v>2081</v>
      </c>
      <c r="L296" s="0" t="n">
        <v>121</v>
      </c>
      <c r="M296" s="32" t="s">
        <v>4060</v>
      </c>
      <c r="N296" s="32" t="s">
        <v>3751</v>
      </c>
      <c r="O296" s="32" t="n">
        <f aca="false">IF(I296="","",ROUND(MOD(TIMEVALUE(I296)-TIMEVALUE(F296),1)*1440,0))</f>
        <v>121</v>
      </c>
      <c r="P296" s="0" t="str">
        <f aca="false">IF(COUNTIF($A$2:A296,A296)&gt;1,"DUP","")</f>
        <v/>
      </c>
      <c r="Q296" s="0" t="str">
        <f aca="false">IF(O296="","",IF(O296&gt;240,"Y","N"))</f>
        <v>N</v>
      </c>
    </row>
    <row r="297" customFormat="false" ht="15" hidden="false" customHeight="false" outlineLevel="0" collapsed="false">
      <c r="A297" s="0" t="s">
        <v>4891</v>
      </c>
      <c r="B297" s="0" t="s">
        <v>3834</v>
      </c>
      <c r="C297" s="0" t="s">
        <v>845</v>
      </c>
      <c r="D297" s="31" t="n">
        <v>27765</v>
      </c>
      <c r="E297" s="31" t="n">
        <v>45711</v>
      </c>
      <c r="F297" s="32" t="s">
        <v>4687</v>
      </c>
      <c r="G297" s="0" t="n">
        <v>3</v>
      </c>
      <c r="H297" s="32" t="s">
        <v>4892</v>
      </c>
      <c r="I297" s="32" t="s">
        <v>4489</v>
      </c>
      <c r="J297" s="32" t="s">
        <v>3749</v>
      </c>
      <c r="K297" s="32" t="s">
        <v>2081</v>
      </c>
      <c r="L297" s="0" t="n">
        <v>179</v>
      </c>
      <c r="M297" s="32" t="s">
        <v>4122</v>
      </c>
      <c r="N297" s="32" t="s">
        <v>3751</v>
      </c>
      <c r="O297" s="32" t="n">
        <f aca="false">IF(I297="","",ROUND(MOD(TIMEVALUE(I297)-TIMEVALUE(F297),1)*1440,0))</f>
        <v>179</v>
      </c>
      <c r="P297" s="0" t="str">
        <f aca="false">IF(COUNTIF($A$2:A297,A297)&gt;1,"DUP","")</f>
        <v/>
      </c>
      <c r="Q297" s="0" t="str">
        <f aca="false">IF(O297="","",IF(O297&gt;240,"Y","N"))</f>
        <v>N</v>
      </c>
    </row>
    <row r="298" customFormat="false" ht="15" hidden="false" customHeight="false" outlineLevel="0" collapsed="false">
      <c r="A298" s="0" t="s">
        <v>4893</v>
      </c>
      <c r="B298" s="0" t="s">
        <v>4894</v>
      </c>
      <c r="C298" s="0" t="s">
        <v>746</v>
      </c>
      <c r="D298" s="31" t="n">
        <v>25832</v>
      </c>
      <c r="E298" s="31" t="n">
        <v>45654</v>
      </c>
      <c r="F298" s="32" t="s">
        <v>4895</v>
      </c>
      <c r="G298" s="0" t="n">
        <v>2</v>
      </c>
      <c r="H298" s="32" t="s">
        <v>4172</v>
      </c>
      <c r="I298" s="32" t="s">
        <v>4157</v>
      </c>
      <c r="J298" s="32" t="s">
        <v>3749</v>
      </c>
      <c r="K298" s="32" t="s">
        <v>2081</v>
      </c>
      <c r="L298" s="0" t="n">
        <v>58</v>
      </c>
      <c r="M298" s="32" t="s">
        <v>3849</v>
      </c>
      <c r="N298" s="32" t="s">
        <v>3751</v>
      </c>
      <c r="O298" s="32" t="n">
        <f aca="false">IF(I298="","",ROUND(MOD(TIMEVALUE(I298)-TIMEVALUE(F298),1)*1440,0))</f>
        <v>58</v>
      </c>
      <c r="P298" s="0" t="str">
        <f aca="false">IF(COUNTIF($A$2:A298,A298)&gt;1,"DUP","")</f>
        <v/>
      </c>
      <c r="Q298" s="0" t="str">
        <f aca="false">IF(O298="","",IF(O298&gt;240,"Y","N"))</f>
        <v>N</v>
      </c>
    </row>
    <row r="299" customFormat="false" ht="15" hidden="false" customHeight="false" outlineLevel="0" collapsed="false">
      <c r="A299" s="0" t="s">
        <v>4858</v>
      </c>
      <c r="B299" s="0" t="s">
        <v>4625</v>
      </c>
      <c r="C299" s="0" t="s">
        <v>1393</v>
      </c>
      <c r="D299" s="31" t="n">
        <v>36368</v>
      </c>
      <c r="E299" s="31" t="n">
        <v>45695</v>
      </c>
      <c r="F299" s="32" t="s">
        <v>4859</v>
      </c>
      <c r="G299" s="0" t="n">
        <v>4</v>
      </c>
      <c r="H299" s="32" t="s">
        <v>4794</v>
      </c>
      <c r="I299" s="32" t="s">
        <v>3853</v>
      </c>
      <c r="J299" s="32" t="s">
        <v>3793</v>
      </c>
      <c r="K299" s="32" t="s">
        <v>2081</v>
      </c>
      <c r="L299" s="0" t="n">
        <v>170</v>
      </c>
      <c r="M299" s="32" t="s">
        <v>4255</v>
      </c>
      <c r="N299" s="32" t="s">
        <v>776</v>
      </c>
      <c r="O299" s="32" t="n">
        <f aca="false">IF(I299="","",ROUND(MOD(TIMEVALUE(I299)-TIMEVALUE(F299),1)*1440,0))</f>
        <v>170</v>
      </c>
      <c r="P299" s="0" t="str">
        <f aca="false">IF(COUNTIF($A$2:A299,A299)&gt;1,"DUP","")</f>
        <v>DUP</v>
      </c>
      <c r="Q299" s="0" t="str">
        <f aca="false">IF(O299="","",IF(O299&gt;240,"Y","N"))</f>
        <v>N</v>
      </c>
    </row>
    <row r="300" customFormat="false" ht="15" hidden="false" customHeight="false" outlineLevel="0" collapsed="false">
      <c r="A300" s="0" t="s">
        <v>4896</v>
      </c>
      <c r="B300" s="0" t="s">
        <v>4897</v>
      </c>
      <c r="C300" s="0" t="s">
        <v>1029</v>
      </c>
      <c r="D300" s="31" t="n">
        <v>38890</v>
      </c>
      <c r="E300" s="31" t="n">
        <v>45710</v>
      </c>
      <c r="F300" s="32" t="s">
        <v>4758</v>
      </c>
      <c r="G300" s="0" t="n">
        <v>2</v>
      </c>
      <c r="H300" s="32" t="s">
        <v>4898</v>
      </c>
      <c r="I300" s="32" t="s">
        <v>4899</v>
      </c>
      <c r="J300" s="32" t="s">
        <v>3749</v>
      </c>
      <c r="K300" s="32" t="s">
        <v>2081</v>
      </c>
      <c r="L300" s="0" t="n">
        <v>219</v>
      </c>
      <c r="M300" s="32" t="s">
        <v>3776</v>
      </c>
      <c r="N300" s="32" t="s">
        <v>3751</v>
      </c>
      <c r="O300" s="32" t="n">
        <f aca="false">IF(I300="","",ROUND(MOD(TIMEVALUE(I300)-TIMEVALUE(F300),1)*1440,0))</f>
        <v>219</v>
      </c>
      <c r="P300" s="0" t="str">
        <f aca="false">IF(COUNTIF($A$2:A300,A300)&gt;1,"DUP","")</f>
        <v/>
      </c>
      <c r="Q300" s="0" t="str">
        <f aca="false">IF(O300="","",IF(O300&gt;240,"Y","N"))</f>
        <v>N</v>
      </c>
    </row>
    <row r="301" customFormat="false" ht="15" hidden="false" customHeight="false" outlineLevel="0" collapsed="false">
      <c r="A301" s="0" t="s">
        <v>4900</v>
      </c>
      <c r="B301" s="0" t="s">
        <v>4315</v>
      </c>
      <c r="C301" s="0" t="s">
        <v>825</v>
      </c>
      <c r="D301" s="31" t="n">
        <v>29475</v>
      </c>
      <c r="E301" s="31" t="n">
        <v>45598</v>
      </c>
      <c r="F301" s="32" t="s">
        <v>4085</v>
      </c>
      <c r="G301" s="0" t="n">
        <v>4</v>
      </c>
      <c r="H301" s="32" t="s">
        <v>4658</v>
      </c>
      <c r="I301" s="32" t="s">
        <v>4901</v>
      </c>
      <c r="J301" s="32" t="s">
        <v>3763</v>
      </c>
      <c r="K301" s="32" t="s">
        <v>2081</v>
      </c>
      <c r="L301" s="0" t="n">
        <v>152</v>
      </c>
      <c r="M301" s="32" t="s">
        <v>3764</v>
      </c>
      <c r="N301" s="32" t="s">
        <v>3751</v>
      </c>
      <c r="O301" s="32" t="n">
        <f aca="false">IF(I301="","",ROUND(MOD(TIMEVALUE(I301)-TIMEVALUE(F301),1)*1440,0))</f>
        <v>152</v>
      </c>
      <c r="P301" s="0" t="str">
        <f aca="false">IF(COUNTIF($A$2:A301,A301)&gt;1,"DUP","")</f>
        <v/>
      </c>
      <c r="Q301" s="0" t="str">
        <f aca="false">IF(O301="","",IF(O301&gt;240,"Y","N"))</f>
        <v>N</v>
      </c>
    </row>
    <row r="302" customFormat="false" ht="15" hidden="false" customHeight="false" outlineLevel="0" collapsed="false">
      <c r="A302" s="0" t="s">
        <v>4902</v>
      </c>
      <c r="B302" s="0" t="s">
        <v>4903</v>
      </c>
      <c r="C302" s="0" t="s">
        <v>1025</v>
      </c>
      <c r="D302" s="31" t="n">
        <v>37873</v>
      </c>
      <c r="E302" s="31" t="n">
        <v>45646</v>
      </c>
      <c r="F302" s="32" t="s">
        <v>4904</v>
      </c>
      <c r="G302" s="0" t="n">
        <v>3</v>
      </c>
      <c r="H302" s="32" t="s">
        <v>4721</v>
      </c>
      <c r="I302" s="32" t="s">
        <v>4905</v>
      </c>
      <c r="J302" s="32" t="s">
        <v>3749</v>
      </c>
      <c r="K302" s="32" t="s">
        <v>2106</v>
      </c>
      <c r="L302" s="0" t="n">
        <v>534</v>
      </c>
      <c r="M302" s="32" t="s">
        <v>3776</v>
      </c>
      <c r="N302" s="32" t="s">
        <v>3751</v>
      </c>
      <c r="O302" s="32" t="n">
        <f aca="false">IF(I302="","",ROUND(MOD(TIMEVALUE(I302)-TIMEVALUE(F302),1)*1440,0))</f>
        <v>534</v>
      </c>
      <c r="P302" s="0" t="str">
        <f aca="false">IF(COUNTIF($A$2:A302,A302)&gt;1,"DUP","")</f>
        <v/>
      </c>
      <c r="Q302" s="0" t="str">
        <f aca="false">IF(O302="","",IF(O302&gt;240,"Y","N"))</f>
        <v>Y</v>
      </c>
    </row>
    <row r="303" customFormat="false" ht="15" hidden="false" customHeight="false" outlineLevel="0" collapsed="false">
      <c r="A303" s="0" t="s">
        <v>4906</v>
      </c>
      <c r="B303" s="0" t="s">
        <v>3839</v>
      </c>
      <c r="C303" s="0" t="s">
        <v>989</v>
      </c>
      <c r="D303" s="31" t="n">
        <v>13491</v>
      </c>
      <c r="E303" s="31" t="n">
        <v>45588</v>
      </c>
      <c r="F303" s="32" t="s">
        <v>4736</v>
      </c>
      <c r="G303" s="0" t="n">
        <v>2</v>
      </c>
      <c r="H303" s="32" t="s">
        <v>4193</v>
      </c>
      <c r="I303" s="32" t="s">
        <v>4396</v>
      </c>
      <c r="J303" s="32" t="s">
        <v>3749</v>
      </c>
      <c r="K303" s="32" t="s">
        <v>2081</v>
      </c>
      <c r="L303" s="0" t="n">
        <v>169</v>
      </c>
      <c r="M303" s="32" t="s">
        <v>3750</v>
      </c>
      <c r="N303" s="32" t="s">
        <v>3751</v>
      </c>
      <c r="O303" s="32" t="n">
        <f aca="false">IF(I303="","",ROUND(MOD(TIMEVALUE(I303)-TIMEVALUE(F303),1)*1440,0))</f>
        <v>169</v>
      </c>
      <c r="P303" s="0" t="str">
        <f aca="false">IF(COUNTIF($A$2:A303,A303)&gt;1,"DUP","")</f>
        <v/>
      </c>
      <c r="Q303" s="0" t="str">
        <f aca="false">IF(O303="","",IF(O303&gt;240,"Y","N"))</f>
        <v>N</v>
      </c>
    </row>
    <row r="304" customFormat="false" ht="15" hidden="false" customHeight="false" outlineLevel="0" collapsed="false">
      <c r="A304" s="0" t="s">
        <v>4907</v>
      </c>
      <c r="B304" s="0" t="s">
        <v>4773</v>
      </c>
      <c r="C304" s="0" t="s">
        <v>890</v>
      </c>
      <c r="D304" s="31" t="n">
        <v>33670</v>
      </c>
      <c r="E304" s="31" t="n">
        <v>45570</v>
      </c>
      <c r="F304" s="32" t="s">
        <v>4401</v>
      </c>
      <c r="G304" s="0" t="n">
        <v>2</v>
      </c>
      <c r="H304" s="32" t="s">
        <v>4908</v>
      </c>
      <c r="I304" s="32" t="s">
        <v>4909</v>
      </c>
      <c r="J304" s="32" t="s">
        <v>3793</v>
      </c>
      <c r="K304" s="32" t="s">
        <v>2081</v>
      </c>
      <c r="L304" s="0" t="n">
        <v>147</v>
      </c>
      <c r="M304" s="32" t="s">
        <v>4106</v>
      </c>
      <c r="N304" s="32" t="s">
        <v>802</v>
      </c>
      <c r="O304" s="32" t="n">
        <f aca="false">IF(I304="","",ROUND(MOD(TIMEVALUE(I304)-TIMEVALUE(F304),1)*1440,0))</f>
        <v>147</v>
      </c>
      <c r="P304" s="0" t="str">
        <f aca="false">IF(COUNTIF($A$2:A304,A304)&gt;1,"DUP","")</f>
        <v/>
      </c>
      <c r="Q304" s="0" t="str">
        <f aca="false">IF(O304="","",IF(O304&gt;240,"Y","N"))</f>
        <v>N</v>
      </c>
    </row>
    <row r="305" customFormat="false" ht="15" hidden="false" customHeight="false" outlineLevel="0" collapsed="false">
      <c r="A305" s="0" t="s">
        <v>4910</v>
      </c>
      <c r="B305" s="0" t="s">
        <v>4809</v>
      </c>
      <c r="C305" s="0" t="s">
        <v>2178</v>
      </c>
      <c r="D305" s="31" t="n">
        <v>33623</v>
      </c>
      <c r="E305" s="31" t="n">
        <v>45567</v>
      </c>
      <c r="F305" s="32" t="s">
        <v>4068</v>
      </c>
      <c r="G305" s="0" t="n">
        <v>3</v>
      </c>
      <c r="H305" s="32" t="s">
        <v>4502</v>
      </c>
      <c r="I305" s="32" t="s">
        <v>4911</v>
      </c>
      <c r="J305" s="32" t="s">
        <v>3749</v>
      </c>
      <c r="K305" s="32" t="s">
        <v>2081</v>
      </c>
      <c r="L305" s="0" t="n">
        <v>157</v>
      </c>
      <c r="M305" s="32" t="s">
        <v>3993</v>
      </c>
      <c r="N305" s="32" t="s">
        <v>3751</v>
      </c>
      <c r="O305" s="32" t="n">
        <f aca="false">IF(I305="","",ROUND(MOD(TIMEVALUE(I305)-TIMEVALUE(F305),1)*1440,0))</f>
        <v>157</v>
      </c>
      <c r="P305" s="0" t="str">
        <f aca="false">IF(COUNTIF($A$2:A305,A305)&gt;1,"DUP","")</f>
        <v/>
      </c>
      <c r="Q305" s="0" t="str">
        <f aca="false">IF(O305="","",IF(O305&gt;240,"Y","N"))</f>
        <v>N</v>
      </c>
    </row>
    <row r="306" customFormat="false" ht="15" hidden="false" customHeight="false" outlineLevel="0" collapsed="false">
      <c r="A306" s="0" t="s">
        <v>4912</v>
      </c>
      <c r="B306" s="0" t="s">
        <v>4913</v>
      </c>
      <c r="C306" s="0" t="s">
        <v>930</v>
      </c>
      <c r="D306" s="31" t="n">
        <v>20717</v>
      </c>
      <c r="E306" s="31" t="n">
        <v>45671</v>
      </c>
      <c r="F306" s="32" t="s">
        <v>4780</v>
      </c>
      <c r="G306" s="0" t="n">
        <v>3</v>
      </c>
      <c r="H306" s="32" t="s">
        <v>4914</v>
      </c>
      <c r="I306" s="32" t="s">
        <v>4915</v>
      </c>
      <c r="J306" s="32" t="s">
        <v>3749</v>
      </c>
      <c r="K306" s="32" t="s">
        <v>2081</v>
      </c>
      <c r="L306" s="0" t="n">
        <v>204</v>
      </c>
      <c r="M306" s="32" t="s">
        <v>4582</v>
      </c>
      <c r="N306" s="32" t="s">
        <v>3751</v>
      </c>
      <c r="O306" s="32" t="n">
        <f aca="false">IF(I306="","",ROUND(MOD(TIMEVALUE(I306)-TIMEVALUE(F306),1)*1440,0))</f>
        <v>204</v>
      </c>
      <c r="P306" s="0" t="str">
        <f aca="false">IF(COUNTIF($A$2:A306,A306)&gt;1,"DUP","")</f>
        <v/>
      </c>
      <c r="Q306" s="0" t="str">
        <f aca="false">IF(O306="","",IF(O306&gt;240,"Y","N"))</f>
        <v>N</v>
      </c>
    </row>
    <row r="307" customFormat="false" ht="15" hidden="false" customHeight="false" outlineLevel="0" collapsed="false">
      <c r="A307" s="0" t="s">
        <v>4916</v>
      </c>
      <c r="B307" s="0" t="s">
        <v>4917</v>
      </c>
      <c r="C307" s="0" t="s">
        <v>784</v>
      </c>
      <c r="D307" s="31" t="n">
        <v>21861</v>
      </c>
      <c r="E307" s="31" t="n">
        <v>45729</v>
      </c>
      <c r="F307" s="32" t="s">
        <v>4918</v>
      </c>
      <c r="G307" s="0" t="n">
        <v>4</v>
      </c>
      <c r="H307" s="32" t="s">
        <v>4522</v>
      </c>
      <c r="I307" s="32" t="s">
        <v>4919</v>
      </c>
      <c r="J307" s="32" t="s">
        <v>3749</v>
      </c>
      <c r="K307" s="32" t="s">
        <v>2081</v>
      </c>
      <c r="L307" s="0" t="n">
        <v>196</v>
      </c>
      <c r="M307" s="32" t="s">
        <v>4313</v>
      </c>
      <c r="N307" s="32" t="s">
        <v>3751</v>
      </c>
      <c r="O307" s="32" t="n">
        <f aca="false">IF(I307="","",ROUND(MOD(TIMEVALUE(I307)-TIMEVALUE(F307),1)*1440,0))</f>
        <v>196</v>
      </c>
      <c r="P307" s="0" t="str">
        <f aca="false">IF(COUNTIF($A$2:A307,A307)&gt;1,"DUP","")</f>
        <v/>
      </c>
      <c r="Q307" s="0" t="str">
        <f aca="false">IF(O307="","",IF(O307&gt;240,"Y","N"))</f>
        <v>N</v>
      </c>
    </row>
    <row r="308" customFormat="false" ht="15" hidden="false" customHeight="false" outlineLevel="0" collapsed="false">
      <c r="A308" s="0" t="s">
        <v>4920</v>
      </c>
      <c r="B308" s="0" t="s">
        <v>4921</v>
      </c>
      <c r="C308" s="0" t="s">
        <v>981</v>
      </c>
      <c r="D308" s="31" t="n">
        <v>18709</v>
      </c>
      <c r="E308" s="31" t="n">
        <v>45655</v>
      </c>
      <c r="F308" s="32" t="s">
        <v>4388</v>
      </c>
      <c r="G308" s="0" t="n">
        <v>2</v>
      </c>
      <c r="H308" s="32" t="s">
        <v>4922</v>
      </c>
      <c r="I308" s="32" t="s">
        <v>4692</v>
      </c>
      <c r="J308" s="32" t="s">
        <v>3749</v>
      </c>
      <c r="K308" s="32" t="s">
        <v>2081</v>
      </c>
      <c r="L308" s="0" t="n">
        <v>159</v>
      </c>
      <c r="M308" s="32" t="s">
        <v>3882</v>
      </c>
      <c r="N308" s="32" t="s">
        <v>3751</v>
      </c>
      <c r="O308" s="32" t="n">
        <f aca="false">IF(I308="","",ROUND(MOD(TIMEVALUE(I308)-TIMEVALUE(F308),1)*1440,0))</f>
        <v>159</v>
      </c>
      <c r="P308" s="0" t="str">
        <f aca="false">IF(COUNTIF($A$2:A308,A308)&gt;1,"DUP","")</f>
        <v/>
      </c>
      <c r="Q308" s="0" t="str">
        <f aca="false">IF(O308="","",IF(O308&gt;240,"Y","N"))</f>
        <v>N</v>
      </c>
    </row>
    <row r="309" customFormat="false" ht="15" hidden="false" customHeight="false" outlineLevel="0" collapsed="false">
      <c r="A309" s="0" t="s">
        <v>4923</v>
      </c>
      <c r="B309" s="0" t="s">
        <v>4924</v>
      </c>
      <c r="C309" s="0" t="s">
        <v>878</v>
      </c>
      <c r="D309" s="31" t="n">
        <v>16111</v>
      </c>
      <c r="E309" s="31" t="n">
        <v>45620</v>
      </c>
      <c r="F309" s="32" t="s">
        <v>4469</v>
      </c>
      <c r="G309" s="0" t="n">
        <v>3</v>
      </c>
      <c r="H309" s="32" t="s">
        <v>4925</v>
      </c>
      <c r="I309" s="32" t="s">
        <v>4926</v>
      </c>
      <c r="J309" s="32" t="s">
        <v>7</v>
      </c>
      <c r="K309" s="32" t="s">
        <v>2081</v>
      </c>
      <c r="L309" s="0" t="n">
        <v>175</v>
      </c>
      <c r="M309" s="32" t="s">
        <v>3799</v>
      </c>
      <c r="N309" s="32" t="s">
        <v>3751</v>
      </c>
      <c r="O309" s="32" t="n">
        <f aca="false">IF(I309="","",ROUND(MOD(TIMEVALUE(I309)-TIMEVALUE(F309),1)*1440,0))</f>
        <v>175</v>
      </c>
      <c r="P309" s="0" t="str">
        <f aca="false">IF(COUNTIF($A$2:A309,A309)&gt;1,"DUP","")</f>
        <v/>
      </c>
      <c r="Q309" s="0" t="str">
        <f aca="false">IF(O309="","",IF(O309&gt;240,"Y","N"))</f>
        <v>N</v>
      </c>
    </row>
    <row r="310" customFormat="false" ht="15" hidden="false" customHeight="false" outlineLevel="0" collapsed="false">
      <c r="A310" s="0" t="s">
        <v>4927</v>
      </c>
      <c r="B310" s="0" t="s">
        <v>4487</v>
      </c>
      <c r="C310" s="0" t="s">
        <v>862</v>
      </c>
      <c r="D310" s="31" t="n">
        <v>17529</v>
      </c>
      <c r="E310" s="31" t="n">
        <v>45647</v>
      </c>
      <c r="F310" s="32" t="s">
        <v>4763</v>
      </c>
      <c r="G310" s="0" t="n">
        <v>4</v>
      </c>
      <c r="H310" s="32" t="s">
        <v>3803</v>
      </c>
      <c r="I310" s="32" t="s">
        <v>4175</v>
      </c>
      <c r="J310" s="32" t="s">
        <v>3749</v>
      </c>
      <c r="K310" s="32" t="s">
        <v>2081</v>
      </c>
      <c r="L310" s="0" t="n">
        <v>133</v>
      </c>
      <c r="M310" s="32" t="s">
        <v>3946</v>
      </c>
      <c r="N310" s="32" t="s">
        <v>3751</v>
      </c>
      <c r="O310" s="32" t="n">
        <f aca="false">IF(I310="","",ROUND(MOD(TIMEVALUE(I310)-TIMEVALUE(F310),1)*1440,0))</f>
        <v>133</v>
      </c>
      <c r="P310" s="0" t="str">
        <f aca="false">IF(COUNTIF($A$2:A310,A310)&gt;1,"DUP","")</f>
        <v/>
      </c>
      <c r="Q310" s="0" t="str">
        <f aca="false">IF(O310="","",IF(O310&gt;240,"Y","N"))</f>
        <v>N</v>
      </c>
    </row>
    <row r="311" customFormat="false" ht="15" hidden="false" customHeight="false" outlineLevel="0" collapsed="false">
      <c r="A311" s="0" t="s">
        <v>4928</v>
      </c>
      <c r="C311" s="0" t="s">
        <v>942</v>
      </c>
      <c r="D311" s="31" t="n">
        <v>39124</v>
      </c>
      <c r="E311" s="31" t="n">
        <v>45725</v>
      </c>
      <c r="F311" s="32" t="s">
        <v>4929</v>
      </c>
      <c r="G311" s="0" t="n">
        <v>4</v>
      </c>
      <c r="H311" s="32" t="s">
        <v>4930</v>
      </c>
      <c r="I311" s="32" t="s">
        <v>4374</v>
      </c>
      <c r="J311" s="32" t="s">
        <v>3749</v>
      </c>
      <c r="K311" s="32" t="s">
        <v>2106</v>
      </c>
      <c r="L311" s="0" t="n">
        <v>392</v>
      </c>
      <c r="M311" s="32" t="s">
        <v>3764</v>
      </c>
      <c r="N311" s="32" t="s">
        <v>3751</v>
      </c>
      <c r="O311" s="32" t="n">
        <f aca="false">IF(I311="","",ROUND(MOD(TIMEVALUE(I311)-TIMEVALUE(F311),1)*1440,0))</f>
        <v>392</v>
      </c>
      <c r="P311" s="0" t="str">
        <f aca="false">IF(COUNTIF($A$2:A311,A311)&gt;1,"DUP","")</f>
        <v/>
      </c>
      <c r="Q311" s="0" t="str">
        <f aca="false">IF(O311="","",IF(O311&gt;240,"Y","N"))</f>
        <v>Y</v>
      </c>
    </row>
    <row r="312" customFormat="false" ht="15" hidden="false" customHeight="false" outlineLevel="0" collapsed="false">
      <c r="A312" s="0" t="s">
        <v>4931</v>
      </c>
      <c r="B312" s="0" t="s">
        <v>4111</v>
      </c>
      <c r="C312" s="0" t="s">
        <v>809</v>
      </c>
      <c r="D312" s="31" t="n">
        <v>38514</v>
      </c>
      <c r="E312" s="31" t="n">
        <v>45645</v>
      </c>
      <c r="F312" s="32" t="s">
        <v>4097</v>
      </c>
      <c r="G312" s="0" t="n">
        <v>3</v>
      </c>
      <c r="H312" s="32" t="s">
        <v>4640</v>
      </c>
      <c r="I312" s="32" t="s">
        <v>4932</v>
      </c>
      <c r="J312" s="32" t="s">
        <v>2307</v>
      </c>
      <c r="K312" s="32" t="s">
        <v>2106</v>
      </c>
      <c r="L312" s="0" t="n">
        <v>444</v>
      </c>
      <c r="M312" s="32" t="s">
        <v>3849</v>
      </c>
      <c r="N312" s="32" t="s">
        <v>3751</v>
      </c>
      <c r="O312" s="32" t="n">
        <f aca="false">IF(I312="","",ROUND(MOD(TIMEVALUE(I312)-TIMEVALUE(F312),1)*1440,0))</f>
        <v>444</v>
      </c>
      <c r="P312" s="0" t="str">
        <f aca="false">IF(COUNTIF($A$2:A312,A312)&gt;1,"DUP","")</f>
        <v/>
      </c>
      <c r="Q312" s="0" t="str">
        <f aca="false">IF(O312="","",IF(O312&gt;240,"Y","N"))</f>
        <v>Y</v>
      </c>
    </row>
    <row r="313" customFormat="false" ht="15" hidden="false" customHeight="false" outlineLevel="0" collapsed="false">
      <c r="A313" s="0" t="s">
        <v>4933</v>
      </c>
      <c r="B313" s="0" t="s">
        <v>4934</v>
      </c>
      <c r="C313" s="0" t="s">
        <v>1009</v>
      </c>
      <c r="D313" s="31" t="n">
        <v>15354</v>
      </c>
      <c r="E313" s="31" t="n">
        <v>45587</v>
      </c>
      <c r="F313" s="32" t="s">
        <v>4885</v>
      </c>
      <c r="G313" s="0" t="n">
        <v>5</v>
      </c>
      <c r="H313" s="32" t="s">
        <v>4935</v>
      </c>
      <c r="I313" s="32" t="s">
        <v>4265</v>
      </c>
      <c r="J313" s="32" t="s">
        <v>3749</v>
      </c>
      <c r="K313" s="32" t="s">
        <v>2081</v>
      </c>
      <c r="L313" s="0" t="n">
        <v>51</v>
      </c>
      <c r="M313" s="32" t="s">
        <v>4037</v>
      </c>
      <c r="N313" s="32" t="s">
        <v>3751</v>
      </c>
      <c r="O313" s="32" t="n">
        <f aca="false">IF(I313="","",ROUND(MOD(TIMEVALUE(I313)-TIMEVALUE(F313),1)*1440,0))</f>
        <v>51</v>
      </c>
      <c r="P313" s="0" t="str">
        <f aca="false">IF(COUNTIF($A$2:A313,A313)&gt;1,"DUP","")</f>
        <v/>
      </c>
      <c r="Q313" s="0" t="str">
        <f aca="false">IF(O313="","",IF(O313&gt;240,"Y","N"))</f>
        <v>N</v>
      </c>
    </row>
    <row r="314" customFormat="false" ht="15" hidden="false" customHeight="false" outlineLevel="0" collapsed="false">
      <c r="A314" s="0" t="s">
        <v>4936</v>
      </c>
      <c r="B314" s="0" t="s">
        <v>4684</v>
      </c>
      <c r="C314" s="0" t="s">
        <v>1013</v>
      </c>
      <c r="D314" s="31" t="n">
        <v>25721</v>
      </c>
      <c r="E314" s="31" t="n">
        <v>45645</v>
      </c>
      <c r="F314" s="32" t="s">
        <v>4937</v>
      </c>
      <c r="G314" s="0" t="n">
        <v>5</v>
      </c>
      <c r="H314" s="32" t="s">
        <v>4529</v>
      </c>
      <c r="I314" s="32" t="s">
        <v>4347</v>
      </c>
      <c r="J314" s="32" t="s">
        <v>3749</v>
      </c>
      <c r="K314" s="32" t="s">
        <v>2081</v>
      </c>
      <c r="L314" s="0" t="n">
        <v>95</v>
      </c>
      <c r="M314" s="32" t="s">
        <v>3993</v>
      </c>
      <c r="N314" s="32" t="s">
        <v>3751</v>
      </c>
      <c r="O314" s="32" t="n">
        <f aca="false">IF(I314="","",ROUND(MOD(TIMEVALUE(I314)-TIMEVALUE(F314),1)*1440,0))</f>
        <v>95</v>
      </c>
      <c r="P314" s="0" t="str">
        <f aca="false">IF(COUNTIF($A$2:A314,A314)&gt;1,"DUP","")</f>
        <v/>
      </c>
      <c r="Q314" s="0" t="str">
        <f aca="false">IF(O314="","",IF(O314&gt;240,"Y","N"))</f>
        <v>N</v>
      </c>
    </row>
    <row r="315" customFormat="false" ht="15" hidden="false" customHeight="false" outlineLevel="0" collapsed="false">
      <c r="A315" s="0" t="s">
        <v>4938</v>
      </c>
      <c r="B315" s="0" t="s">
        <v>4033</v>
      </c>
      <c r="C315" s="0" t="s">
        <v>853</v>
      </c>
      <c r="D315" s="31" t="n">
        <v>38617</v>
      </c>
      <c r="E315" s="31" t="n">
        <v>45611</v>
      </c>
      <c r="F315" s="32" t="s">
        <v>4939</v>
      </c>
      <c r="G315" s="0" t="n">
        <v>3</v>
      </c>
      <c r="H315" s="32" t="s">
        <v>4940</v>
      </c>
      <c r="J315" s="32" t="s">
        <v>3749</v>
      </c>
      <c r="M315" s="32" t="s">
        <v>4141</v>
      </c>
      <c r="N315" s="32" t="s">
        <v>3751</v>
      </c>
      <c r="O315" s="0" t="str">
        <f aca="false">IF(I315="","",ROUND(MOD(TIMEVALUE(I315)-TIMEVALUE(F315),1)*1440,0))</f>
        <v/>
      </c>
      <c r="P315" s="0" t="str">
        <f aca="false">IF(COUNTIF($A$2:A315,A315)&gt;1,"DUP","")</f>
        <v/>
      </c>
      <c r="Q315" s="0" t="str">
        <f aca="false">IF(O315="","",IF(O315&gt;240,"Y","N"))</f>
        <v/>
      </c>
    </row>
    <row r="316" customFormat="false" ht="15" hidden="false" customHeight="false" outlineLevel="0" collapsed="false">
      <c r="A316" s="0" t="s">
        <v>4941</v>
      </c>
      <c r="B316" s="0" t="s">
        <v>4365</v>
      </c>
      <c r="C316" s="0" t="s">
        <v>1017</v>
      </c>
      <c r="D316" s="31" t="n">
        <v>20387</v>
      </c>
      <c r="E316" s="31" t="n">
        <v>45667</v>
      </c>
      <c r="F316" s="32" t="s">
        <v>4942</v>
      </c>
      <c r="G316" s="0" t="n">
        <v>4</v>
      </c>
      <c r="H316" s="32" t="s">
        <v>3896</v>
      </c>
      <c r="I316" s="32" t="s">
        <v>4799</v>
      </c>
      <c r="J316" s="32" t="s">
        <v>3749</v>
      </c>
      <c r="K316" s="32" t="s">
        <v>2106</v>
      </c>
      <c r="L316" s="0" t="n">
        <v>497</v>
      </c>
      <c r="M316" s="32" t="s">
        <v>3946</v>
      </c>
      <c r="N316" s="32" t="s">
        <v>3751</v>
      </c>
      <c r="O316" s="32" t="n">
        <f aca="false">IF(I316="","",ROUND(MOD(TIMEVALUE(I316)-TIMEVALUE(F316),1)*1440,0))</f>
        <v>497</v>
      </c>
      <c r="P316" s="0" t="str">
        <f aca="false">IF(COUNTIF($A$2:A316,A316)&gt;1,"DUP","")</f>
        <v/>
      </c>
      <c r="Q316" s="0" t="str">
        <f aca="false">IF(O316="","",IF(O316&gt;240,"Y","N"))</f>
        <v>Y</v>
      </c>
    </row>
    <row r="317" customFormat="false" ht="15" hidden="false" customHeight="false" outlineLevel="0" collapsed="false">
      <c r="A317" s="0" t="s">
        <v>4943</v>
      </c>
      <c r="B317" s="0" t="s">
        <v>4944</v>
      </c>
      <c r="C317" s="0" t="s">
        <v>930</v>
      </c>
      <c r="D317" s="31" t="n">
        <v>23945</v>
      </c>
      <c r="E317" s="31" t="n">
        <v>45724</v>
      </c>
      <c r="F317" s="32" t="s">
        <v>3876</v>
      </c>
      <c r="G317" s="0" t="n">
        <v>5</v>
      </c>
      <c r="H317" s="32" t="s">
        <v>4945</v>
      </c>
      <c r="I317" s="32" t="s">
        <v>4692</v>
      </c>
      <c r="J317" s="32" t="s">
        <v>3749</v>
      </c>
      <c r="K317" s="32" t="s">
        <v>2081</v>
      </c>
      <c r="L317" s="0" t="n">
        <v>138</v>
      </c>
      <c r="M317" s="32" t="s">
        <v>4060</v>
      </c>
      <c r="N317" s="32" t="s">
        <v>3751</v>
      </c>
      <c r="O317" s="32" t="n">
        <f aca="false">IF(I317="","",ROUND(MOD(TIMEVALUE(I317)-TIMEVALUE(F317),1)*1440,0))</f>
        <v>138</v>
      </c>
      <c r="P317" s="0" t="str">
        <f aca="false">IF(COUNTIF($A$2:A317,A317)&gt;1,"DUP","")</f>
        <v/>
      </c>
      <c r="Q317" s="0" t="str">
        <f aca="false">IF(O317="","",IF(O317&gt;240,"Y","N"))</f>
        <v>N</v>
      </c>
    </row>
    <row r="318" customFormat="false" ht="15" hidden="false" customHeight="false" outlineLevel="0" collapsed="false">
      <c r="A318" s="0" t="s">
        <v>4946</v>
      </c>
      <c r="B318" s="0" t="s">
        <v>4515</v>
      </c>
      <c r="C318" s="0" t="s">
        <v>845</v>
      </c>
      <c r="D318" s="31" t="n">
        <v>34951</v>
      </c>
      <c r="E318" s="31" t="n">
        <v>45682</v>
      </c>
      <c r="F318" s="32" t="s">
        <v>4947</v>
      </c>
      <c r="G318" s="0" t="n">
        <v>4</v>
      </c>
      <c r="H318" s="32" t="s">
        <v>4669</v>
      </c>
      <c r="I318" s="32" t="s">
        <v>3982</v>
      </c>
      <c r="J318" s="32" t="s">
        <v>3763</v>
      </c>
      <c r="K318" s="32" t="s">
        <v>2081</v>
      </c>
      <c r="L318" s="0" t="n">
        <v>130</v>
      </c>
      <c r="M318" s="32" t="s">
        <v>4141</v>
      </c>
      <c r="N318" s="32" t="s">
        <v>3751</v>
      </c>
      <c r="O318" s="32" t="n">
        <f aca="false">IF(I318="","",ROUND(MOD(TIMEVALUE(I318)-TIMEVALUE(F318),1)*1440,0))</f>
        <v>130</v>
      </c>
      <c r="P318" s="0" t="str">
        <f aca="false">IF(COUNTIF($A$2:A318,A318)&gt;1,"DUP","")</f>
        <v/>
      </c>
      <c r="Q318" s="0" t="str">
        <f aca="false">IF(O318="","",IF(O318&gt;240,"Y","N"))</f>
        <v>N</v>
      </c>
    </row>
    <row r="319" customFormat="false" ht="15" hidden="false" customHeight="false" outlineLevel="0" collapsed="false">
      <c r="A319" s="0" t="s">
        <v>4948</v>
      </c>
      <c r="B319" s="0" t="s">
        <v>4949</v>
      </c>
      <c r="C319" s="0" t="s">
        <v>746</v>
      </c>
      <c r="D319" s="31" t="n">
        <v>26885</v>
      </c>
      <c r="E319" s="31" t="n">
        <v>45580</v>
      </c>
      <c r="F319" s="32" t="s">
        <v>4950</v>
      </c>
      <c r="G319" s="0" t="n">
        <v>4</v>
      </c>
      <c r="H319" s="32" t="s">
        <v>4951</v>
      </c>
      <c r="I319" s="32" t="s">
        <v>4952</v>
      </c>
      <c r="J319" s="32" t="s">
        <v>2307</v>
      </c>
      <c r="K319" s="32" t="s">
        <v>2106</v>
      </c>
      <c r="L319" s="0" t="n">
        <v>585</v>
      </c>
      <c r="M319" s="32" t="s">
        <v>3757</v>
      </c>
      <c r="N319" s="32" t="s">
        <v>3751</v>
      </c>
      <c r="O319" s="32" t="n">
        <f aca="false">IF(I319="","",ROUND(MOD(TIMEVALUE(I319)-TIMEVALUE(F319),1)*1440,0))</f>
        <v>585</v>
      </c>
      <c r="P319" s="0" t="str">
        <f aca="false">IF(COUNTIF($A$2:A319,A319)&gt;1,"DUP","")</f>
        <v/>
      </c>
      <c r="Q319" s="0" t="str">
        <f aca="false">IF(O319="","",IF(O319&gt;240,"Y","N"))</f>
        <v>Y</v>
      </c>
    </row>
    <row r="320" customFormat="false" ht="15" hidden="false" customHeight="false" outlineLevel="0" collapsed="false">
      <c r="A320" s="0" t="s">
        <v>4953</v>
      </c>
      <c r="B320" s="0" t="s">
        <v>3759</v>
      </c>
      <c r="C320" s="0" t="s">
        <v>958</v>
      </c>
      <c r="D320" s="31" t="n">
        <v>37270</v>
      </c>
      <c r="E320" s="31" t="n">
        <v>45673</v>
      </c>
      <c r="F320" s="32" t="s">
        <v>4954</v>
      </c>
      <c r="G320" s="0" t="n">
        <v>5</v>
      </c>
      <c r="H320" s="32" t="s">
        <v>4955</v>
      </c>
      <c r="I320" s="32" t="s">
        <v>4956</v>
      </c>
      <c r="J320" s="32" t="s">
        <v>3749</v>
      </c>
      <c r="K320" s="32" t="s">
        <v>2081</v>
      </c>
      <c r="L320" s="0" t="n">
        <v>72</v>
      </c>
      <c r="M320" s="32" t="s">
        <v>3843</v>
      </c>
      <c r="N320" s="32" t="s">
        <v>3751</v>
      </c>
      <c r="O320" s="32" t="n">
        <f aca="false">IF(I320="","",ROUND(MOD(TIMEVALUE(I320)-TIMEVALUE(F320),1)*1440,0))</f>
        <v>72</v>
      </c>
      <c r="P320" s="0" t="str">
        <f aca="false">IF(COUNTIF($A$2:A320,A320)&gt;1,"DUP","")</f>
        <v/>
      </c>
      <c r="Q320" s="0" t="str">
        <f aca="false">IF(O320="","",IF(O320&gt;240,"Y","N"))</f>
        <v>N</v>
      </c>
    </row>
    <row r="321" customFormat="false" ht="15" hidden="false" customHeight="false" outlineLevel="0" collapsed="false">
      <c r="A321" s="0" t="s">
        <v>4957</v>
      </c>
      <c r="B321" s="0" t="s">
        <v>4958</v>
      </c>
      <c r="C321" s="0" t="s">
        <v>894</v>
      </c>
      <c r="D321" s="31" t="n">
        <v>30437</v>
      </c>
      <c r="E321" s="31" t="n">
        <v>45701</v>
      </c>
      <c r="F321" s="32" t="s">
        <v>4817</v>
      </c>
      <c r="G321" s="0" t="n">
        <v>4</v>
      </c>
      <c r="H321" s="32" t="s">
        <v>4118</v>
      </c>
      <c r="I321" s="32" t="s">
        <v>829</v>
      </c>
      <c r="J321" s="32" t="s">
        <v>3749</v>
      </c>
      <c r="K321" s="32" t="s">
        <v>2081</v>
      </c>
      <c r="L321" s="0" t="n">
        <v>103</v>
      </c>
      <c r="M321" s="32" t="s">
        <v>4781</v>
      </c>
      <c r="N321" s="32" t="s">
        <v>3751</v>
      </c>
      <c r="O321" s="32" t="n">
        <f aca="false">IF(I321="","",ROUND(MOD(TIMEVALUE(I321)-TIMEVALUE(F321),1)*1440,0))</f>
        <v>103</v>
      </c>
      <c r="P321" s="0" t="str">
        <f aca="false">IF(COUNTIF($A$2:A321,A321)&gt;1,"DUP","")</f>
        <v/>
      </c>
      <c r="Q321" s="0" t="str">
        <f aca="false">IF(O321="","",IF(O321&gt;240,"Y","N"))</f>
        <v>N</v>
      </c>
    </row>
    <row r="322" customFormat="false" ht="15" hidden="false" customHeight="false" outlineLevel="0" collapsed="false">
      <c r="A322" s="0" t="s">
        <v>4959</v>
      </c>
      <c r="B322" s="0" t="s">
        <v>4960</v>
      </c>
      <c r="C322" s="0" t="s">
        <v>934</v>
      </c>
      <c r="D322" s="31" t="n">
        <v>24115</v>
      </c>
      <c r="E322" s="31" t="n">
        <v>45698</v>
      </c>
      <c r="F322" s="32" t="s">
        <v>4890</v>
      </c>
      <c r="G322" s="0" t="n">
        <v>2</v>
      </c>
      <c r="H322" s="32" t="s">
        <v>4656</v>
      </c>
      <c r="I322" s="32" t="s">
        <v>4961</v>
      </c>
      <c r="J322" s="32" t="s">
        <v>3793</v>
      </c>
      <c r="K322" s="32" t="s">
        <v>2081</v>
      </c>
      <c r="L322" s="0" t="n">
        <v>119</v>
      </c>
      <c r="M322" s="32" t="s">
        <v>3827</v>
      </c>
      <c r="N322" s="32" t="s">
        <v>766</v>
      </c>
      <c r="O322" s="32" t="n">
        <f aca="false">IF(I322="","",ROUND(MOD(TIMEVALUE(I322)-TIMEVALUE(F322),1)*1440,0))</f>
        <v>119</v>
      </c>
      <c r="P322" s="0" t="str">
        <f aca="false">IF(COUNTIF($A$2:A322,A322)&gt;1,"DUP","")</f>
        <v/>
      </c>
      <c r="Q322" s="0" t="str">
        <f aca="false">IF(O322="","",IF(O322&gt;240,"Y","N"))</f>
        <v>N</v>
      </c>
    </row>
    <row r="323" customFormat="false" ht="15" hidden="false" customHeight="false" outlineLevel="0" collapsed="false">
      <c r="A323" s="0" t="s">
        <v>4962</v>
      </c>
      <c r="B323" s="0" t="s">
        <v>3851</v>
      </c>
      <c r="C323" s="0" t="s">
        <v>1398</v>
      </c>
      <c r="D323" s="31" t="n">
        <v>32971</v>
      </c>
      <c r="E323" s="31" t="n">
        <v>45576</v>
      </c>
      <c r="F323" s="32" t="s">
        <v>4963</v>
      </c>
      <c r="G323" s="0" t="n">
        <v>5</v>
      </c>
      <c r="H323" s="32" t="s">
        <v>4964</v>
      </c>
      <c r="I323" s="32" t="s">
        <v>4965</v>
      </c>
      <c r="J323" s="32" t="s">
        <v>2307</v>
      </c>
      <c r="K323" s="32" t="s">
        <v>2081</v>
      </c>
      <c r="L323" s="0" t="n">
        <v>210</v>
      </c>
      <c r="M323" s="32" t="s">
        <v>3877</v>
      </c>
      <c r="N323" s="32" t="s">
        <v>3751</v>
      </c>
      <c r="O323" s="32" t="n">
        <f aca="false">IF(I323="","",ROUND(MOD(TIMEVALUE(I323)-TIMEVALUE(F323),1)*1440,0))</f>
        <v>210</v>
      </c>
      <c r="P323" s="0" t="str">
        <f aca="false">IF(COUNTIF($A$2:A323,A323)&gt;1,"DUP","")</f>
        <v/>
      </c>
      <c r="Q323" s="0" t="str">
        <f aca="false">IF(O323="","",IF(O323&gt;240,"Y","N"))</f>
        <v>N</v>
      </c>
    </row>
    <row r="324" customFormat="false" ht="15" hidden="false" customHeight="false" outlineLevel="0" collapsed="false">
      <c r="A324" s="0" t="s">
        <v>4966</v>
      </c>
      <c r="B324" s="0" t="s">
        <v>4826</v>
      </c>
      <c r="C324" s="0" t="s">
        <v>817</v>
      </c>
      <c r="D324" s="31" t="n">
        <v>35974</v>
      </c>
      <c r="E324" s="31" t="n">
        <v>45610</v>
      </c>
      <c r="F324" s="32" t="s">
        <v>4967</v>
      </c>
      <c r="G324" s="0" t="n">
        <v>3</v>
      </c>
      <c r="H324" s="32" t="s">
        <v>4968</v>
      </c>
      <c r="I324" s="32" t="s">
        <v>4184</v>
      </c>
      <c r="J324" s="32" t="s">
        <v>3749</v>
      </c>
      <c r="K324" s="32" t="s">
        <v>2106</v>
      </c>
      <c r="L324" s="0" t="n">
        <v>284</v>
      </c>
      <c r="M324" s="32" t="s">
        <v>3946</v>
      </c>
      <c r="N324" s="32" t="s">
        <v>3751</v>
      </c>
      <c r="O324" s="32" t="n">
        <f aca="false">IF(I324="","",ROUND(MOD(TIMEVALUE(I324)-TIMEVALUE(F324),1)*1440,0))</f>
        <v>284</v>
      </c>
      <c r="P324" s="0" t="str">
        <f aca="false">IF(COUNTIF($A$2:A324,A324)&gt;1,"DUP","")</f>
        <v/>
      </c>
      <c r="Q324" s="0" t="str">
        <f aca="false">IF(O324="","",IF(O324&gt;240,"Y","N"))</f>
        <v>Y</v>
      </c>
    </row>
    <row r="325" customFormat="false" ht="15" hidden="false" customHeight="false" outlineLevel="0" collapsed="false">
      <c r="A325" s="0" t="s">
        <v>4969</v>
      </c>
      <c r="B325" s="0" t="s">
        <v>4694</v>
      </c>
      <c r="C325" s="0" t="s">
        <v>950</v>
      </c>
      <c r="D325" s="31" t="n">
        <v>25652</v>
      </c>
      <c r="E325" s="31" t="n">
        <v>45664</v>
      </c>
      <c r="F325" s="32" t="s">
        <v>4630</v>
      </c>
      <c r="G325" s="0" t="n">
        <v>4</v>
      </c>
      <c r="H325" s="32" t="s">
        <v>4970</v>
      </c>
      <c r="I325" s="32" t="s">
        <v>4971</v>
      </c>
      <c r="J325" s="32" t="s">
        <v>3749</v>
      </c>
      <c r="K325" s="32" t="s">
        <v>2106</v>
      </c>
      <c r="L325" s="0" t="n">
        <v>549</v>
      </c>
      <c r="M325" s="32" t="s">
        <v>3925</v>
      </c>
      <c r="N325" s="32" t="s">
        <v>3751</v>
      </c>
      <c r="O325" s="32" t="n">
        <f aca="false">IF(I325="","",ROUND(MOD(TIMEVALUE(I325)-TIMEVALUE(F325),1)*1440,0))</f>
        <v>549</v>
      </c>
      <c r="P325" s="0" t="str">
        <f aca="false">IF(COUNTIF($A$2:A325,A325)&gt;1,"DUP","")</f>
        <v/>
      </c>
      <c r="Q325" s="0" t="str">
        <f aca="false">IF(O325="","",IF(O325&gt;240,"Y","N"))</f>
        <v>Y</v>
      </c>
    </row>
    <row r="326" customFormat="false" ht="15" hidden="false" customHeight="false" outlineLevel="0" collapsed="false">
      <c r="A326" s="0" t="s">
        <v>4972</v>
      </c>
      <c r="B326" s="0" t="s">
        <v>4973</v>
      </c>
      <c r="C326" s="0" t="s">
        <v>1001</v>
      </c>
      <c r="D326" s="31" t="n">
        <v>37173</v>
      </c>
      <c r="E326" s="31" t="n">
        <v>45714</v>
      </c>
      <c r="F326" s="32" t="s">
        <v>4974</v>
      </c>
      <c r="G326" s="0" t="n">
        <v>3</v>
      </c>
      <c r="H326" s="32" t="s">
        <v>4160</v>
      </c>
      <c r="I326" s="32" t="s">
        <v>4246</v>
      </c>
      <c r="J326" s="32" t="s">
        <v>3749</v>
      </c>
      <c r="K326" s="32" t="s">
        <v>2081</v>
      </c>
      <c r="L326" s="0" t="n">
        <v>167</v>
      </c>
      <c r="M326" s="32" t="s">
        <v>3866</v>
      </c>
      <c r="N326" s="32" t="s">
        <v>3751</v>
      </c>
      <c r="O326" s="32" t="n">
        <f aca="false">IF(I326="","",ROUND(MOD(TIMEVALUE(I326)-TIMEVALUE(F326),1)*1440,0))</f>
        <v>167</v>
      </c>
      <c r="P326" s="0" t="str">
        <f aca="false">IF(COUNTIF($A$2:A326,A326)&gt;1,"DUP","")</f>
        <v/>
      </c>
      <c r="Q326" s="0" t="str">
        <f aca="false">IF(O326="","",IF(O326&gt;240,"Y","N"))</f>
        <v>N</v>
      </c>
    </row>
    <row r="327" customFormat="false" ht="15" hidden="false" customHeight="false" outlineLevel="0" collapsed="false">
      <c r="A327" s="0" t="s">
        <v>4975</v>
      </c>
      <c r="B327" s="0" t="s">
        <v>4649</v>
      </c>
      <c r="C327" s="0" t="s">
        <v>1393</v>
      </c>
      <c r="D327" s="31" t="n">
        <v>29984</v>
      </c>
      <c r="E327" s="31" t="n">
        <v>45694</v>
      </c>
      <c r="F327" s="32" t="s">
        <v>4585</v>
      </c>
      <c r="G327" s="0" t="n">
        <v>4</v>
      </c>
      <c r="H327" s="32" t="s">
        <v>4976</v>
      </c>
      <c r="I327" s="32" t="s">
        <v>4294</v>
      </c>
      <c r="J327" s="32" t="s">
        <v>3749</v>
      </c>
      <c r="K327" s="32" t="s">
        <v>2081</v>
      </c>
      <c r="L327" s="0" t="n">
        <v>206</v>
      </c>
      <c r="M327" s="32" t="s">
        <v>3750</v>
      </c>
      <c r="N327" s="32" t="s">
        <v>3751</v>
      </c>
      <c r="O327" s="32" t="n">
        <f aca="false">IF(I327="","",ROUND(MOD(TIMEVALUE(I327)-TIMEVALUE(F327),1)*1440,0))</f>
        <v>206</v>
      </c>
      <c r="P327" s="0" t="str">
        <f aca="false">IF(COUNTIF($A$2:A327,A327)&gt;1,"DUP","")</f>
        <v/>
      </c>
      <c r="Q327" s="0" t="str">
        <f aca="false">IF(O327="","",IF(O327&gt;240,"Y","N"))</f>
        <v>N</v>
      </c>
    </row>
    <row r="328" customFormat="false" ht="15" hidden="false" customHeight="false" outlineLevel="0" collapsed="false">
      <c r="A328" s="0" t="s">
        <v>4977</v>
      </c>
      <c r="B328" s="0" t="s">
        <v>4978</v>
      </c>
      <c r="C328" s="0" t="s">
        <v>1398</v>
      </c>
      <c r="D328" s="31" t="n">
        <v>14837</v>
      </c>
      <c r="E328" s="31" t="n">
        <v>45682</v>
      </c>
      <c r="F328" s="32" t="s">
        <v>3847</v>
      </c>
      <c r="G328" s="0" t="n">
        <v>4</v>
      </c>
      <c r="H328" s="32" t="s">
        <v>4221</v>
      </c>
      <c r="I328" s="32" t="s">
        <v>4739</v>
      </c>
      <c r="J328" s="32" t="s">
        <v>3793</v>
      </c>
      <c r="K328" s="32" t="s">
        <v>2106</v>
      </c>
      <c r="L328" s="0" t="n">
        <v>339</v>
      </c>
      <c r="M328" s="32" t="s">
        <v>3750</v>
      </c>
      <c r="N328" s="32" t="s">
        <v>747</v>
      </c>
      <c r="O328" s="32" t="n">
        <f aca="false">IF(I328="","",ROUND(MOD(TIMEVALUE(I328)-TIMEVALUE(F328),1)*1440,0))</f>
        <v>339</v>
      </c>
      <c r="P328" s="0" t="str">
        <f aca="false">IF(COUNTIF($A$2:A328,A328)&gt;1,"DUP","")</f>
        <v/>
      </c>
      <c r="Q328" s="0" t="str">
        <f aca="false">IF(O328="","",IF(O328&gt;240,"Y","N"))</f>
        <v>Y</v>
      </c>
    </row>
    <row r="329" customFormat="false" ht="15" hidden="false" customHeight="false" outlineLevel="0" collapsed="false">
      <c r="A329" s="0" t="s">
        <v>4979</v>
      </c>
      <c r="B329" s="0" t="s">
        <v>4980</v>
      </c>
      <c r="C329" s="0" t="s">
        <v>765</v>
      </c>
      <c r="D329" s="31" t="n">
        <v>23303</v>
      </c>
      <c r="E329" s="31" t="n">
        <v>45708</v>
      </c>
      <c r="F329" s="32" t="s">
        <v>4155</v>
      </c>
      <c r="G329" s="0" t="n">
        <v>3</v>
      </c>
      <c r="H329" s="32" t="s">
        <v>4981</v>
      </c>
      <c r="I329" s="32" t="s">
        <v>4932</v>
      </c>
      <c r="J329" s="32" t="s">
        <v>3793</v>
      </c>
      <c r="K329" s="32" t="s">
        <v>2106</v>
      </c>
      <c r="L329" s="0" t="n">
        <v>375</v>
      </c>
      <c r="M329" s="32" t="s">
        <v>3776</v>
      </c>
      <c r="N329" s="32" t="s">
        <v>776</v>
      </c>
      <c r="O329" s="32" t="n">
        <f aca="false">IF(I329="","",ROUND(MOD(TIMEVALUE(I329)-TIMEVALUE(F329),1)*1440,0))</f>
        <v>375</v>
      </c>
      <c r="P329" s="0" t="str">
        <f aca="false">IF(COUNTIF($A$2:A329,A329)&gt;1,"DUP","")</f>
        <v/>
      </c>
      <c r="Q329" s="0" t="str">
        <f aca="false">IF(O329="","",IF(O329&gt;240,"Y","N"))</f>
        <v>Y</v>
      </c>
    </row>
    <row r="330" customFormat="false" ht="15" hidden="false" customHeight="false" outlineLevel="0" collapsed="false">
      <c r="A330" s="0" t="s">
        <v>4982</v>
      </c>
      <c r="B330" s="0" t="s">
        <v>4224</v>
      </c>
      <c r="C330" s="0" t="s">
        <v>1017</v>
      </c>
      <c r="D330" s="31" t="n">
        <v>28363</v>
      </c>
      <c r="E330" s="31" t="n">
        <v>45594</v>
      </c>
      <c r="F330" s="32" t="s">
        <v>4983</v>
      </c>
      <c r="G330" s="0" t="n">
        <v>5</v>
      </c>
      <c r="H330" s="32" t="s">
        <v>4984</v>
      </c>
      <c r="I330" s="32" t="s">
        <v>4985</v>
      </c>
      <c r="J330" s="32" t="s">
        <v>3763</v>
      </c>
      <c r="K330" s="32" t="s">
        <v>2081</v>
      </c>
      <c r="L330" s="0" t="n">
        <v>90</v>
      </c>
      <c r="M330" s="32" t="s">
        <v>4047</v>
      </c>
      <c r="N330" s="32" t="s">
        <v>3751</v>
      </c>
      <c r="O330" s="32" t="n">
        <f aca="false">IF(I330="","",ROUND(MOD(TIMEVALUE(I330)-TIMEVALUE(F330),1)*1440,0))</f>
        <v>90</v>
      </c>
      <c r="P330" s="0" t="str">
        <f aca="false">IF(COUNTIF($A$2:A330,A330)&gt;1,"DUP","")</f>
        <v/>
      </c>
      <c r="Q330" s="0" t="str">
        <f aca="false">IF(O330="","",IF(O330&gt;240,"Y","N"))</f>
        <v>N</v>
      </c>
    </row>
    <row r="331" customFormat="false" ht="15" hidden="false" customHeight="false" outlineLevel="0" collapsed="false">
      <c r="A331" s="0" t="s">
        <v>4986</v>
      </c>
      <c r="B331" s="0" t="s">
        <v>4027</v>
      </c>
      <c r="C331" s="0" t="s">
        <v>1029</v>
      </c>
      <c r="D331" s="31" t="n">
        <v>26984</v>
      </c>
      <c r="E331" s="31" t="n">
        <v>45604</v>
      </c>
      <c r="F331" s="32" t="s">
        <v>4380</v>
      </c>
      <c r="G331" s="0" t="n">
        <v>5</v>
      </c>
      <c r="H331" s="32" t="s">
        <v>4987</v>
      </c>
      <c r="J331" s="32" t="s">
        <v>3749</v>
      </c>
      <c r="M331" s="32" t="s">
        <v>3871</v>
      </c>
      <c r="N331" s="32" t="s">
        <v>3751</v>
      </c>
      <c r="O331" s="0" t="str">
        <f aca="false">IF(I331="","",ROUND(MOD(TIMEVALUE(I331)-TIMEVALUE(F331),1)*1440,0))</f>
        <v/>
      </c>
      <c r="P331" s="0" t="str">
        <f aca="false">IF(COUNTIF($A$2:A331,A331)&gt;1,"DUP","")</f>
        <v/>
      </c>
      <c r="Q331" s="0" t="str">
        <f aca="false">IF(O331="","",IF(O331&gt;240,"Y","N"))</f>
        <v/>
      </c>
    </row>
    <row r="332" customFormat="false" ht="15" hidden="false" customHeight="false" outlineLevel="0" collapsed="false">
      <c r="A332" s="0" t="s">
        <v>4988</v>
      </c>
      <c r="B332" s="0" t="s">
        <v>4336</v>
      </c>
      <c r="C332" s="0" t="s">
        <v>997</v>
      </c>
      <c r="D332" s="31" t="n">
        <v>30750</v>
      </c>
      <c r="E332" s="31" t="n">
        <v>45682</v>
      </c>
      <c r="F332" s="32" t="s">
        <v>4989</v>
      </c>
      <c r="G332" s="0" t="n">
        <v>3</v>
      </c>
      <c r="H332" s="32" t="s">
        <v>4774</v>
      </c>
      <c r="I332" s="32" t="s">
        <v>4990</v>
      </c>
      <c r="J332" s="32" t="s">
        <v>3749</v>
      </c>
      <c r="K332" s="32" t="s">
        <v>2081</v>
      </c>
      <c r="L332" s="0" t="n">
        <v>190</v>
      </c>
      <c r="M332" s="32" t="s">
        <v>3794</v>
      </c>
      <c r="N332" s="32" t="s">
        <v>3751</v>
      </c>
      <c r="O332" s="32" t="n">
        <f aca="false">IF(I332="","",ROUND(MOD(TIMEVALUE(I332)-TIMEVALUE(F332),1)*1440,0))</f>
        <v>190</v>
      </c>
      <c r="P332" s="0" t="str">
        <f aca="false">IF(COUNTIF($A$2:A332,A332)&gt;1,"DUP","")</f>
        <v/>
      </c>
      <c r="Q332" s="0" t="str">
        <f aca="false">IF(O332="","",IF(O332&gt;240,"Y","N"))</f>
        <v>N</v>
      </c>
    </row>
    <row r="333" customFormat="false" ht="15" hidden="false" customHeight="false" outlineLevel="0" collapsed="false">
      <c r="A333" s="0" t="s">
        <v>4991</v>
      </c>
      <c r="B333" s="0" t="s">
        <v>4992</v>
      </c>
      <c r="C333" s="0" t="s">
        <v>1398</v>
      </c>
      <c r="D333" s="31" t="n">
        <v>29354</v>
      </c>
      <c r="E333" s="31" t="n">
        <v>45624</v>
      </c>
      <c r="F333" s="32" t="s">
        <v>3970</v>
      </c>
      <c r="G333" s="0" t="n">
        <v>4</v>
      </c>
      <c r="H333" s="32" t="s">
        <v>4993</v>
      </c>
      <c r="I333" s="32" t="s">
        <v>4994</v>
      </c>
      <c r="J333" s="32" t="s">
        <v>3749</v>
      </c>
      <c r="K333" s="32" t="s">
        <v>2081</v>
      </c>
      <c r="L333" s="0" t="n">
        <v>53</v>
      </c>
      <c r="M333" s="32" t="s">
        <v>4106</v>
      </c>
      <c r="N333" s="32" t="s">
        <v>3751</v>
      </c>
      <c r="O333" s="32" t="n">
        <f aca="false">IF(I333="","",ROUND(MOD(TIMEVALUE(I333)-TIMEVALUE(F333),1)*1440,0))</f>
        <v>53</v>
      </c>
      <c r="P333" s="0" t="str">
        <f aca="false">IF(COUNTIF($A$2:A333,A333)&gt;1,"DUP","")</f>
        <v/>
      </c>
      <c r="Q333" s="0" t="str">
        <f aca="false">IF(O333="","",IF(O333&gt;240,"Y","N"))</f>
        <v>N</v>
      </c>
    </row>
    <row r="334" customFormat="false" ht="15" hidden="false" customHeight="false" outlineLevel="0" collapsed="false">
      <c r="A334" s="0" t="s">
        <v>4995</v>
      </c>
      <c r="C334" s="0" t="s">
        <v>934</v>
      </c>
      <c r="D334" s="31" t="n">
        <v>32114</v>
      </c>
      <c r="E334" s="31" t="n">
        <v>45615</v>
      </c>
      <c r="F334" s="32" t="s">
        <v>4996</v>
      </c>
      <c r="G334" s="0" t="n">
        <v>4</v>
      </c>
      <c r="H334" s="32" t="s">
        <v>4716</v>
      </c>
      <c r="I334" s="32" t="s">
        <v>4388</v>
      </c>
      <c r="J334" s="32" t="s">
        <v>3749</v>
      </c>
      <c r="K334" s="32" t="s">
        <v>2081</v>
      </c>
      <c r="L334" s="0" t="n">
        <v>153</v>
      </c>
      <c r="M334" s="32" t="s">
        <v>4073</v>
      </c>
      <c r="N334" s="32" t="s">
        <v>3751</v>
      </c>
      <c r="O334" s="32" t="n">
        <f aca="false">IF(I334="","",ROUND(MOD(TIMEVALUE(I334)-TIMEVALUE(F334),1)*1440,0))</f>
        <v>153</v>
      </c>
      <c r="P334" s="0" t="str">
        <f aca="false">IF(COUNTIF($A$2:A334,A334)&gt;1,"DUP","")</f>
        <v/>
      </c>
      <c r="Q334" s="0" t="str">
        <f aca="false">IF(O334="","",IF(O334&gt;240,"Y","N"))</f>
        <v>N</v>
      </c>
    </row>
    <row r="335" customFormat="false" ht="15" hidden="false" customHeight="false" outlineLevel="0" collapsed="false">
      <c r="A335" s="0" t="s">
        <v>4997</v>
      </c>
      <c r="B335" s="0" t="s">
        <v>4854</v>
      </c>
      <c r="C335" s="0" t="s">
        <v>950</v>
      </c>
      <c r="D335" s="31" t="n">
        <v>12841</v>
      </c>
      <c r="E335" s="31" t="n">
        <v>45689</v>
      </c>
      <c r="F335" s="32" t="s">
        <v>4998</v>
      </c>
      <c r="G335" s="0" t="n">
        <v>3</v>
      </c>
      <c r="H335" s="32" t="s">
        <v>4566</v>
      </c>
      <c r="I335" s="32" t="s">
        <v>4999</v>
      </c>
      <c r="J335" s="32" t="s">
        <v>3749</v>
      </c>
      <c r="K335" s="32" t="s">
        <v>2081</v>
      </c>
      <c r="L335" s="0" t="n">
        <v>230</v>
      </c>
      <c r="M335" s="32" t="s">
        <v>3946</v>
      </c>
      <c r="N335" s="32" t="s">
        <v>3751</v>
      </c>
      <c r="O335" s="32" t="n">
        <f aca="false">IF(I335="","",ROUND(MOD(TIMEVALUE(I335)-TIMEVALUE(F335),1)*1440,0))</f>
        <v>230</v>
      </c>
      <c r="P335" s="0" t="str">
        <f aca="false">IF(COUNTIF($A$2:A335,A335)&gt;1,"DUP","")</f>
        <v/>
      </c>
      <c r="Q335" s="0" t="str">
        <f aca="false">IF(O335="","",IF(O335&gt;240,"Y","N"))</f>
        <v>N</v>
      </c>
    </row>
    <row r="336" customFormat="false" ht="15" hidden="false" customHeight="false" outlineLevel="0" collapsed="false">
      <c r="A336" s="0" t="s">
        <v>5000</v>
      </c>
      <c r="B336" s="0" t="s">
        <v>3981</v>
      </c>
      <c r="C336" s="0" t="s">
        <v>841</v>
      </c>
      <c r="D336" s="31" t="n">
        <v>29912</v>
      </c>
      <c r="E336" s="31" t="n">
        <v>45609</v>
      </c>
      <c r="F336" s="32" t="s">
        <v>3746</v>
      </c>
      <c r="G336" s="0" t="n">
        <v>3</v>
      </c>
      <c r="H336" s="32" t="s">
        <v>4375</v>
      </c>
      <c r="I336" s="32" t="s">
        <v>5001</v>
      </c>
      <c r="J336" s="32" t="s">
        <v>3749</v>
      </c>
      <c r="K336" s="32" t="s">
        <v>2081</v>
      </c>
      <c r="L336" s="0" t="n">
        <v>126</v>
      </c>
      <c r="M336" s="32" t="s">
        <v>3770</v>
      </c>
      <c r="N336" s="32" t="s">
        <v>3751</v>
      </c>
      <c r="O336" s="32" t="n">
        <f aca="false">IF(I336="","",ROUND(MOD(TIMEVALUE(I336)-TIMEVALUE(F336),1)*1440,0))</f>
        <v>126</v>
      </c>
      <c r="P336" s="0" t="str">
        <f aca="false">IF(COUNTIF($A$2:A336,A336)&gt;1,"DUP","")</f>
        <v/>
      </c>
      <c r="Q336" s="0" t="str">
        <f aca="false">IF(O336="","",IF(O336&gt;240,"Y","N"))</f>
        <v>N</v>
      </c>
    </row>
    <row r="337" customFormat="false" ht="15" hidden="false" customHeight="false" outlineLevel="0" collapsed="false">
      <c r="A337" s="0" t="s">
        <v>5002</v>
      </c>
      <c r="B337" s="0" t="s">
        <v>4897</v>
      </c>
      <c r="C337" s="0" t="s">
        <v>2178</v>
      </c>
      <c r="D337" s="31" t="n">
        <v>15464</v>
      </c>
      <c r="E337" s="31" t="n">
        <v>45637</v>
      </c>
      <c r="F337" s="32" t="s">
        <v>5003</v>
      </c>
      <c r="G337" s="0" t="n">
        <v>4</v>
      </c>
      <c r="H337" s="32" t="s">
        <v>5004</v>
      </c>
      <c r="I337" s="32" t="s">
        <v>3965</v>
      </c>
      <c r="J337" s="32" t="s">
        <v>3749</v>
      </c>
      <c r="K337" s="32" t="s">
        <v>2081</v>
      </c>
      <c r="L337" s="0" t="n">
        <v>163</v>
      </c>
      <c r="M337" s="32" t="s">
        <v>4031</v>
      </c>
      <c r="N337" s="32" t="s">
        <v>3751</v>
      </c>
      <c r="O337" s="32" t="n">
        <f aca="false">IF(I337="","",ROUND(MOD(TIMEVALUE(I337)-TIMEVALUE(F337),1)*1440,0))</f>
        <v>163</v>
      </c>
      <c r="P337" s="0" t="str">
        <f aca="false">IF(COUNTIF($A$2:A337,A337)&gt;1,"DUP","")</f>
        <v/>
      </c>
      <c r="Q337" s="0" t="str">
        <f aca="false">IF(O337="","",IF(O337&gt;240,"Y","N"))</f>
        <v>N</v>
      </c>
    </row>
    <row r="338" customFormat="false" ht="15" hidden="false" customHeight="false" outlineLevel="0" collapsed="false">
      <c r="A338" s="0" t="s">
        <v>5005</v>
      </c>
      <c r="B338" s="0" t="s">
        <v>3801</v>
      </c>
      <c r="C338" s="0" t="s">
        <v>862</v>
      </c>
      <c r="D338" s="31" t="n">
        <v>23822</v>
      </c>
      <c r="E338" s="31" t="n">
        <v>45663</v>
      </c>
      <c r="F338" s="32" t="s">
        <v>5006</v>
      </c>
      <c r="G338" s="0" t="n">
        <v>3</v>
      </c>
      <c r="H338" s="32" t="s">
        <v>4753</v>
      </c>
      <c r="I338" s="32" t="s">
        <v>4841</v>
      </c>
      <c r="J338" s="32" t="s">
        <v>3749</v>
      </c>
      <c r="K338" s="32" t="s">
        <v>2081</v>
      </c>
      <c r="L338" s="0" t="n">
        <v>130</v>
      </c>
      <c r="M338" s="32" t="s">
        <v>3952</v>
      </c>
      <c r="N338" s="32" t="s">
        <v>3751</v>
      </c>
      <c r="O338" s="32" t="n">
        <f aca="false">IF(I338="","",ROUND(MOD(TIMEVALUE(I338)-TIMEVALUE(F338),1)*1440,0))</f>
        <v>130</v>
      </c>
      <c r="P338" s="0" t="str">
        <f aca="false">IF(COUNTIF($A$2:A338,A338)&gt;1,"DUP","")</f>
        <v/>
      </c>
      <c r="Q338" s="0" t="str">
        <f aca="false">IF(O338="","",IF(O338&gt;240,"Y","N"))</f>
        <v>N</v>
      </c>
    </row>
    <row r="339" customFormat="false" ht="15" hidden="false" customHeight="false" outlineLevel="0" collapsed="false">
      <c r="A339" s="0" t="s">
        <v>5007</v>
      </c>
      <c r="B339" s="0" t="s">
        <v>5008</v>
      </c>
      <c r="C339" s="0" t="s">
        <v>841</v>
      </c>
      <c r="D339" s="31" t="n">
        <v>32912</v>
      </c>
      <c r="E339" s="31" t="n">
        <v>45614</v>
      </c>
      <c r="F339" s="32" t="s">
        <v>5009</v>
      </c>
      <c r="G339" s="0" t="n">
        <v>3</v>
      </c>
      <c r="H339" s="32" t="s">
        <v>4682</v>
      </c>
      <c r="I339" s="32" t="s">
        <v>3836</v>
      </c>
      <c r="J339" s="32" t="s">
        <v>3749</v>
      </c>
      <c r="K339" s="32" t="s">
        <v>2081</v>
      </c>
      <c r="L339" s="0" t="n">
        <v>238</v>
      </c>
      <c r="M339" s="32" t="s">
        <v>3925</v>
      </c>
      <c r="N339" s="32" t="s">
        <v>3751</v>
      </c>
      <c r="O339" s="32" t="n">
        <f aca="false">IF(I339="","",ROUND(MOD(TIMEVALUE(I339)-TIMEVALUE(F339),1)*1440,0))</f>
        <v>238</v>
      </c>
      <c r="P339" s="0" t="str">
        <f aca="false">IF(COUNTIF($A$2:A339,A339)&gt;1,"DUP","")</f>
        <v/>
      </c>
      <c r="Q339" s="0" t="str">
        <f aca="false">IF(O339="","",IF(O339&gt;240,"Y","N"))</f>
        <v>N</v>
      </c>
    </row>
    <row r="340" customFormat="false" ht="15" hidden="false" customHeight="false" outlineLevel="0" collapsed="false">
      <c r="A340" s="0" t="s">
        <v>5010</v>
      </c>
      <c r="B340" s="0" t="s">
        <v>5011</v>
      </c>
      <c r="C340" s="0" t="s">
        <v>981</v>
      </c>
      <c r="D340" s="31" t="n">
        <v>39015</v>
      </c>
      <c r="E340" s="31" t="n">
        <v>45597</v>
      </c>
      <c r="F340" s="32" t="s">
        <v>4320</v>
      </c>
      <c r="G340" s="0" t="n">
        <v>3</v>
      </c>
      <c r="H340" s="32" t="s">
        <v>4851</v>
      </c>
      <c r="I340" s="32" t="s">
        <v>4080</v>
      </c>
      <c r="J340" s="32" t="s">
        <v>3749</v>
      </c>
      <c r="K340" s="32" t="s">
        <v>2081</v>
      </c>
      <c r="L340" s="0" t="n">
        <v>50</v>
      </c>
      <c r="M340" s="32" t="s">
        <v>4031</v>
      </c>
      <c r="N340" s="32" t="s">
        <v>3751</v>
      </c>
      <c r="O340" s="32" t="n">
        <f aca="false">IF(I340="","",ROUND(MOD(TIMEVALUE(I340)-TIMEVALUE(F340),1)*1440,0))</f>
        <v>50</v>
      </c>
      <c r="P340" s="0" t="str">
        <f aca="false">IF(COUNTIF($A$2:A340,A340)&gt;1,"DUP","")</f>
        <v/>
      </c>
      <c r="Q340" s="0" t="str">
        <f aca="false">IF(O340="","",IF(O340&gt;240,"Y","N"))</f>
        <v>N</v>
      </c>
    </row>
    <row r="341" customFormat="false" ht="15" hidden="false" customHeight="false" outlineLevel="0" collapsed="false">
      <c r="A341" s="0" t="s">
        <v>5012</v>
      </c>
      <c r="C341" s="0" t="s">
        <v>817</v>
      </c>
      <c r="D341" s="31" t="n">
        <v>16415</v>
      </c>
      <c r="E341" s="31" t="n">
        <v>45633</v>
      </c>
      <c r="F341" s="32" t="s">
        <v>5013</v>
      </c>
      <c r="G341" s="0" t="n">
        <v>5</v>
      </c>
      <c r="H341" s="32" t="s">
        <v>3854</v>
      </c>
      <c r="I341" s="32" t="s">
        <v>4454</v>
      </c>
      <c r="J341" s="32" t="s">
        <v>3793</v>
      </c>
      <c r="K341" s="32" t="s">
        <v>2081</v>
      </c>
      <c r="L341" s="0" t="n">
        <v>92</v>
      </c>
      <c r="M341" s="32" t="s">
        <v>3750</v>
      </c>
      <c r="N341" s="32" t="s">
        <v>758</v>
      </c>
      <c r="O341" s="32" t="n">
        <f aca="false">IF(I341="","",ROUND(MOD(TIMEVALUE(I341)-TIMEVALUE(F341),1)*1440,0))</f>
        <v>92</v>
      </c>
      <c r="P341" s="0" t="str">
        <f aca="false">IF(COUNTIF($A$2:A341,A341)&gt;1,"DUP","")</f>
        <v/>
      </c>
      <c r="Q341" s="0" t="str">
        <f aca="false">IF(O341="","",IF(O341&gt;240,"Y","N"))</f>
        <v>N</v>
      </c>
    </row>
    <row r="342" customFormat="false" ht="15" hidden="false" customHeight="false" outlineLevel="0" collapsed="false">
      <c r="A342" s="0" t="s">
        <v>5014</v>
      </c>
      <c r="B342" s="0" t="s">
        <v>5015</v>
      </c>
      <c r="C342" s="0" t="s">
        <v>985</v>
      </c>
      <c r="D342" s="31" t="n">
        <v>23408</v>
      </c>
      <c r="E342" s="31" t="n">
        <v>45582</v>
      </c>
      <c r="F342" s="32" t="s">
        <v>4307</v>
      </c>
      <c r="G342" s="0" t="n">
        <v>3</v>
      </c>
      <c r="H342" s="32" t="s">
        <v>4384</v>
      </c>
      <c r="I342" s="32" t="s">
        <v>5016</v>
      </c>
      <c r="J342" s="32" t="s">
        <v>2307</v>
      </c>
      <c r="K342" s="32" t="s">
        <v>2081</v>
      </c>
      <c r="L342" s="0" t="n">
        <v>85</v>
      </c>
      <c r="M342" s="32" t="s">
        <v>3770</v>
      </c>
      <c r="N342" s="32" t="s">
        <v>3751</v>
      </c>
      <c r="O342" s="32" t="n">
        <f aca="false">IF(I342="","",ROUND(MOD(TIMEVALUE(I342)-TIMEVALUE(F342),1)*1440,0))</f>
        <v>85</v>
      </c>
      <c r="P342" s="0" t="str">
        <f aca="false">IF(COUNTIF($A$2:A342,A342)&gt;1,"DUP","")</f>
        <v/>
      </c>
      <c r="Q342" s="0" t="str">
        <f aca="false">IF(O342="","",IF(O342&gt;240,"Y","N"))</f>
        <v>N</v>
      </c>
    </row>
    <row r="343" customFormat="false" ht="15" hidden="false" customHeight="false" outlineLevel="0" collapsed="false">
      <c r="A343" s="0" t="s">
        <v>5017</v>
      </c>
      <c r="B343" s="0" t="s">
        <v>4400</v>
      </c>
      <c r="C343" s="0" t="s">
        <v>841</v>
      </c>
      <c r="D343" s="31" t="n">
        <v>21174</v>
      </c>
      <c r="E343" s="31" t="n">
        <v>45711</v>
      </c>
      <c r="F343" s="32" t="s">
        <v>4379</v>
      </c>
      <c r="G343" s="0" t="n">
        <v>5</v>
      </c>
      <c r="H343" s="32" t="s">
        <v>5018</v>
      </c>
      <c r="I343" s="32" t="s">
        <v>5019</v>
      </c>
      <c r="J343" s="32" t="s">
        <v>3793</v>
      </c>
      <c r="K343" s="32" t="s">
        <v>2106</v>
      </c>
      <c r="L343" s="0" t="n">
        <v>263</v>
      </c>
      <c r="M343" s="32" t="s">
        <v>3849</v>
      </c>
      <c r="N343" s="32" t="s">
        <v>802</v>
      </c>
      <c r="O343" s="32" t="n">
        <f aca="false">IF(I343="","",ROUND(MOD(TIMEVALUE(I343)-TIMEVALUE(F343),1)*1440,0))</f>
        <v>263</v>
      </c>
      <c r="P343" s="0" t="str">
        <f aca="false">IF(COUNTIF($A$2:A343,A343)&gt;1,"DUP","")</f>
        <v/>
      </c>
      <c r="Q343" s="0" t="str">
        <f aca="false">IF(O343="","",IF(O343&gt;240,"Y","N"))</f>
        <v>Y</v>
      </c>
    </row>
    <row r="344" customFormat="false" ht="15" hidden="false" customHeight="false" outlineLevel="0" collapsed="false">
      <c r="A344" s="0" t="s">
        <v>5020</v>
      </c>
      <c r="C344" s="0" t="s">
        <v>950</v>
      </c>
      <c r="D344" s="31" t="n">
        <v>22099</v>
      </c>
      <c r="E344" s="31" t="n">
        <v>45633</v>
      </c>
      <c r="F344" s="32" t="s">
        <v>4387</v>
      </c>
      <c r="G344" s="0" t="n">
        <v>3</v>
      </c>
      <c r="H344" s="32" t="s">
        <v>4716</v>
      </c>
      <c r="I344" s="32" t="s">
        <v>4414</v>
      </c>
      <c r="J344" s="32" t="s">
        <v>3749</v>
      </c>
      <c r="K344" s="32" t="s">
        <v>2081</v>
      </c>
      <c r="L344" s="0" t="n">
        <v>141</v>
      </c>
      <c r="M344" s="32" t="s">
        <v>4149</v>
      </c>
      <c r="N344" s="32" t="s">
        <v>3751</v>
      </c>
      <c r="O344" s="32" t="n">
        <f aca="false">IF(I344="","",ROUND(MOD(TIMEVALUE(I344)-TIMEVALUE(F344),1)*1440,0))</f>
        <v>141</v>
      </c>
      <c r="P344" s="0" t="str">
        <f aca="false">IF(COUNTIF($A$2:A344,A344)&gt;1,"DUP","")</f>
        <v/>
      </c>
      <c r="Q344" s="0" t="str">
        <f aca="false">IF(O344="","",IF(O344&gt;240,"Y","N"))</f>
        <v>N</v>
      </c>
    </row>
    <row r="345" customFormat="false" ht="15" hidden="false" customHeight="false" outlineLevel="0" collapsed="false">
      <c r="A345" s="0" t="s">
        <v>5021</v>
      </c>
      <c r="B345" s="0" t="s">
        <v>4480</v>
      </c>
      <c r="C345" s="0" t="s">
        <v>4053</v>
      </c>
      <c r="D345" s="31" t="n">
        <v>38052</v>
      </c>
      <c r="E345" s="31" t="n">
        <v>45716</v>
      </c>
      <c r="F345" s="32" t="s">
        <v>4580</v>
      </c>
      <c r="G345" s="0" t="n">
        <v>4</v>
      </c>
      <c r="H345" s="32" t="s">
        <v>5009</v>
      </c>
      <c r="J345" s="32" t="s">
        <v>3749</v>
      </c>
      <c r="M345" s="32" t="s">
        <v>3782</v>
      </c>
      <c r="N345" s="32" t="s">
        <v>3751</v>
      </c>
      <c r="O345" s="0" t="str">
        <f aca="false">IF(I345="","",ROUND(MOD(TIMEVALUE(I345)-TIMEVALUE(F345),1)*1440,0))</f>
        <v/>
      </c>
      <c r="P345" s="0" t="str">
        <f aca="false">IF(COUNTIF($A$2:A345,A345)&gt;1,"DUP","")</f>
        <v/>
      </c>
      <c r="Q345" s="0" t="str">
        <f aca="false">IF(O345="","",IF(O345&gt;240,"Y","N"))</f>
        <v/>
      </c>
    </row>
    <row r="346" customFormat="false" ht="15" hidden="false" customHeight="false" outlineLevel="0" collapsed="false">
      <c r="A346" s="0" t="s">
        <v>5022</v>
      </c>
      <c r="C346" s="0" t="s">
        <v>792</v>
      </c>
      <c r="D346" s="31" t="n">
        <v>27200</v>
      </c>
      <c r="E346" s="31" t="n">
        <v>45655</v>
      </c>
      <c r="F346" s="32" t="s">
        <v>4051</v>
      </c>
      <c r="G346" s="0" t="n">
        <v>5</v>
      </c>
      <c r="H346" s="32" t="s">
        <v>5023</v>
      </c>
      <c r="I346" s="32" t="s">
        <v>4871</v>
      </c>
      <c r="J346" s="32" t="s">
        <v>3749</v>
      </c>
      <c r="K346" s="32" t="s">
        <v>2081</v>
      </c>
      <c r="L346" s="0" t="n">
        <v>136</v>
      </c>
      <c r="M346" s="32" t="s">
        <v>3815</v>
      </c>
      <c r="N346" s="32" t="s">
        <v>3751</v>
      </c>
      <c r="O346" s="32" t="n">
        <f aca="false">IF(I346="","",ROUND(MOD(TIMEVALUE(I346)-TIMEVALUE(F346),1)*1440,0))</f>
        <v>136</v>
      </c>
      <c r="P346" s="0" t="str">
        <f aca="false">IF(COUNTIF($A$2:A346,A346)&gt;1,"DUP","")</f>
        <v/>
      </c>
      <c r="Q346" s="0" t="str">
        <f aca="false">IF(O346="","",IF(O346&gt;240,"Y","N"))</f>
        <v>N</v>
      </c>
    </row>
    <row r="347" customFormat="false" ht="15" hidden="false" customHeight="false" outlineLevel="0" collapsed="false">
      <c r="A347" s="0" t="s">
        <v>5024</v>
      </c>
      <c r="B347" s="0" t="s">
        <v>4377</v>
      </c>
      <c r="C347" s="0" t="s">
        <v>809</v>
      </c>
      <c r="D347" s="31" t="n">
        <v>34717</v>
      </c>
      <c r="E347" s="31" t="n">
        <v>45606</v>
      </c>
      <c r="F347" s="32" t="s">
        <v>4506</v>
      </c>
      <c r="G347" s="0" t="n">
        <v>3</v>
      </c>
      <c r="H347" s="32" t="s">
        <v>4289</v>
      </c>
      <c r="I347" s="32" t="s">
        <v>4918</v>
      </c>
      <c r="J347" s="32" t="s">
        <v>2307</v>
      </c>
      <c r="K347" s="32" t="s">
        <v>2081</v>
      </c>
      <c r="L347" s="0" t="n">
        <v>154</v>
      </c>
      <c r="M347" s="32" t="s">
        <v>3866</v>
      </c>
      <c r="N347" s="32" t="s">
        <v>3751</v>
      </c>
      <c r="O347" s="32" t="n">
        <f aca="false">IF(I347="","",ROUND(MOD(TIMEVALUE(I347)-TIMEVALUE(F347),1)*1440,0))</f>
        <v>154</v>
      </c>
      <c r="P347" s="0" t="str">
        <f aca="false">IF(COUNTIF($A$2:A347,A347)&gt;1,"DUP","")</f>
        <v/>
      </c>
      <c r="Q347" s="0" t="str">
        <f aca="false">IF(O347="","",IF(O347&gt;240,"Y","N"))</f>
        <v>N</v>
      </c>
    </row>
    <row r="348" customFormat="false" ht="15" hidden="false" customHeight="false" outlineLevel="0" collapsed="false">
      <c r="A348" s="0" t="s">
        <v>5025</v>
      </c>
      <c r="B348" s="0" t="s">
        <v>4738</v>
      </c>
      <c r="C348" s="0" t="s">
        <v>989</v>
      </c>
      <c r="D348" s="31" t="n">
        <v>14097</v>
      </c>
      <c r="E348" s="31" t="n">
        <v>45577</v>
      </c>
      <c r="F348" s="32" t="s">
        <v>5026</v>
      </c>
      <c r="G348" s="0" t="n">
        <v>4</v>
      </c>
      <c r="H348" s="32" t="s">
        <v>5027</v>
      </c>
      <c r="I348" s="32" t="s">
        <v>4855</v>
      </c>
      <c r="J348" s="32" t="s">
        <v>3763</v>
      </c>
      <c r="K348" s="32" t="s">
        <v>2081</v>
      </c>
      <c r="L348" s="0" t="n">
        <v>191</v>
      </c>
      <c r="M348" s="32" t="s">
        <v>3871</v>
      </c>
      <c r="N348" s="32" t="s">
        <v>3751</v>
      </c>
      <c r="O348" s="32" t="n">
        <f aca="false">IF(I348="","",ROUND(MOD(TIMEVALUE(I348)-TIMEVALUE(F348),1)*1440,0))</f>
        <v>191</v>
      </c>
      <c r="P348" s="0" t="str">
        <f aca="false">IF(COUNTIF($A$2:A348,A348)&gt;1,"DUP","")</f>
        <v/>
      </c>
      <c r="Q348" s="0" t="str">
        <f aca="false">IF(O348="","",IF(O348&gt;240,"Y","N"))</f>
        <v>N</v>
      </c>
    </row>
    <row r="349" customFormat="false" ht="15" hidden="false" customHeight="false" outlineLevel="0" collapsed="false">
      <c r="A349" s="0" t="s">
        <v>5028</v>
      </c>
      <c r="B349" s="0" t="s">
        <v>3889</v>
      </c>
      <c r="C349" s="0" t="s">
        <v>981</v>
      </c>
      <c r="D349" s="31" t="n">
        <v>17080</v>
      </c>
      <c r="E349" s="31" t="n">
        <v>45659</v>
      </c>
      <c r="F349" s="32" t="s">
        <v>5029</v>
      </c>
      <c r="G349" s="0" t="n">
        <v>4</v>
      </c>
      <c r="H349" s="32" t="s">
        <v>5030</v>
      </c>
      <c r="I349" s="32" t="s">
        <v>5031</v>
      </c>
      <c r="J349" s="32" t="s">
        <v>2307</v>
      </c>
      <c r="K349" s="32" t="s">
        <v>2081</v>
      </c>
      <c r="L349" s="0" t="n">
        <v>44</v>
      </c>
      <c r="M349" s="32" t="s">
        <v>3975</v>
      </c>
      <c r="N349" s="32" t="s">
        <v>3751</v>
      </c>
      <c r="O349" s="32" t="n">
        <f aca="false">IF(I349="","",ROUND(MOD(TIMEVALUE(I349)-TIMEVALUE(F349),1)*1440,0))</f>
        <v>44</v>
      </c>
      <c r="P349" s="0" t="str">
        <f aca="false">IF(COUNTIF($A$2:A349,A349)&gt;1,"DUP","")</f>
        <v/>
      </c>
      <c r="Q349" s="0" t="str">
        <f aca="false">IF(O349="","",IF(O349&gt;240,"Y","N"))</f>
        <v>N</v>
      </c>
    </row>
    <row r="350" customFormat="false" ht="15" hidden="false" customHeight="false" outlineLevel="0" collapsed="false">
      <c r="A350" s="0" t="s">
        <v>5032</v>
      </c>
      <c r="B350" s="0" t="s">
        <v>4301</v>
      </c>
      <c r="C350" s="0" t="s">
        <v>1426</v>
      </c>
      <c r="D350" s="31" t="n">
        <v>22042</v>
      </c>
      <c r="E350" s="31" t="n">
        <v>45642</v>
      </c>
      <c r="F350" s="32" t="s">
        <v>5033</v>
      </c>
      <c r="G350" s="0" t="n">
        <v>5</v>
      </c>
      <c r="H350" s="32" t="s">
        <v>5034</v>
      </c>
      <c r="I350" s="32" t="s">
        <v>5035</v>
      </c>
      <c r="J350" s="32" t="s">
        <v>3749</v>
      </c>
      <c r="K350" s="32" t="s">
        <v>2081</v>
      </c>
      <c r="L350" s="0" t="n">
        <v>224</v>
      </c>
      <c r="M350" s="32" t="s">
        <v>3770</v>
      </c>
      <c r="N350" s="32" t="s">
        <v>3751</v>
      </c>
      <c r="O350" s="32" t="n">
        <f aca="false">IF(I350="","",ROUND(MOD(TIMEVALUE(I350)-TIMEVALUE(F350),1)*1440,0))</f>
        <v>224</v>
      </c>
      <c r="P350" s="0" t="str">
        <f aca="false">IF(COUNTIF($A$2:A350,A350)&gt;1,"DUP","")</f>
        <v/>
      </c>
      <c r="Q350" s="0" t="str">
        <f aca="false">IF(O350="","",IF(O350&gt;240,"Y","N"))</f>
        <v>N</v>
      </c>
    </row>
    <row r="351" customFormat="false" ht="15" hidden="false" customHeight="false" outlineLevel="0" collapsed="false">
      <c r="A351" s="0" t="s">
        <v>5036</v>
      </c>
      <c r="B351" s="0" t="s">
        <v>4487</v>
      </c>
      <c r="C351" s="0" t="s">
        <v>1025</v>
      </c>
      <c r="D351" s="31" t="n">
        <v>21505</v>
      </c>
      <c r="E351" s="31" t="n">
        <v>45696</v>
      </c>
      <c r="F351" s="32" t="s">
        <v>4892</v>
      </c>
      <c r="G351" s="0" t="n">
        <v>4</v>
      </c>
      <c r="H351" s="32" t="s">
        <v>4478</v>
      </c>
      <c r="I351" s="32" t="s">
        <v>5037</v>
      </c>
      <c r="J351" s="32" t="s">
        <v>3793</v>
      </c>
      <c r="K351" s="32" t="s">
        <v>2081</v>
      </c>
      <c r="L351" s="0" t="n">
        <v>61</v>
      </c>
      <c r="M351" s="32" t="s">
        <v>4060</v>
      </c>
      <c r="N351" s="32" t="s">
        <v>802</v>
      </c>
      <c r="O351" s="32" t="n">
        <f aca="false">IF(I351="","",ROUND(MOD(TIMEVALUE(I351)-TIMEVALUE(F351),1)*1440,0))</f>
        <v>61</v>
      </c>
      <c r="P351" s="0" t="str">
        <f aca="false">IF(COUNTIF($A$2:A351,A351)&gt;1,"DUP","")</f>
        <v/>
      </c>
      <c r="Q351" s="0" t="str">
        <f aca="false">IF(O351="","",IF(O351&gt;240,"Y","N"))</f>
        <v>N</v>
      </c>
    </row>
    <row r="352" customFormat="false" ht="15" hidden="false" customHeight="false" outlineLevel="0" collapsed="false">
      <c r="A352" s="0" t="s">
        <v>5038</v>
      </c>
      <c r="B352" s="0" t="s">
        <v>5039</v>
      </c>
      <c r="C352" s="0" t="s">
        <v>894</v>
      </c>
      <c r="D352" s="31" t="n">
        <v>31239</v>
      </c>
      <c r="E352" s="31" t="n">
        <v>45640</v>
      </c>
      <c r="F352" s="32" t="s">
        <v>4998</v>
      </c>
      <c r="G352" s="0" t="n">
        <v>1</v>
      </c>
      <c r="H352" s="32" t="s">
        <v>5040</v>
      </c>
      <c r="I352" s="32" t="s">
        <v>5041</v>
      </c>
      <c r="J352" s="32" t="s">
        <v>3749</v>
      </c>
      <c r="K352" s="32" t="s">
        <v>2081</v>
      </c>
      <c r="L352" s="0" t="n">
        <v>189</v>
      </c>
      <c r="M352" s="32" t="s">
        <v>3794</v>
      </c>
      <c r="N352" s="32" t="s">
        <v>3751</v>
      </c>
      <c r="O352" s="32" t="n">
        <f aca="false">IF(I352="","",ROUND(MOD(TIMEVALUE(I352)-TIMEVALUE(F352),1)*1440,0))</f>
        <v>189</v>
      </c>
      <c r="P352" s="0" t="str">
        <f aca="false">IF(COUNTIF($A$2:A352,A352)&gt;1,"DUP","")</f>
        <v/>
      </c>
      <c r="Q352" s="0" t="str">
        <f aca="false">IF(O352="","",IF(O352&gt;240,"Y","N"))</f>
        <v>N</v>
      </c>
    </row>
    <row r="353" customFormat="false" ht="15" hidden="false" customHeight="false" outlineLevel="0" collapsed="false">
      <c r="A353" s="0" t="s">
        <v>5042</v>
      </c>
      <c r="B353" s="0" t="s">
        <v>5043</v>
      </c>
      <c r="C353" s="0" t="s">
        <v>902</v>
      </c>
      <c r="D353" s="31" t="n">
        <v>26567</v>
      </c>
      <c r="E353" s="31" t="n">
        <v>45656</v>
      </c>
      <c r="F353" s="32" t="s">
        <v>5044</v>
      </c>
      <c r="G353" s="0" t="n">
        <v>2</v>
      </c>
      <c r="H353" s="32" t="s">
        <v>5045</v>
      </c>
      <c r="I353" s="32" t="s">
        <v>5046</v>
      </c>
      <c r="J353" s="32" t="s">
        <v>3763</v>
      </c>
      <c r="K353" s="32" t="s">
        <v>2081</v>
      </c>
      <c r="L353" s="0" t="n">
        <v>170</v>
      </c>
      <c r="M353" s="32" t="s">
        <v>4582</v>
      </c>
      <c r="N353" s="32" t="s">
        <v>3751</v>
      </c>
      <c r="O353" s="32" t="n">
        <f aca="false">IF(I353="","",ROUND(MOD(TIMEVALUE(I353)-TIMEVALUE(F353),1)*1440,0))</f>
        <v>170</v>
      </c>
      <c r="P353" s="0" t="str">
        <f aca="false">IF(COUNTIF($A$2:A353,A353)&gt;1,"DUP","")</f>
        <v/>
      </c>
      <c r="Q353" s="0" t="str">
        <f aca="false">IF(O353="","",IF(O353&gt;240,"Y","N"))</f>
        <v>N</v>
      </c>
    </row>
    <row r="354" customFormat="false" ht="15" hidden="false" customHeight="false" outlineLevel="0" collapsed="false">
      <c r="A354" s="0" t="s">
        <v>5047</v>
      </c>
      <c r="C354" s="0" t="s">
        <v>2206</v>
      </c>
      <c r="D354" s="31" t="n">
        <v>21972</v>
      </c>
      <c r="E354" s="31" t="n">
        <v>45651</v>
      </c>
      <c r="F354" s="32" t="s">
        <v>5048</v>
      </c>
      <c r="G354" s="0" t="n">
        <v>3</v>
      </c>
      <c r="H354" s="32" t="s">
        <v>5049</v>
      </c>
      <c r="I354" s="32" t="s">
        <v>5050</v>
      </c>
      <c r="J354" s="32" t="s">
        <v>3749</v>
      </c>
      <c r="K354" s="32" t="s">
        <v>2081</v>
      </c>
      <c r="L354" s="0" t="n">
        <v>136</v>
      </c>
      <c r="M354" s="32" t="s">
        <v>3866</v>
      </c>
      <c r="N354" s="32" t="s">
        <v>3751</v>
      </c>
      <c r="O354" s="32" t="n">
        <f aca="false">IF(I354="","",ROUND(MOD(TIMEVALUE(I354)-TIMEVALUE(F354),1)*1440,0))</f>
        <v>136</v>
      </c>
      <c r="P354" s="0" t="str">
        <f aca="false">IF(COUNTIF($A$2:A354,A354)&gt;1,"DUP","")</f>
        <v/>
      </c>
      <c r="Q354" s="0" t="str">
        <f aca="false">IF(O354="","",IF(O354&gt;240,"Y","N"))</f>
        <v>N</v>
      </c>
    </row>
    <row r="355" customFormat="false" ht="15" hidden="false" customHeight="false" outlineLevel="0" collapsed="false">
      <c r="A355" s="0" t="s">
        <v>5051</v>
      </c>
      <c r="B355" s="0" t="s">
        <v>5052</v>
      </c>
      <c r="C355" s="0" t="s">
        <v>2206</v>
      </c>
      <c r="D355" s="31" t="n">
        <v>20868</v>
      </c>
      <c r="E355" s="31" t="n">
        <v>45590</v>
      </c>
      <c r="F355" s="32" t="s">
        <v>5053</v>
      </c>
      <c r="G355" s="0" t="n">
        <v>4</v>
      </c>
      <c r="H355" s="32" t="s">
        <v>5054</v>
      </c>
      <c r="I355" s="32" t="s">
        <v>5055</v>
      </c>
      <c r="J355" s="32" t="s">
        <v>3749</v>
      </c>
      <c r="K355" s="32" t="s">
        <v>2081</v>
      </c>
      <c r="L355" s="0" t="n">
        <v>239</v>
      </c>
      <c r="M355" s="32" t="s">
        <v>4295</v>
      </c>
      <c r="N355" s="32" t="s">
        <v>3751</v>
      </c>
      <c r="O355" s="32" t="n">
        <f aca="false">IF(I355="","",ROUND(MOD(TIMEVALUE(I355)-TIMEVALUE(F355),1)*1440,0))</f>
        <v>239</v>
      </c>
      <c r="P355" s="0" t="str">
        <f aca="false">IF(COUNTIF($A$2:A355,A355)&gt;1,"DUP","")</f>
        <v/>
      </c>
      <c r="Q355" s="0" t="str">
        <f aca="false">IF(O355="","",IF(O355&gt;240,"Y","N"))</f>
        <v>N</v>
      </c>
    </row>
    <row r="356" customFormat="false" ht="15" hidden="false" customHeight="false" outlineLevel="0" collapsed="false">
      <c r="A356" s="0" t="s">
        <v>5056</v>
      </c>
      <c r="B356" s="0" t="s">
        <v>5057</v>
      </c>
      <c r="C356" s="0" t="s">
        <v>930</v>
      </c>
      <c r="D356" s="31" t="n">
        <v>20127</v>
      </c>
      <c r="E356" s="31" t="n">
        <v>45584</v>
      </c>
      <c r="F356" s="32" t="s">
        <v>4565</v>
      </c>
      <c r="G356" s="0" t="n">
        <v>4</v>
      </c>
      <c r="H356" s="32" t="s">
        <v>4607</v>
      </c>
      <c r="I356" s="32" t="s">
        <v>4926</v>
      </c>
      <c r="J356" s="32" t="s">
        <v>3749</v>
      </c>
      <c r="K356" s="32" t="s">
        <v>2081</v>
      </c>
      <c r="L356" s="0" t="n">
        <v>31</v>
      </c>
      <c r="M356" s="32" t="s">
        <v>4206</v>
      </c>
      <c r="N356" s="32" t="s">
        <v>3751</v>
      </c>
      <c r="O356" s="32" t="n">
        <f aca="false">IF(I356="","",ROUND(MOD(TIMEVALUE(I356)-TIMEVALUE(F356),1)*1440,0))</f>
        <v>31</v>
      </c>
      <c r="P356" s="0" t="str">
        <f aca="false">IF(COUNTIF($A$2:A356,A356)&gt;1,"DUP","")</f>
        <v/>
      </c>
      <c r="Q356" s="0" t="str">
        <f aca="false">IF(O356="","",IF(O356&gt;240,"Y","N"))</f>
        <v>N</v>
      </c>
    </row>
    <row r="357" customFormat="false" ht="15" hidden="false" customHeight="false" outlineLevel="0" collapsed="false">
      <c r="A357" s="0" t="s">
        <v>5058</v>
      </c>
      <c r="B357" s="0" t="s">
        <v>5059</v>
      </c>
      <c r="C357" s="0" t="s">
        <v>841</v>
      </c>
      <c r="D357" s="31" t="n">
        <v>37364</v>
      </c>
      <c r="E357" s="31" t="n">
        <v>45711</v>
      </c>
      <c r="F357" s="32" t="s">
        <v>5060</v>
      </c>
      <c r="G357" s="0" t="n">
        <v>5</v>
      </c>
      <c r="H357" s="32" t="s">
        <v>3906</v>
      </c>
      <c r="I357" s="32" t="s">
        <v>5061</v>
      </c>
      <c r="J357" s="32" t="s">
        <v>3763</v>
      </c>
      <c r="K357" s="32" t="s">
        <v>2081</v>
      </c>
      <c r="L357" s="0" t="n">
        <v>134</v>
      </c>
      <c r="M357" s="32" t="s">
        <v>3764</v>
      </c>
      <c r="N357" s="32" t="s">
        <v>3751</v>
      </c>
      <c r="O357" s="32" t="n">
        <f aca="false">IF(I357="","",ROUND(MOD(TIMEVALUE(I357)-TIMEVALUE(F357),1)*1440,0))</f>
        <v>134</v>
      </c>
      <c r="P357" s="0" t="str">
        <f aca="false">IF(COUNTIF($A$2:A357,A357)&gt;1,"DUP","")</f>
        <v/>
      </c>
      <c r="Q357" s="0" t="str">
        <f aca="false">IF(O357="","",IF(O357&gt;240,"Y","N"))</f>
        <v>N</v>
      </c>
    </row>
    <row r="358" customFormat="false" ht="15" hidden="false" customHeight="false" outlineLevel="0" collapsed="false">
      <c r="A358" s="0" t="s">
        <v>5062</v>
      </c>
      <c r="B358" s="0" t="s">
        <v>4467</v>
      </c>
      <c r="C358" s="0" t="s">
        <v>922</v>
      </c>
      <c r="D358" s="31" t="n">
        <v>22726</v>
      </c>
      <c r="E358" s="31" t="n">
        <v>45595</v>
      </c>
      <c r="F358" s="32" t="s">
        <v>4282</v>
      </c>
      <c r="G358" s="0" t="n">
        <v>2</v>
      </c>
      <c r="H358" s="32" t="s">
        <v>5063</v>
      </c>
      <c r="I358" s="32" t="s">
        <v>3761</v>
      </c>
      <c r="J358" s="32" t="s">
        <v>3749</v>
      </c>
      <c r="K358" s="32" t="s">
        <v>2081</v>
      </c>
      <c r="L358" s="0" t="n">
        <v>176</v>
      </c>
      <c r="M358" s="32" t="s">
        <v>3966</v>
      </c>
      <c r="N358" s="32" t="s">
        <v>3751</v>
      </c>
      <c r="O358" s="32" t="n">
        <f aca="false">IF(I358="","",ROUND(MOD(TIMEVALUE(I358)-TIMEVALUE(F358),1)*1440,0))</f>
        <v>176</v>
      </c>
      <c r="P358" s="0" t="str">
        <f aca="false">IF(COUNTIF($A$2:A358,A358)&gt;1,"DUP","")</f>
        <v/>
      </c>
      <c r="Q358" s="0" t="str">
        <f aca="false">IF(O358="","",IF(O358&gt;240,"Y","N"))</f>
        <v>N</v>
      </c>
    </row>
    <row r="359" customFormat="false" ht="15" hidden="false" customHeight="false" outlineLevel="0" collapsed="false">
      <c r="A359" s="0" t="s">
        <v>5064</v>
      </c>
      <c r="C359" s="0" t="s">
        <v>1402</v>
      </c>
      <c r="D359" s="31" t="n">
        <v>38366</v>
      </c>
      <c r="E359" s="31" t="n">
        <v>45706</v>
      </c>
      <c r="F359" s="32" t="s">
        <v>4029</v>
      </c>
      <c r="G359" s="0" t="n">
        <v>5</v>
      </c>
      <c r="H359" s="32" t="s">
        <v>4668</v>
      </c>
      <c r="I359" s="32" t="s">
        <v>3892</v>
      </c>
      <c r="J359" s="32" t="s">
        <v>3749</v>
      </c>
      <c r="K359" s="32" t="s">
        <v>2081</v>
      </c>
      <c r="L359" s="0" t="n">
        <v>212</v>
      </c>
      <c r="M359" s="32" t="s">
        <v>4267</v>
      </c>
      <c r="N359" s="32" t="s">
        <v>3751</v>
      </c>
      <c r="O359" s="32" t="n">
        <f aca="false">IF(I359="","",ROUND(MOD(TIMEVALUE(I359)-TIMEVALUE(F359),1)*1440,0))</f>
        <v>212</v>
      </c>
      <c r="P359" s="0" t="str">
        <f aca="false">IF(COUNTIF($A$2:A359,A359)&gt;1,"DUP","")</f>
        <v/>
      </c>
      <c r="Q359" s="0" t="str">
        <f aca="false">IF(O359="","",IF(O359&gt;240,"Y","N"))</f>
        <v>N</v>
      </c>
    </row>
    <row r="360" customFormat="false" ht="15" hidden="false" customHeight="false" outlineLevel="0" collapsed="false">
      <c r="A360" s="0" t="s">
        <v>5065</v>
      </c>
      <c r="B360" s="0" t="s">
        <v>3811</v>
      </c>
      <c r="C360" s="0" t="s">
        <v>792</v>
      </c>
      <c r="D360" s="31" t="n">
        <v>27796</v>
      </c>
      <c r="E360" s="31" t="n">
        <v>45572</v>
      </c>
      <c r="F360" s="32" t="s">
        <v>3922</v>
      </c>
      <c r="G360" s="0" t="n">
        <v>3</v>
      </c>
      <c r="H360" s="32" t="s">
        <v>4367</v>
      </c>
      <c r="I360" s="32" t="s">
        <v>5066</v>
      </c>
      <c r="J360" s="32" t="s">
        <v>3763</v>
      </c>
      <c r="K360" s="32" t="s">
        <v>2081</v>
      </c>
      <c r="L360" s="0" t="n">
        <v>149</v>
      </c>
      <c r="M360" s="32" t="s">
        <v>3877</v>
      </c>
      <c r="N360" s="32" t="s">
        <v>3751</v>
      </c>
      <c r="O360" s="32" t="n">
        <f aca="false">IF(I360="","",ROUND(MOD(TIMEVALUE(I360)-TIMEVALUE(F360),1)*1440,0))</f>
        <v>149</v>
      </c>
      <c r="P360" s="0" t="str">
        <f aca="false">IF(COUNTIF($A$2:A360,A360)&gt;1,"DUP","")</f>
        <v/>
      </c>
      <c r="Q360" s="0" t="str">
        <f aca="false">IF(O360="","",IF(O360&gt;240,"Y","N"))</f>
        <v>N</v>
      </c>
    </row>
    <row r="361" customFormat="false" ht="15" hidden="false" customHeight="false" outlineLevel="0" collapsed="false">
      <c r="A361" s="0" t="s">
        <v>5067</v>
      </c>
      <c r="B361" s="0" t="s">
        <v>4978</v>
      </c>
      <c r="C361" s="0" t="s">
        <v>1025</v>
      </c>
      <c r="D361" s="31" t="n">
        <v>13653</v>
      </c>
      <c r="E361" s="31" t="n">
        <v>45728</v>
      </c>
      <c r="F361" s="32" t="s">
        <v>4140</v>
      </c>
      <c r="G361" s="0" t="n">
        <v>3</v>
      </c>
      <c r="H361" s="32" t="s">
        <v>5068</v>
      </c>
      <c r="I361" s="32" t="s">
        <v>4259</v>
      </c>
      <c r="J361" s="32" t="s">
        <v>2307</v>
      </c>
      <c r="K361" s="32" t="s">
        <v>2081</v>
      </c>
      <c r="L361" s="0" t="n">
        <v>231</v>
      </c>
      <c r="M361" s="32" t="s">
        <v>3757</v>
      </c>
      <c r="N361" s="32" t="s">
        <v>3751</v>
      </c>
      <c r="O361" s="32" t="n">
        <f aca="false">IF(I361="","",ROUND(MOD(TIMEVALUE(I361)-TIMEVALUE(F361),1)*1440,0))</f>
        <v>231</v>
      </c>
      <c r="P361" s="0" t="str">
        <f aca="false">IF(COUNTIF($A$2:A361,A361)&gt;1,"DUP","")</f>
        <v/>
      </c>
      <c r="Q361" s="0" t="str">
        <f aca="false">IF(O361="","",IF(O361&gt;240,"Y","N"))</f>
        <v>N</v>
      </c>
    </row>
    <row r="362" customFormat="false" ht="15" hidden="false" customHeight="false" outlineLevel="0" collapsed="false">
      <c r="A362" s="0" t="s">
        <v>5069</v>
      </c>
      <c r="B362" s="0" t="s">
        <v>4349</v>
      </c>
      <c r="C362" s="0" t="s">
        <v>1017</v>
      </c>
      <c r="D362" s="31" t="n">
        <v>14454</v>
      </c>
      <c r="E362" s="31" t="n">
        <v>45566</v>
      </c>
      <c r="F362" s="32" t="s">
        <v>5070</v>
      </c>
      <c r="G362" s="0" t="n">
        <v>2</v>
      </c>
      <c r="H362" s="32" t="s">
        <v>4225</v>
      </c>
      <c r="I362" s="32" t="s">
        <v>4877</v>
      </c>
      <c r="J362" s="32" t="s">
        <v>3749</v>
      </c>
      <c r="K362" s="32" t="s">
        <v>2081</v>
      </c>
      <c r="L362" s="0" t="n">
        <v>191</v>
      </c>
      <c r="M362" s="32" t="s">
        <v>4781</v>
      </c>
      <c r="N362" s="32" t="s">
        <v>3751</v>
      </c>
      <c r="O362" s="32" t="n">
        <f aca="false">IF(I362="","",ROUND(MOD(TIMEVALUE(I362)-TIMEVALUE(F362),1)*1440,0))</f>
        <v>191</v>
      </c>
      <c r="P362" s="0" t="str">
        <f aca="false">IF(COUNTIF($A$2:A362,A362)&gt;1,"DUP","")</f>
        <v/>
      </c>
      <c r="Q362" s="0" t="str">
        <f aca="false">IF(O362="","",IF(O362&gt;240,"Y","N"))</f>
        <v>N</v>
      </c>
    </row>
    <row r="363" customFormat="false" ht="15" hidden="false" customHeight="false" outlineLevel="0" collapsed="false">
      <c r="A363" s="0" t="s">
        <v>5071</v>
      </c>
      <c r="B363" s="0" t="s">
        <v>5072</v>
      </c>
      <c r="C363" s="0" t="s">
        <v>914</v>
      </c>
      <c r="D363" s="31" t="n">
        <v>38272</v>
      </c>
      <c r="E363" s="31" t="n">
        <v>45730</v>
      </c>
      <c r="F363" s="32" t="s">
        <v>5073</v>
      </c>
      <c r="G363" s="0" t="n">
        <v>0</v>
      </c>
      <c r="H363" s="32" t="s">
        <v>4131</v>
      </c>
      <c r="I363" s="32" t="s">
        <v>4967</v>
      </c>
      <c r="J363" s="32" t="s">
        <v>2307</v>
      </c>
      <c r="K363" s="32" t="s">
        <v>2081</v>
      </c>
      <c r="L363" s="0" t="n">
        <v>82</v>
      </c>
      <c r="M363" s="32" t="s">
        <v>4582</v>
      </c>
      <c r="N363" s="32" t="s">
        <v>3751</v>
      </c>
      <c r="O363" s="32" t="n">
        <f aca="false">IF(I363="","",ROUND(MOD(TIMEVALUE(I363)-TIMEVALUE(F363),1)*1440,0))</f>
        <v>82</v>
      </c>
      <c r="P363" s="0" t="str">
        <f aca="false">IF(COUNTIF($A$2:A363,A363)&gt;1,"DUP","")</f>
        <v/>
      </c>
      <c r="Q363" s="0" t="str">
        <f aca="false">IF(O363="","",IF(O363&gt;240,"Y","N"))</f>
        <v>N</v>
      </c>
    </row>
    <row r="364" customFormat="false" ht="15" hidden="false" customHeight="false" outlineLevel="0" collapsed="false">
      <c r="A364" s="0" t="s">
        <v>5074</v>
      </c>
      <c r="B364" s="0" t="s">
        <v>5011</v>
      </c>
      <c r="C364" s="0" t="s">
        <v>918</v>
      </c>
      <c r="D364" s="31" t="n">
        <v>23602</v>
      </c>
      <c r="E364" s="31" t="n">
        <v>45622</v>
      </c>
      <c r="F364" s="32" t="s">
        <v>4586</v>
      </c>
      <c r="G364" s="0" t="n">
        <v>5</v>
      </c>
      <c r="H364" s="32" t="s">
        <v>5075</v>
      </c>
      <c r="I364" s="32" t="s">
        <v>5076</v>
      </c>
      <c r="J364" s="32" t="s">
        <v>7</v>
      </c>
      <c r="K364" s="32" t="s">
        <v>2081</v>
      </c>
      <c r="L364" s="0" t="n">
        <v>48</v>
      </c>
      <c r="M364" s="32" t="s">
        <v>3782</v>
      </c>
      <c r="N364" s="32" t="s">
        <v>3751</v>
      </c>
      <c r="O364" s="32" t="n">
        <f aca="false">IF(I364="","",ROUND(MOD(TIMEVALUE(I364)-TIMEVALUE(F364),1)*1440,0))</f>
        <v>48</v>
      </c>
      <c r="P364" s="0" t="str">
        <f aca="false">IF(COUNTIF($A$2:A364,A364)&gt;1,"DUP","")</f>
        <v/>
      </c>
      <c r="Q364" s="0" t="str">
        <f aca="false">IF(O364="","",IF(O364&gt;240,"Y","N"))</f>
        <v>N</v>
      </c>
    </row>
    <row r="365" customFormat="false" ht="15" hidden="false" customHeight="false" outlineLevel="0" collapsed="false">
      <c r="A365" s="0" t="s">
        <v>5077</v>
      </c>
      <c r="B365" s="0" t="s">
        <v>5078</v>
      </c>
      <c r="C365" s="0" t="s">
        <v>2148</v>
      </c>
      <c r="D365" s="31" t="n">
        <v>15875</v>
      </c>
      <c r="E365" s="31" t="n">
        <v>45654</v>
      </c>
      <c r="F365" s="32" t="s">
        <v>5079</v>
      </c>
      <c r="G365" s="0" t="n">
        <v>4</v>
      </c>
      <c r="H365" s="32" t="s">
        <v>5080</v>
      </c>
      <c r="I365" s="32" t="s">
        <v>5081</v>
      </c>
      <c r="J365" s="32" t="s">
        <v>3749</v>
      </c>
      <c r="K365" s="32" t="s">
        <v>2106</v>
      </c>
      <c r="L365" s="0" t="n">
        <v>456</v>
      </c>
      <c r="M365" s="32" t="s">
        <v>4073</v>
      </c>
      <c r="N365" s="32" t="s">
        <v>3751</v>
      </c>
      <c r="O365" s="32" t="n">
        <f aca="false">IF(I365="","",ROUND(MOD(TIMEVALUE(I365)-TIMEVALUE(F365),1)*1440,0))</f>
        <v>456</v>
      </c>
      <c r="P365" s="0" t="str">
        <f aca="false">IF(COUNTIF($A$2:A365,A365)&gt;1,"DUP","")</f>
        <v/>
      </c>
      <c r="Q365" s="0" t="str">
        <f aca="false">IF(O365="","",IF(O365&gt;240,"Y","N"))</f>
        <v>Y</v>
      </c>
    </row>
    <row r="366" customFormat="false" ht="15" hidden="false" customHeight="false" outlineLevel="0" collapsed="false">
      <c r="A366" s="0" t="s">
        <v>5082</v>
      </c>
      <c r="B366" s="0" t="s">
        <v>4727</v>
      </c>
      <c r="C366" s="0" t="s">
        <v>809</v>
      </c>
      <c r="D366" s="31" t="n">
        <v>22330</v>
      </c>
      <c r="E366" s="31" t="n">
        <v>45566</v>
      </c>
      <c r="F366" s="32" t="s">
        <v>4432</v>
      </c>
      <c r="G366" s="0" t="n">
        <v>5</v>
      </c>
      <c r="H366" s="32" t="s">
        <v>5083</v>
      </c>
      <c r="I366" s="32" t="s">
        <v>5084</v>
      </c>
      <c r="J366" s="32" t="s">
        <v>3749</v>
      </c>
      <c r="K366" s="32" t="s">
        <v>2081</v>
      </c>
      <c r="L366" s="0" t="n">
        <v>91</v>
      </c>
      <c r="M366" s="32" t="s">
        <v>4073</v>
      </c>
      <c r="N366" s="32" t="s">
        <v>3751</v>
      </c>
      <c r="O366" s="32" t="n">
        <f aca="false">IF(I366="","",ROUND(MOD(TIMEVALUE(I366)-TIMEVALUE(F366),1)*1440,0))</f>
        <v>91</v>
      </c>
      <c r="P366" s="0" t="str">
        <f aca="false">IF(COUNTIF($A$2:A366,A366)&gt;1,"DUP","")</f>
        <v/>
      </c>
      <c r="Q366" s="0" t="str">
        <f aca="false">IF(O366="","",IF(O366&gt;240,"Y","N"))</f>
        <v>N</v>
      </c>
    </row>
    <row r="367" customFormat="false" ht="15" hidden="false" customHeight="false" outlineLevel="0" collapsed="false">
      <c r="A367" s="0" t="s">
        <v>5085</v>
      </c>
      <c r="B367" s="0" t="s">
        <v>4357</v>
      </c>
      <c r="C367" s="0" t="s">
        <v>946</v>
      </c>
      <c r="D367" s="31" t="n">
        <v>28126</v>
      </c>
      <c r="E367" s="31" t="n">
        <v>45613</v>
      </c>
      <c r="F367" s="32" t="s">
        <v>5086</v>
      </c>
      <c r="G367" s="0" t="n">
        <v>4</v>
      </c>
      <c r="H367" s="32" t="s">
        <v>4685</v>
      </c>
      <c r="I367" s="32" t="s">
        <v>5087</v>
      </c>
      <c r="J367" s="32" t="s">
        <v>3749</v>
      </c>
      <c r="K367" s="32" t="s">
        <v>2081</v>
      </c>
      <c r="L367" s="0" t="n">
        <v>129</v>
      </c>
      <c r="M367" s="32" t="s">
        <v>3757</v>
      </c>
      <c r="N367" s="32" t="s">
        <v>3751</v>
      </c>
      <c r="O367" s="32" t="n">
        <f aca="false">IF(I367="","",ROUND(MOD(TIMEVALUE(I367)-TIMEVALUE(F367),1)*1440,0))</f>
        <v>129</v>
      </c>
      <c r="P367" s="0" t="str">
        <f aca="false">IF(COUNTIF($A$2:A367,A367)&gt;1,"DUP","")</f>
        <v/>
      </c>
      <c r="Q367" s="0" t="str">
        <f aca="false">IF(O367="","",IF(O367&gt;240,"Y","N"))</f>
        <v>N</v>
      </c>
    </row>
    <row r="368" customFormat="false" ht="15" hidden="false" customHeight="false" outlineLevel="0" collapsed="false">
      <c r="A368" s="0" t="s">
        <v>5088</v>
      </c>
      <c r="B368" s="0" t="s">
        <v>4102</v>
      </c>
      <c r="C368" s="0" t="s">
        <v>757</v>
      </c>
      <c r="D368" s="31" t="n">
        <v>26821</v>
      </c>
      <c r="E368" s="31" t="n">
        <v>45595</v>
      </c>
      <c r="F368" s="32" t="s">
        <v>5089</v>
      </c>
      <c r="G368" s="0" t="n">
        <v>4</v>
      </c>
      <c r="H368" s="32" t="s">
        <v>5090</v>
      </c>
      <c r="I368" s="32" t="s">
        <v>5091</v>
      </c>
      <c r="J368" s="32" t="s">
        <v>3749</v>
      </c>
      <c r="K368" s="32" t="s">
        <v>2081</v>
      </c>
      <c r="L368" s="0" t="n">
        <v>71</v>
      </c>
      <c r="M368" s="32" t="s">
        <v>3877</v>
      </c>
      <c r="N368" s="32" t="s">
        <v>3751</v>
      </c>
      <c r="O368" s="32" t="n">
        <f aca="false">IF(I368="","",ROUND(MOD(TIMEVALUE(I368)-TIMEVALUE(F368),1)*1440,0))</f>
        <v>71</v>
      </c>
      <c r="P368" s="0" t="str">
        <f aca="false">IF(COUNTIF($A$2:A368,A368)&gt;1,"DUP","")</f>
        <v/>
      </c>
      <c r="Q368" s="0" t="str">
        <f aca="false">IF(O368="","",IF(O368&gt;240,"Y","N"))</f>
        <v>N</v>
      </c>
    </row>
    <row r="369" customFormat="false" ht="15" hidden="false" customHeight="false" outlineLevel="0" collapsed="false">
      <c r="A369" s="0" t="s">
        <v>5092</v>
      </c>
      <c r="C369" s="0" t="s">
        <v>4053</v>
      </c>
      <c r="D369" s="31" t="n">
        <v>20030</v>
      </c>
      <c r="E369" s="31" t="n">
        <v>45641</v>
      </c>
      <c r="F369" s="32" t="s">
        <v>3785</v>
      </c>
      <c r="G369" s="0" t="n">
        <v>3</v>
      </c>
      <c r="H369" s="32" t="s">
        <v>5093</v>
      </c>
      <c r="I369" s="32" t="s">
        <v>4163</v>
      </c>
      <c r="J369" s="32" t="s">
        <v>3749</v>
      </c>
      <c r="K369" s="32" t="s">
        <v>2106</v>
      </c>
      <c r="L369" s="0" t="n">
        <v>494</v>
      </c>
      <c r="M369" s="32" t="s">
        <v>3855</v>
      </c>
      <c r="N369" s="32" t="s">
        <v>3751</v>
      </c>
      <c r="O369" s="32" t="n">
        <f aca="false">IF(I369="","",ROUND(MOD(TIMEVALUE(I369)-TIMEVALUE(F369),1)*1440,0))</f>
        <v>494</v>
      </c>
      <c r="P369" s="0" t="str">
        <f aca="false">IF(COUNTIF($A$2:A369,A369)&gt;1,"DUP","")</f>
        <v/>
      </c>
      <c r="Q369" s="0" t="str">
        <f aca="false">IF(O369="","",IF(O369&gt;240,"Y","N"))</f>
        <v>Y</v>
      </c>
    </row>
    <row r="370" customFormat="false" ht="15" hidden="false" customHeight="false" outlineLevel="0" collapsed="false">
      <c r="A370" s="0" t="s">
        <v>5094</v>
      </c>
      <c r="B370" s="0" t="s">
        <v>4980</v>
      </c>
      <c r="C370" s="0" t="s">
        <v>1393</v>
      </c>
      <c r="D370" s="31" t="n">
        <v>17435</v>
      </c>
      <c r="E370" s="31" t="n">
        <v>45726</v>
      </c>
      <c r="F370" s="32" t="s">
        <v>5095</v>
      </c>
      <c r="G370" s="0" t="n">
        <v>3</v>
      </c>
      <c r="H370" s="32" t="s">
        <v>5096</v>
      </c>
      <c r="I370" s="32" t="s">
        <v>3885</v>
      </c>
      <c r="J370" s="32" t="s">
        <v>3749</v>
      </c>
      <c r="K370" s="32" t="s">
        <v>2081</v>
      </c>
      <c r="L370" s="0" t="n">
        <v>103</v>
      </c>
      <c r="M370" s="32" t="s">
        <v>3782</v>
      </c>
      <c r="N370" s="32" t="s">
        <v>3751</v>
      </c>
      <c r="O370" s="32" t="n">
        <f aca="false">IF(I370="","",ROUND(MOD(TIMEVALUE(I370)-TIMEVALUE(F370),1)*1440,0))</f>
        <v>103</v>
      </c>
      <c r="P370" s="0" t="str">
        <f aca="false">IF(COUNTIF($A$2:A370,A370)&gt;1,"DUP","")</f>
        <v/>
      </c>
      <c r="Q370" s="0" t="str">
        <f aca="false">IF(O370="","",IF(O370&gt;240,"Y","N"))</f>
        <v>N</v>
      </c>
    </row>
    <row r="371" customFormat="false" ht="15" hidden="false" customHeight="false" outlineLevel="0" collapsed="false">
      <c r="A371" s="0" t="s">
        <v>5097</v>
      </c>
      <c r="B371" s="0" t="s">
        <v>5098</v>
      </c>
      <c r="C371" s="0" t="s">
        <v>1419</v>
      </c>
      <c r="D371" s="31" t="n">
        <v>37033</v>
      </c>
      <c r="E371" s="31" t="n">
        <v>45697</v>
      </c>
      <c r="F371" s="32" t="s">
        <v>3950</v>
      </c>
      <c r="G371" s="0" t="n">
        <v>4</v>
      </c>
      <c r="H371" s="32" t="s">
        <v>5099</v>
      </c>
      <c r="I371" s="32" t="s">
        <v>3762</v>
      </c>
      <c r="J371" s="32" t="s">
        <v>3749</v>
      </c>
      <c r="K371" s="32" t="s">
        <v>2106</v>
      </c>
      <c r="L371" s="0" t="n">
        <v>307</v>
      </c>
      <c r="M371" s="32" t="s">
        <v>3794</v>
      </c>
      <c r="N371" s="32" t="s">
        <v>3751</v>
      </c>
      <c r="O371" s="32" t="n">
        <f aca="false">IF(I371="","",ROUND(MOD(TIMEVALUE(I371)-TIMEVALUE(F371),1)*1440,0))</f>
        <v>307</v>
      </c>
      <c r="P371" s="0" t="str">
        <f aca="false">IF(COUNTIF($A$2:A371,A371)&gt;1,"DUP","")</f>
        <v/>
      </c>
      <c r="Q371" s="0" t="str">
        <f aca="false">IF(O371="","",IF(O371&gt;240,"Y","N"))</f>
        <v>Y</v>
      </c>
    </row>
    <row r="372" customFormat="false" ht="15" hidden="false" customHeight="false" outlineLevel="0" collapsed="false">
      <c r="A372" s="0" t="s">
        <v>5100</v>
      </c>
      <c r="B372" s="0" t="s">
        <v>5101</v>
      </c>
      <c r="C372" s="0" t="s">
        <v>989</v>
      </c>
      <c r="D372" s="31" t="n">
        <v>15462</v>
      </c>
      <c r="E372" s="31" t="n">
        <v>45628</v>
      </c>
      <c r="F372" s="32" t="s">
        <v>5102</v>
      </c>
      <c r="G372" s="0" t="n">
        <v>3</v>
      </c>
      <c r="H372" s="32" t="s">
        <v>4947</v>
      </c>
      <c r="I372" s="32" t="s">
        <v>4496</v>
      </c>
      <c r="J372" s="32" t="s">
        <v>3793</v>
      </c>
      <c r="K372" s="32" t="s">
        <v>2081</v>
      </c>
      <c r="L372" s="0" t="n">
        <v>133</v>
      </c>
      <c r="M372" s="32" t="s">
        <v>4031</v>
      </c>
      <c r="N372" s="32" t="s">
        <v>766</v>
      </c>
      <c r="O372" s="32" t="n">
        <f aca="false">IF(I372="","",ROUND(MOD(TIMEVALUE(I372)-TIMEVALUE(F372),1)*1440,0))</f>
        <v>133</v>
      </c>
      <c r="P372" s="0" t="str">
        <f aca="false">IF(COUNTIF($A$2:A372,A372)&gt;1,"DUP","")</f>
        <v/>
      </c>
      <c r="Q372" s="0" t="str">
        <f aca="false">IF(O372="","",IF(O372&gt;240,"Y","N"))</f>
        <v>N</v>
      </c>
    </row>
    <row r="373" customFormat="false" ht="15" hidden="false" customHeight="false" outlineLevel="0" collapsed="false">
      <c r="A373" s="0" t="s">
        <v>5103</v>
      </c>
      <c r="B373" s="0" t="s">
        <v>4511</v>
      </c>
      <c r="C373" s="0" t="s">
        <v>1013</v>
      </c>
      <c r="D373" s="31" t="n">
        <v>32826</v>
      </c>
      <c r="E373" s="31" t="n">
        <v>45610</v>
      </c>
      <c r="F373" s="32" t="s">
        <v>5104</v>
      </c>
      <c r="G373" s="0" t="n">
        <v>4</v>
      </c>
      <c r="H373" s="32" t="s">
        <v>5105</v>
      </c>
      <c r="I373" s="32" t="s">
        <v>5106</v>
      </c>
      <c r="J373" s="32" t="s">
        <v>3749</v>
      </c>
      <c r="K373" s="32" t="s">
        <v>2081</v>
      </c>
      <c r="L373" s="0" t="n">
        <v>188</v>
      </c>
      <c r="M373" s="32" t="s">
        <v>3877</v>
      </c>
      <c r="N373" s="32" t="s">
        <v>3751</v>
      </c>
      <c r="O373" s="32" t="n">
        <f aca="false">IF(I373="","",ROUND(MOD(TIMEVALUE(I373)-TIMEVALUE(F373),1)*1440,0))</f>
        <v>188</v>
      </c>
      <c r="P373" s="0" t="str">
        <f aca="false">IF(COUNTIF($A$2:A373,A373)&gt;1,"DUP","")</f>
        <v/>
      </c>
      <c r="Q373" s="0" t="str">
        <f aca="false">IF(O373="","",IF(O373&gt;240,"Y","N"))</f>
        <v>N</v>
      </c>
    </row>
    <row r="374" customFormat="false" ht="15" hidden="false" customHeight="false" outlineLevel="0" collapsed="false">
      <c r="A374" s="0" t="s">
        <v>5107</v>
      </c>
      <c r="C374" s="0" t="s">
        <v>837</v>
      </c>
      <c r="D374" s="31" t="n">
        <v>30012</v>
      </c>
      <c r="E374" s="31" t="n">
        <v>45700</v>
      </c>
      <c r="F374" s="32" t="s">
        <v>5108</v>
      </c>
      <c r="G374" s="0" t="n">
        <v>1</v>
      </c>
      <c r="H374" s="32" t="s">
        <v>5108</v>
      </c>
      <c r="I374" s="32" t="s">
        <v>5109</v>
      </c>
      <c r="J374" s="32" t="s">
        <v>3749</v>
      </c>
      <c r="K374" s="32" t="s">
        <v>2081</v>
      </c>
      <c r="L374" s="0" t="n">
        <v>201</v>
      </c>
      <c r="M374" s="32" t="s">
        <v>3827</v>
      </c>
      <c r="N374" s="32" t="s">
        <v>3751</v>
      </c>
      <c r="O374" s="32" t="n">
        <f aca="false">IF(I374="","",ROUND(MOD(TIMEVALUE(I374)-TIMEVALUE(F374),1)*1440,0))</f>
        <v>201</v>
      </c>
      <c r="P374" s="0" t="str">
        <f aca="false">IF(COUNTIF($A$2:A374,A374)&gt;1,"DUP","")</f>
        <v/>
      </c>
      <c r="Q374" s="0" t="str">
        <f aca="false">IF(O374="","",IF(O374&gt;240,"Y","N"))</f>
        <v>N</v>
      </c>
    </row>
    <row r="375" customFormat="false" ht="15" hidden="false" customHeight="false" outlineLevel="0" collapsed="false">
      <c r="A375" s="0" t="s">
        <v>5110</v>
      </c>
      <c r="B375" s="0" t="s">
        <v>4761</v>
      </c>
      <c r="C375" s="0" t="s">
        <v>890</v>
      </c>
      <c r="D375" s="31" t="n">
        <v>37648</v>
      </c>
      <c r="E375" s="31" t="n">
        <v>45642</v>
      </c>
      <c r="F375" s="32" t="s">
        <v>4993</v>
      </c>
      <c r="G375" s="0" t="n">
        <v>3</v>
      </c>
      <c r="H375" s="32" t="s">
        <v>5111</v>
      </c>
      <c r="I375" s="32" t="s">
        <v>4288</v>
      </c>
      <c r="J375" s="32" t="s">
        <v>3749</v>
      </c>
      <c r="K375" s="32" t="s">
        <v>2106</v>
      </c>
      <c r="L375" s="0" t="n">
        <v>266</v>
      </c>
      <c r="M375" s="32" t="s">
        <v>4295</v>
      </c>
      <c r="N375" s="32" t="s">
        <v>3751</v>
      </c>
      <c r="O375" s="32" t="n">
        <f aca="false">IF(I375="","",ROUND(MOD(TIMEVALUE(I375)-TIMEVALUE(F375),1)*1440,0))</f>
        <v>266</v>
      </c>
      <c r="P375" s="0" t="str">
        <f aca="false">IF(COUNTIF($A$2:A375,A375)&gt;1,"DUP","")</f>
        <v/>
      </c>
      <c r="Q375" s="0" t="str">
        <f aca="false">IF(O375="","",IF(O375&gt;240,"Y","N"))</f>
        <v>Y</v>
      </c>
    </row>
    <row r="376" customFormat="false" ht="15" hidden="false" customHeight="false" outlineLevel="0" collapsed="false">
      <c r="A376" s="0" t="s">
        <v>5112</v>
      </c>
      <c r="B376" s="0" t="s">
        <v>3851</v>
      </c>
      <c r="C376" s="0" t="s">
        <v>942</v>
      </c>
      <c r="D376" s="31" t="n">
        <v>15975</v>
      </c>
      <c r="E376" s="31" t="n">
        <v>45595</v>
      </c>
      <c r="F376" s="32" t="s">
        <v>4554</v>
      </c>
      <c r="G376" s="0" t="n">
        <v>4</v>
      </c>
      <c r="H376" s="32" t="s">
        <v>5113</v>
      </c>
      <c r="I376" s="32" t="s">
        <v>5114</v>
      </c>
      <c r="J376" s="32" t="s">
        <v>3749</v>
      </c>
      <c r="K376" s="32" t="s">
        <v>2081</v>
      </c>
      <c r="L376" s="0" t="n">
        <v>120</v>
      </c>
      <c r="M376" s="32" t="s">
        <v>4165</v>
      </c>
      <c r="N376" s="32" t="s">
        <v>3751</v>
      </c>
      <c r="O376" s="32" t="n">
        <f aca="false">IF(I376="","",ROUND(MOD(TIMEVALUE(I376)-TIMEVALUE(F376),1)*1440,0))</f>
        <v>120</v>
      </c>
      <c r="P376" s="0" t="str">
        <f aca="false">IF(COUNTIF($A$2:A376,A376)&gt;1,"DUP","")</f>
        <v/>
      </c>
      <c r="Q376" s="0" t="str">
        <f aca="false">IF(O376="","",IF(O376&gt;240,"Y","N"))</f>
        <v>N</v>
      </c>
    </row>
    <row r="377" customFormat="false" ht="15" hidden="false" customHeight="false" outlineLevel="0" collapsed="false">
      <c r="A377" s="0" t="s">
        <v>5115</v>
      </c>
      <c r="B377" s="0" t="s">
        <v>5116</v>
      </c>
      <c r="C377" s="0" t="s">
        <v>1009</v>
      </c>
      <c r="D377" s="31" t="n">
        <v>28151</v>
      </c>
      <c r="E377" s="31" t="n">
        <v>45602</v>
      </c>
      <c r="F377" s="32" t="s">
        <v>5117</v>
      </c>
      <c r="G377" s="0" t="n">
        <v>4</v>
      </c>
      <c r="H377" s="32" t="s">
        <v>3923</v>
      </c>
      <c r="I377" s="32" t="s">
        <v>5118</v>
      </c>
      <c r="J377" s="32" t="s">
        <v>3749</v>
      </c>
      <c r="K377" s="32" t="s">
        <v>2081</v>
      </c>
      <c r="L377" s="0" t="n">
        <v>52</v>
      </c>
      <c r="M377" s="32" t="s">
        <v>3993</v>
      </c>
      <c r="N377" s="32" t="s">
        <v>3751</v>
      </c>
      <c r="O377" s="32" t="n">
        <f aca="false">IF(I377="","",ROUND(MOD(TIMEVALUE(I377)-TIMEVALUE(F377),1)*1440,0))</f>
        <v>52</v>
      </c>
      <c r="P377" s="0" t="str">
        <f aca="false">IF(COUNTIF($A$2:A377,A377)&gt;1,"DUP","")</f>
        <v/>
      </c>
      <c r="Q377" s="0" t="str">
        <f aca="false">IF(O377="","",IF(O377&gt;240,"Y","N"))</f>
        <v>N</v>
      </c>
    </row>
    <row r="378" customFormat="false" ht="15" hidden="false" customHeight="false" outlineLevel="0" collapsed="false">
      <c r="A378" s="0" t="s">
        <v>5119</v>
      </c>
      <c r="B378" s="0" t="s">
        <v>5120</v>
      </c>
      <c r="C378" s="0" t="s">
        <v>1460</v>
      </c>
      <c r="D378" s="31" t="n">
        <v>13660</v>
      </c>
      <c r="E378" s="31" t="n">
        <v>45577</v>
      </c>
      <c r="F378" s="32" t="s">
        <v>4402</v>
      </c>
      <c r="G378" s="0" t="n">
        <v>5</v>
      </c>
      <c r="H378" s="32" t="s">
        <v>4464</v>
      </c>
      <c r="J378" s="32" t="s">
        <v>3749</v>
      </c>
      <c r="M378" s="32" t="s">
        <v>3782</v>
      </c>
      <c r="N378" s="32" t="s">
        <v>3751</v>
      </c>
      <c r="O378" s="0" t="str">
        <f aca="false">IF(I378="","",ROUND(MOD(TIMEVALUE(I378)-TIMEVALUE(F378),1)*1440,0))</f>
        <v/>
      </c>
      <c r="P378" s="0" t="str">
        <f aca="false">IF(COUNTIF($A$2:A378,A378)&gt;1,"DUP","")</f>
        <v/>
      </c>
      <c r="Q378" s="0" t="str">
        <f aca="false">IF(O378="","",IF(O378&gt;240,"Y","N"))</f>
        <v/>
      </c>
    </row>
    <row r="379" customFormat="false" ht="15" hidden="false" customHeight="false" outlineLevel="0" collapsed="false">
      <c r="A379" s="0" t="s">
        <v>5121</v>
      </c>
      <c r="B379" s="0" t="s">
        <v>4471</v>
      </c>
      <c r="C379" s="0" t="s">
        <v>1410</v>
      </c>
      <c r="D379" s="31" t="n">
        <v>23702</v>
      </c>
      <c r="E379" s="31" t="n">
        <v>45578</v>
      </c>
      <c r="F379" s="32" t="s">
        <v>5122</v>
      </c>
      <c r="G379" s="0" t="n">
        <v>3</v>
      </c>
      <c r="H379" s="32" t="s">
        <v>5123</v>
      </c>
      <c r="I379" s="32" t="s">
        <v>5026</v>
      </c>
      <c r="J379" s="32" t="s">
        <v>3749</v>
      </c>
      <c r="K379" s="32" t="s">
        <v>2081</v>
      </c>
      <c r="L379" s="0" t="n">
        <v>211</v>
      </c>
      <c r="M379" s="32" t="s">
        <v>3843</v>
      </c>
      <c r="N379" s="32" t="s">
        <v>3751</v>
      </c>
      <c r="O379" s="32" t="n">
        <f aca="false">IF(I379="","",ROUND(MOD(TIMEVALUE(I379)-TIMEVALUE(F379),1)*1440,0))</f>
        <v>211</v>
      </c>
      <c r="P379" s="0" t="str">
        <f aca="false">IF(COUNTIF($A$2:A379,A379)&gt;1,"DUP","")</f>
        <v/>
      </c>
      <c r="Q379" s="0" t="str">
        <f aca="false">IF(O379="","",IF(O379&gt;240,"Y","N"))</f>
        <v>N</v>
      </c>
    </row>
    <row r="380" customFormat="false" ht="15" hidden="false" customHeight="false" outlineLevel="0" collapsed="false">
      <c r="A380" s="0" t="s">
        <v>5124</v>
      </c>
      <c r="C380" s="0" t="s">
        <v>1013</v>
      </c>
      <c r="D380" s="31" t="n">
        <v>15129</v>
      </c>
      <c r="E380" s="31" t="n">
        <v>45731</v>
      </c>
      <c r="F380" s="32" t="s">
        <v>5125</v>
      </c>
      <c r="G380" s="0" t="n">
        <v>3</v>
      </c>
      <c r="H380" s="32" t="s">
        <v>5126</v>
      </c>
      <c r="I380" s="32" t="s">
        <v>4890</v>
      </c>
      <c r="J380" s="32" t="s">
        <v>3749</v>
      </c>
      <c r="K380" s="32" t="s">
        <v>2081</v>
      </c>
      <c r="L380" s="0" t="n">
        <v>239</v>
      </c>
      <c r="M380" s="32" t="s">
        <v>4031</v>
      </c>
      <c r="N380" s="32" t="s">
        <v>3751</v>
      </c>
      <c r="O380" s="32" t="n">
        <f aca="false">IF(I380="","",ROUND(MOD(TIMEVALUE(I380)-TIMEVALUE(F380),1)*1440,0))</f>
        <v>239</v>
      </c>
      <c r="P380" s="0" t="str">
        <f aca="false">IF(COUNTIF($A$2:A380,A380)&gt;1,"DUP","")</f>
        <v/>
      </c>
      <c r="Q380" s="0" t="str">
        <f aca="false">IF(O380="","",IF(O380&gt;240,"Y","N"))</f>
        <v>N</v>
      </c>
    </row>
    <row r="381" customFormat="false" ht="15" hidden="false" customHeight="false" outlineLevel="0" collapsed="false">
      <c r="A381" s="0" t="s">
        <v>5094</v>
      </c>
      <c r="B381" s="0" t="s">
        <v>4980</v>
      </c>
      <c r="C381" s="0" t="s">
        <v>1393</v>
      </c>
      <c r="D381" s="31" t="n">
        <v>17435</v>
      </c>
      <c r="E381" s="31" t="n">
        <v>45726</v>
      </c>
      <c r="F381" s="32" t="s">
        <v>5095</v>
      </c>
      <c r="G381" s="0" t="n">
        <v>3</v>
      </c>
      <c r="H381" s="32" t="s">
        <v>5096</v>
      </c>
      <c r="I381" s="32" t="s">
        <v>3885</v>
      </c>
      <c r="J381" s="32" t="s">
        <v>3749</v>
      </c>
      <c r="K381" s="32" t="s">
        <v>2081</v>
      </c>
      <c r="L381" s="0" t="n">
        <v>103</v>
      </c>
      <c r="M381" s="32" t="s">
        <v>3882</v>
      </c>
      <c r="N381" s="32" t="s">
        <v>3751</v>
      </c>
      <c r="O381" s="32" t="n">
        <f aca="false">IF(I381="","",ROUND(MOD(TIMEVALUE(I381)-TIMEVALUE(F381),1)*1440,0))</f>
        <v>103</v>
      </c>
      <c r="P381" s="0" t="str">
        <f aca="false">IF(COUNTIF($A$2:A381,A381)&gt;1,"DUP","")</f>
        <v>DUP</v>
      </c>
      <c r="Q381" s="0" t="str">
        <f aca="false">IF(O381="","",IF(O381&gt;240,"Y","N"))</f>
        <v>N</v>
      </c>
    </row>
    <row r="382" customFormat="false" ht="15" hidden="false" customHeight="false" outlineLevel="0" collapsed="false">
      <c r="A382" s="0" t="s">
        <v>5127</v>
      </c>
      <c r="B382" s="0" t="s">
        <v>4834</v>
      </c>
      <c r="C382" s="0" t="s">
        <v>825</v>
      </c>
      <c r="D382" s="31" t="n">
        <v>14227</v>
      </c>
      <c r="E382" s="31" t="n">
        <v>45693</v>
      </c>
      <c r="F382" s="32" t="s">
        <v>4403</v>
      </c>
      <c r="G382" s="0" t="n">
        <v>5</v>
      </c>
      <c r="H382" s="32" t="s">
        <v>5128</v>
      </c>
      <c r="I382" s="32" t="s">
        <v>5129</v>
      </c>
      <c r="J382" s="32" t="s">
        <v>3749</v>
      </c>
      <c r="K382" s="32" t="s">
        <v>2081</v>
      </c>
      <c r="L382" s="0" t="n">
        <v>124</v>
      </c>
      <c r="M382" s="32" t="s">
        <v>4409</v>
      </c>
      <c r="N382" s="32" t="s">
        <v>3751</v>
      </c>
      <c r="O382" s="32" t="n">
        <f aca="false">IF(I382="","",ROUND(MOD(TIMEVALUE(I382)-TIMEVALUE(F382),1)*1440,0))</f>
        <v>124</v>
      </c>
      <c r="P382" s="0" t="str">
        <f aca="false">IF(COUNTIF($A$2:A382,A382)&gt;1,"DUP","")</f>
        <v/>
      </c>
      <c r="Q382" s="0" t="str">
        <f aca="false">IF(O382="","",IF(O382&gt;240,"Y","N"))</f>
        <v>N</v>
      </c>
    </row>
    <row r="383" customFormat="false" ht="15" hidden="false" customHeight="false" outlineLevel="0" collapsed="false">
      <c r="A383" s="0" t="s">
        <v>5130</v>
      </c>
      <c r="B383" s="0" t="s">
        <v>4013</v>
      </c>
      <c r="C383" s="0" t="s">
        <v>1009</v>
      </c>
      <c r="D383" s="31" t="n">
        <v>20685</v>
      </c>
      <c r="E383" s="31" t="n">
        <v>45625</v>
      </c>
      <c r="F383" s="32" t="s">
        <v>3746</v>
      </c>
      <c r="G383" s="0" t="n">
        <v>3</v>
      </c>
      <c r="H383" s="32" t="s">
        <v>5131</v>
      </c>
      <c r="I383" s="32" t="s">
        <v>4484</v>
      </c>
      <c r="J383" s="32" t="s">
        <v>3749</v>
      </c>
      <c r="K383" s="32" t="s">
        <v>2081</v>
      </c>
      <c r="L383" s="0" t="n">
        <v>204</v>
      </c>
      <c r="M383" s="32" t="s">
        <v>4031</v>
      </c>
      <c r="N383" s="32" t="s">
        <v>3751</v>
      </c>
      <c r="O383" s="32" t="n">
        <f aca="false">IF(I383="","",ROUND(MOD(TIMEVALUE(I383)-TIMEVALUE(F383),1)*1440,0))</f>
        <v>204</v>
      </c>
      <c r="P383" s="0" t="str">
        <f aca="false">IF(COUNTIF($A$2:A383,A383)&gt;1,"DUP","")</f>
        <v/>
      </c>
      <c r="Q383" s="0" t="str">
        <f aca="false">IF(O383="","",IF(O383&gt;240,"Y","N"))</f>
        <v>N</v>
      </c>
    </row>
    <row r="384" customFormat="false" ht="15" hidden="false" customHeight="false" outlineLevel="0" collapsed="false">
      <c r="A384" s="0" t="s">
        <v>5132</v>
      </c>
      <c r="B384" s="0" t="s">
        <v>4649</v>
      </c>
      <c r="C384" s="0" t="s">
        <v>874</v>
      </c>
      <c r="D384" s="31" t="n">
        <v>36135</v>
      </c>
      <c r="E384" s="31" t="n">
        <v>45617</v>
      </c>
      <c r="F384" s="32" t="s">
        <v>5046</v>
      </c>
      <c r="G384" s="0" t="n">
        <v>3</v>
      </c>
      <c r="H384" s="32" t="s">
        <v>5133</v>
      </c>
      <c r="I384" s="32" t="s">
        <v>4434</v>
      </c>
      <c r="J384" s="32" t="s">
        <v>3749</v>
      </c>
      <c r="K384" s="32" t="s">
        <v>2106</v>
      </c>
      <c r="L384" s="0" t="n">
        <v>512</v>
      </c>
      <c r="M384" s="32" t="s">
        <v>3902</v>
      </c>
      <c r="N384" s="32" t="s">
        <v>3751</v>
      </c>
      <c r="O384" s="32" t="n">
        <f aca="false">IF(I384="","",ROUND(MOD(TIMEVALUE(I384)-TIMEVALUE(F384),1)*1440,0))</f>
        <v>512</v>
      </c>
      <c r="P384" s="0" t="str">
        <f aca="false">IF(COUNTIF($A$2:A384,A384)&gt;1,"DUP","")</f>
        <v/>
      </c>
      <c r="Q384" s="0" t="str">
        <f aca="false">IF(O384="","",IF(O384&gt;240,"Y","N"))</f>
        <v>Y</v>
      </c>
    </row>
    <row r="385" customFormat="false" ht="15" hidden="false" customHeight="false" outlineLevel="0" collapsed="false">
      <c r="A385" s="0" t="s">
        <v>5134</v>
      </c>
      <c r="B385" s="0" t="s">
        <v>5059</v>
      </c>
      <c r="C385" s="0" t="s">
        <v>874</v>
      </c>
      <c r="D385" s="31" t="n">
        <v>21643</v>
      </c>
      <c r="E385" s="31" t="n">
        <v>45731</v>
      </c>
      <c r="F385" s="32" t="s">
        <v>5135</v>
      </c>
      <c r="G385" s="0" t="n">
        <v>4</v>
      </c>
      <c r="H385" s="32" t="s">
        <v>5136</v>
      </c>
      <c r="I385" s="32" t="s">
        <v>4358</v>
      </c>
      <c r="J385" s="32" t="s">
        <v>3763</v>
      </c>
      <c r="K385" s="32" t="s">
        <v>2081</v>
      </c>
      <c r="L385" s="0" t="n">
        <v>215</v>
      </c>
      <c r="M385" s="32" t="s">
        <v>4060</v>
      </c>
      <c r="N385" s="32" t="s">
        <v>3751</v>
      </c>
      <c r="O385" s="32" t="n">
        <f aca="false">IF(I385="","",ROUND(MOD(TIMEVALUE(I385)-TIMEVALUE(F385),1)*1440,0))</f>
        <v>215</v>
      </c>
      <c r="P385" s="0" t="str">
        <f aca="false">IF(COUNTIF($A$2:A385,A385)&gt;1,"DUP","")</f>
        <v/>
      </c>
      <c r="Q385" s="0" t="str">
        <f aca="false">IF(O385="","",IF(O385&gt;240,"Y","N"))</f>
        <v>N</v>
      </c>
    </row>
    <row r="386" customFormat="false" ht="15" hidden="false" customHeight="false" outlineLevel="0" collapsed="false">
      <c r="A386" s="0" t="s">
        <v>5137</v>
      </c>
      <c r="B386" s="0" t="s">
        <v>4865</v>
      </c>
      <c r="C386" s="0" t="s">
        <v>2206</v>
      </c>
      <c r="D386" s="31" t="n">
        <v>37960</v>
      </c>
      <c r="E386" s="31" t="n">
        <v>45640</v>
      </c>
      <c r="F386" s="32" t="s">
        <v>5138</v>
      </c>
      <c r="G386" s="0" t="n">
        <v>4</v>
      </c>
      <c r="H386" s="32" t="s">
        <v>4485</v>
      </c>
      <c r="I386" s="32" t="s">
        <v>4054</v>
      </c>
      <c r="J386" s="32" t="s">
        <v>3793</v>
      </c>
      <c r="K386" s="32" t="s">
        <v>2081</v>
      </c>
      <c r="L386" s="0" t="n">
        <v>142</v>
      </c>
      <c r="M386" s="32" t="s">
        <v>3827</v>
      </c>
      <c r="N386" s="32" t="s">
        <v>826</v>
      </c>
      <c r="O386" s="32" t="n">
        <f aca="false">IF(I386="","",ROUND(MOD(TIMEVALUE(I386)-TIMEVALUE(F386),1)*1440,0))</f>
        <v>142</v>
      </c>
      <c r="P386" s="0" t="str">
        <f aca="false">IF(COUNTIF($A$2:A386,A386)&gt;1,"DUP","")</f>
        <v/>
      </c>
      <c r="Q386" s="0" t="str">
        <f aca="false">IF(O386="","",IF(O386&gt;240,"Y","N"))</f>
        <v>N</v>
      </c>
    </row>
    <row r="387" customFormat="false" ht="15" hidden="false" customHeight="false" outlineLevel="0" collapsed="false">
      <c r="A387" s="0" t="s">
        <v>5139</v>
      </c>
      <c r="B387" s="0" t="s">
        <v>4663</v>
      </c>
      <c r="C387" s="0" t="s">
        <v>1021</v>
      </c>
      <c r="D387" s="31" t="n">
        <v>27087</v>
      </c>
      <c r="E387" s="31" t="n">
        <v>45655</v>
      </c>
      <c r="F387" s="32" t="s">
        <v>3919</v>
      </c>
      <c r="G387" s="0" t="n">
        <v>3</v>
      </c>
      <c r="H387" s="32" t="s">
        <v>5140</v>
      </c>
      <c r="I387" s="32" t="s">
        <v>5068</v>
      </c>
      <c r="J387" s="32" t="s">
        <v>3793</v>
      </c>
      <c r="K387" s="32" t="s">
        <v>2106</v>
      </c>
      <c r="L387" s="0" t="n">
        <v>536</v>
      </c>
      <c r="M387" s="32" t="s">
        <v>3975</v>
      </c>
      <c r="N387" s="32" t="s">
        <v>818</v>
      </c>
      <c r="O387" s="32" t="n">
        <f aca="false">IF(I387="","",ROUND(MOD(TIMEVALUE(I387)-TIMEVALUE(F387),1)*1440,0))</f>
        <v>536</v>
      </c>
      <c r="P387" s="0" t="str">
        <f aca="false">IF(COUNTIF($A$2:A387,A387)&gt;1,"DUP","")</f>
        <v/>
      </c>
      <c r="Q387" s="0" t="str">
        <f aca="false">IF(O387="","",IF(O387&gt;240,"Y","N"))</f>
        <v>Y</v>
      </c>
    </row>
    <row r="388" customFormat="false" ht="15" hidden="false" customHeight="false" outlineLevel="0" collapsed="false">
      <c r="A388" s="0" t="s">
        <v>5141</v>
      </c>
      <c r="B388" s="0" t="s">
        <v>4921</v>
      </c>
      <c r="C388" s="0" t="s">
        <v>950</v>
      </c>
      <c r="D388" s="31" t="n">
        <v>30846</v>
      </c>
      <c r="E388" s="31" t="n">
        <v>45684</v>
      </c>
      <c r="F388" s="32" t="s">
        <v>5142</v>
      </c>
      <c r="G388" s="0" t="n">
        <v>5</v>
      </c>
      <c r="H388" s="32" t="s">
        <v>4159</v>
      </c>
      <c r="I388" s="32" t="s">
        <v>5143</v>
      </c>
      <c r="J388" s="32" t="s">
        <v>3749</v>
      </c>
      <c r="K388" s="32" t="s">
        <v>2081</v>
      </c>
      <c r="L388" s="0" t="n">
        <v>97</v>
      </c>
      <c r="M388" s="32" t="s">
        <v>3887</v>
      </c>
      <c r="N388" s="32" t="s">
        <v>3751</v>
      </c>
      <c r="O388" s="32" t="n">
        <f aca="false">IF(I388="","",ROUND(MOD(TIMEVALUE(I388)-TIMEVALUE(F388),1)*1440,0))</f>
        <v>97</v>
      </c>
      <c r="P388" s="0" t="str">
        <f aca="false">IF(COUNTIF($A$2:A388,A388)&gt;1,"DUP","")</f>
        <v/>
      </c>
      <c r="Q388" s="0" t="str">
        <f aca="false">IF(O388="","",IF(O388&gt;240,"Y","N"))</f>
        <v>N</v>
      </c>
    </row>
    <row r="389" customFormat="false" ht="15" hidden="false" customHeight="false" outlineLevel="0" collapsed="false">
      <c r="A389" s="0" t="s">
        <v>5144</v>
      </c>
      <c r="B389" s="0" t="s">
        <v>5052</v>
      </c>
      <c r="C389" s="0" t="s">
        <v>918</v>
      </c>
      <c r="D389" s="31" t="n">
        <v>19788</v>
      </c>
      <c r="E389" s="31" t="n">
        <v>45643</v>
      </c>
      <c r="F389" s="32" t="s">
        <v>4574</v>
      </c>
      <c r="G389" s="0" t="n">
        <v>3</v>
      </c>
      <c r="H389" s="32" t="s">
        <v>4661</v>
      </c>
      <c r="I389" s="32" t="s">
        <v>5145</v>
      </c>
      <c r="J389" s="32" t="s">
        <v>3749</v>
      </c>
      <c r="K389" s="32" t="s">
        <v>2081</v>
      </c>
      <c r="L389" s="0" t="n">
        <v>61</v>
      </c>
      <c r="M389" s="32" t="s">
        <v>3782</v>
      </c>
      <c r="N389" s="32" t="s">
        <v>3751</v>
      </c>
      <c r="O389" s="32" t="n">
        <f aca="false">IF(I389="","",ROUND(MOD(TIMEVALUE(I389)-TIMEVALUE(F389),1)*1440,0))</f>
        <v>61</v>
      </c>
      <c r="P389" s="0" t="str">
        <f aca="false">IF(COUNTIF($A$2:A389,A389)&gt;1,"DUP","")</f>
        <v/>
      </c>
      <c r="Q389" s="0" t="str">
        <f aca="false">IF(O389="","",IF(O389&gt;240,"Y","N"))</f>
        <v>N</v>
      </c>
    </row>
    <row r="390" customFormat="false" ht="15" hidden="false" customHeight="false" outlineLevel="0" collapsed="false">
      <c r="A390" s="0" t="s">
        <v>5146</v>
      </c>
      <c r="B390" s="0" t="s">
        <v>5147</v>
      </c>
      <c r="C390" s="0" t="s">
        <v>930</v>
      </c>
      <c r="D390" s="31" t="n">
        <v>39044</v>
      </c>
      <c r="E390" s="31" t="n">
        <v>45608</v>
      </c>
      <c r="F390" s="32" t="s">
        <v>5073</v>
      </c>
      <c r="G390" s="0" t="n">
        <v>3</v>
      </c>
      <c r="H390" s="32" t="s">
        <v>4581</v>
      </c>
      <c r="I390" s="32" t="s">
        <v>5148</v>
      </c>
      <c r="J390" s="32" t="s">
        <v>3749</v>
      </c>
      <c r="K390" s="32" t="s">
        <v>2081</v>
      </c>
      <c r="L390" s="0" t="n">
        <v>212</v>
      </c>
      <c r="M390" s="32" t="s">
        <v>3855</v>
      </c>
      <c r="N390" s="32" t="s">
        <v>3751</v>
      </c>
      <c r="O390" s="32" t="n">
        <f aca="false">IF(I390="","",ROUND(MOD(TIMEVALUE(I390)-TIMEVALUE(F390),1)*1440,0))</f>
        <v>212</v>
      </c>
      <c r="P390" s="0" t="str">
        <f aca="false">IF(COUNTIF($A$2:A390,A390)&gt;1,"DUP","")</f>
        <v/>
      </c>
      <c r="Q390" s="0" t="str">
        <f aca="false">IF(O390="","",IF(O390&gt;240,"Y","N"))</f>
        <v>N</v>
      </c>
    </row>
    <row r="391" customFormat="false" ht="15" hidden="false" customHeight="false" outlineLevel="0" collapsed="false">
      <c r="A391" s="0" t="s">
        <v>5149</v>
      </c>
      <c r="C391" s="0" t="s">
        <v>862</v>
      </c>
      <c r="D391" s="31" t="n">
        <v>34397</v>
      </c>
      <c r="E391" s="31" t="n">
        <v>45576</v>
      </c>
      <c r="F391" s="32" t="s">
        <v>5150</v>
      </c>
      <c r="G391" s="0" t="n">
        <v>4</v>
      </c>
      <c r="H391" s="32" t="s">
        <v>3964</v>
      </c>
      <c r="I391" s="32" t="s">
        <v>3990</v>
      </c>
      <c r="J391" s="32" t="s">
        <v>3749</v>
      </c>
      <c r="K391" s="32" t="s">
        <v>2081</v>
      </c>
      <c r="L391" s="0" t="n">
        <v>74</v>
      </c>
      <c r="M391" s="32" t="s">
        <v>4582</v>
      </c>
      <c r="N391" s="32" t="s">
        <v>3751</v>
      </c>
      <c r="O391" s="32" t="n">
        <f aca="false">IF(I391="","",ROUND(MOD(TIMEVALUE(I391)-TIMEVALUE(F391),1)*1440,0))</f>
        <v>74</v>
      </c>
      <c r="P391" s="0" t="str">
        <f aca="false">IF(COUNTIF($A$2:A391,A391)&gt;1,"DUP","")</f>
        <v/>
      </c>
      <c r="Q391" s="0" t="str">
        <f aca="false">IF(O391="","",IF(O391&gt;240,"Y","N"))</f>
        <v>N</v>
      </c>
    </row>
    <row r="392" customFormat="false" ht="15" hidden="false" customHeight="false" outlineLevel="0" collapsed="false">
      <c r="A392" s="0" t="s">
        <v>5151</v>
      </c>
      <c r="C392" s="0" t="s">
        <v>894</v>
      </c>
      <c r="D392" s="31" t="n">
        <v>26180</v>
      </c>
      <c r="E392" s="31" t="n">
        <v>45690</v>
      </c>
      <c r="F392" s="32" t="s">
        <v>4739</v>
      </c>
      <c r="G392" s="0" t="n">
        <v>3</v>
      </c>
      <c r="H392" s="32" t="s">
        <v>5152</v>
      </c>
      <c r="I392" s="32" t="s">
        <v>4780</v>
      </c>
      <c r="J392" s="32" t="s">
        <v>3749</v>
      </c>
      <c r="K392" s="32" t="s">
        <v>2081</v>
      </c>
      <c r="L392" s="0" t="n">
        <v>107</v>
      </c>
      <c r="M392" s="32" t="s">
        <v>4060</v>
      </c>
      <c r="N392" s="32" t="s">
        <v>3751</v>
      </c>
      <c r="O392" s="32" t="n">
        <f aca="false">IF(I392="","",ROUND(MOD(TIMEVALUE(I392)-TIMEVALUE(F392),1)*1440,0))</f>
        <v>107</v>
      </c>
      <c r="P392" s="0" t="str">
        <f aca="false">IF(COUNTIF($A$2:A392,A392)&gt;1,"DUP","")</f>
        <v/>
      </c>
      <c r="Q392" s="0" t="str">
        <f aca="false">IF(O392="","",IF(O392&gt;240,"Y","N"))</f>
        <v>N</v>
      </c>
    </row>
    <row r="393" customFormat="false" ht="15" hidden="false" customHeight="false" outlineLevel="0" collapsed="false">
      <c r="A393" s="0" t="s">
        <v>5153</v>
      </c>
      <c r="B393" s="0" t="s">
        <v>5154</v>
      </c>
      <c r="C393" s="0" t="s">
        <v>954</v>
      </c>
      <c r="D393" s="31" t="n">
        <v>27522</v>
      </c>
      <c r="E393" s="31" t="n">
        <v>45624</v>
      </c>
      <c r="F393" s="32" t="s">
        <v>4453</v>
      </c>
      <c r="G393" s="0" t="n">
        <v>4</v>
      </c>
      <c r="H393" s="32" t="s">
        <v>4319</v>
      </c>
      <c r="I393" s="32" t="s">
        <v>4221</v>
      </c>
      <c r="J393" s="32" t="s">
        <v>3749</v>
      </c>
      <c r="K393" s="32" t="s">
        <v>2081</v>
      </c>
      <c r="L393" s="0" t="n">
        <v>203</v>
      </c>
      <c r="M393" s="32" t="s">
        <v>4165</v>
      </c>
      <c r="N393" s="32" t="s">
        <v>3751</v>
      </c>
      <c r="O393" s="32" t="n">
        <f aca="false">IF(I393="","",ROUND(MOD(TIMEVALUE(I393)-TIMEVALUE(F393),1)*1440,0))</f>
        <v>203</v>
      </c>
      <c r="P393" s="0" t="str">
        <f aca="false">IF(COUNTIF($A$2:A393,A393)&gt;1,"DUP","")</f>
        <v/>
      </c>
      <c r="Q393" s="0" t="str">
        <f aca="false">IF(O393="","",IF(O393&gt;240,"Y","N"))</f>
        <v>N</v>
      </c>
    </row>
    <row r="394" customFormat="false" ht="15" hidden="false" customHeight="false" outlineLevel="0" collapsed="false">
      <c r="A394" s="0" t="s">
        <v>5155</v>
      </c>
      <c r="B394" s="0" t="s">
        <v>5156</v>
      </c>
      <c r="C394" s="0" t="s">
        <v>757</v>
      </c>
      <c r="D394" s="31" t="n">
        <v>17769</v>
      </c>
      <c r="E394" s="31" t="n">
        <v>45604</v>
      </c>
      <c r="F394" s="32" t="s">
        <v>4175</v>
      </c>
      <c r="G394" s="0" t="n">
        <v>4</v>
      </c>
      <c r="H394" s="32" t="s">
        <v>5055</v>
      </c>
      <c r="I394" s="32" t="s">
        <v>4577</v>
      </c>
      <c r="J394" s="32" t="s">
        <v>3749</v>
      </c>
      <c r="K394" s="32" t="s">
        <v>2081</v>
      </c>
      <c r="L394" s="0" t="n">
        <v>220</v>
      </c>
      <c r="M394" s="32" t="s">
        <v>3821</v>
      </c>
      <c r="N394" s="32" t="s">
        <v>3751</v>
      </c>
      <c r="O394" s="32" t="n">
        <f aca="false">IF(I394="","",ROUND(MOD(TIMEVALUE(I394)-TIMEVALUE(F394),1)*1440,0))</f>
        <v>220</v>
      </c>
      <c r="P394" s="0" t="str">
        <f aca="false">IF(COUNTIF($A$2:A394,A394)&gt;1,"DUP","")</f>
        <v/>
      </c>
      <c r="Q394" s="0" t="str">
        <f aca="false">IF(O394="","",IF(O394&gt;240,"Y","N"))</f>
        <v>N</v>
      </c>
    </row>
    <row r="395" customFormat="false" ht="15" hidden="false" customHeight="false" outlineLevel="0" collapsed="false">
      <c r="A395" s="0" t="s">
        <v>5157</v>
      </c>
      <c r="B395" s="0" t="s">
        <v>4727</v>
      </c>
      <c r="C395" s="0" t="s">
        <v>817</v>
      </c>
      <c r="D395" s="31" t="n">
        <v>24070</v>
      </c>
      <c r="E395" s="31" t="n">
        <v>45684</v>
      </c>
      <c r="F395" s="32" t="s">
        <v>4572</v>
      </c>
      <c r="G395" s="0" t="n">
        <v>3</v>
      </c>
      <c r="H395" s="32" t="s">
        <v>5158</v>
      </c>
      <c r="I395" s="32" t="s">
        <v>5159</v>
      </c>
      <c r="J395" s="32" t="s">
        <v>3749</v>
      </c>
      <c r="K395" s="32" t="s">
        <v>2106</v>
      </c>
      <c r="L395" s="0" t="n">
        <v>245</v>
      </c>
      <c r="M395" s="32" t="s">
        <v>3827</v>
      </c>
      <c r="N395" s="32" t="s">
        <v>3751</v>
      </c>
      <c r="O395" s="32" t="n">
        <f aca="false">IF(I395="","",ROUND(MOD(TIMEVALUE(I395)-TIMEVALUE(F395),1)*1440,0))</f>
        <v>245</v>
      </c>
      <c r="P395" s="0" t="str">
        <f aca="false">IF(COUNTIF($A$2:A395,A395)&gt;1,"DUP","")</f>
        <v/>
      </c>
      <c r="Q395" s="0" t="str">
        <f aca="false">IF(O395="","",IF(O395&gt;240,"Y","N"))</f>
        <v>Y</v>
      </c>
    </row>
    <row r="396" customFormat="false" ht="15" hidden="false" customHeight="false" outlineLevel="0" collapsed="false">
      <c r="A396" s="0" t="s">
        <v>5160</v>
      </c>
      <c r="B396" s="0" t="s">
        <v>5161</v>
      </c>
      <c r="C396" s="0" t="s">
        <v>1013</v>
      </c>
      <c r="D396" s="31" t="n">
        <v>33066</v>
      </c>
      <c r="E396" s="31" t="n">
        <v>45616</v>
      </c>
      <c r="F396" s="32" t="s">
        <v>5162</v>
      </c>
      <c r="G396" s="0" t="n">
        <v>3</v>
      </c>
      <c r="H396" s="32" t="s">
        <v>5129</v>
      </c>
      <c r="I396" s="32" t="s">
        <v>4965</v>
      </c>
      <c r="J396" s="32" t="s">
        <v>3749</v>
      </c>
      <c r="K396" s="32" t="s">
        <v>2106</v>
      </c>
      <c r="L396" s="0" t="n">
        <v>481</v>
      </c>
      <c r="M396" s="32" t="s">
        <v>3794</v>
      </c>
      <c r="N396" s="32" t="s">
        <v>3751</v>
      </c>
      <c r="O396" s="32" t="n">
        <f aca="false">IF(I396="","",ROUND(MOD(TIMEVALUE(I396)-TIMEVALUE(F396),1)*1440,0))</f>
        <v>481</v>
      </c>
      <c r="P396" s="0" t="str">
        <f aca="false">IF(COUNTIF($A$2:A396,A396)&gt;1,"DUP","")</f>
        <v/>
      </c>
      <c r="Q396" s="0" t="str">
        <f aca="false">IF(O396="","",IF(O396&gt;240,"Y","N"))</f>
        <v>Y</v>
      </c>
    </row>
    <row r="397" customFormat="false" ht="15" hidden="false" customHeight="false" outlineLevel="0" collapsed="false">
      <c r="A397" s="0" t="s">
        <v>5163</v>
      </c>
      <c r="B397" s="0" t="s">
        <v>5164</v>
      </c>
      <c r="C397" s="0" t="s">
        <v>2178</v>
      </c>
      <c r="D397" s="31" t="n">
        <v>26706</v>
      </c>
      <c r="E397" s="31" t="n">
        <v>45646</v>
      </c>
      <c r="F397" s="32" t="s">
        <v>5165</v>
      </c>
      <c r="G397" s="0" t="n">
        <v>3</v>
      </c>
      <c r="H397" s="32" t="s">
        <v>4573</v>
      </c>
      <c r="I397" s="32" t="s">
        <v>5166</v>
      </c>
      <c r="J397" s="32" t="s">
        <v>3749</v>
      </c>
      <c r="K397" s="32" t="s">
        <v>2081</v>
      </c>
      <c r="L397" s="0" t="n">
        <v>32</v>
      </c>
      <c r="M397" s="32" t="s">
        <v>3946</v>
      </c>
      <c r="N397" s="32" t="s">
        <v>3751</v>
      </c>
      <c r="O397" s="32" t="n">
        <f aca="false">IF(I397="","",ROUND(MOD(TIMEVALUE(I397)-TIMEVALUE(F397),1)*1440,0))</f>
        <v>32</v>
      </c>
      <c r="P397" s="0" t="str">
        <f aca="false">IF(COUNTIF($A$2:A397,A397)&gt;1,"DUP","")</f>
        <v/>
      </c>
      <c r="Q397" s="0" t="str">
        <f aca="false">IF(O397="","",IF(O397&gt;240,"Y","N"))</f>
        <v>N</v>
      </c>
    </row>
    <row r="398" customFormat="false" ht="15" hidden="false" customHeight="false" outlineLevel="0" collapsed="false">
      <c r="A398" s="0" t="s">
        <v>5167</v>
      </c>
      <c r="C398" s="0" t="s">
        <v>938</v>
      </c>
      <c r="D398" s="31" t="n">
        <v>19039</v>
      </c>
      <c r="E398" s="31" t="n">
        <v>45570</v>
      </c>
      <c r="F398" s="32" t="s">
        <v>5168</v>
      </c>
      <c r="G398" s="0" t="n">
        <v>3</v>
      </c>
      <c r="H398" s="32" t="s">
        <v>5169</v>
      </c>
      <c r="I398" s="32" t="s">
        <v>4238</v>
      </c>
      <c r="J398" s="32" t="s">
        <v>3763</v>
      </c>
      <c r="K398" s="32" t="s">
        <v>2081</v>
      </c>
      <c r="L398" s="0" t="n">
        <v>160</v>
      </c>
      <c r="M398" s="32" t="s">
        <v>3966</v>
      </c>
      <c r="N398" s="32" t="s">
        <v>3751</v>
      </c>
      <c r="O398" s="32" t="n">
        <f aca="false">IF(I398="","",ROUND(MOD(TIMEVALUE(I398)-TIMEVALUE(F398),1)*1440,0))</f>
        <v>160</v>
      </c>
      <c r="P398" s="0" t="str">
        <f aca="false">IF(COUNTIF($A$2:A398,A398)&gt;1,"DUP","")</f>
        <v/>
      </c>
      <c r="Q398" s="0" t="str">
        <f aca="false">IF(O398="","",IF(O398&gt;240,"Y","N"))</f>
        <v>N</v>
      </c>
    </row>
    <row r="399" customFormat="false" ht="15" hidden="false" customHeight="false" outlineLevel="0" collapsed="false">
      <c r="A399" s="0" t="s">
        <v>5170</v>
      </c>
      <c r="B399" s="0" t="s">
        <v>5078</v>
      </c>
      <c r="C399" s="0" t="s">
        <v>1453</v>
      </c>
      <c r="D399" s="31" t="n">
        <v>37008</v>
      </c>
      <c r="E399" s="31" t="n">
        <v>45606</v>
      </c>
      <c r="F399" s="32" t="s">
        <v>3786</v>
      </c>
      <c r="G399" s="0" t="n">
        <v>1</v>
      </c>
      <c r="H399" s="32" t="s">
        <v>4488</v>
      </c>
      <c r="J399" s="32" t="s">
        <v>3749</v>
      </c>
      <c r="M399" s="32" t="s">
        <v>3815</v>
      </c>
      <c r="N399" s="32" t="s">
        <v>3751</v>
      </c>
      <c r="O399" s="0" t="str">
        <f aca="false">IF(I399="","",ROUND(MOD(TIMEVALUE(I399)-TIMEVALUE(F399),1)*1440,0))</f>
        <v/>
      </c>
      <c r="P399" s="0" t="str">
        <f aca="false">IF(COUNTIF($A$2:A399,A399)&gt;1,"DUP","")</f>
        <v/>
      </c>
      <c r="Q399" s="0" t="str">
        <f aca="false">IF(O399="","",IF(O399&gt;240,"Y","N"))</f>
        <v/>
      </c>
    </row>
    <row r="400" customFormat="false" ht="15" hidden="false" customHeight="false" outlineLevel="0" collapsed="false">
      <c r="A400" s="0" t="s">
        <v>5171</v>
      </c>
      <c r="C400" s="0" t="s">
        <v>910</v>
      </c>
      <c r="D400" s="31" t="n">
        <v>24742</v>
      </c>
      <c r="E400" s="31" t="n">
        <v>45647</v>
      </c>
      <c r="F400" s="32" t="s">
        <v>4532</v>
      </c>
      <c r="G400" s="0" t="n">
        <v>4</v>
      </c>
      <c r="H400" s="32" t="s">
        <v>5172</v>
      </c>
      <c r="I400" s="32" t="s">
        <v>5173</v>
      </c>
      <c r="J400" s="32" t="s">
        <v>3749</v>
      </c>
      <c r="K400" s="32" t="s">
        <v>2081</v>
      </c>
      <c r="L400" s="0" t="n">
        <v>227</v>
      </c>
      <c r="M400" s="32" t="s">
        <v>3966</v>
      </c>
      <c r="N400" s="32" t="s">
        <v>3751</v>
      </c>
      <c r="O400" s="32" t="n">
        <f aca="false">IF(I400="","",ROUND(MOD(TIMEVALUE(I400)-TIMEVALUE(F400),1)*1440,0))</f>
        <v>227</v>
      </c>
      <c r="P400" s="0" t="str">
        <f aca="false">IF(COUNTIF($A$2:A400,A400)&gt;1,"DUP","")</f>
        <v/>
      </c>
      <c r="Q400" s="0" t="str">
        <f aca="false">IF(O400="","",IF(O400&gt;240,"Y","N"))</f>
        <v>N</v>
      </c>
    </row>
    <row r="401" customFormat="false" ht="15" hidden="false" customHeight="false" outlineLevel="0" collapsed="false">
      <c r="A401" s="0" t="s">
        <v>5174</v>
      </c>
      <c r="B401" s="0" t="s">
        <v>4613</v>
      </c>
      <c r="C401" s="0" t="s">
        <v>2206</v>
      </c>
      <c r="D401" s="31" t="n">
        <v>18584</v>
      </c>
      <c r="E401" s="31" t="n">
        <v>45628</v>
      </c>
      <c r="F401" s="32" t="s">
        <v>4126</v>
      </c>
      <c r="G401" s="0" t="n">
        <v>4</v>
      </c>
      <c r="H401" s="32" t="s">
        <v>5175</v>
      </c>
      <c r="J401" s="32" t="s">
        <v>3749</v>
      </c>
      <c r="M401" s="32" t="s">
        <v>3966</v>
      </c>
      <c r="N401" s="32" t="s">
        <v>3751</v>
      </c>
      <c r="O401" s="0" t="str">
        <f aca="false">IF(I401="","",ROUND(MOD(TIMEVALUE(I401)-TIMEVALUE(F401),1)*1440,0))</f>
        <v/>
      </c>
      <c r="P401" s="0" t="str">
        <f aca="false">IF(COUNTIF($A$2:A401,A401)&gt;1,"DUP","")</f>
        <v/>
      </c>
      <c r="Q401" s="0" t="str">
        <f aca="false">IF(O401="","",IF(O401&gt;240,"Y","N"))</f>
        <v/>
      </c>
    </row>
    <row r="402" customFormat="false" ht="15" hidden="false" customHeight="false" outlineLevel="0" collapsed="false">
      <c r="A402" s="0" t="s">
        <v>5176</v>
      </c>
      <c r="B402" s="0" t="s">
        <v>4467</v>
      </c>
      <c r="C402" s="0" t="s">
        <v>989</v>
      </c>
      <c r="D402" s="31" t="n">
        <v>27670</v>
      </c>
      <c r="E402" s="31" t="n">
        <v>45600</v>
      </c>
      <c r="F402" s="32" t="s">
        <v>4059</v>
      </c>
      <c r="G402" s="0" t="n">
        <v>5</v>
      </c>
      <c r="H402" s="32" t="s">
        <v>5177</v>
      </c>
      <c r="I402" s="32" t="s">
        <v>4170</v>
      </c>
      <c r="J402" s="32" t="s">
        <v>3749</v>
      </c>
      <c r="K402" s="32" t="s">
        <v>2081</v>
      </c>
      <c r="L402" s="0" t="n">
        <v>153</v>
      </c>
      <c r="M402" s="32" t="s">
        <v>3902</v>
      </c>
      <c r="N402" s="32" t="s">
        <v>3751</v>
      </c>
      <c r="O402" s="32" t="n">
        <f aca="false">IF(I402="","",ROUND(MOD(TIMEVALUE(I402)-TIMEVALUE(F402),1)*1440,0))</f>
        <v>153</v>
      </c>
      <c r="P402" s="0" t="str">
        <f aca="false">IF(COUNTIF($A$2:A402,A402)&gt;1,"DUP","")</f>
        <v/>
      </c>
      <c r="Q402" s="0" t="str">
        <f aca="false">IF(O402="","",IF(O402&gt;240,"Y","N"))</f>
        <v>N</v>
      </c>
    </row>
    <row r="403" customFormat="false" ht="15" hidden="false" customHeight="false" outlineLevel="0" collapsed="false">
      <c r="A403" s="0" t="s">
        <v>5178</v>
      </c>
      <c r="C403" s="0" t="s">
        <v>845</v>
      </c>
      <c r="D403" s="31" t="n">
        <v>34246</v>
      </c>
      <c r="E403" s="31" t="n">
        <v>45660</v>
      </c>
      <c r="F403" s="32" t="s">
        <v>5179</v>
      </c>
      <c r="G403" s="0" t="n">
        <v>5</v>
      </c>
      <c r="H403" s="32" t="s">
        <v>4093</v>
      </c>
      <c r="I403" s="32" t="s">
        <v>4996</v>
      </c>
      <c r="J403" s="32" t="s">
        <v>3763</v>
      </c>
      <c r="K403" s="32" t="s">
        <v>2081</v>
      </c>
      <c r="L403" s="0" t="n">
        <v>130</v>
      </c>
      <c r="M403" s="32" t="s">
        <v>4285</v>
      </c>
      <c r="N403" s="32" t="s">
        <v>3751</v>
      </c>
      <c r="O403" s="32" t="n">
        <f aca="false">IF(I403="","",ROUND(MOD(TIMEVALUE(I403)-TIMEVALUE(F403),1)*1440,0))</f>
        <v>130</v>
      </c>
      <c r="P403" s="0" t="str">
        <f aca="false">IF(COUNTIF($A$2:A403,A403)&gt;1,"DUP","")</f>
        <v/>
      </c>
      <c r="Q403" s="0" t="str">
        <f aca="false">IF(O403="","",IF(O403&gt;240,"Y","N"))</f>
        <v>N</v>
      </c>
    </row>
    <row r="404" customFormat="false" ht="15" hidden="false" customHeight="false" outlineLevel="0" collapsed="false">
      <c r="A404" s="0" t="s">
        <v>5180</v>
      </c>
      <c r="B404" s="0" t="s">
        <v>4776</v>
      </c>
      <c r="C404" s="0" t="s">
        <v>809</v>
      </c>
      <c r="D404" s="31" t="n">
        <v>22398</v>
      </c>
      <c r="E404" s="31" t="n">
        <v>45658</v>
      </c>
      <c r="F404" s="32" t="s">
        <v>5181</v>
      </c>
      <c r="G404" s="0" t="n">
        <v>3</v>
      </c>
      <c r="H404" s="32" t="s">
        <v>4105</v>
      </c>
      <c r="I404" s="32" t="s">
        <v>5165</v>
      </c>
      <c r="J404" s="32" t="s">
        <v>2307</v>
      </c>
      <c r="K404" s="32" t="s">
        <v>2081</v>
      </c>
      <c r="L404" s="0" t="n">
        <v>158</v>
      </c>
      <c r="M404" s="32" t="s">
        <v>3843</v>
      </c>
      <c r="N404" s="32" t="s">
        <v>3751</v>
      </c>
      <c r="O404" s="32" t="n">
        <f aca="false">IF(I404="","",ROUND(MOD(TIMEVALUE(I404)-TIMEVALUE(F404),1)*1440,0))</f>
        <v>158</v>
      </c>
      <c r="P404" s="0" t="str">
        <f aca="false">IF(COUNTIF($A$2:A404,A404)&gt;1,"DUP","")</f>
        <v/>
      </c>
      <c r="Q404" s="0" t="str">
        <f aca="false">IF(O404="","",IF(O404&gt;240,"Y","N"))</f>
        <v>N</v>
      </c>
    </row>
    <row r="405" customFormat="false" ht="15" hidden="false" customHeight="false" outlineLevel="0" collapsed="false">
      <c r="A405" s="0" t="s">
        <v>5146</v>
      </c>
      <c r="B405" s="0" t="s">
        <v>5147</v>
      </c>
      <c r="C405" s="0" t="s">
        <v>930</v>
      </c>
      <c r="D405" s="31" t="n">
        <v>39044</v>
      </c>
      <c r="E405" s="31" t="n">
        <v>45608</v>
      </c>
      <c r="F405" s="32" t="s">
        <v>5073</v>
      </c>
      <c r="G405" s="0" t="n">
        <v>3</v>
      </c>
      <c r="H405" s="32" t="s">
        <v>4581</v>
      </c>
      <c r="I405" s="32" t="s">
        <v>5148</v>
      </c>
      <c r="J405" s="32" t="s">
        <v>3749</v>
      </c>
      <c r="K405" s="32" t="s">
        <v>2081</v>
      </c>
      <c r="L405" s="0" t="n">
        <v>212</v>
      </c>
      <c r="M405" s="32" t="s">
        <v>4781</v>
      </c>
      <c r="N405" s="32" t="s">
        <v>3751</v>
      </c>
      <c r="O405" s="32" t="n">
        <f aca="false">IF(I405="","",ROUND(MOD(TIMEVALUE(I405)-TIMEVALUE(F405),1)*1440,0))</f>
        <v>212</v>
      </c>
      <c r="P405" s="0" t="str">
        <f aca="false">IF(COUNTIF($A$2:A405,A405)&gt;1,"DUP","")</f>
        <v>DUP</v>
      </c>
      <c r="Q405" s="0" t="str">
        <f aca="false">IF(O405="","",IF(O405&gt;240,"Y","N"))</f>
        <v>N</v>
      </c>
    </row>
    <row r="406" customFormat="false" ht="15" hidden="false" customHeight="false" outlineLevel="0" collapsed="false">
      <c r="A406" s="0" t="s">
        <v>5182</v>
      </c>
      <c r="B406" s="0" t="s">
        <v>4883</v>
      </c>
      <c r="C406" s="0" t="s">
        <v>2178</v>
      </c>
      <c r="D406" s="31" t="n">
        <v>13710</v>
      </c>
      <c r="E406" s="31" t="n">
        <v>45660</v>
      </c>
      <c r="F406" s="32" t="s">
        <v>5158</v>
      </c>
      <c r="G406" s="0" t="n">
        <v>5</v>
      </c>
      <c r="H406" s="32" t="s">
        <v>3870</v>
      </c>
      <c r="I406" s="32" t="s">
        <v>4822</v>
      </c>
      <c r="J406" s="32" t="s">
        <v>3749</v>
      </c>
      <c r="K406" s="32" t="s">
        <v>2081</v>
      </c>
      <c r="L406" s="0" t="n">
        <v>193</v>
      </c>
      <c r="M406" s="32" t="s">
        <v>3877</v>
      </c>
      <c r="N406" s="32" t="s">
        <v>3751</v>
      </c>
      <c r="O406" s="32" t="n">
        <f aca="false">IF(I406="","",ROUND(MOD(TIMEVALUE(I406)-TIMEVALUE(F406),1)*1440,0))</f>
        <v>193</v>
      </c>
      <c r="P406" s="0" t="str">
        <f aca="false">IF(COUNTIF($A$2:A406,A406)&gt;1,"DUP","")</f>
        <v/>
      </c>
      <c r="Q406" s="0" t="str">
        <f aca="false">IF(O406="","",IF(O406&gt;240,"Y","N"))</f>
        <v>N</v>
      </c>
    </row>
    <row r="407" customFormat="false" ht="15" hidden="false" customHeight="false" outlineLevel="0" collapsed="false">
      <c r="A407" s="0" t="s">
        <v>5183</v>
      </c>
      <c r="C407" s="0" t="s">
        <v>2225</v>
      </c>
      <c r="D407" s="31" t="n">
        <v>34671</v>
      </c>
      <c r="E407" s="31" t="n">
        <v>45590</v>
      </c>
      <c r="F407" s="32" t="s">
        <v>5184</v>
      </c>
      <c r="G407" s="0" t="n">
        <v>5</v>
      </c>
      <c r="H407" s="32" t="s">
        <v>5185</v>
      </c>
      <c r="I407" s="32" t="s">
        <v>4320</v>
      </c>
      <c r="J407" s="32" t="s">
        <v>2307</v>
      </c>
      <c r="K407" s="32" t="s">
        <v>2081</v>
      </c>
      <c r="L407" s="0" t="n">
        <v>171</v>
      </c>
      <c r="M407" s="32" t="s">
        <v>3827</v>
      </c>
      <c r="N407" s="32" t="s">
        <v>3751</v>
      </c>
      <c r="O407" s="32" t="n">
        <f aca="false">IF(I407="","",ROUND(MOD(TIMEVALUE(I407)-TIMEVALUE(F407),1)*1440,0))</f>
        <v>171</v>
      </c>
      <c r="P407" s="0" t="str">
        <f aca="false">IF(COUNTIF($A$2:A407,A407)&gt;1,"DUP","")</f>
        <v/>
      </c>
      <c r="Q407" s="0" t="str">
        <f aca="false">IF(O407="","",IF(O407&gt;240,"Y","N"))</f>
        <v>N</v>
      </c>
    </row>
    <row r="408" customFormat="false" ht="15" hidden="false" customHeight="false" outlineLevel="0" collapsed="false">
      <c r="A408" s="0" t="s">
        <v>5186</v>
      </c>
      <c r="B408" s="0" t="s">
        <v>4200</v>
      </c>
      <c r="C408" s="0" t="s">
        <v>898</v>
      </c>
      <c r="D408" s="31" t="n">
        <v>38295</v>
      </c>
      <c r="E408" s="31" t="n">
        <v>45686</v>
      </c>
      <c r="F408" s="32" t="s">
        <v>4330</v>
      </c>
      <c r="G408" s="0" t="n">
        <v>4</v>
      </c>
      <c r="H408" s="32" t="s">
        <v>4970</v>
      </c>
      <c r="I408" s="32" t="s">
        <v>5086</v>
      </c>
      <c r="J408" s="32" t="s">
        <v>3793</v>
      </c>
      <c r="K408" s="32" t="s">
        <v>2106</v>
      </c>
      <c r="L408" s="0" t="n">
        <v>242</v>
      </c>
      <c r="M408" s="32" t="s">
        <v>3925</v>
      </c>
      <c r="N408" s="32" t="s">
        <v>766</v>
      </c>
      <c r="O408" s="32" t="n">
        <f aca="false">IF(I408="","",ROUND(MOD(TIMEVALUE(I408)-TIMEVALUE(F408),1)*1440,0))</f>
        <v>242</v>
      </c>
      <c r="P408" s="0" t="str">
        <f aca="false">IF(COUNTIF($A$2:A408,A408)&gt;1,"DUP","")</f>
        <v/>
      </c>
      <c r="Q408" s="0" t="str">
        <f aca="false">IF(O408="","",IF(O408&gt;240,"Y","N"))</f>
        <v>Y</v>
      </c>
    </row>
    <row r="409" customFormat="false" ht="15" hidden="false" customHeight="false" outlineLevel="0" collapsed="false">
      <c r="A409" s="0" t="s">
        <v>5187</v>
      </c>
      <c r="B409" s="0" t="s">
        <v>5188</v>
      </c>
      <c r="C409" s="0" t="s">
        <v>2148</v>
      </c>
      <c r="D409" s="31" t="n">
        <v>22925</v>
      </c>
      <c r="E409" s="31" t="n">
        <v>45701</v>
      </c>
      <c r="F409" s="32" t="s">
        <v>5073</v>
      </c>
      <c r="G409" s="0" t="n">
        <v>4</v>
      </c>
      <c r="H409" s="32" t="s">
        <v>5189</v>
      </c>
      <c r="I409" s="32" t="s">
        <v>5190</v>
      </c>
      <c r="J409" s="32" t="s">
        <v>3749</v>
      </c>
      <c r="L409" s="0" t="n">
        <v>-46</v>
      </c>
      <c r="M409" s="32" t="s">
        <v>4267</v>
      </c>
      <c r="N409" s="32" t="s">
        <v>3751</v>
      </c>
      <c r="O409" s="32" t="n">
        <f aca="false">IF(I409="","",ROUND(MOD(TIMEVALUE(I409)-TIMEVALUE(F409),1)*1440,0))</f>
        <v>369</v>
      </c>
      <c r="P409" s="0" t="str">
        <f aca="false">IF(COUNTIF($A$2:A409,A409)&gt;1,"DUP","")</f>
        <v/>
      </c>
      <c r="Q409" s="0" t="str">
        <f aca="false">IF(O409="","",IF(O409&gt;240,"Y","N"))</f>
        <v>Y</v>
      </c>
    </row>
    <row r="410" customFormat="false" ht="15" hidden="false" customHeight="false" outlineLevel="0" collapsed="false">
      <c r="A410" s="0" t="s">
        <v>5191</v>
      </c>
      <c r="B410" s="0" t="s">
        <v>4773</v>
      </c>
      <c r="C410" s="0" t="s">
        <v>849</v>
      </c>
      <c r="D410" s="31" t="n">
        <v>16734</v>
      </c>
      <c r="E410" s="31" t="n">
        <v>45712</v>
      </c>
      <c r="F410" s="32" t="s">
        <v>5192</v>
      </c>
      <c r="G410" s="0" t="n">
        <v>3</v>
      </c>
      <c r="H410" s="32" t="s">
        <v>4262</v>
      </c>
      <c r="I410" s="32" t="s">
        <v>5193</v>
      </c>
      <c r="J410" s="32" t="s">
        <v>3763</v>
      </c>
      <c r="K410" s="32" t="s">
        <v>2081</v>
      </c>
      <c r="L410" s="0" t="n">
        <v>88</v>
      </c>
      <c r="M410" s="32" t="s">
        <v>3882</v>
      </c>
      <c r="N410" s="32" t="s">
        <v>3751</v>
      </c>
      <c r="O410" s="32" t="n">
        <f aca="false">IF(I410="","",ROUND(MOD(TIMEVALUE(I410)-TIMEVALUE(F410),1)*1440,0))</f>
        <v>88</v>
      </c>
      <c r="P410" s="0" t="str">
        <f aca="false">IF(COUNTIF($A$2:A410,A410)&gt;1,"DUP","")</f>
        <v/>
      </c>
      <c r="Q410" s="0" t="str">
        <f aca="false">IF(O410="","",IF(O410&gt;240,"Y","N"))</f>
        <v>N</v>
      </c>
    </row>
    <row r="411" customFormat="false" ht="15" hidden="false" customHeight="false" outlineLevel="0" collapsed="false">
      <c r="A411" s="0" t="s">
        <v>5194</v>
      </c>
      <c r="B411" s="0" t="s">
        <v>5101</v>
      </c>
      <c r="C411" s="0" t="s">
        <v>784</v>
      </c>
      <c r="D411" s="31" t="n">
        <v>21111</v>
      </c>
      <c r="E411" s="31" t="n">
        <v>45656</v>
      </c>
      <c r="F411" s="32" t="s">
        <v>4568</v>
      </c>
      <c r="G411" s="0" t="n">
        <v>3</v>
      </c>
      <c r="H411" s="32" t="s">
        <v>5195</v>
      </c>
      <c r="I411" s="32" t="s">
        <v>4576</v>
      </c>
      <c r="J411" s="32" t="s">
        <v>3793</v>
      </c>
      <c r="K411" s="32" t="s">
        <v>2081</v>
      </c>
      <c r="L411" s="0" t="n">
        <v>201</v>
      </c>
      <c r="M411" s="32" t="s">
        <v>3993</v>
      </c>
      <c r="N411" s="32" t="s">
        <v>802</v>
      </c>
      <c r="O411" s="32" t="n">
        <f aca="false">IF(I411="","",ROUND(MOD(TIMEVALUE(I411)-TIMEVALUE(F411),1)*1440,0))</f>
        <v>201</v>
      </c>
      <c r="P411" s="0" t="str">
        <f aca="false">IF(COUNTIF($A$2:A411,A411)&gt;1,"DUP","")</f>
        <v/>
      </c>
      <c r="Q411" s="0" t="str">
        <f aca="false">IF(O411="","",IF(O411&gt;240,"Y","N"))</f>
        <v>N</v>
      </c>
    </row>
    <row r="412" customFormat="false" ht="15" hidden="false" customHeight="false" outlineLevel="0" collapsed="false">
      <c r="A412" s="0" t="s">
        <v>5196</v>
      </c>
      <c r="B412" s="0" t="s">
        <v>4834</v>
      </c>
      <c r="C412" s="0" t="s">
        <v>1426</v>
      </c>
      <c r="D412" s="31" t="n">
        <v>39296</v>
      </c>
      <c r="E412" s="31" t="n">
        <v>45597</v>
      </c>
      <c r="F412" s="32" t="s">
        <v>5197</v>
      </c>
      <c r="G412" s="0" t="n">
        <v>5</v>
      </c>
      <c r="H412" s="32" t="s">
        <v>4355</v>
      </c>
      <c r="I412" s="32" t="s">
        <v>4254</v>
      </c>
      <c r="J412" s="32" t="s">
        <v>3749</v>
      </c>
      <c r="K412" s="32" t="s">
        <v>2081</v>
      </c>
      <c r="L412" s="0" t="n">
        <v>103</v>
      </c>
      <c r="M412" s="32" t="s">
        <v>3882</v>
      </c>
      <c r="N412" s="32" t="s">
        <v>3751</v>
      </c>
      <c r="O412" s="32" t="n">
        <f aca="false">IF(I412="","",ROUND(MOD(TIMEVALUE(I412)-TIMEVALUE(F412),1)*1440,0))</f>
        <v>103</v>
      </c>
      <c r="P412" s="0" t="str">
        <f aca="false">IF(COUNTIF($A$2:A412,A412)&gt;1,"DUP","")</f>
        <v/>
      </c>
      <c r="Q412" s="0" t="str">
        <f aca="false">IF(O412="","",IF(O412&gt;240,"Y","N"))</f>
        <v>N</v>
      </c>
    </row>
    <row r="413" customFormat="false" ht="15" hidden="false" customHeight="false" outlineLevel="0" collapsed="false">
      <c r="A413" s="0" t="s">
        <v>5198</v>
      </c>
      <c r="B413" s="0" t="s">
        <v>4874</v>
      </c>
      <c r="C413" s="0" t="s">
        <v>857</v>
      </c>
      <c r="D413" s="31" t="n">
        <v>35029</v>
      </c>
      <c r="E413" s="31" t="n">
        <v>45734</v>
      </c>
      <c r="F413" s="32" t="s">
        <v>4530</v>
      </c>
      <c r="G413" s="0" t="n">
        <v>4</v>
      </c>
      <c r="H413" s="32" t="s">
        <v>4113</v>
      </c>
      <c r="I413" s="32" t="s">
        <v>3836</v>
      </c>
      <c r="J413" s="32" t="s">
        <v>3763</v>
      </c>
      <c r="K413" s="32" t="s">
        <v>2081</v>
      </c>
      <c r="L413" s="0" t="n">
        <v>187</v>
      </c>
      <c r="M413" s="32" t="s">
        <v>3966</v>
      </c>
      <c r="N413" s="32" t="s">
        <v>3751</v>
      </c>
      <c r="O413" s="32" t="n">
        <f aca="false">IF(I413="","",ROUND(MOD(TIMEVALUE(I413)-TIMEVALUE(F413),1)*1440,0))</f>
        <v>187</v>
      </c>
      <c r="P413" s="0" t="str">
        <f aca="false">IF(COUNTIF($A$2:A413,A413)&gt;1,"DUP","")</f>
        <v/>
      </c>
      <c r="Q413" s="0" t="str">
        <f aca="false">IF(O413="","",IF(O413&gt;240,"Y","N"))</f>
        <v>N</v>
      </c>
    </row>
    <row r="414" customFormat="false" ht="15" hidden="false" customHeight="false" outlineLevel="0" collapsed="false">
      <c r="A414" s="0" t="s">
        <v>5186</v>
      </c>
      <c r="B414" s="0" t="s">
        <v>4200</v>
      </c>
      <c r="C414" s="0" t="s">
        <v>898</v>
      </c>
      <c r="D414" s="31" t="n">
        <v>38295</v>
      </c>
      <c r="E414" s="31" t="n">
        <v>45686</v>
      </c>
      <c r="F414" s="32" t="s">
        <v>4330</v>
      </c>
      <c r="G414" s="0" t="n">
        <v>4</v>
      </c>
      <c r="H414" s="32" t="s">
        <v>4970</v>
      </c>
      <c r="I414" s="32" t="s">
        <v>5086</v>
      </c>
      <c r="J414" s="32" t="s">
        <v>3793</v>
      </c>
      <c r="K414" s="32" t="s">
        <v>2106</v>
      </c>
      <c r="L414" s="0" t="n">
        <v>242</v>
      </c>
      <c r="M414" s="32" t="s">
        <v>3866</v>
      </c>
      <c r="N414" s="32" t="s">
        <v>766</v>
      </c>
      <c r="O414" s="32" t="n">
        <f aca="false">IF(I414="","",ROUND(MOD(TIMEVALUE(I414)-TIMEVALUE(F414),1)*1440,0))</f>
        <v>242</v>
      </c>
      <c r="P414" s="0" t="str">
        <f aca="false">IF(COUNTIF($A$2:A414,A414)&gt;1,"DUP","")</f>
        <v>DUP</v>
      </c>
      <c r="Q414" s="0" t="str">
        <f aca="false">IF(O414="","",IF(O414&gt;240,"Y","N"))</f>
        <v>Y</v>
      </c>
    </row>
    <row r="415" customFormat="false" ht="15" hidden="false" customHeight="false" outlineLevel="0" collapsed="false">
      <c r="A415" s="0" t="s">
        <v>5199</v>
      </c>
      <c r="B415" s="0" t="s">
        <v>4487</v>
      </c>
      <c r="C415" s="0" t="s">
        <v>938</v>
      </c>
      <c r="D415" s="31" t="n">
        <v>25129</v>
      </c>
      <c r="E415" s="31" t="n">
        <v>45635</v>
      </c>
      <c r="F415" s="32" t="s">
        <v>4145</v>
      </c>
      <c r="G415" s="0" t="n">
        <v>5</v>
      </c>
      <c r="H415" s="32" t="s">
        <v>5200</v>
      </c>
      <c r="I415" s="32" t="s">
        <v>5201</v>
      </c>
      <c r="J415" s="32" t="s">
        <v>2307</v>
      </c>
      <c r="K415" s="32" t="s">
        <v>2081</v>
      </c>
      <c r="L415" s="0" t="n">
        <v>82</v>
      </c>
      <c r="M415" s="32" t="s">
        <v>4141</v>
      </c>
      <c r="N415" s="32" t="s">
        <v>3751</v>
      </c>
      <c r="O415" s="32" t="n">
        <f aca="false">IF(I415="","",ROUND(MOD(TIMEVALUE(I415)-TIMEVALUE(F415),1)*1440,0))</f>
        <v>82</v>
      </c>
      <c r="P415" s="0" t="str">
        <f aca="false">IF(COUNTIF($A$2:A415,A415)&gt;1,"DUP","")</f>
        <v/>
      </c>
      <c r="Q415" s="0" t="str">
        <f aca="false">IF(O415="","",IF(O415&gt;240,"Y","N"))</f>
        <v>N</v>
      </c>
    </row>
    <row r="416" customFormat="false" ht="15" hidden="false" customHeight="false" outlineLevel="0" collapsed="false">
      <c r="A416" s="0" t="s">
        <v>5202</v>
      </c>
      <c r="B416" s="0" t="s">
        <v>5203</v>
      </c>
      <c r="C416" s="0" t="s">
        <v>833</v>
      </c>
      <c r="D416" s="31" t="n">
        <v>37574</v>
      </c>
      <c r="E416" s="31" t="n">
        <v>45573</v>
      </c>
      <c r="F416" s="32" t="s">
        <v>4148</v>
      </c>
      <c r="G416" s="0" t="n">
        <v>3</v>
      </c>
      <c r="H416" s="32" t="s">
        <v>4984</v>
      </c>
      <c r="I416" s="32" t="s">
        <v>5041</v>
      </c>
      <c r="J416" s="32" t="s">
        <v>3749</v>
      </c>
      <c r="K416" s="32" t="s">
        <v>2106</v>
      </c>
      <c r="L416" s="0" t="n">
        <v>338</v>
      </c>
      <c r="M416" s="32" t="s">
        <v>4122</v>
      </c>
      <c r="N416" s="32" t="s">
        <v>3751</v>
      </c>
      <c r="O416" s="32" t="n">
        <f aca="false">IF(I416="","",ROUND(MOD(TIMEVALUE(I416)-TIMEVALUE(F416),1)*1440,0))</f>
        <v>338</v>
      </c>
      <c r="P416" s="0" t="str">
        <f aca="false">IF(COUNTIF($A$2:A416,A416)&gt;1,"DUP","")</f>
        <v/>
      </c>
      <c r="Q416" s="0" t="str">
        <f aca="false">IF(O416="","",IF(O416&gt;240,"Y","N"))</f>
        <v>Y</v>
      </c>
    </row>
    <row r="417" customFormat="false" ht="15" hidden="false" customHeight="false" outlineLevel="0" collapsed="false">
      <c r="A417" s="0" t="s">
        <v>5204</v>
      </c>
      <c r="B417" s="0" t="s">
        <v>4515</v>
      </c>
      <c r="C417" s="0" t="s">
        <v>784</v>
      </c>
      <c r="D417" s="31" t="n">
        <v>14752</v>
      </c>
      <c r="E417" s="31" t="n">
        <v>45637</v>
      </c>
      <c r="F417" s="32" t="s">
        <v>4175</v>
      </c>
      <c r="G417" s="0" t="n">
        <v>3</v>
      </c>
      <c r="H417" s="32" t="s">
        <v>5205</v>
      </c>
      <c r="I417" s="32" t="s">
        <v>5206</v>
      </c>
      <c r="J417" s="32" t="s">
        <v>2307</v>
      </c>
      <c r="K417" s="32" t="s">
        <v>2106</v>
      </c>
      <c r="L417" s="0" t="n">
        <v>319</v>
      </c>
      <c r="M417" s="32" t="s">
        <v>4313</v>
      </c>
      <c r="N417" s="32" t="s">
        <v>3751</v>
      </c>
      <c r="O417" s="32" t="n">
        <f aca="false">IF(I417="","",ROUND(MOD(TIMEVALUE(I417)-TIMEVALUE(F417),1)*1440,0))</f>
        <v>319</v>
      </c>
      <c r="P417" s="0" t="str">
        <f aca="false">IF(COUNTIF($A$2:A417,A417)&gt;1,"DUP","")</f>
        <v/>
      </c>
      <c r="Q417" s="0" t="str">
        <f aca="false">IF(O417="","",IF(O417&gt;240,"Y","N"))</f>
        <v>Y</v>
      </c>
    </row>
    <row r="418" customFormat="false" ht="15" hidden="false" customHeight="false" outlineLevel="0" collapsed="false">
      <c r="A418" s="0" t="s">
        <v>5207</v>
      </c>
      <c r="C418" s="0" t="s">
        <v>2225</v>
      </c>
      <c r="D418" s="31" t="n">
        <v>36505</v>
      </c>
      <c r="E418" s="31" t="n">
        <v>45607</v>
      </c>
      <c r="F418" s="32" t="s">
        <v>5208</v>
      </c>
      <c r="G418" s="0" t="n">
        <v>3</v>
      </c>
      <c r="H418" s="32" t="s">
        <v>5209</v>
      </c>
      <c r="I418" s="32" t="s">
        <v>5210</v>
      </c>
      <c r="J418" s="32" t="s">
        <v>3763</v>
      </c>
      <c r="K418" s="32" t="s">
        <v>2081</v>
      </c>
      <c r="L418" s="0" t="n">
        <v>136</v>
      </c>
      <c r="M418" s="32" t="s">
        <v>4295</v>
      </c>
      <c r="N418" s="32" t="s">
        <v>3751</v>
      </c>
      <c r="O418" s="32" t="n">
        <f aca="false">IF(I418="","",ROUND(MOD(TIMEVALUE(I418)-TIMEVALUE(F418),1)*1440,0))</f>
        <v>136</v>
      </c>
      <c r="P418" s="0" t="str">
        <f aca="false">IF(COUNTIF($A$2:A418,A418)&gt;1,"DUP","")</f>
        <v/>
      </c>
      <c r="Q418" s="0" t="str">
        <f aca="false">IF(O418="","",IF(O418&gt;240,"Y","N"))</f>
        <v>N</v>
      </c>
    </row>
    <row r="419" customFormat="false" ht="15" hidden="false" customHeight="false" outlineLevel="0" collapsed="false">
      <c r="A419" s="0" t="s">
        <v>5211</v>
      </c>
      <c r="B419" s="0" t="s">
        <v>5212</v>
      </c>
      <c r="C419" s="0" t="s">
        <v>4053</v>
      </c>
      <c r="D419" s="31" t="n">
        <v>14575</v>
      </c>
      <c r="E419" s="31" t="n">
        <v>45653</v>
      </c>
      <c r="F419" s="32" t="s">
        <v>5213</v>
      </c>
      <c r="G419" s="0" t="n">
        <v>5</v>
      </c>
      <c r="H419" s="32" t="s">
        <v>5214</v>
      </c>
      <c r="I419" s="32" t="s">
        <v>5215</v>
      </c>
      <c r="J419" s="32" t="s">
        <v>3749</v>
      </c>
      <c r="K419" s="32" t="s">
        <v>2081</v>
      </c>
      <c r="L419" s="0" t="n">
        <v>168</v>
      </c>
      <c r="M419" s="32" t="s">
        <v>3764</v>
      </c>
      <c r="N419" s="32" t="s">
        <v>3751</v>
      </c>
      <c r="O419" s="32" t="n">
        <f aca="false">IF(I419="","",ROUND(MOD(TIMEVALUE(I419)-TIMEVALUE(F419),1)*1440,0))</f>
        <v>168</v>
      </c>
      <c r="P419" s="0" t="str">
        <f aca="false">IF(COUNTIF($A$2:A419,A419)&gt;1,"DUP","")</f>
        <v/>
      </c>
      <c r="Q419" s="0" t="str">
        <f aca="false">IF(O419="","",IF(O419&gt;240,"Y","N"))</f>
        <v>N</v>
      </c>
    </row>
    <row r="420" customFormat="false" ht="15" hidden="false" customHeight="false" outlineLevel="0" collapsed="false">
      <c r="A420" s="0" t="s">
        <v>5216</v>
      </c>
      <c r="B420" s="0" t="s">
        <v>4431</v>
      </c>
      <c r="C420" s="0" t="s">
        <v>914</v>
      </c>
      <c r="D420" s="31" t="n">
        <v>17280</v>
      </c>
      <c r="E420" s="31" t="n">
        <v>45626</v>
      </c>
      <c r="F420" s="32" t="s">
        <v>3905</v>
      </c>
      <c r="G420" s="0" t="n">
        <v>4</v>
      </c>
      <c r="H420" s="32" t="s">
        <v>3945</v>
      </c>
      <c r="J420" s="32" t="s">
        <v>3763</v>
      </c>
      <c r="M420" s="32" t="s">
        <v>3843</v>
      </c>
      <c r="N420" s="32" t="s">
        <v>3751</v>
      </c>
      <c r="O420" s="0" t="str">
        <f aca="false">IF(I420="","",ROUND(MOD(TIMEVALUE(I420)-TIMEVALUE(F420),1)*1440,0))</f>
        <v/>
      </c>
      <c r="P420" s="0" t="str">
        <f aca="false">IF(COUNTIF($A$2:A420,A420)&gt;1,"DUP","")</f>
        <v/>
      </c>
      <c r="Q420" s="0" t="str">
        <f aca="false">IF(O420="","",IF(O420&gt;240,"Y","N"))</f>
        <v/>
      </c>
    </row>
    <row r="421" customFormat="false" ht="15" hidden="false" customHeight="false" outlineLevel="0" collapsed="false">
      <c r="A421" s="0" t="s">
        <v>5217</v>
      </c>
      <c r="B421" s="0" t="s">
        <v>5218</v>
      </c>
      <c r="C421" s="0" t="s">
        <v>902</v>
      </c>
      <c r="D421" s="31" t="n">
        <v>33534</v>
      </c>
      <c r="E421" s="31" t="n">
        <v>45729</v>
      </c>
      <c r="F421" s="32" t="s">
        <v>4461</v>
      </c>
      <c r="G421" s="0" t="n">
        <v>3</v>
      </c>
      <c r="H421" s="32" t="s">
        <v>5219</v>
      </c>
      <c r="I421" s="32" t="s">
        <v>4636</v>
      </c>
      <c r="J421" s="32" t="s">
        <v>3763</v>
      </c>
      <c r="K421" s="32" t="s">
        <v>2081</v>
      </c>
      <c r="L421" s="0" t="n">
        <v>204</v>
      </c>
      <c r="M421" s="32" t="s">
        <v>3887</v>
      </c>
      <c r="N421" s="32" t="s">
        <v>3751</v>
      </c>
      <c r="O421" s="32" t="n">
        <f aca="false">IF(I421="","",ROUND(MOD(TIMEVALUE(I421)-TIMEVALUE(F421),1)*1440,0))</f>
        <v>204</v>
      </c>
      <c r="P421" s="0" t="str">
        <f aca="false">IF(COUNTIF($A$2:A421,A421)&gt;1,"DUP","")</f>
        <v/>
      </c>
      <c r="Q421" s="0" t="str">
        <f aca="false">IF(O421="","",IF(O421&gt;240,"Y","N"))</f>
        <v>N</v>
      </c>
    </row>
    <row r="422" customFormat="false" ht="15" hidden="false" customHeight="false" outlineLevel="0" collapsed="false">
      <c r="A422" s="0" t="s">
        <v>5220</v>
      </c>
      <c r="B422" s="0" t="s">
        <v>4649</v>
      </c>
      <c r="C422" s="0" t="s">
        <v>2225</v>
      </c>
      <c r="D422" s="31" t="n">
        <v>26064</v>
      </c>
      <c r="E422" s="31" t="n">
        <v>45719</v>
      </c>
      <c r="F422" s="32" t="s">
        <v>4821</v>
      </c>
      <c r="G422" s="0" t="n">
        <v>3</v>
      </c>
      <c r="H422" s="32" t="s">
        <v>3820</v>
      </c>
      <c r="I422" s="32" t="s">
        <v>4717</v>
      </c>
      <c r="J422" s="32" t="s">
        <v>3749</v>
      </c>
      <c r="K422" s="32" t="s">
        <v>2081</v>
      </c>
      <c r="L422" s="0" t="n">
        <v>79</v>
      </c>
      <c r="M422" s="32" t="s">
        <v>3782</v>
      </c>
      <c r="N422" s="32" t="s">
        <v>3751</v>
      </c>
      <c r="O422" s="32" t="n">
        <f aca="false">IF(I422="","",ROUND(MOD(TIMEVALUE(I422)-TIMEVALUE(F422),1)*1440,0))</f>
        <v>79</v>
      </c>
      <c r="P422" s="0" t="str">
        <f aca="false">IF(COUNTIF($A$2:A422,A422)&gt;1,"DUP","")</f>
        <v/>
      </c>
      <c r="Q422" s="0" t="str">
        <f aca="false">IF(O422="","",IF(O422&gt;240,"Y","N"))</f>
        <v>N</v>
      </c>
    </row>
    <row r="423" customFormat="false" ht="15" hidden="false" customHeight="false" outlineLevel="0" collapsed="false">
      <c r="A423" s="0" t="s">
        <v>5221</v>
      </c>
      <c r="C423" s="0" t="s">
        <v>1021</v>
      </c>
      <c r="D423" s="31" t="n">
        <v>18061</v>
      </c>
      <c r="E423" s="31" t="n">
        <v>45579</v>
      </c>
      <c r="F423" s="32" t="s">
        <v>5222</v>
      </c>
      <c r="G423" s="0" t="n">
        <v>4</v>
      </c>
      <c r="H423" s="32" t="s">
        <v>5035</v>
      </c>
      <c r="I423" s="32" t="s">
        <v>5080</v>
      </c>
      <c r="J423" s="32" t="s">
        <v>3793</v>
      </c>
      <c r="K423" s="32" t="s">
        <v>2081</v>
      </c>
      <c r="L423" s="0" t="n">
        <v>49</v>
      </c>
      <c r="M423" s="32" t="s">
        <v>3794</v>
      </c>
      <c r="N423" s="32" t="s">
        <v>826</v>
      </c>
      <c r="O423" s="32" t="n">
        <f aca="false">IF(I423="","",ROUND(MOD(TIMEVALUE(I423)-TIMEVALUE(F423),1)*1440,0))</f>
        <v>49</v>
      </c>
      <c r="P423" s="0" t="str">
        <f aca="false">IF(COUNTIF($A$2:A423,A423)&gt;1,"DUP","")</f>
        <v/>
      </c>
      <c r="Q423" s="0" t="str">
        <f aca="false">IF(O423="","",IF(O423&gt;240,"Y","N"))</f>
        <v>N</v>
      </c>
    </row>
    <row r="424" customFormat="false" ht="15" hidden="false" customHeight="false" outlineLevel="0" collapsed="false">
      <c r="A424" s="0" t="s">
        <v>5223</v>
      </c>
      <c r="B424" s="0" t="s">
        <v>4405</v>
      </c>
      <c r="C424" s="0" t="s">
        <v>841</v>
      </c>
      <c r="D424" s="31" t="n">
        <v>22124</v>
      </c>
      <c r="E424" s="31" t="n">
        <v>45578</v>
      </c>
      <c r="F424" s="32" t="s">
        <v>5224</v>
      </c>
      <c r="G424" s="0" t="n">
        <v>4</v>
      </c>
      <c r="H424" s="32" t="s">
        <v>5225</v>
      </c>
      <c r="I424" s="32" t="s">
        <v>4589</v>
      </c>
      <c r="J424" s="32" t="s">
        <v>3763</v>
      </c>
      <c r="K424" s="32" t="s">
        <v>2081</v>
      </c>
      <c r="L424" s="0" t="n">
        <v>88</v>
      </c>
      <c r="M424" s="32" t="s">
        <v>3871</v>
      </c>
      <c r="N424" s="32" t="s">
        <v>3751</v>
      </c>
      <c r="O424" s="32" t="n">
        <f aca="false">IF(I424="","",ROUND(MOD(TIMEVALUE(I424)-TIMEVALUE(F424),1)*1440,0))</f>
        <v>88</v>
      </c>
      <c r="P424" s="0" t="str">
        <f aca="false">IF(COUNTIF($A$2:A424,A424)&gt;1,"DUP","")</f>
        <v/>
      </c>
      <c r="Q424" s="0" t="str">
        <f aca="false">IF(O424="","",IF(O424&gt;240,"Y","N"))</f>
        <v>N</v>
      </c>
    </row>
    <row r="425" customFormat="false" ht="15" hidden="false" customHeight="false" outlineLevel="0" collapsed="false">
      <c r="A425" s="0" t="s">
        <v>5226</v>
      </c>
      <c r="B425" s="0" t="s">
        <v>3879</v>
      </c>
      <c r="C425" s="0" t="s">
        <v>833</v>
      </c>
      <c r="D425" s="31" t="n">
        <v>22085</v>
      </c>
      <c r="E425" s="31" t="n">
        <v>45657</v>
      </c>
      <c r="F425" s="32" t="s">
        <v>4634</v>
      </c>
      <c r="G425" s="0" t="n">
        <v>4</v>
      </c>
      <c r="H425" s="32" t="s">
        <v>4411</v>
      </c>
      <c r="I425" s="32" t="s">
        <v>5227</v>
      </c>
      <c r="J425" s="32" t="s">
        <v>3749</v>
      </c>
      <c r="K425" s="32" t="s">
        <v>2081</v>
      </c>
      <c r="L425" s="0" t="n">
        <v>217</v>
      </c>
      <c r="M425" s="32" t="s">
        <v>3776</v>
      </c>
      <c r="N425" s="32" t="s">
        <v>3751</v>
      </c>
      <c r="O425" s="32" t="n">
        <f aca="false">IF(I425="","",ROUND(MOD(TIMEVALUE(I425)-TIMEVALUE(F425),1)*1440,0))</f>
        <v>217</v>
      </c>
      <c r="P425" s="0" t="str">
        <f aca="false">IF(COUNTIF($A$2:A425,A425)&gt;1,"DUP","")</f>
        <v/>
      </c>
      <c r="Q425" s="0" t="str">
        <f aca="false">IF(O425="","",IF(O425&gt;240,"Y","N"))</f>
        <v>N</v>
      </c>
    </row>
    <row r="426" customFormat="false" ht="15" hidden="false" customHeight="false" outlineLevel="0" collapsed="false">
      <c r="A426" s="0" t="s">
        <v>5228</v>
      </c>
      <c r="B426" s="0" t="s">
        <v>5229</v>
      </c>
      <c r="C426" s="0" t="s">
        <v>853</v>
      </c>
      <c r="D426" s="31" t="n">
        <v>23915</v>
      </c>
      <c r="E426" s="31" t="n">
        <v>45579</v>
      </c>
      <c r="F426" s="32" t="s">
        <v>5230</v>
      </c>
      <c r="G426" s="0" t="n">
        <v>2</v>
      </c>
      <c r="H426" s="32" t="s">
        <v>4632</v>
      </c>
      <c r="I426" s="32" t="s">
        <v>4759</v>
      </c>
      <c r="J426" s="32" t="s">
        <v>3749</v>
      </c>
      <c r="K426" s="32" t="s">
        <v>2081</v>
      </c>
      <c r="L426" s="0" t="n">
        <v>42</v>
      </c>
      <c r="M426" s="32" t="s">
        <v>4037</v>
      </c>
      <c r="N426" s="32" t="s">
        <v>3751</v>
      </c>
      <c r="O426" s="32" t="n">
        <f aca="false">IF(I426="","",ROUND(MOD(TIMEVALUE(I426)-TIMEVALUE(F426),1)*1440,0))</f>
        <v>42</v>
      </c>
      <c r="P426" s="0" t="str">
        <f aca="false">IF(COUNTIF($A$2:A426,A426)&gt;1,"DUP","")</f>
        <v/>
      </c>
      <c r="Q426" s="0" t="str">
        <f aca="false">IF(O426="","",IF(O426&gt;240,"Y","N"))</f>
        <v>N</v>
      </c>
    </row>
    <row r="427" customFormat="false" ht="15" hidden="false" customHeight="false" outlineLevel="0" collapsed="false">
      <c r="A427" s="0" t="s">
        <v>5231</v>
      </c>
      <c r="B427" s="0" t="s">
        <v>4013</v>
      </c>
      <c r="C427" s="0" t="s">
        <v>898</v>
      </c>
      <c r="D427" s="31" t="n">
        <v>15560</v>
      </c>
      <c r="E427" s="31" t="n">
        <v>45601</v>
      </c>
      <c r="F427" s="32" t="s">
        <v>5232</v>
      </c>
      <c r="G427" s="0" t="n">
        <v>4</v>
      </c>
      <c r="H427" s="32" t="s">
        <v>4407</v>
      </c>
      <c r="I427" s="32" t="s">
        <v>5075</v>
      </c>
      <c r="J427" s="32" t="s">
        <v>3749</v>
      </c>
      <c r="K427" s="32" t="s">
        <v>2081</v>
      </c>
      <c r="L427" s="0" t="n">
        <v>162</v>
      </c>
      <c r="M427" s="32" t="s">
        <v>3750</v>
      </c>
      <c r="N427" s="32" t="s">
        <v>3751</v>
      </c>
      <c r="O427" s="32" t="n">
        <f aca="false">IF(I427="","",ROUND(MOD(TIMEVALUE(I427)-TIMEVALUE(F427),1)*1440,0))</f>
        <v>162</v>
      </c>
      <c r="P427" s="0" t="str">
        <f aca="false">IF(COUNTIF($A$2:A427,A427)&gt;1,"DUP","")</f>
        <v/>
      </c>
      <c r="Q427" s="0" t="str">
        <f aca="false">IF(O427="","",IF(O427&gt;240,"Y","N"))</f>
        <v>N</v>
      </c>
    </row>
    <row r="428" customFormat="false" ht="15" hidden="false" customHeight="false" outlineLevel="0" collapsed="false">
      <c r="A428" s="0" t="s">
        <v>5233</v>
      </c>
      <c r="B428" s="0" t="s">
        <v>4511</v>
      </c>
      <c r="C428" s="0" t="s">
        <v>1390</v>
      </c>
      <c r="D428" s="31" t="n">
        <v>37661</v>
      </c>
      <c r="E428" s="31" t="n">
        <v>45662</v>
      </c>
      <c r="F428" s="32" t="s">
        <v>4076</v>
      </c>
      <c r="G428" s="0" t="n">
        <v>4</v>
      </c>
      <c r="H428" s="32" t="s">
        <v>5234</v>
      </c>
      <c r="I428" s="32" t="s">
        <v>5235</v>
      </c>
      <c r="J428" s="32" t="s">
        <v>3793</v>
      </c>
      <c r="K428" s="32" t="s">
        <v>2081</v>
      </c>
      <c r="L428" s="0" t="n">
        <v>188</v>
      </c>
      <c r="M428" s="32" t="s">
        <v>4255</v>
      </c>
      <c r="N428" s="32" t="s">
        <v>785</v>
      </c>
      <c r="O428" s="32" t="n">
        <f aca="false">IF(I428="","",ROUND(MOD(TIMEVALUE(I428)-TIMEVALUE(F428),1)*1440,0))</f>
        <v>188</v>
      </c>
      <c r="P428" s="0" t="str">
        <f aca="false">IF(COUNTIF($A$2:A428,A428)&gt;1,"DUP","")</f>
        <v/>
      </c>
      <c r="Q428" s="0" t="str">
        <f aca="false">IF(O428="","",IF(O428&gt;240,"Y","N"))</f>
        <v>N</v>
      </c>
    </row>
    <row r="429" customFormat="false" ht="15" hidden="false" customHeight="false" outlineLevel="0" collapsed="false">
      <c r="A429" s="0" t="s">
        <v>5236</v>
      </c>
      <c r="B429" s="0" t="s">
        <v>4344</v>
      </c>
      <c r="C429" s="0" t="s">
        <v>757</v>
      </c>
      <c r="D429" s="31" t="n">
        <v>17083</v>
      </c>
      <c r="E429" s="31" t="n">
        <v>45584</v>
      </c>
      <c r="F429" s="32" t="s">
        <v>5237</v>
      </c>
      <c r="G429" s="0" t="n">
        <v>3</v>
      </c>
      <c r="H429" s="32" t="s">
        <v>4505</v>
      </c>
      <c r="I429" s="32" t="s">
        <v>5238</v>
      </c>
      <c r="J429" s="32" t="s">
        <v>3749</v>
      </c>
      <c r="K429" s="32" t="s">
        <v>2081</v>
      </c>
      <c r="L429" s="0" t="n">
        <v>165</v>
      </c>
      <c r="M429" s="32" t="s">
        <v>4149</v>
      </c>
      <c r="N429" s="32" t="s">
        <v>1455</v>
      </c>
      <c r="O429" s="32" t="n">
        <f aca="false">IF(I429="","",ROUND(MOD(TIMEVALUE(I429)-TIMEVALUE(F429),1)*1440,0))</f>
        <v>165</v>
      </c>
      <c r="P429" s="0" t="str">
        <f aca="false">IF(COUNTIF($A$2:A429,A429)&gt;1,"DUP","")</f>
        <v/>
      </c>
      <c r="Q429" s="0" t="str">
        <f aca="false">IF(O429="","",IF(O429&gt;240,"Y","N"))</f>
        <v>N</v>
      </c>
    </row>
    <row r="430" customFormat="false" ht="15" hidden="false" customHeight="false" outlineLevel="0" collapsed="false">
      <c r="A430" s="0" t="s">
        <v>5239</v>
      </c>
      <c r="B430" s="0" t="s">
        <v>5240</v>
      </c>
      <c r="C430" s="0" t="s">
        <v>1001</v>
      </c>
      <c r="D430" s="31" t="n">
        <v>26440</v>
      </c>
      <c r="E430" s="31" t="n">
        <v>45716</v>
      </c>
      <c r="F430" s="32" t="s">
        <v>5241</v>
      </c>
      <c r="G430" s="0" t="n">
        <v>3</v>
      </c>
      <c r="H430" s="32" t="s">
        <v>5242</v>
      </c>
      <c r="I430" s="32" t="s">
        <v>4736</v>
      </c>
      <c r="J430" s="32" t="s">
        <v>3749</v>
      </c>
      <c r="K430" s="32" t="s">
        <v>2081</v>
      </c>
      <c r="L430" s="0" t="n">
        <v>231</v>
      </c>
      <c r="M430" s="32" t="s">
        <v>3871</v>
      </c>
      <c r="N430" s="32" t="s">
        <v>3751</v>
      </c>
      <c r="O430" s="32" t="n">
        <f aca="false">IF(I430="","",ROUND(MOD(TIMEVALUE(I430)-TIMEVALUE(F430),1)*1440,0))</f>
        <v>231</v>
      </c>
      <c r="P430" s="0" t="str">
        <f aca="false">IF(COUNTIF($A$2:A430,A430)&gt;1,"DUP","")</f>
        <v/>
      </c>
      <c r="Q430" s="0" t="str">
        <f aca="false">IF(O430="","",IF(O430&gt;240,"Y","N"))</f>
        <v>N</v>
      </c>
    </row>
    <row r="431" customFormat="false" ht="15" hidden="false" customHeight="false" outlineLevel="0" collapsed="false">
      <c r="A431" s="0" t="s">
        <v>5243</v>
      </c>
      <c r="C431" s="0" t="s">
        <v>902</v>
      </c>
      <c r="D431" s="31" t="n">
        <v>26972</v>
      </c>
      <c r="E431" s="31" t="n">
        <v>45640</v>
      </c>
      <c r="F431" s="32" t="s">
        <v>4710</v>
      </c>
      <c r="G431" s="0" t="n">
        <v>3</v>
      </c>
      <c r="H431" s="32" t="s">
        <v>4059</v>
      </c>
      <c r="I431" s="32" t="s">
        <v>5244</v>
      </c>
      <c r="J431" s="32" t="s">
        <v>3749</v>
      </c>
      <c r="K431" s="32" t="s">
        <v>2081</v>
      </c>
      <c r="L431" s="0" t="n">
        <v>168</v>
      </c>
      <c r="M431" s="32" t="s">
        <v>3966</v>
      </c>
      <c r="N431" s="32" t="s">
        <v>3751</v>
      </c>
      <c r="O431" s="32" t="n">
        <f aca="false">IF(I431="","",ROUND(MOD(TIMEVALUE(I431)-TIMEVALUE(F431),1)*1440,0))</f>
        <v>168</v>
      </c>
      <c r="P431" s="0" t="str">
        <f aca="false">IF(COUNTIF($A$2:A431,A431)&gt;1,"DUP","")</f>
        <v/>
      </c>
      <c r="Q431" s="0" t="str">
        <f aca="false">IF(O431="","",IF(O431&gt;240,"Y","N"))</f>
        <v>N</v>
      </c>
    </row>
    <row r="432" customFormat="false" ht="15" hidden="false" customHeight="false" outlineLevel="0" collapsed="false">
      <c r="A432" s="0" t="s">
        <v>5245</v>
      </c>
      <c r="B432" s="0" t="s">
        <v>4039</v>
      </c>
      <c r="C432" s="0" t="s">
        <v>1414</v>
      </c>
      <c r="D432" s="31" t="n">
        <v>24308</v>
      </c>
      <c r="E432" s="31" t="n">
        <v>45580</v>
      </c>
      <c r="F432" s="32" t="s">
        <v>3891</v>
      </c>
      <c r="G432" s="0" t="n">
        <v>4</v>
      </c>
      <c r="H432" s="32" t="s">
        <v>5246</v>
      </c>
      <c r="I432" s="32" t="s">
        <v>5109</v>
      </c>
      <c r="J432" s="32" t="s">
        <v>3749</v>
      </c>
      <c r="K432" s="32" t="s">
        <v>2081</v>
      </c>
      <c r="L432" s="0" t="n">
        <v>73</v>
      </c>
      <c r="M432" s="32" t="s">
        <v>4122</v>
      </c>
      <c r="N432" s="32" t="s">
        <v>3751</v>
      </c>
      <c r="O432" s="32" t="n">
        <f aca="false">IF(I432="","",ROUND(MOD(TIMEVALUE(I432)-TIMEVALUE(F432),1)*1440,0))</f>
        <v>73</v>
      </c>
      <c r="P432" s="0" t="str">
        <f aca="false">IF(COUNTIF($A$2:A432,A432)&gt;1,"DUP","")</f>
        <v/>
      </c>
      <c r="Q432" s="0" t="str">
        <f aca="false">IF(O432="","",IF(O432&gt;240,"Y","N"))</f>
        <v>N</v>
      </c>
    </row>
    <row r="433" customFormat="false" ht="15" hidden="false" customHeight="false" outlineLevel="0" collapsed="false">
      <c r="A433" s="0" t="s">
        <v>5247</v>
      </c>
      <c r="B433" s="0" t="s">
        <v>4603</v>
      </c>
      <c r="C433" s="0" t="s">
        <v>757</v>
      </c>
      <c r="D433" s="31" t="n">
        <v>13551</v>
      </c>
      <c r="E433" s="31" t="n">
        <v>45637</v>
      </c>
      <c r="F433" s="32" t="s">
        <v>5248</v>
      </c>
      <c r="G433" s="0" t="n">
        <v>5</v>
      </c>
      <c r="H433" s="32" t="s">
        <v>4009</v>
      </c>
      <c r="I433" s="32" t="s">
        <v>4254</v>
      </c>
      <c r="J433" s="32" t="s">
        <v>3749</v>
      </c>
      <c r="K433" s="32" t="s">
        <v>2081</v>
      </c>
      <c r="L433" s="0" t="n">
        <v>169</v>
      </c>
      <c r="M433" s="32" t="s">
        <v>3815</v>
      </c>
      <c r="N433" s="32" t="s">
        <v>3751</v>
      </c>
      <c r="O433" s="32" t="n">
        <f aca="false">IF(I433="","",ROUND(MOD(TIMEVALUE(I433)-TIMEVALUE(F433),1)*1440,0))</f>
        <v>169</v>
      </c>
      <c r="P433" s="0" t="str">
        <f aca="false">IF(COUNTIF($A$2:A433,A433)&gt;1,"DUP","")</f>
        <v/>
      </c>
      <c r="Q433" s="0" t="str">
        <f aca="false">IF(O433="","",IF(O433&gt;240,"Y","N"))</f>
        <v>N</v>
      </c>
    </row>
    <row r="434" customFormat="false" ht="15" hidden="false" customHeight="false" outlineLevel="0" collapsed="false">
      <c r="A434" s="0" t="s">
        <v>5249</v>
      </c>
      <c r="B434" s="0" t="s">
        <v>4476</v>
      </c>
      <c r="C434" s="0" t="s">
        <v>997</v>
      </c>
      <c r="D434" s="31" t="n">
        <v>25650</v>
      </c>
      <c r="E434" s="31" t="n">
        <v>45602</v>
      </c>
      <c r="F434" s="32" t="s">
        <v>5250</v>
      </c>
      <c r="G434" s="0" t="n">
        <v>4</v>
      </c>
      <c r="H434" s="32" t="s">
        <v>5251</v>
      </c>
      <c r="I434" s="32" t="s">
        <v>5252</v>
      </c>
      <c r="J434" s="32" t="s">
        <v>2307</v>
      </c>
      <c r="K434" s="32" t="s">
        <v>2081</v>
      </c>
      <c r="L434" s="0" t="n">
        <v>223</v>
      </c>
      <c r="M434" s="32" t="s">
        <v>3882</v>
      </c>
      <c r="N434" s="32" t="s">
        <v>3751</v>
      </c>
      <c r="O434" s="32" t="n">
        <f aca="false">IF(I434="","",ROUND(MOD(TIMEVALUE(I434)-TIMEVALUE(F434),1)*1440,0))</f>
        <v>223</v>
      </c>
      <c r="P434" s="0" t="str">
        <f aca="false">IF(COUNTIF($A$2:A434,A434)&gt;1,"DUP","")</f>
        <v/>
      </c>
      <c r="Q434" s="0" t="str">
        <f aca="false">IF(O434="","",IF(O434&gt;240,"Y","N"))</f>
        <v>N</v>
      </c>
    </row>
    <row r="435" customFormat="false" ht="15" hidden="false" customHeight="false" outlineLevel="0" collapsed="false">
      <c r="A435" s="0" t="s">
        <v>5253</v>
      </c>
      <c r="B435" s="0" t="s">
        <v>3801</v>
      </c>
      <c r="C435" s="0" t="s">
        <v>934</v>
      </c>
      <c r="D435" s="31" t="n">
        <v>28581</v>
      </c>
      <c r="E435" s="31" t="n">
        <v>45628</v>
      </c>
      <c r="F435" s="32" t="s">
        <v>4746</v>
      </c>
      <c r="G435" s="0" t="n">
        <v>4</v>
      </c>
      <c r="H435" s="32" t="s">
        <v>5254</v>
      </c>
      <c r="I435" s="32" t="s">
        <v>4473</v>
      </c>
      <c r="J435" s="32" t="s">
        <v>3749</v>
      </c>
      <c r="K435" s="32" t="s">
        <v>2081</v>
      </c>
      <c r="L435" s="0" t="n">
        <v>138</v>
      </c>
      <c r="M435" s="32" t="s">
        <v>3871</v>
      </c>
      <c r="N435" s="32" t="s">
        <v>3751</v>
      </c>
      <c r="O435" s="32" t="n">
        <f aca="false">IF(I435="","",ROUND(MOD(TIMEVALUE(I435)-TIMEVALUE(F435),1)*1440,0))</f>
        <v>138</v>
      </c>
      <c r="P435" s="0" t="str">
        <f aca="false">IF(COUNTIF($A$2:A435,A435)&gt;1,"DUP","")</f>
        <v/>
      </c>
      <c r="Q435" s="0" t="str">
        <f aca="false">IF(O435="","",IF(O435&gt;240,"Y","N"))</f>
        <v>N</v>
      </c>
    </row>
    <row r="436" customFormat="false" ht="15" hidden="false" customHeight="false" outlineLevel="0" collapsed="false">
      <c r="A436" s="0" t="s">
        <v>5255</v>
      </c>
      <c r="B436" s="0" t="s">
        <v>5120</v>
      </c>
      <c r="C436" s="0" t="s">
        <v>1021</v>
      </c>
      <c r="D436" s="31" t="n">
        <v>22229</v>
      </c>
      <c r="E436" s="31" t="n">
        <v>45684</v>
      </c>
      <c r="F436" s="32" t="s">
        <v>5256</v>
      </c>
      <c r="G436" s="0" t="n">
        <v>5</v>
      </c>
      <c r="H436" s="32" t="s">
        <v>5099</v>
      </c>
      <c r="I436" s="32" t="s">
        <v>5257</v>
      </c>
      <c r="J436" s="32" t="s">
        <v>2307</v>
      </c>
      <c r="K436" s="32" t="s">
        <v>2081</v>
      </c>
      <c r="L436" s="0" t="n">
        <v>238</v>
      </c>
      <c r="M436" s="32" t="s">
        <v>4031</v>
      </c>
      <c r="N436" s="32" t="s">
        <v>3751</v>
      </c>
      <c r="O436" s="32" t="n">
        <f aca="false">IF(I436="","",ROUND(MOD(TIMEVALUE(I436)-TIMEVALUE(F436),1)*1440,0))</f>
        <v>238</v>
      </c>
      <c r="P436" s="0" t="str">
        <f aca="false">IF(COUNTIF($A$2:A436,A436)&gt;1,"DUP","")</f>
        <v/>
      </c>
      <c r="Q436" s="0" t="str">
        <f aca="false">IF(O436="","",IF(O436&gt;240,"Y","N"))</f>
        <v>N</v>
      </c>
    </row>
    <row r="437" customFormat="false" ht="15" hidden="false" customHeight="false" outlineLevel="0" collapsed="false">
      <c r="A437" s="0" t="s">
        <v>5258</v>
      </c>
      <c r="B437" s="0" t="s">
        <v>5259</v>
      </c>
      <c r="C437" s="0" t="s">
        <v>870</v>
      </c>
      <c r="D437" s="31" t="n">
        <v>25646</v>
      </c>
      <c r="E437" s="31" t="n">
        <v>45677</v>
      </c>
      <c r="F437" s="32" t="s">
        <v>5260</v>
      </c>
      <c r="G437" s="0" t="n">
        <v>2</v>
      </c>
      <c r="H437" s="32" t="s">
        <v>4794</v>
      </c>
      <c r="I437" s="32" t="s">
        <v>4325</v>
      </c>
      <c r="J437" s="32" t="s">
        <v>3749</v>
      </c>
      <c r="K437" s="32" t="s">
        <v>2081</v>
      </c>
      <c r="L437" s="0" t="n">
        <v>99</v>
      </c>
      <c r="M437" s="32" t="s">
        <v>3794</v>
      </c>
      <c r="N437" s="32" t="s">
        <v>3751</v>
      </c>
      <c r="O437" s="32" t="n">
        <f aca="false">IF(I437="","",ROUND(MOD(TIMEVALUE(I437)-TIMEVALUE(F437),1)*1440,0))</f>
        <v>99</v>
      </c>
      <c r="P437" s="0" t="str">
        <f aca="false">IF(COUNTIF($A$2:A437,A437)&gt;1,"DUP","")</f>
        <v/>
      </c>
      <c r="Q437" s="0" t="str">
        <f aca="false">IF(O437="","",IF(O437&gt;240,"Y","N"))</f>
        <v>N</v>
      </c>
    </row>
    <row r="438" customFormat="false" ht="15" hidden="false" customHeight="false" outlineLevel="0" collapsed="false">
      <c r="A438" s="0" t="s">
        <v>5261</v>
      </c>
      <c r="B438" s="0" t="s">
        <v>5262</v>
      </c>
      <c r="C438" s="0" t="s">
        <v>985</v>
      </c>
      <c r="D438" s="31" t="n">
        <v>32330</v>
      </c>
      <c r="E438" s="31" t="n">
        <v>45661</v>
      </c>
      <c r="F438" s="32" t="s">
        <v>4067</v>
      </c>
      <c r="G438" s="0" t="n">
        <v>4</v>
      </c>
      <c r="H438" s="32" t="s">
        <v>3803</v>
      </c>
      <c r="I438" s="32" t="s">
        <v>4481</v>
      </c>
      <c r="J438" s="32" t="s">
        <v>3793</v>
      </c>
      <c r="K438" s="32" t="s">
        <v>2081</v>
      </c>
      <c r="L438" s="0" t="n">
        <v>176</v>
      </c>
      <c r="M438" s="32" t="s">
        <v>3782</v>
      </c>
      <c r="N438" s="32" t="s">
        <v>818</v>
      </c>
      <c r="O438" s="32" t="n">
        <f aca="false">IF(I438="","",ROUND(MOD(TIMEVALUE(I438)-TIMEVALUE(F438),1)*1440,0))</f>
        <v>176</v>
      </c>
      <c r="P438" s="0" t="str">
        <f aca="false">IF(COUNTIF($A$2:A438,A438)&gt;1,"DUP","")</f>
        <v/>
      </c>
      <c r="Q438" s="0" t="str">
        <f aca="false">IF(O438="","",IF(O438&gt;240,"Y","N"))</f>
        <v>N</v>
      </c>
    </row>
    <row r="439" customFormat="false" ht="15" hidden="false" customHeight="false" outlineLevel="0" collapsed="false">
      <c r="A439" s="0" t="s">
        <v>5263</v>
      </c>
      <c r="B439" s="0" t="s">
        <v>5264</v>
      </c>
      <c r="C439" s="0" t="s">
        <v>801</v>
      </c>
      <c r="D439" s="31" t="n">
        <v>39071</v>
      </c>
      <c r="E439" s="31" t="n">
        <v>45694</v>
      </c>
      <c r="F439" s="32" t="s">
        <v>5265</v>
      </c>
      <c r="G439" s="0" t="n">
        <v>5</v>
      </c>
      <c r="H439" s="32" t="s">
        <v>5099</v>
      </c>
      <c r="I439" s="32" t="s">
        <v>3836</v>
      </c>
      <c r="J439" s="32" t="s">
        <v>3749</v>
      </c>
      <c r="K439" s="32" t="s">
        <v>2081</v>
      </c>
      <c r="L439" s="0" t="n">
        <v>205</v>
      </c>
      <c r="M439" s="32" t="s">
        <v>3782</v>
      </c>
      <c r="N439" s="32" t="s">
        <v>3751</v>
      </c>
      <c r="O439" s="32" t="n">
        <f aca="false">IF(I439="","",ROUND(MOD(TIMEVALUE(I439)-TIMEVALUE(F439),1)*1440,0))</f>
        <v>205</v>
      </c>
      <c r="P439" s="0" t="str">
        <f aca="false">IF(COUNTIF($A$2:A439,A439)&gt;1,"DUP","")</f>
        <v/>
      </c>
      <c r="Q439" s="0" t="str">
        <f aca="false">IF(O439="","",IF(O439&gt;240,"Y","N"))</f>
        <v>N</v>
      </c>
    </row>
    <row r="440" customFormat="false" ht="15" hidden="false" customHeight="false" outlineLevel="0" collapsed="false">
      <c r="A440" s="0" t="s">
        <v>5266</v>
      </c>
      <c r="B440" s="0" t="s">
        <v>5267</v>
      </c>
      <c r="C440" s="0" t="s">
        <v>1460</v>
      </c>
      <c r="D440" s="31" t="n">
        <v>21618</v>
      </c>
      <c r="E440" s="31" t="n">
        <v>45663</v>
      </c>
      <c r="F440" s="32" t="s">
        <v>5068</v>
      </c>
      <c r="G440" s="0" t="n">
        <v>4</v>
      </c>
      <c r="H440" s="32" t="s">
        <v>5201</v>
      </c>
      <c r="I440" s="32" t="s">
        <v>5268</v>
      </c>
      <c r="J440" s="32" t="s">
        <v>3793</v>
      </c>
      <c r="K440" s="32" t="s">
        <v>2081</v>
      </c>
      <c r="L440" s="0" t="n">
        <v>238</v>
      </c>
      <c r="M440" s="32" t="s">
        <v>3882</v>
      </c>
      <c r="N440" s="32" t="s">
        <v>785</v>
      </c>
      <c r="O440" s="32" t="n">
        <f aca="false">IF(I440="","",ROUND(MOD(TIMEVALUE(I440)-TIMEVALUE(F440),1)*1440,0))</f>
        <v>238</v>
      </c>
      <c r="P440" s="0" t="str">
        <f aca="false">IF(COUNTIF($A$2:A440,A440)&gt;1,"DUP","")</f>
        <v/>
      </c>
      <c r="Q440" s="0" t="str">
        <f aca="false">IF(O440="","",IF(O440&gt;240,"Y","N"))</f>
        <v>N</v>
      </c>
    </row>
    <row r="441" customFormat="false" ht="15" hidden="false" customHeight="false" outlineLevel="0" collapsed="false">
      <c r="A441" s="0" t="s">
        <v>5269</v>
      </c>
      <c r="B441" s="0" t="s">
        <v>4471</v>
      </c>
      <c r="C441" s="0" t="s">
        <v>977</v>
      </c>
      <c r="D441" s="31" t="n">
        <v>21481</v>
      </c>
      <c r="E441" s="31" t="n">
        <v>45669</v>
      </c>
      <c r="F441" s="32" t="s">
        <v>4549</v>
      </c>
      <c r="G441" s="0" t="n">
        <v>3</v>
      </c>
      <c r="H441" s="32" t="s">
        <v>5070</v>
      </c>
      <c r="I441" s="32" t="s">
        <v>5102</v>
      </c>
      <c r="J441" s="32" t="s">
        <v>3749</v>
      </c>
      <c r="K441" s="32" t="s">
        <v>2081</v>
      </c>
      <c r="L441" s="0" t="n">
        <v>77</v>
      </c>
      <c r="M441" s="32" t="s">
        <v>3925</v>
      </c>
      <c r="N441" s="32" t="s">
        <v>3751</v>
      </c>
      <c r="O441" s="32" t="n">
        <f aca="false">IF(I441="","",ROUND(MOD(TIMEVALUE(I441)-TIMEVALUE(F441),1)*1440,0))</f>
        <v>77</v>
      </c>
      <c r="P441" s="0" t="str">
        <f aca="false">IF(COUNTIF($A$2:A441,A441)&gt;1,"DUP","")</f>
        <v/>
      </c>
      <c r="Q441" s="0" t="str">
        <f aca="false">IF(O441="","",IF(O441&gt;240,"Y","N"))</f>
        <v>N</v>
      </c>
    </row>
    <row r="442" customFormat="false" ht="15" hidden="false" customHeight="false" outlineLevel="0" collapsed="false">
      <c r="A442" s="0" t="s">
        <v>5270</v>
      </c>
      <c r="B442" s="0" t="s">
        <v>4788</v>
      </c>
      <c r="C442" s="0" t="s">
        <v>946</v>
      </c>
      <c r="D442" s="31" t="n">
        <v>20715</v>
      </c>
      <c r="E442" s="31" t="n">
        <v>45582</v>
      </c>
      <c r="F442" s="32" t="s">
        <v>4298</v>
      </c>
      <c r="G442" s="0" t="n">
        <v>4</v>
      </c>
      <c r="H442" s="32" t="s">
        <v>5271</v>
      </c>
      <c r="I442" s="32" t="s">
        <v>5133</v>
      </c>
      <c r="J442" s="32" t="s">
        <v>3749</v>
      </c>
      <c r="K442" s="32" t="s">
        <v>2081</v>
      </c>
      <c r="L442" s="0" t="n">
        <v>224</v>
      </c>
      <c r="M442" s="32" t="s">
        <v>4031</v>
      </c>
      <c r="N442" s="32" t="s">
        <v>3751</v>
      </c>
      <c r="O442" s="32" t="n">
        <f aca="false">IF(I442="","",ROUND(MOD(TIMEVALUE(I442)-TIMEVALUE(F442),1)*1440,0))</f>
        <v>224</v>
      </c>
      <c r="P442" s="0" t="str">
        <f aca="false">IF(COUNTIF($A$2:A442,A442)&gt;1,"DUP","")</f>
        <v/>
      </c>
      <c r="Q442" s="0" t="str">
        <f aca="false">IF(O442="","",IF(O442&gt;240,"Y","N"))</f>
        <v>N</v>
      </c>
    </row>
    <row r="443" customFormat="false" ht="15" hidden="false" customHeight="false" outlineLevel="0" collapsed="false">
      <c r="A443" s="0" t="s">
        <v>5272</v>
      </c>
      <c r="B443" s="0" t="s">
        <v>5273</v>
      </c>
      <c r="C443" s="0" t="s">
        <v>914</v>
      </c>
      <c r="D443" s="31" t="n">
        <v>18589</v>
      </c>
      <c r="E443" s="31" t="n">
        <v>45672</v>
      </c>
      <c r="F443" s="32" t="s">
        <v>5274</v>
      </c>
      <c r="G443" s="0" t="n">
        <v>5</v>
      </c>
      <c r="H443" s="32" t="s">
        <v>3791</v>
      </c>
      <c r="I443" s="32" t="s">
        <v>5275</v>
      </c>
      <c r="J443" s="32" t="s">
        <v>3793</v>
      </c>
      <c r="K443" s="32" t="s">
        <v>2081</v>
      </c>
      <c r="L443" s="0" t="n">
        <v>113</v>
      </c>
      <c r="M443" s="32" t="s">
        <v>4313</v>
      </c>
      <c r="N443" s="32" t="s">
        <v>766</v>
      </c>
      <c r="O443" s="32" t="n">
        <f aca="false">IF(I443="","",ROUND(MOD(TIMEVALUE(I443)-TIMEVALUE(F443),1)*1440,0))</f>
        <v>113</v>
      </c>
      <c r="P443" s="0" t="str">
        <f aca="false">IF(COUNTIF($A$2:A443,A443)&gt;1,"DUP","")</f>
        <v/>
      </c>
      <c r="Q443" s="0" t="str">
        <f aca="false">IF(O443="","",IF(O443&gt;240,"Y","N"))</f>
        <v>N</v>
      </c>
    </row>
    <row r="444" customFormat="false" ht="15" hidden="false" customHeight="false" outlineLevel="0" collapsed="false">
      <c r="A444" s="0" t="s">
        <v>5276</v>
      </c>
      <c r="B444" s="0" t="s">
        <v>5277</v>
      </c>
      <c r="C444" s="0" t="s">
        <v>862</v>
      </c>
      <c r="D444" s="31" t="n">
        <v>14611</v>
      </c>
      <c r="E444" s="31" t="n">
        <v>45684</v>
      </c>
      <c r="F444" s="32" t="s">
        <v>3982</v>
      </c>
      <c r="G444" s="0" t="n">
        <v>4</v>
      </c>
      <c r="H444" s="32" t="s">
        <v>5278</v>
      </c>
      <c r="I444" s="32" t="s">
        <v>5279</v>
      </c>
      <c r="J444" s="32" t="s">
        <v>3749</v>
      </c>
      <c r="K444" s="32" t="s">
        <v>2081</v>
      </c>
      <c r="L444" s="0" t="n">
        <v>235</v>
      </c>
      <c r="M444" s="32" t="s">
        <v>3764</v>
      </c>
      <c r="N444" s="32" t="s">
        <v>3751</v>
      </c>
      <c r="O444" s="32" t="n">
        <f aca="false">IF(I444="","",ROUND(MOD(TIMEVALUE(I444)-TIMEVALUE(F444),1)*1440,0))</f>
        <v>235</v>
      </c>
      <c r="P444" s="0" t="str">
        <f aca="false">IF(COUNTIF($A$2:A444,A444)&gt;1,"DUP","")</f>
        <v/>
      </c>
      <c r="Q444" s="0" t="str">
        <f aca="false">IF(O444="","",IF(O444&gt;240,"Y","N"))</f>
        <v>N</v>
      </c>
    </row>
    <row r="445" customFormat="false" ht="15" hidden="false" customHeight="false" outlineLevel="0" collapsed="false">
      <c r="A445" s="0" t="s">
        <v>5280</v>
      </c>
      <c r="B445" s="0" t="s">
        <v>3948</v>
      </c>
      <c r="C445" s="0" t="s">
        <v>817</v>
      </c>
      <c r="D445" s="31" t="n">
        <v>37180</v>
      </c>
      <c r="E445" s="31" t="n">
        <v>45609</v>
      </c>
      <c r="F445" s="32" t="s">
        <v>4952</v>
      </c>
      <c r="G445" s="0" t="n">
        <v>4</v>
      </c>
      <c r="H445" s="32" t="s">
        <v>5281</v>
      </c>
      <c r="I445" s="32" t="s">
        <v>4597</v>
      </c>
      <c r="J445" s="32" t="s">
        <v>3749</v>
      </c>
      <c r="K445" s="32" t="s">
        <v>2081</v>
      </c>
      <c r="L445" s="0" t="n">
        <v>216</v>
      </c>
      <c r="M445" s="32" t="s">
        <v>3877</v>
      </c>
      <c r="N445" s="32" t="s">
        <v>3751</v>
      </c>
      <c r="O445" s="32" t="n">
        <f aca="false">IF(I445="","",ROUND(MOD(TIMEVALUE(I445)-TIMEVALUE(F445),1)*1440,0))</f>
        <v>216</v>
      </c>
      <c r="P445" s="0" t="str">
        <f aca="false">IF(COUNTIF($A$2:A445,A445)&gt;1,"DUP","")</f>
        <v/>
      </c>
      <c r="Q445" s="0" t="str">
        <f aca="false">IF(O445="","",IF(O445&gt;240,"Y","N"))</f>
        <v>N</v>
      </c>
    </row>
    <row r="446" customFormat="false" ht="15" hidden="false" customHeight="false" outlineLevel="0" collapsed="false">
      <c r="A446" s="0" t="s">
        <v>5282</v>
      </c>
      <c r="B446" s="0" t="s">
        <v>5283</v>
      </c>
      <c r="C446" s="0" t="s">
        <v>809</v>
      </c>
      <c r="D446" s="31" t="n">
        <v>22455</v>
      </c>
      <c r="E446" s="31" t="n">
        <v>45652</v>
      </c>
      <c r="F446" s="32" t="s">
        <v>5284</v>
      </c>
      <c r="G446" s="0" t="n">
        <v>4</v>
      </c>
      <c r="H446" s="32" t="s">
        <v>5285</v>
      </c>
      <c r="I446" s="32" t="s">
        <v>5286</v>
      </c>
      <c r="J446" s="32" t="s">
        <v>7</v>
      </c>
      <c r="K446" s="32" t="s">
        <v>2106</v>
      </c>
      <c r="L446" s="0" t="n">
        <v>282</v>
      </c>
      <c r="M446" s="32" t="s">
        <v>3770</v>
      </c>
      <c r="N446" s="32" t="s">
        <v>3751</v>
      </c>
      <c r="O446" s="32" t="n">
        <f aca="false">IF(I446="","",ROUND(MOD(TIMEVALUE(I446)-TIMEVALUE(F446),1)*1440,0))</f>
        <v>282</v>
      </c>
      <c r="P446" s="0" t="str">
        <f aca="false">IF(COUNTIF($A$2:A446,A446)&gt;1,"DUP","")</f>
        <v/>
      </c>
      <c r="Q446" s="0" t="str">
        <f aca="false">IF(O446="","",IF(O446&gt;240,"Y","N"))</f>
        <v>Y</v>
      </c>
    </row>
    <row r="447" customFormat="false" ht="15" hidden="false" customHeight="false" outlineLevel="0" collapsed="false">
      <c r="A447" s="0" t="s">
        <v>5287</v>
      </c>
      <c r="B447" s="0" t="s">
        <v>4357</v>
      </c>
      <c r="C447" s="0" t="s">
        <v>993</v>
      </c>
      <c r="D447" s="31" t="n">
        <v>31540</v>
      </c>
      <c r="E447" s="31" t="n">
        <v>45636</v>
      </c>
      <c r="F447" s="32" t="s">
        <v>4383</v>
      </c>
      <c r="G447" s="0" t="n">
        <v>4</v>
      </c>
      <c r="H447" s="32" t="s">
        <v>4403</v>
      </c>
      <c r="I447" s="32" t="s">
        <v>4433</v>
      </c>
      <c r="J447" s="32" t="s">
        <v>3749</v>
      </c>
      <c r="K447" s="32" t="s">
        <v>2106</v>
      </c>
      <c r="L447" s="0" t="n">
        <v>249</v>
      </c>
      <c r="M447" s="32" t="s">
        <v>4285</v>
      </c>
      <c r="N447" s="32" t="s">
        <v>3751</v>
      </c>
      <c r="O447" s="32" t="n">
        <f aca="false">IF(I447="","",ROUND(MOD(TIMEVALUE(I447)-TIMEVALUE(F447),1)*1440,0))</f>
        <v>249</v>
      </c>
      <c r="P447" s="0" t="str">
        <f aca="false">IF(COUNTIF($A$2:A447,A447)&gt;1,"DUP","")</f>
        <v/>
      </c>
      <c r="Q447" s="0" t="str">
        <f aca="false">IF(O447="","",IF(O447&gt;240,"Y","N"))</f>
        <v>Y</v>
      </c>
    </row>
    <row r="448" customFormat="false" ht="15" hidden="false" customHeight="false" outlineLevel="0" collapsed="false">
      <c r="A448" s="0" t="s">
        <v>5288</v>
      </c>
      <c r="B448" s="0" t="s">
        <v>4357</v>
      </c>
      <c r="C448" s="0" t="s">
        <v>1029</v>
      </c>
      <c r="D448" s="31" t="n">
        <v>31094</v>
      </c>
      <c r="E448" s="31" t="n">
        <v>45682</v>
      </c>
      <c r="F448" s="32" t="s">
        <v>5289</v>
      </c>
      <c r="G448" s="0" t="n">
        <v>3</v>
      </c>
      <c r="H448" s="32" t="s">
        <v>4517</v>
      </c>
      <c r="I448" s="32" t="s">
        <v>5248</v>
      </c>
      <c r="J448" s="32" t="s">
        <v>3749</v>
      </c>
      <c r="K448" s="32" t="s">
        <v>2081</v>
      </c>
      <c r="L448" s="0" t="n">
        <v>41</v>
      </c>
      <c r="M448" s="32" t="s">
        <v>3871</v>
      </c>
      <c r="N448" s="32" t="s">
        <v>3751</v>
      </c>
      <c r="O448" s="32" t="n">
        <f aca="false">IF(I448="","",ROUND(MOD(TIMEVALUE(I448)-TIMEVALUE(F448),1)*1440,0))</f>
        <v>41</v>
      </c>
      <c r="P448" s="0" t="str">
        <f aca="false">IF(COUNTIF($A$2:A448,A448)&gt;1,"DUP","")</f>
        <v/>
      </c>
      <c r="Q448" s="0" t="str">
        <f aca="false">IF(O448="","",IF(O448&gt;240,"Y","N"))</f>
        <v>N</v>
      </c>
    </row>
    <row r="449" customFormat="false" ht="15" hidden="false" customHeight="false" outlineLevel="0" collapsed="false">
      <c r="A449" s="0" t="s">
        <v>5290</v>
      </c>
      <c r="B449" s="0" t="s">
        <v>4297</v>
      </c>
      <c r="C449" s="0" t="s">
        <v>922</v>
      </c>
      <c r="D449" s="31" t="n">
        <v>18642</v>
      </c>
      <c r="E449" s="31" t="n">
        <v>45650</v>
      </c>
      <c r="F449" s="32" t="s">
        <v>5291</v>
      </c>
      <c r="G449" s="0" t="n">
        <v>3</v>
      </c>
      <c r="H449" s="32" t="s">
        <v>5292</v>
      </c>
      <c r="I449" s="32" t="s">
        <v>4817</v>
      </c>
      <c r="J449" s="32" t="s">
        <v>3749</v>
      </c>
      <c r="K449" s="32" t="s">
        <v>2081</v>
      </c>
      <c r="L449" s="0" t="n">
        <v>199</v>
      </c>
      <c r="M449" s="32" t="s">
        <v>4165</v>
      </c>
      <c r="N449" s="32" t="s">
        <v>3751</v>
      </c>
      <c r="O449" s="32" t="n">
        <f aca="false">IF(I449="","",ROUND(MOD(TIMEVALUE(I449)-TIMEVALUE(F449),1)*1440,0))</f>
        <v>199</v>
      </c>
      <c r="P449" s="0" t="str">
        <f aca="false">IF(COUNTIF($A$2:A449,A449)&gt;1,"DUP","")</f>
        <v/>
      </c>
      <c r="Q449" s="0" t="str">
        <f aca="false">IF(O449="","",IF(O449&gt;240,"Y","N"))</f>
        <v>N</v>
      </c>
    </row>
    <row r="450" customFormat="false" ht="15" hidden="false" customHeight="false" outlineLevel="0" collapsed="false">
      <c r="A450" s="0" t="s">
        <v>5293</v>
      </c>
      <c r="B450" s="0" t="s">
        <v>4079</v>
      </c>
      <c r="C450" s="0" t="s">
        <v>970</v>
      </c>
      <c r="D450" s="31" t="n">
        <v>19859</v>
      </c>
      <c r="E450" s="31" t="n">
        <v>45639</v>
      </c>
      <c r="F450" s="32" t="s">
        <v>4689</v>
      </c>
      <c r="G450" s="0" t="n">
        <v>5</v>
      </c>
      <c r="H450" s="32" t="s">
        <v>4294</v>
      </c>
      <c r="I450" s="32" t="s">
        <v>4976</v>
      </c>
      <c r="J450" s="32" t="s">
        <v>3793</v>
      </c>
      <c r="K450" s="32" t="s">
        <v>2081</v>
      </c>
      <c r="L450" s="0" t="n">
        <v>92</v>
      </c>
      <c r="M450" s="32" t="s">
        <v>3843</v>
      </c>
      <c r="N450" s="32" t="s">
        <v>785</v>
      </c>
      <c r="O450" s="32" t="n">
        <f aca="false">IF(I450="","",ROUND(MOD(TIMEVALUE(I450)-TIMEVALUE(F450),1)*1440,0))</f>
        <v>92</v>
      </c>
      <c r="P450" s="0" t="str">
        <f aca="false">IF(COUNTIF($A$2:A450,A450)&gt;1,"DUP","")</f>
        <v/>
      </c>
      <c r="Q450" s="0" t="str">
        <f aca="false">IF(O450="","",IF(O450&gt;240,"Y","N"))</f>
        <v>N</v>
      </c>
    </row>
    <row r="451" customFormat="false" ht="15" hidden="false" customHeight="false" outlineLevel="0" collapsed="false">
      <c r="A451" s="0" t="s">
        <v>5294</v>
      </c>
      <c r="B451" s="0" t="s">
        <v>5262</v>
      </c>
      <c r="C451" s="0" t="s">
        <v>1001</v>
      </c>
      <c r="D451" s="31" t="n">
        <v>27201</v>
      </c>
      <c r="E451" s="31" t="n">
        <v>45581</v>
      </c>
      <c r="F451" s="32" t="s">
        <v>5076</v>
      </c>
      <c r="G451" s="0" t="n">
        <v>5</v>
      </c>
      <c r="H451" s="32" t="s">
        <v>5295</v>
      </c>
      <c r="I451" s="32" t="s">
        <v>4372</v>
      </c>
      <c r="J451" s="32" t="s">
        <v>3749</v>
      </c>
      <c r="K451" s="32" t="s">
        <v>2081</v>
      </c>
      <c r="L451" s="0" t="n">
        <v>95</v>
      </c>
      <c r="M451" s="32" t="s">
        <v>3843</v>
      </c>
      <c r="N451" s="32" t="s">
        <v>3751</v>
      </c>
      <c r="O451" s="32" t="n">
        <f aca="false">IF(I451="","",ROUND(MOD(TIMEVALUE(I451)-TIMEVALUE(F451),1)*1440,0))</f>
        <v>95</v>
      </c>
      <c r="P451" s="0" t="str">
        <f aca="false">IF(COUNTIF($A$2:A451,A451)&gt;1,"DUP","")</f>
        <v/>
      </c>
      <c r="Q451" s="0" t="str">
        <f aca="false">IF(O451="","",IF(O451&gt;240,"Y","N"))</f>
        <v>N</v>
      </c>
    </row>
    <row r="452" customFormat="false" ht="15" hidden="false" customHeight="false" outlineLevel="0" collapsed="false">
      <c r="A452" s="0" t="s">
        <v>5296</v>
      </c>
      <c r="B452" s="0" t="s">
        <v>4854</v>
      </c>
      <c r="C452" s="0" t="s">
        <v>1398</v>
      </c>
      <c r="D452" s="31" t="n">
        <v>30281</v>
      </c>
      <c r="E452" s="31" t="n">
        <v>45711</v>
      </c>
      <c r="F452" s="32" t="s">
        <v>5297</v>
      </c>
      <c r="G452" s="0" t="n">
        <v>3</v>
      </c>
      <c r="H452" s="32" t="s">
        <v>4347</v>
      </c>
      <c r="I452" s="32" t="s">
        <v>5298</v>
      </c>
      <c r="J452" s="32" t="s">
        <v>2307</v>
      </c>
      <c r="K452" s="32" t="s">
        <v>2081</v>
      </c>
      <c r="L452" s="0" t="n">
        <v>86</v>
      </c>
      <c r="M452" s="32" t="s">
        <v>4047</v>
      </c>
      <c r="N452" s="32" t="s">
        <v>3751</v>
      </c>
      <c r="O452" s="32" t="n">
        <f aca="false">IF(I452="","",ROUND(MOD(TIMEVALUE(I452)-TIMEVALUE(F452),1)*1440,0))</f>
        <v>86</v>
      </c>
      <c r="P452" s="0" t="str">
        <f aca="false">IF(COUNTIF($A$2:A452,A452)&gt;1,"DUP","")</f>
        <v/>
      </c>
      <c r="Q452" s="0" t="str">
        <f aca="false">IF(O452="","",IF(O452&gt;240,"Y","N"))</f>
        <v>N</v>
      </c>
    </row>
    <row r="453" customFormat="false" ht="15" hidden="false" customHeight="false" outlineLevel="0" collapsed="false">
      <c r="A453" s="0" t="s">
        <v>5299</v>
      </c>
      <c r="B453" s="0" t="s">
        <v>4724</v>
      </c>
      <c r="C453" s="0" t="s">
        <v>775</v>
      </c>
      <c r="D453" s="31" t="n">
        <v>21371</v>
      </c>
      <c r="E453" s="31" t="n">
        <v>45619</v>
      </c>
      <c r="F453" s="32" t="s">
        <v>5300</v>
      </c>
      <c r="G453" s="0" t="n">
        <v>4</v>
      </c>
      <c r="H453" s="32" t="s">
        <v>5301</v>
      </c>
      <c r="I453" s="32" t="s">
        <v>5302</v>
      </c>
      <c r="J453" s="32" t="s">
        <v>3749</v>
      </c>
      <c r="K453" s="32" t="s">
        <v>2081</v>
      </c>
      <c r="L453" s="0" t="n">
        <v>128</v>
      </c>
      <c r="M453" s="32" t="s">
        <v>4122</v>
      </c>
      <c r="N453" s="32" t="s">
        <v>3751</v>
      </c>
      <c r="O453" s="32" t="n">
        <f aca="false">IF(I453="","",ROUND(MOD(TIMEVALUE(I453)-TIMEVALUE(F453),1)*1440,0))</f>
        <v>128</v>
      </c>
      <c r="P453" s="0" t="str">
        <f aca="false">IF(COUNTIF($A$2:A453,A453)&gt;1,"DUP","")</f>
        <v/>
      </c>
      <c r="Q453" s="0" t="str">
        <f aca="false">IF(O453="","",IF(O453&gt;240,"Y","N"))</f>
        <v>N</v>
      </c>
    </row>
    <row r="454" customFormat="false" ht="15" hidden="false" customHeight="false" outlineLevel="0" collapsed="false">
      <c r="A454" s="0" t="s">
        <v>5303</v>
      </c>
      <c r="B454" s="0" t="s">
        <v>5304</v>
      </c>
      <c r="C454" s="0" t="s">
        <v>985</v>
      </c>
      <c r="D454" s="31" t="n">
        <v>36110</v>
      </c>
      <c r="E454" s="31" t="n">
        <v>45570</v>
      </c>
      <c r="F454" s="32" t="s">
        <v>3819</v>
      </c>
      <c r="G454" s="0" t="n">
        <v>4</v>
      </c>
      <c r="H454" s="32" t="s">
        <v>3875</v>
      </c>
      <c r="I454" s="32" t="s">
        <v>5305</v>
      </c>
      <c r="J454" s="32" t="s">
        <v>3749</v>
      </c>
      <c r="K454" s="32" t="s">
        <v>2081</v>
      </c>
      <c r="L454" s="0" t="n">
        <v>112</v>
      </c>
      <c r="M454" s="32" t="s">
        <v>4295</v>
      </c>
      <c r="N454" s="32" t="s">
        <v>3751</v>
      </c>
      <c r="O454" s="32" t="n">
        <f aca="false">IF(I454="","",ROUND(MOD(TIMEVALUE(I454)-TIMEVALUE(F454),1)*1440,0))</f>
        <v>112</v>
      </c>
      <c r="P454" s="0" t="str">
        <f aca="false">IF(COUNTIF($A$2:A454,A454)&gt;1,"DUP","")</f>
        <v/>
      </c>
      <c r="Q454" s="0" t="str">
        <f aca="false">IF(O454="","",IF(O454&gt;240,"Y","N"))</f>
        <v>N</v>
      </c>
    </row>
    <row r="455" customFormat="false" ht="15" hidden="false" customHeight="false" outlineLevel="0" collapsed="false">
      <c r="A455" s="0" t="s">
        <v>5306</v>
      </c>
      <c r="B455" s="0" t="s">
        <v>4738</v>
      </c>
      <c r="C455" s="0" t="s">
        <v>910</v>
      </c>
      <c r="D455" s="31" t="n">
        <v>23372</v>
      </c>
      <c r="E455" s="31" t="n">
        <v>45589</v>
      </c>
      <c r="F455" s="32" t="s">
        <v>4332</v>
      </c>
      <c r="G455" s="0" t="n">
        <v>4</v>
      </c>
      <c r="H455" s="32" t="s">
        <v>3836</v>
      </c>
      <c r="I455" s="32" t="s">
        <v>4447</v>
      </c>
      <c r="J455" s="32" t="s">
        <v>3749</v>
      </c>
      <c r="K455" s="32" t="s">
        <v>2081</v>
      </c>
      <c r="L455" s="0" t="n">
        <v>44</v>
      </c>
      <c r="M455" s="32" t="s">
        <v>3776</v>
      </c>
      <c r="N455" s="32" t="s">
        <v>3751</v>
      </c>
      <c r="O455" s="32" t="n">
        <f aca="false">IF(I455="","",ROUND(MOD(TIMEVALUE(I455)-TIMEVALUE(F455),1)*1440,0))</f>
        <v>44</v>
      </c>
      <c r="P455" s="0" t="str">
        <f aca="false">IF(COUNTIF($A$2:A455,A455)&gt;1,"DUP","")</f>
        <v/>
      </c>
      <c r="Q455" s="0" t="str">
        <f aca="false">IF(O455="","",IF(O455&gt;240,"Y","N"))</f>
        <v>N</v>
      </c>
    </row>
    <row r="456" customFormat="false" ht="15" hidden="false" customHeight="false" outlineLevel="0" collapsed="false">
      <c r="A456" s="0" t="s">
        <v>5307</v>
      </c>
      <c r="B456" s="0" t="s">
        <v>3954</v>
      </c>
      <c r="C456" s="0" t="s">
        <v>1414</v>
      </c>
      <c r="D456" s="31" t="n">
        <v>27320</v>
      </c>
      <c r="E456" s="31" t="n">
        <v>45655</v>
      </c>
      <c r="F456" s="32" t="s">
        <v>4549</v>
      </c>
      <c r="G456" s="0" t="n">
        <v>4</v>
      </c>
      <c r="H456" s="32" t="s">
        <v>5308</v>
      </c>
      <c r="I456" s="32" t="s">
        <v>4513</v>
      </c>
      <c r="J456" s="32" t="s">
        <v>3749</v>
      </c>
      <c r="K456" s="32" t="s">
        <v>2081</v>
      </c>
      <c r="L456" s="0" t="n">
        <v>87</v>
      </c>
      <c r="M456" s="32" t="s">
        <v>3887</v>
      </c>
      <c r="N456" s="32" t="s">
        <v>3751</v>
      </c>
      <c r="O456" s="32" t="n">
        <f aca="false">IF(I456="","",ROUND(MOD(TIMEVALUE(I456)-TIMEVALUE(F456),1)*1440,0))</f>
        <v>87</v>
      </c>
      <c r="P456" s="0" t="str">
        <f aca="false">IF(COUNTIF($A$2:A456,A456)&gt;1,"DUP","")</f>
        <v/>
      </c>
      <c r="Q456" s="0" t="str">
        <f aca="false">IF(O456="","",IF(O456&gt;240,"Y","N"))</f>
        <v>N</v>
      </c>
    </row>
    <row r="457" customFormat="false" ht="15" hidden="false" customHeight="false" outlineLevel="0" collapsed="false">
      <c r="A457" s="0" t="s">
        <v>5309</v>
      </c>
      <c r="B457" s="0" t="s">
        <v>4400</v>
      </c>
      <c r="C457" s="0" t="s">
        <v>1021</v>
      </c>
      <c r="D457" s="31" t="n">
        <v>18816</v>
      </c>
      <c r="E457" s="31" t="n">
        <v>45625</v>
      </c>
      <c r="F457" s="32" t="s">
        <v>5310</v>
      </c>
      <c r="G457" s="0" t="n">
        <v>3</v>
      </c>
      <c r="H457" s="32" t="s">
        <v>5311</v>
      </c>
      <c r="I457" s="32" t="s">
        <v>5254</v>
      </c>
      <c r="J457" s="32" t="s">
        <v>3749</v>
      </c>
      <c r="K457" s="32" t="s">
        <v>2081</v>
      </c>
      <c r="L457" s="0" t="n">
        <v>225</v>
      </c>
      <c r="M457" s="32" t="s">
        <v>4255</v>
      </c>
      <c r="N457" s="32" t="s">
        <v>3751</v>
      </c>
      <c r="O457" s="32" t="n">
        <f aca="false">IF(I457="","",ROUND(MOD(TIMEVALUE(I457)-TIMEVALUE(F457),1)*1440,0))</f>
        <v>225</v>
      </c>
      <c r="P457" s="0" t="str">
        <f aca="false">IF(COUNTIF($A$2:A457,A457)&gt;1,"DUP","")</f>
        <v/>
      </c>
      <c r="Q457" s="0" t="str">
        <f aca="false">IF(O457="","",IF(O457&gt;240,"Y","N"))</f>
        <v>N</v>
      </c>
    </row>
    <row r="458" customFormat="false" ht="15" hidden="false" customHeight="false" outlineLevel="0" collapsed="false">
      <c r="A458" s="0" t="s">
        <v>5312</v>
      </c>
      <c r="C458" s="0" t="s">
        <v>775</v>
      </c>
      <c r="D458" s="31" t="n">
        <v>39246</v>
      </c>
      <c r="E458" s="31" t="n">
        <v>45657</v>
      </c>
      <c r="F458" s="32" t="s">
        <v>4576</v>
      </c>
      <c r="G458" s="0" t="n">
        <v>4</v>
      </c>
      <c r="H458" s="32" t="s">
        <v>4750</v>
      </c>
      <c r="I458" s="32" t="s">
        <v>5271</v>
      </c>
      <c r="J458" s="32" t="s">
        <v>3749</v>
      </c>
      <c r="K458" s="32" t="s">
        <v>2106</v>
      </c>
      <c r="L458" s="0" t="n">
        <v>414</v>
      </c>
      <c r="M458" s="32" t="s">
        <v>4037</v>
      </c>
      <c r="N458" s="32" t="s">
        <v>3751</v>
      </c>
      <c r="O458" s="32" t="n">
        <f aca="false">IF(I458="","",ROUND(MOD(TIMEVALUE(I458)-TIMEVALUE(F458),1)*1440,0))</f>
        <v>414</v>
      </c>
      <c r="P458" s="0" t="str">
        <f aca="false">IF(COUNTIF($A$2:A458,A458)&gt;1,"DUP","")</f>
        <v/>
      </c>
      <c r="Q458" s="0" t="str">
        <f aca="false">IF(O458="","",IF(O458&gt;240,"Y","N"))</f>
        <v>Y</v>
      </c>
    </row>
    <row r="459" customFormat="false" ht="15" hidden="false" customHeight="false" outlineLevel="0" collapsed="false">
      <c r="A459" s="0" t="s">
        <v>5313</v>
      </c>
      <c r="B459" s="0" t="s">
        <v>4917</v>
      </c>
      <c r="C459" s="0" t="s">
        <v>870</v>
      </c>
      <c r="D459" s="31" t="n">
        <v>14689</v>
      </c>
      <c r="E459" s="31" t="n">
        <v>45660</v>
      </c>
      <c r="F459" s="32" t="s">
        <v>5314</v>
      </c>
      <c r="G459" s="0" t="n">
        <v>4</v>
      </c>
      <c r="H459" s="32" t="s">
        <v>5248</v>
      </c>
      <c r="I459" s="32" t="s">
        <v>3876</v>
      </c>
      <c r="J459" s="32" t="s">
        <v>2307</v>
      </c>
      <c r="K459" s="32" t="s">
        <v>2106</v>
      </c>
      <c r="L459" s="0" t="n">
        <v>552</v>
      </c>
      <c r="M459" s="32" t="s">
        <v>4206</v>
      </c>
      <c r="N459" s="32" t="s">
        <v>3751</v>
      </c>
      <c r="O459" s="32" t="n">
        <f aca="false">IF(I459="","",ROUND(MOD(TIMEVALUE(I459)-TIMEVALUE(F459),1)*1440,0))</f>
        <v>552</v>
      </c>
      <c r="P459" s="0" t="str">
        <f aca="false">IF(COUNTIF($A$2:A459,A459)&gt;1,"DUP","")</f>
        <v/>
      </c>
      <c r="Q459" s="0" t="str">
        <f aca="false">IF(O459="","",IF(O459&gt;240,"Y","N"))</f>
        <v>Y</v>
      </c>
    </row>
    <row r="460" customFormat="false" ht="15" hidden="false" customHeight="false" outlineLevel="0" collapsed="false">
      <c r="A460" s="0" t="s">
        <v>5266</v>
      </c>
      <c r="B460" s="0" t="s">
        <v>5267</v>
      </c>
      <c r="C460" s="0" t="s">
        <v>1460</v>
      </c>
      <c r="D460" s="31" t="n">
        <v>21618</v>
      </c>
      <c r="E460" s="31" t="n">
        <v>45663</v>
      </c>
      <c r="F460" s="32" t="s">
        <v>5068</v>
      </c>
      <c r="G460" s="0" t="n">
        <v>4</v>
      </c>
      <c r="H460" s="32" t="s">
        <v>5201</v>
      </c>
      <c r="I460" s="32" t="s">
        <v>5268</v>
      </c>
      <c r="J460" s="32" t="s">
        <v>3793</v>
      </c>
      <c r="K460" s="32" t="s">
        <v>2081</v>
      </c>
      <c r="L460" s="0" t="n">
        <v>238</v>
      </c>
      <c r="M460" s="32" t="s">
        <v>4313</v>
      </c>
      <c r="N460" s="32" t="s">
        <v>785</v>
      </c>
      <c r="O460" s="32" t="n">
        <f aca="false">IF(I460="","",ROUND(MOD(TIMEVALUE(I460)-TIMEVALUE(F460),1)*1440,0))</f>
        <v>238</v>
      </c>
      <c r="P460" s="0" t="str">
        <f aca="false">IF(COUNTIF($A$2:A460,A460)&gt;1,"DUP","")</f>
        <v>DUP</v>
      </c>
      <c r="Q460" s="0" t="str">
        <f aca="false">IF(O460="","",IF(O460&gt;240,"Y","N"))</f>
        <v>N</v>
      </c>
    </row>
    <row r="461" customFormat="false" ht="15" hidden="false" customHeight="false" outlineLevel="0" collapsed="false">
      <c r="A461" s="0" t="s">
        <v>5315</v>
      </c>
      <c r="B461" s="0" t="s">
        <v>4738</v>
      </c>
      <c r="C461" s="0" t="s">
        <v>784</v>
      </c>
      <c r="D461" s="31" t="n">
        <v>34959</v>
      </c>
      <c r="E461" s="31" t="n">
        <v>45599</v>
      </c>
      <c r="F461" s="32" t="s">
        <v>4670</v>
      </c>
      <c r="G461" s="0" t="n">
        <v>4</v>
      </c>
      <c r="H461" s="32" t="s">
        <v>3835</v>
      </c>
      <c r="I461" s="32" t="s">
        <v>5244</v>
      </c>
      <c r="J461" s="32" t="s">
        <v>3749</v>
      </c>
      <c r="K461" s="32" t="s">
        <v>2081</v>
      </c>
      <c r="L461" s="0" t="n">
        <v>205</v>
      </c>
      <c r="M461" s="32" t="s">
        <v>4219</v>
      </c>
      <c r="N461" s="32" t="s">
        <v>3751</v>
      </c>
      <c r="O461" s="32" t="n">
        <f aca="false">IF(I461="","",ROUND(MOD(TIMEVALUE(I461)-TIMEVALUE(F461),1)*1440,0))</f>
        <v>205</v>
      </c>
      <c r="P461" s="0" t="str">
        <f aca="false">IF(COUNTIF($A$2:A461,A461)&gt;1,"DUP","")</f>
        <v/>
      </c>
      <c r="Q461" s="0" t="str">
        <f aca="false">IF(O461="","",IF(O461&gt;240,"Y","N"))</f>
        <v>N</v>
      </c>
    </row>
    <row r="462" customFormat="false" ht="15" hidden="false" customHeight="false" outlineLevel="0" collapsed="false">
      <c r="A462" s="0" t="s">
        <v>5288</v>
      </c>
      <c r="B462" s="0" t="s">
        <v>4357</v>
      </c>
      <c r="C462" s="0" t="s">
        <v>1029</v>
      </c>
      <c r="D462" s="31" t="n">
        <v>31094</v>
      </c>
      <c r="E462" s="31" t="n">
        <v>45682</v>
      </c>
      <c r="F462" s="32" t="s">
        <v>5289</v>
      </c>
      <c r="G462" s="0" t="n">
        <v>3</v>
      </c>
      <c r="H462" s="32" t="s">
        <v>4517</v>
      </c>
      <c r="I462" s="32" t="s">
        <v>5248</v>
      </c>
      <c r="J462" s="32" t="s">
        <v>3749</v>
      </c>
      <c r="K462" s="32" t="s">
        <v>2081</v>
      </c>
      <c r="L462" s="0" t="n">
        <v>41</v>
      </c>
      <c r="M462" s="32" t="s">
        <v>3776</v>
      </c>
      <c r="N462" s="32" t="s">
        <v>3751</v>
      </c>
      <c r="O462" s="32" t="n">
        <f aca="false">IF(I462="","",ROUND(MOD(TIMEVALUE(I462)-TIMEVALUE(F462),1)*1440,0))</f>
        <v>41</v>
      </c>
      <c r="P462" s="0" t="str">
        <f aca="false">IF(COUNTIF($A$2:A462,A462)&gt;1,"DUP","")</f>
        <v>DUP</v>
      </c>
      <c r="Q462" s="0" t="str">
        <f aca="false">IF(O462="","",IF(O462&gt;240,"Y","N"))</f>
        <v>N</v>
      </c>
    </row>
    <row r="463" customFormat="false" ht="15" hidden="false" customHeight="false" outlineLevel="0" collapsed="false">
      <c r="A463" s="0" t="s">
        <v>5316</v>
      </c>
      <c r="B463" s="0" t="s">
        <v>3989</v>
      </c>
      <c r="C463" s="0" t="s">
        <v>825</v>
      </c>
      <c r="D463" s="31" t="n">
        <v>25769</v>
      </c>
      <c r="E463" s="31" t="n">
        <v>45662</v>
      </c>
      <c r="F463" s="32" t="s">
        <v>4380</v>
      </c>
      <c r="G463" s="0" t="n">
        <v>3</v>
      </c>
      <c r="H463" s="32" t="s">
        <v>4999</v>
      </c>
      <c r="I463" s="32" t="s">
        <v>5317</v>
      </c>
      <c r="J463" s="32" t="s">
        <v>3763</v>
      </c>
      <c r="K463" s="32" t="s">
        <v>2081</v>
      </c>
      <c r="L463" s="0" t="n">
        <v>216</v>
      </c>
      <c r="M463" s="32" t="s">
        <v>3794</v>
      </c>
      <c r="N463" s="32" t="s">
        <v>3751</v>
      </c>
      <c r="O463" s="32" t="n">
        <f aca="false">IF(I463="","",ROUND(MOD(TIMEVALUE(I463)-TIMEVALUE(F463),1)*1440,0))</f>
        <v>216</v>
      </c>
      <c r="P463" s="0" t="str">
        <f aca="false">IF(COUNTIF($A$2:A463,A463)&gt;1,"DUP","")</f>
        <v/>
      </c>
      <c r="Q463" s="0" t="str">
        <f aca="false">IF(O463="","",IF(O463&gt;240,"Y","N"))</f>
        <v>N</v>
      </c>
    </row>
    <row r="464" customFormat="false" ht="15" hidden="false" customHeight="false" outlineLevel="0" collapsed="false">
      <c r="A464" s="0" t="s">
        <v>5318</v>
      </c>
      <c r="B464" s="0" t="s">
        <v>4214</v>
      </c>
      <c r="C464" s="0" t="s">
        <v>1021</v>
      </c>
      <c r="D464" s="31" t="n">
        <v>28557</v>
      </c>
      <c r="E464" s="31" t="n">
        <v>45671</v>
      </c>
      <c r="F464" s="32" t="s">
        <v>4863</v>
      </c>
      <c r="G464" s="0" t="n">
        <v>3</v>
      </c>
      <c r="H464" s="32" t="s">
        <v>5319</v>
      </c>
      <c r="I464" s="32" t="s">
        <v>4265</v>
      </c>
      <c r="J464" s="32" t="s">
        <v>3763</v>
      </c>
      <c r="K464" s="32" t="s">
        <v>2081</v>
      </c>
      <c r="L464" s="0" t="n">
        <v>234</v>
      </c>
      <c r="M464" s="32" t="s">
        <v>3902</v>
      </c>
      <c r="N464" s="32" t="s">
        <v>3751</v>
      </c>
      <c r="O464" s="32" t="n">
        <f aca="false">IF(I464="","",ROUND(MOD(TIMEVALUE(I464)-TIMEVALUE(F464),1)*1440,0))</f>
        <v>234</v>
      </c>
      <c r="P464" s="0" t="str">
        <f aca="false">IF(COUNTIF($A$2:A464,A464)&gt;1,"DUP","")</f>
        <v/>
      </c>
      <c r="Q464" s="0" t="str">
        <f aca="false">IF(O464="","",IF(O464&gt;240,"Y","N"))</f>
        <v>N</v>
      </c>
    </row>
    <row r="465" customFormat="false" ht="15" hidden="false" customHeight="false" outlineLevel="0" collapsed="false">
      <c r="A465" s="0" t="s">
        <v>5320</v>
      </c>
      <c r="B465" s="0" t="s">
        <v>5321</v>
      </c>
      <c r="C465" s="0" t="s">
        <v>926</v>
      </c>
      <c r="D465" s="31" t="n">
        <v>35402</v>
      </c>
      <c r="E465" s="31" t="n">
        <v>45603</v>
      </c>
      <c r="F465" s="32" t="s">
        <v>4411</v>
      </c>
      <c r="G465" s="0" t="n">
        <v>5</v>
      </c>
      <c r="H465" s="32" t="s">
        <v>5322</v>
      </c>
      <c r="I465" s="32" t="s">
        <v>5250</v>
      </c>
      <c r="J465" s="32" t="s">
        <v>2307</v>
      </c>
      <c r="K465" s="32" t="s">
        <v>2081</v>
      </c>
      <c r="L465" s="0" t="n">
        <v>111</v>
      </c>
      <c r="M465" s="32" t="s">
        <v>4149</v>
      </c>
      <c r="N465" s="32" t="s">
        <v>3751</v>
      </c>
      <c r="O465" s="32" t="n">
        <f aca="false">IF(I465="","",ROUND(MOD(TIMEVALUE(I465)-TIMEVALUE(F465),1)*1440,0))</f>
        <v>111</v>
      </c>
      <c r="P465" s="0" t="str">
        <f aca="false">IF(COUNTIF($A$2:A465,A465)&gt;1,"DUP","")</f>
        <v/>
      </c>
      <c r="Q465" s="0" t="str">
        <f aca="false">IF(O465="","",IF(O465&gt;240,"Y","N"))</f>
        <v>N</v>
      </c>
    </row>
    <row r="466" customFormat="false" ht="15" hidden="false" customHeight="false" outlineLevel="0" collapsed="false">
      <c r="A466" s="0" t="s">
        <v>5323</v>
      </c>
      <c r="B466" s="0" t="s">
        <v>5101</v>
      </c>
      <c r="C466" s="0" t="s">
        <v>837</v>
      </c>
      <c r="D466" s="31" t="n">
        <v>21659</v>
      </c>
      <c r="E466" s="31" t="n">
        <v>45697</v>
      </c>
      <c r="F466" s="32" t="s">
        <v>5324</v>
      </c>
      <c r="G466" s="0" t="n">
        <v>3</v>
      </c>
      <c r="H466" s="32" t="s">
        <v>3940</v>
      </c>
      <c r="I466" s="32" t="s">
        <v>5325</v>
      </c>
      <c r="J466" s="32" t="s">
        <v>3749</v>
      </c>
      <c r="K466" s="32" t="s">
        <v>2081</v>
      </c>
      <c r="L466" s="0" t="n">
        <v>139</v>
      </c>
      <c r="M466" s="32" t="s">
        <v>3821</v>
      </c>
      <c r="N466" s="32" t="s">
        <v>3751</v>
      </c>
      <c r="O466" s="32" t="n">
        <f aca="false">IF(I466="","",ROUND(MOD(TIMEVALUE(I466)-TIMEVALUE(F466),1)*1440,0))</f>
        <v>139</v>
      </c>
      <c r="P466" s="0" t="str">
        <f aca="false">IF(COUNTIF($A$2:A466,A466)&gt;1,"DUP","")</f>
        <v/>
      </c>
      <c r="Q466" s="0" t="str">
        <f aca="false">IF(O466="","",IF(O466&gt;240,"Y","N"))</f>
        <v>N</v>
      </c>
    </row>
    <row r="467" customFormat="false" ht="15" hidden="false" customHeight="false" outlineLevel="0" collapsed="false">
      <c r="A467" s="0" t="s">
        <v>5326</v>
      </c>
      <c r="B467" s="0" t="s">
        <v>5327</v>
      </c>
      <c r="C467" s="0" t="s">
        <v>950</v>
      </c>
      <c r="D467" s="31" t="n">
        <v>26666</v>
      </c>
      <c r="E467" s="31" t="n">
        <v>45574</v>
      </c>
      <c r="F467" s="32" t="s">
        <v>4424</v>
      </c>
      <c r="G467" s="0" t="n">
        <v>4</v>
      </c>
      <c r="H467" s="32" t="s">
        <v>4358</v>
      </c>
      <c r="I467" s="32" t="s">
        <v>5328</v>
      </c>
      <c r="J467" s="32" t="s">
        <v>3749</v>
      </c>
      <c r="K467" s="32" t="s">
        <v>2081</v>
      </c>
      <c r="L467" s="0" t="n">
        <v>190</v>
      </c>
      <c r="M467" s="32" t="s">
        <v>3871</v>
      </c>
      <c r="N467" s="32" t="s">
        <v>3751</v>
      </c>
      <c r="O467" s="32" t="n">
        <f aca="false">IF(I467="","",ROUND(MOD(TIMEVALUE(I467)-TIMEVALUE(F467),1)*1440,0))</f>
        <v>190</v>
      </c>
      <c r="P467" s="0" t="str">
        <f aca="false">IF(COUNTIF($A$2:A467,A467)&gt;1,"DUP","")</f>
        <v/>
      </c>
      <c r="Q467" s="0" t="str">
        <f aca="false">IF(O467="","",IF(O467&gt;240,"Y","N"))</f>
        <v>N</v>
      </c>
    </row>
    <row r="468" customFormat="false" ht="15" hidden="false" customHeight="false" outlineLevel="0" collapsed="false">
      <c r="A468" s="0" t="s">
        <v>5329</v>
      </c>
      <c r="B468" s="0" t="s">
        <v>5330</v>
      </c>
      <c r="C468" s="0" t="s">
        <v>910</v>
      </c>
      <c r="D468" s="31" t="n">
        <v>37443</v>
      </c>
      <c r="E468" s="31" t="n">
        <v>45689</v>
      </c>
      <c r="F468" s="32" t="s">
        <v>5331</v>
      </c>
      <c r="G468" s="0" t="n">
        <v>3</v>
      </c>
      <c r="H468" s="32" t="s">
        <v>4759</v>
      </c>
      <c r="I468" s="32" t="s">
        <v>4656</v>
      </c>
      <c r="J468" s="32" t="s">
        <v>3749</v>
      </c>
      <c r="K468" s="32" t="s">
        <v>2081</v>
      </c>
      <c r="L468" s="0" t="n">
        <v>197</v>
      </c>
      <c r="M468" s="32" t="s">
        <v>3855</v>
      </c>
      <c r="N468" s="32" t="s">
        <v>3751</v>
      </c>
      <c r="O468" s="32" t="n">
        <f aca="false">IF(I468="","",ROUND(MOD(TIMEVALUE(I468)-TIMEVALUE(F468),1)*1440,0))</f>
        <v>197</v>
      </c>
      <c r="P468" s="0" t="str">
        <f aca="false">IF(COUNTIF($A$2:A468,A468)&gt;1,"DUP","")</f>
        <v/>
      </c>
      <c r="Q468" s="0" t="str">
        <f aca="false">IF(O468="","",IF(O468&gt;240,"Y","N"))</f>
        <v>N</v>
      </c>
    </row>
    <row r="469" customFormat="false" ht="15" hidden="false" customHeight="false" outlineLevel="0" collapsed="false">
      <c r="A469" s="0" t="s">
        <v>5332</v>
      </c>
      <c r="B469" s="0" t="s">
        <v>5259</v>
      </c>
      <c r="C469" s="0" t="s">
        <v>870</v>
      </c>
      <c r="D469" s="31" t="n">
        <v>35165</v>
      </c>
      <c r="E469" s="31" t="n">
        <v>45597</v>
      </c>
      <c r="F469" s="32" t="s">
        <v>5333</v>
      </c>
      <c r="G469" s="0" t="n">
        <v>4</v>
      </c>
      <c r="H469" s="32" t="s">
        <v>4888</v>
      </c>
      <c r="I469" s="32" t="s">
        <v>3761</v>
      </c>
      <c r="J469" s="32" t="s">
        <v>3749</v>
      </c>
      <c r="K469" s="32" t="s">
        <v>2081</v>
      </c>
      <c r="L469" s="0" t="n">
        <v>207</v>
      </c>
      <c r="M469" s="32" t="s">
        <v>3871</v>
      </c>
      <c r="N469" s="32" t="s">
        <v>3751</v>
      </c>
      <c r="O469" s="32" t="n">
        <f aca="false">IF(I469="","",ROUND(MOD(TIMEVALUE(I469)-TIMEVALUE(F469),1)*1440,0))</f>
        <v>207</v>
      </c>
      <c r="P469" s="0" t="str">
        <f aca="false">IF(COUNTIF($A$2:A469,A469)&gt;1,"DUP","")</f>
        <v/>
      </c>
      <c r="Q469" s="0" t="str">
        <f aca="false">IF(O469="","",IF(O469&gt;240,"Y","N"))</f>
        <v>N</v>
      </c>
    </row>
    <row r="470" customFormat="false" ht="15" hidden="false" customHeight="false" outlineLevel="0" collapsed="false">
      <c r="A470" s="0" t="s">
        <v>5334</v>
      </c>
      <c r="C470" s="0" t="s">
        <v>845</v>
      </c>
      <c r="D470" s="31" t="n">
        <v>22373</v>
      </c>
      <c r="E470" s="31" t="n">
        <v>45713</v>
      </c>
      <c r="F470" s="32" t="s">
        <v>5335</v>
      </c>
      <c r="G470" s="0" t="n">
        <v>4</v>
      </c>
      <c r="H470" s="32" t="s">
        <v>5336</v>
      </c>
      <c r="I470" s="32" t="s">
        <v>5337</v>
      </c>
      <c r="J470" s="32" t="s">
        <v>3749</v>
      </c>
      <c r="K470" s="32" t="s">
        <v>2081</v>
      </c>
      <c r="L470" s="0" t="n">
        <v>183</v>
      </c>
      <c r="M470" s="32" t="s">
        <v>4073</v>
      </c>
      <c r="N470" s="32" t="s">
        <v>3751</v>
      </c>
      <c r="O470" s="32" t="n">
        <f aca="false">IF(I470="","",ROUND(MOD(TIMEVALUE(I470)-TIMEVALUE(F470),1)*1440,0))</f>
        <v>183</v>
      </c>
      <c r="P470" s="0" t="str">
        <f aca="false">IF(COUNTIF($A$2:A470,A470)&gt;1,"DUP","")</f>
        <v/>
      </c>
      <c r="Q470" s="0" t="str">
        <f aca="false">IF(O470="","",IF(O470&gt;240,"Y","N"))</f>
        <v>N</v>
      </c>
    </row>
    <row r="471" customFormat="false" ht="15" hidden="false" customHeight="false" outlineLevel="0" collapsed="false">
      <c r="A471" s="0" t="s">
        <v>5338</v>
      </c>
      <c r="C471" s="0" t="s">
        <v>1005</v>
      </c>
      <c r="D471" s="31" t="n">
        <v>33608</v>
      </c>
      <c r="E471" s="31" t="n">
        <v>45592</v>
      </c>
      <c r="F471" s="32" t="s">
        <v>5339</v>
      </c>
      <c r="G471" s="0" t="n">
        <v>5</v>
      </c>
      <c r="H471" s="32" t="s">
        <v>4686</v>
      </c>
      <c r="I471" s="32" t="s">
        <v>5340</v>
      </c>
      <c r="J471" s="32" t="s">
        <v>3749</v>
      </c>
      <c r="K471" s="32" t="s">
        <v>2081</v>
      </c>
      <c r="L471" s="0" t="n">
        <v>197</v>
      </c>
      <c r="M471" s="32" t="s">
        <v>3843</v>
      </c>
      <c r="N471" s="32" t="s">
        <v>1455</v>
      </c>
      <c r="O471" s="32" t="n">
        <f aca="false">IF(I471="","",ROUND(MOD(TIMEVALUE(I471)-TIMEVALUE(F471),1)*1440,0))</f>
        <v>197</v>
      </c>
      <c r="P471" s="0" t="str">
        <f aca="false">IF(COUNTIF($A$2:A471,A471)&gt;1,"DUP","")</f>
        <v/>
      </c>
      <c r="Q471" s="0" t="str">
        <f aca="false">IF(O471="","",IF(O471&gt;240,"Y","N"))</f>
        <v>N</v>
      </c>
    </row>
    <row r="472" customFormat="false" ht="15" hidden="false" customHeight="false" outlineLevel="0" collapsed="false">
      <c r="A472" s="0" t="s">
        <v>5341</v>
      </c>
      <c r="B472" s="0" t="s">
        <v>4039</v>
      </c>
      <c r="C472" s="0" t="s">
        <v>906</v>
      </c>
      <c r="D472" s="31" t="n">
        <v>34145</v>
      </c>
      <c r="E472" s="31" t="n">
        <v>45719</v>
      </c>
      <c r="F472" s="32" t="s">
        <v>4401</v>
      </c>
      <c r="G472" s="0" t="n">
        <v>3</v>
      </c>
      <c r="H472" s="32" t="s">
        <v>5342</v>
      </c>
      <c r="I472" s="32" t="s">
        <v>5113</v>
      </c>
      <c r="J472" s="32" t="s">
        <v>3749</v>
      </c>
      <c r="K472" s="32" t="s">
        <v>2081</v>
      </c>
      <c r="L472" s="0" t="n">
        <v>163</v>
      </c>
      <c r="M472" s="32" t="s">
        <v>3966</v>
      </c>
      <c r="N472" s="32" t="s">
        <v>3751</v>
      </c>
      <c r="O472" s="32" t="n">
        <f aca="false">IF(I472="","",ROUND(MOD(TIMEVALUE(I472)-TIMEVALUE(F472),1)*1440,0))</f>
        <v>163</v>
      </c>
      <c r="P472" s="0" t="str">
        <f aca="false">IF(COUNTIF($A$2:A472,A472)&gt;1,"DUP","")</f>
        <v/>
      </c>
      <c r="Q472" s="0" t="str">
        <f aca="false">IF(O472="","",IF(O472&gt;240,"Y","N"))</f>
        <v>N</v>
      </c>
    </row>
    <row r="473" customFormat="false" ht="15" hidden="false" customHeight="false" outlineLevel="0" collapsed="false">
      <c r="A473" s="0" t="s">
        <v>5343</v>
      </c>
      <c r="B473" s="0" t="s">
        <v>5344</v>
      </c>
      <c r="C473" s="0" t="s">
        <v>1419</v>
      </c>
      <c r="D473" s="31" t="n">
        <v>16645</v>
      </c>
      <c r="E473" s="31" t="n">
        <v>45714</v>
      </c>
      <c r="F473" s="32" t="s">
        <v>5345</v>
      </c>
      <c r="G473" s="0" t="n">
        <v>5</v>
      </c>
      <c r="H473" s="32" t="s">
        <v>5346</v>
      </c>
      <c r="I473" s="32" t="s">
        <v>5347</v>
      </c>
      <c r="J473" s="32" t="s">
        <v>2307</v>
      </c>
      <c r="K473" s="32" t="s">
        <v>2106</v>
      </c>
      <c r="L473" s="0" t="n">
        <v>484</v>
      </c>
      <c r="M473" s="32" t="s">
        <v>4073</v>
      </c>
      <c r="N473" s="32" t="s">
        <v>3751</v>
      </c>
      <c r="O473" s="32" t="n">
        <f aca="false">IF(I473="","",ROUND(MOD(TIMEVALUE(I473)-TIMEVALUE(F473),1)*1440,0))</f>
        <v>484</v>
      </c>
      <c r="P473" s="0" t="str">
        <f aca="false">IF(COUNTIF($A$2:A473,A473)&gt;1,"DUP","")</f>
        <v/>
      </c>
      <c r="Q473" s="0" t="str">
        <f aca="false">IF(O473="","",IF(O473&gt;240,"Y","N"))</f>
        <v>Y</v>
      </c>
    </row>
    <row r="474" customFormat="false" ht="15" hidden="false" customHeight="false" outlineLevel="0" collapsed="false">
      <c r="A474" s="0" t="s">
        <v>5348</v>
      </c>
      <c r="B474" s="0" t="s">
        <v>4773</v>
      </c>
      <c r="C474" s="0" t="s">
        <v>942</v>
      </c>
      <c r="D474" s="31" t="n">
        <v>34093</v>
      </c>
      <c r="E474" s="31" t="n">
        <v>45636</v>
      </c>
      <c r="F474" s="32" t="s">
        <v>4763</v>
      </c>
      <c r="G474" s="0" t="n">
        <v>4</v>
      </c>
      <c r="H474" s="32" t="s">
        <v>3804</v>
      </c>
      <c r="I474" s="32" t="s">
        <v>4611</v>
      </c>
      <c r="J474" s="32" t="s">
        <v>7</v>
      </c>
      <c r="K474" s="32" t="s">
        <v>2106</v>
      </c>
      <c r="L474" s="0" t="n">
        <v>340</v>
      </c>
      <c r="M474" s="32" t="s">
        <v>3952</v>
      </c>
      <c r="N474" s="32" t="s">
        <v>3751</v>
      </c>
      <c r="O474" s="32" t="n">
        <f aca="false">IF(I474="","",ROUND(MOD(TIMEVALUE(I474)-TIMEVALUE(F474),1)*1440,0))</f>
        <v>340</v>
      </c>
      <c r="P474" s="0" t="str">
        <f aca="false">IF(COUNTIF($A$2:A474,A474)&gt;1,"DUP","")</f>
        <v/>
      </c>
      <c r="Q474" s="0" t="str">
        <f aca="false">IF(O474="","",IF(O474&gt;240,"Y","N"))</f>
        <v>Y</v>
      </c>
    </row>
    <row r="475" customFormat="false" ht="15" hidden="false" customHeight="false" outlineLevel="0" collapsed="false">
      <c r="A475" s="0" t="s">
        <v>5349</v>
      </c>
      <c r="B475" s="0" t="s">
        <v>3981</v>
      </c>
      <c r="C475" s="0" t="s">
        <v>985</v>
      </c>
      <c r="D475" s="31" t="n">
        <v>21574</v>
      </c>
      <c r="E475" s="31" t="n">
        <v>45607</v>
      </c>
      <c r="F475" s="32" t="s">
        <v>5106</v>
      </c>
      <c r="G475" s="0" t="n">
        <v>6</v>
      </c>
      <c r="H475" s="32" t="s">
        <v>4282</v>
      </c>
      <c r="I475" s="32" t="s">
        <v>5143</v>
      </c>
      <c r="J475" s="32" t="s">
        <v>3749</v>
      </c>
      <c r="K475" s="32" t="s">
        <v>2081</v>
      </c>
      <c r="L475" s="0" t="n">
        <v>60</v>
      </c>
      <c r="M475" s="32" t="s">
        <v>3764</v>
      </c>
      <c r="N475" s="32" t="s">
        <v>3751</v>
      </c>
      <c r="O475" s="32" t="n">
        <f aca="false">IF(I475="","",ROUND(MOD(TIMEVALUE(I475)-TIMEVALUE(F475),1)*1440,0))</f>
        <v>60</v>
      </c>
      <c r="P475" s="0" t="str">
        <f aca="false">IF(COUNTIF($A$2:A475,A475)&gt;1,"DUP","")</f>
        <v/>
      </c>
      <c r="Q475" s="0" t="str">
        <f aca="false">IF(O475="","",IF(O475&gt;240,"Y","N"))</f>
        <v>N</v>
      </c>
    </row>
    <row r="476" customFormat="false" ht="15" hidden="false" customHeight="false" outlineLevel="0" collapsed="false">
      <c r="A476" s="0" t="s">
        <v>5350</v>
      </c>
      <c r="B476" s="0" t="s">
        <v>5351</v>
      </c>
      <c r="C476" s="0" t="s">
        <v>922</v>
      </c>
      <c r="D476" s="31" t="n">
        <v>28901</v>
      </c>
      <c r="E476" s="31" t="n">
        <v>45587</v>
      </c>
      <c r="F476" s="32" t="s">
        <v>5352</v>
      </c>
      <c r="G476" s="0" t="n">
        <v>5</v>
      </c>
      <c r="H476" s="32" t="s">
        <v>5353</v>
      </c>
      <c r="I476" s="32" t="s">
        <v>5354</v>
      </c>
      <c r="J476" s="32" t="s">
        <v>3749</v>
      </c>
      <c r="K476" s="32" t="s">
        <v>2081</v>
      </c>
      <c r="L476" s="0" t="n">
        <v>67</v>
      </c>
      <c r="M476" s="32" t="s">
        <v>3757</v>
      </c>
      <c r="N476" s="32" t="s">
        <v>3751</v>
      </c>
      <c r="O476" s="32" t="n">
        <f aca="false">IF(I476="","",ROUND(MOD(TIMEVALUE(I476)-TIMEVALUE(F476),1)*1440,0))</f>
        <v>67</v>
      </c>
      <c r="P476" s="0" t="str">
        <f aca="false">IF(COUNTIF($A$2:A476,A476)&gt;1,"DUP","")</f>
        <v/>
      </c>
      <c r="Q476" s="0" t="str">
        <f aca="false">IF(O476="","",IF(O476&gt;240,"Y","N"))</f>
        <v>N</v>
      </c>
    </row>
    <row r="477" customFormat="false" ht="15" hidden="false" customHeight="false" outlineLevel="0" collapsed="false">
      <c r="A477" s="0" t="s">
        <v>5355</v>
      </c>
      <c r="B477" s="0" t="s">
        <v>5356</v>
      </c>
      <c r="C477" s="0" t="s">
        <v>1426</v>
      </c>
      <c r="D477" s="31" t="n">
        <v>17405</v>
      </c>
      <c r="E477" s="31" t="n">
        <v>45715</v>
      </c>
      <c r="F477" s="32" t="s">
        <v>4000</v>
      </c>
      <c r="G477" s="0" t="n">
        <v>5</v>
      </c>
      <c r="H477" s="32" t="s">
        <v>5357</v>
      </c>
      <c r="I477" s="32" t="s">
        <v>4686</v>
      </c>
      <c r="J477" s="32" t="s">
        <v>3749</v>
      </c>
      <c r="K477" s="32" t="s">
        <v>2081</v>
      </c>
      <c r="L477" s="0" t="n">
        <v>71</v>
      </c>
      <c r="M477" s="32" t="s">
        <v>4149</v>
      </c>
      <c r="N477" s="32" t="s">
        <v>3751</v>
      </c>
      <c r="O477" s="32" t="n">
        <f aca="false">IF(I477="","",ROUND(MOD(TIMEVALUE(I477)-TIMEVALUE(F477),1)*1440,0))</f>
        <v>71</v>
      </c>
      <c r="P477" s="0" t="str">
        <f aca="false">IF(COUNTIF($A$2:A477,A477)&gt;1,"DUP","")</f>
        <v/>
      </c>
      <c r="Q477" s="0" t="str">
        <f aca="false">IF(O477="","",IF(O477&gt;240,"Y","N"))</f>
        <v>N</v>
      </c>
    </row>
    <row r="478" customFormat="false" ht="15" hidden="false" customHeight="false" outlineLevel="0" collapsed="false">
      <c r="A478" s="0" t="s">
        <v>5358</v>
      </c>
      <c r="B478" s="0" t="s">
        <v>4934</v>
      </c>
      <c r="C478" s="0" t="s">
        <v>934</v>
      </c>
      <c r="D478" s="31" t="n">
        <v>19867</v>
      </c>
      <c r="E478" s="31" t="n">
        <v>45613</v>
      </c>
      <c r="F478" s="32" t="s">
        <v>4293</v>
      </c>
      <c r="G478" s="0" t="n">
        <v>4</v>
      </c>
      <c r="H478" s="32" t="s">
        <v>4299</v>
      </c>
      <c r="I478" s="32" t="s">
        <v>4096</v>
      </c>
      <c r="J478" s="32" t="s">
        <v>3749</v>
      </c>
      <c r="K478" s="32" t="s">
        <v>2081</v>
      </c>
      <c r="L478" s="0" t="n">
        <v>98</v>
      </c>
      <c r="M478" s="32" t="s">
        <v>3855</v>
      </c>
      <c r="N478" s="32" t="s">
        <v>3751</v>
      </c>
      <c r="O478" s="32" t="n">
        <f aca="false">IF(I478="","",ROUND(MOD(TIMEVALUE(I478)-TIMEVALUE(F478),1)*1440,0))</f>
        <v>98</v>
      </c>
      <c r="P478" s="0" t="str">
        <f aca="false">IF(COUNTIF($A$2:A478,A478)&gt;1,"DUP","")</f>
        <v/>
      </c>
      <c r="Q478" s="0" t="str">
        <f aca="false">IF(O478="","",IF(O478&gt;240,"Y","N"))</f>
        <v>N</v>
      </c>
    </row>
    <row r="479" customFormat="false" ht="15" hidden="false" customHeight="false" outlineLevel="0" collapsed="false">
      <c r="A479" s="0" t="s">
        <v>5359</v>
      </c>
      <c r="B479" s="0" t="s">
        <v>5360</v>
      </c>
      <c r="C479" s="0" t="s">
        <v>890</v>
      </c>
      <c r="D479" s="31" t="n">
        <v>17983</v>
      </c>
      <c r="E479" s="31" t="n">
        <v>45698</v>
      </c>
      <c r="F479" s="32" t="s">
        <v>4687</v>
      </c>
      <c r="G479" s="0" t="n">
        <v>3</v>
      </c>
      <c r="H479" s="32" t="s">
        <v>4284</v>
      </c>
      <c r="I479" s="32" t="s">
        <v>5084</v>
      </c>
      <c r="J479" s="32" t="s">
        <v>3749</v>
      </c>
      <c r="K479" s="32" t="s">
        <v>2081</v>
      </c>
      <c r="L479" s="0" t="n">
        <v>178</v>
      </c>
      <c r="M479" s="32" t="s">
        <v>3902</v>
      </c>
      <c r="N479" s="32" t="s">
        <v>3751</v>
      </c>
      <c r="O479" s="32" t="n">
        <f aca="false">IF(I479="","",ROUND(MOD(TIMEVALUE(I479)-TIMEVALUE(F479),1)*1440,0))</f>
        <v>178</v>
      </c>
      <c r="P479" s="0" t="str">
        <f aca="false">IF(COUNTIF($A$2:A479,A479)&gt;1,"DUP","")</f>
        <v/>
      </c>
      <c r="Q479" s="0" t="str">
        <f aca="false">IF(O479="","",IF(O479&gt;240,"Y","N"))</f>
        <v>N</v>
      </c>
    </row>
    <row r="480" customFormat="false" ht="15" hidden="false" customHeight="false" outlineLevel="0" collapsed="false">
      <c r="A480" s="0" t="s">
        <v>5361</v>
      </c>
      <c r="B480" s="0" t="s">
        <v>3948</v>
      </c>
      <c r="C480" s="0" t="s">
        <v>866</v>
      </c>
      <c r="D480" s="31" t="n">
        <v>21220</v>
      </c>
      <c r="E480" s="31" t="n">
        <v>45640</v>
      </c>
      <c r="F480" s="32" t="s">
        <v>4120</v>
      </c>
      <c r="G480" s="0" t="n">
        <v>3</v>
      </c>
      <c r="H480" s="32" t="s">
        <v>5362</v>
      </c>
      <c r="I480" s="32" t="s">
        <v>5363</v>
      </c>
      <c r="J480" s="32" t="s">
        <v>2307</v>
      </c>
      <c r="K480" s="32" t="s">
        <v>2081</v>
      </c>
      <c r="L480" s="0" t="n">
        <v>233</v>
      </c>
      <c r="M480" s="32" t="s">
        <v>4781</v>
      </c>
      <c r="N480" s="32" t="s">
        <v>3751</v>
      </c>
      <c r="O480" s="32" t="n">
        <f aca="false">IF(I480="","",ROUND(MOD(TIMEVALUE(I480)-TIMEVALUE(F480),1)*1440,0))</f>
        <v>233</v>
      </c>
      <c r="P480" s="0" t="str">
        <f aca="false">IF(COUNTIF($A$2:A480,A480)&gt;1,"DUP","")</f>
        <v/>
      </c>
      <c r="Q480" s="0" t="str">
        <f aca="false">IF(O480="","",IF(O480&gt;240,"Y","N"))</f>
        <v>N</v>
      </c>
    </row>
    <row r="481" customFormat="false" ht="15" hidden="false" customHeight="false" outlineLevel="0" collapsed="false">
      <c r="A481" s="0" t="s">
        <v>5364</v>
      </c>
      <c r="B481" s="0" t="s">
        <v>5365</v>
      </c>
      <c r="C481" s="0" t="s">
        <v>1025</v>
      </c>
      <c r="D481" s="31" t="n">
        <v>18537</v>
      </c>
      <c r="E481" s="31" t="n">
        <v>45636</v>
      </c>
      <c r="F481" s="32" t="s">
        <v>5232</v>
      </c>
      <c r="G481" s="0" t="n">
        <v>3</v>
      </c>
      <c r="H481" s="32" t="s">
        <v>4686</v>
      </c>
      <c r="I481" s="32" t="s">
        <v>3860</v>
      </c>
      <c r="J481" s="32" t="s">
        <v>3749</v>
      </c>
      <c r="K481" s="32" t="s">
        <v>2106</v>
      </c>
      <c r="L481" s="0" t="n">
        <v>417</v>
      </c>
      <c r="M481" s="32" t="s">
        <v>4047</v>
      </c>
      <c r="N481" s="32" t="s">
        <v>3751</v>
      </c>
      <c r="O481" s="32" t="n">
        <f aca="false">IF(I481="","",ROUND(MOD(TIMEVALUE(I481)-TIMEVALUE(F481),1)*1440,0))</f>
        <v>417</v>
      </c>
      <c r="P481" s="0" t="str">
        <f aca="false">IF(COUNTIF($A$2:A481,A481)&gt;1,"DUP","")</f>
        <v/>
      </c>
      <c r="Q481" s="0" t="str">
        <f aca="false">IF(O481="","",IF(O481&gt;240,"Y","N"))</f>
        <v>Y</v>
      </c>
    </row>
    <row r="482" customFormat="false" ht="15" hidden="false" customHeight="false" outlineLevel="0" collapsed="false">
      <c r="A482" s="0" t="s">
        <v>5366</v>
      </c>
      <c r="B482" s="0" t="s">
        <v>3962</v>
      </c>
      <c r="C482" s="0" t="s">
        <v>1410</v>
      </c>
      <c r="D482" s="31" t="n">
        <v>25624</v>
      </c>
      <c r="E482" s="31" t="n">
        <v>45659</v>
      </c>
      <c r="F482" s="32" t="s">
        <v>4164</v>
      </c>
      <c r="G482" s="0" t="n">
        <v>5</v>
      </c>
      <c r="H482" s="32" t="s">
        <v>5367</v>
      </c>
      <c r="I482" s="32" t="s">
        <v>5324</v>
      </c>
      <c r="J482" s="32" t="s">
        <v>2307</v>
      </c>
      <c r="K482" s="32" t="s">
        <v>2081</v>
      </c>
      <c r="L482" s="0" t="n">
        <v>182</v>
      </c>
      <c r="M482" s="32" t="s">
        <v>3750</v>
      </c>
      <c r="N482" s="32" t="s">
        <v>3751</v>
      </c>
      <c r="O482" s="32" t="n">
        <f aca="false">IF(I482="","",ROUND(MOD(TIMEVALUE(I482)-TIMEVALUE(F482),1)*1440,0))</f>
        <v>182</v>
      </c>
      <c r="P482" s="0" t="str">
        <f aca="false">IF(COUNTIF($A$2:A482,A482)&gt;1,"DUP","")</f>
        <v/>
      </c>
      <c r="Q482" s="0" t="str">
        <f aca="false">IF(O482="","",IF(O482&gt;240,"Y","N"))</f>
        <v>N</v>
      </c>
    </row>
    <row r="483" customFormat="false" ht="15" hidden="false" customHeight="false" outlineLevel="0" collapsed="false">
      <c r="A483" s="0" t="s">
        <v>5368</v>
      </c>
      <c r="B483" s="0" t="s">
        <v>4788</v>
      </c>
      <c r="C483" s="0" t="s">
        <v>1453</v>
      </c>
      <c r="D483" s="31" t="n">
        <v>19592</v>
      </c>
      <c r="E483" s="31" t="n">
        <v>45637</v>
      </c>
      <c r="F483" s="32" t="s">
        <v>5369</v>
      </c>
      <c r="G483" s="0" t="n">
        <v>1</v>
      </c>
      <c r="H483" s="32" t="s">
        <v>5370</v>
      </c>
      <c r="I483" s="32" t="s">
        <v>5371</v>
      </c>
      <c r="J483" s="32" t="s">
        <v>3749</v>
      </c>
      <c r="K483" s="32" t="s">
        <v>2081</v>
      </c>
      <c r="L483" s="0" t="n">
        <v>234</v>
      </c>
      <c r="M483" s="32" t="s">
        <v>3787</v>
      </c>
      <c r="N483" s="32" t="s">
        <v>3751</v>
      </c>
      <c r="O483" s="32" t="n">
        <f aca="false">IF(I483="","",ROUND(MOD(TIMEVALUE(I483)-TIMEVALUE(F483),1)*1440,0))</f>
        <v>234</v>
      </c>
      <c r="P483" s="0" t="str">
        <f aca="false">IF(COUNTIF($A$2:A483,A483)&gt;1,"DUP","")</f>
        <v/>
      </c>
      <c r="Q483" s="0" t="str">
        <f aca="false">IF(O483="","",IF(O483&gt;240,"Y","N"))</f>
        <v>N</v>
      </c>
    </row>
    <row r="484" customFormat="false" ht="15" hidden="false" customHeight="false" outlineLevel="0" collapsed="false">
      <c r="A484" s="0" t="s">
        <v>5372</v>
      </c>
      <c r="B484" s="0" t="s">
        <v>5373</v>
      </c>
      <c r="C484" s="0" t="s">
        <v>792</v>
      </c>
      <c r="D484" s="31" t="n">
        <v>35345</v>
      </c>
      <c r="E484" s="31" t="n">
        <v>45573</v>
      </c>
      <c r="F484" s="32" t="s">
        <v>5374</v>
      </c>
      <c r="G484" s="0" t="n">
        <v>4</v>
      </c>
      <c r="H484" s="32" t="s">
        <v>4974</v>
      </c>
      <c r="I484" s="32" t="s">
        <v>5375</v>
      </c>
      <c r="J484" s="32" t="s">
        <v>3763</v>
      </c>
      <c r="K484" s="32" t="s">
        <v>2081</v>
      </c>
      <c r="L484" s="0" t="n">
        <v>159</v>
      </c>
      <c r="M484" s="32" t="s">
        <v>4073</v>
      </c>
      <c r="N484" s="32" t="s">
        <v>3751</v>
      </c>
      <c r="O484" s="32" t="n">
        <f aca="false">IF(I484="","",ROUND(MOD(TIMEVALUE(I484)-TIMEVALUE(F484),1)*1440,0))</f>
        <v>159</v>
      </c>
      <c r="P484" s="0" t="str">
        <f aca="false">IF(COUNTIF($A$2:A484,A484)&gt;1,"DUP","")</f>
        <v/>
      </c>
      <c r="Q484" s="0" t="str">
        <f aca="false">IF(O484="","",IF(O484&gt;240,"Y","N"))</f>
        <v>N</v>
      </c>
    </row>
    <row r="485" customFormat="false" ht="15" hidden="false" customHeight="false" outlineLevel="0" collapsed="false">
      <c r="A485" s="0" t="s">
        <v>5376</v>
      </c>
      <c r="B485" s="0" t="s">
        <v>5377</v>
      </c>
      <c r="C485" s="0" t="s">
        <v>938</v>
      </c>
      <c r="D485" s="31" t="n">
        <v>38222</v>
      </c>
      <c r="E485" s="31" t="n">
        <v>45685</v>
      </c>
      <c r="F485" s="32" t="s">
        <v>5378</v>
      </c>
      <c r="G485" s="0" t="n">
        <v>3</v>
      </c>
      <c r="H485" s="32" t="s">
        <v>5209</v>
      </c>
      <c r="I485" s="32" t="s">
        <v>4590</v>
      </c>
      <c r="J485" s="32" t="s">
        <v>3749</v>
      </c>
      <c r="K485" s="32" t="s">
        <v>2106</v>
      </c>
      <c r="L485" s="0" t="n">
        <v>561</v>
      </c>
      <c r="M485" s="32" t="s">
        <v>3821</v>
      </c>
      <c r="N485" s="32" t="s">
        <v>3751</v>
      </c>
      <c r="O485" s="32" t="n">
        <f aca="false">IF(I485="","",ROUND(MOD(TIMEVALUE(I485)-TIMEVALUE(F485),1)*1440,0))</f>
        <v>561</v>
      </c>
      <c r="P485" s="0" t="str">
        <f aca="false">IF(COUNTIF($A$2:A485,A485)&gt;1,"DUP","")</f>
        <v/>
      </c>
      <c r="Q485" s="0" t="str">
        <f aca="false">IF(O485="","",IF(O485&gt;240,"Y","N"))</f>
        <v>Y</v>
      </c>
    </row>
    <row r="486" customFormat="false" ht="15" hidden="false" customHeight="false" outlineLevel="0" collapsed="false">
      <c r="A486" s="0" t="s">
        <v>5379</v>
      </c>
      <c r="B486" s="0" t="s">
        <v>5380</v>
      </c>
      <c r="C486" s="0" t="s">
        <v>862</v>
      </c>
      <c r="D486" s="31" t="n">
        <v>15569</v>
      </c>
      <c r="E486" s="31" t="n">
        <v>45571</v>
      </c>
      <c r="F486" s="32" t="s">
        <v>4171</v>
      </c>
      <c r="G486" s="0" t="n">
        <v>3</v>
      </c>
      <c r="H486" s="32" t="s">
        <v>4601</v>
      </c>
      <c r="I486" s="32" t="s">
        <v>5335</v>
      </c>
      <c r="J486" s="32" t="s">
        <v>2307</v>
      </c>
      <c r="K486" s="32" t="s">
        <v>2081</v>
      </c>
      <c r="L486" s="0" t="n">
        <v>190</v>
      </c>
      <c r="M486" s="32" t="s">
        <v>3799</v>
      </c>
      <c r="N486" s="32" t="s">
        <v>3751</v>
      </c>
      <c r="O486" s="32" t="n">
        <f aca="false">IF(I486="","",ROUND(MOD(TIMEVALUE(I486)-TIMEVALUE(F486),1)*1440,0))</f>
        <v>190</v>
      </c>
      <c r="P486" s="0" t="str">
        <f aca="false">IF(COUNTIF($A$2:A486,A486)&gt;1,"DUP","")</f>
        <v/>
      </c>
      <c r="Q486" s="0" t="str">
        <f aca="false">IF(O486="","",IF(O486&gt;240,"Y","N"))</f>
        <v>N</v>
      </c>
    </row>
    <row r="487" customFormat="false" ht="15" hidden="false" customHeight="false" outlineLevel="0" collapsed="false">
      <c r="A487" s="0" t="s">
        <v>5381</v>
      </c>
      <c r="B487" s="0" t="s">
        <v>3899</v>
      </c>
      <c r="C487" s="0" t="s">
        <v>938</v>
      </c>
      <c r="D487" s="31" t="n">
        <v>14833</v>
      </c>
      <c r="E487" s="31" t="n">
        <v>45705</v>
      </c>
      <c r="F487" s="32" t="s">
        <v>4412</v>
      </c>
      <c r="G487" s="0" t="n">
        <v>3</v>
      </c>
      <c r="H487" s="32" t="s">
        <v>4654</v>
      </c>
      <c r="I487" s="32" t="s">
        <v>5382</v>
      </c>
      <c r="J487" s="32" t="s">
        <v>3749</v>
      </c>
      <c r="K487" s="32" t="s">
        <v>2081</v>
      </c>
      <c r="L487" s="0" t="n">
        <v>45</v>
      </c>
      <c r="M487" s="32" t="s">
        <v>3776</v>
      </c>
      <c r="N487" s="32" t="s">
        <v>3751</v>
      </c>
      <c r="O487" s="32" t="n">
        <f aca="false">IF(I487="","",ROUND(MOD(TIMEVALUE(I487)-TIMEVALUE(F487),1)*1440,0))</f>
        <v>45</v>
      </c>
      <c r="P487" s="0" t="str">
        <f aca="false">IF(COUNTIF($A$2:A487,A487)&gt;1,"DUP","")</f>
        <v/>
      </c>
      <c r="Q487" s="0" t="str">
        <f aca="false">IF(O487="","",IF(O487&gt;240,"Y","N"))</f>
        <v>N</v>
      </c>
    </row>
    <row r="488" customFormat="false" ht="15" hidden="false" customHeight="false" outlineLevel="0" collapsed="false">
      <c r="A488" s="0" t="s">
        <v>5383</v>
      </c>
      <c r="B488" s="0" t="s">
        <v>4804</v>
      </c>
      <c r="C488" s="0" t="s">
        <v>2225</v>
      </c>
      <c r="D488" s="31" t="n">
        <v>32938</v>
      </c>
      <c r="E488" s="31" t="n">
        <v>45602</v>
      </c>
      <c r="F488" s="32" t="s">
        <v>4856</v>
      </c>
      <c r="G488" s="0" t="n">
        <v>4</v>
      </c>
      <c r="H488" s="32" t="s">
        <v>4059</v>
      </c>
      <c r="I488" s="32" t="s">
        <v>5384</v>
      </c>
      <c r="J488" s="32" t="s">
        <v>3763</v>
      </c>
      <c r="K488" s="32" t="s">
        <v>2081</v>
      </c>
      <c r="L488" s="0" t="n">
        <v>102</v>
      </c>
      <c r="M488" s="32" t="s">
        <v>3925</v>
      </c>
      <c r="N488" s="32" t="s">
        <v>3751</v>
      </c>
      <c r="O488" s="32" t="n">
        <f aca="false">IF(I488="","",ROUND(MOD(TIMEVALUE(I488)-TIMEVALUE(F488),1)*1440,0))</f>
        <v>102</v>
      </c>
      <c r="P488" s="0" t="str">
        <f aca="false">IF(COUNTIF($A$2:A488,A488)&gt;1,"DUP","")</f>
        <v/>
      </c>
      <c r="Q488" s="0" t="str">
        <f aca="false">IF(O488="","",IF(O488&gt;240,"Y","N"))</f>
        <v>N</v>
      </c>
    </row>
    <row r="489" customFormat="false" ht="15" hidden="false" customHeight="false" outlineLevel="0" collapsed="false">
      <c r="A489" s="0" t="s">
        <v>5385</v>
      </c>
      <c r="B489" s="0" t="s">
        <v>4291</v>
      </c>
      <c r="C489" s="0" t="s">
        <v>765</v>
      </c>
      <c r="D489" s="31" t="n">
        <v>39425</v>
      </c>
      <c r="E489" s="31" t="n">
        <v>45578</v>
      </c>
      <c r="F489" s="32" t="s">
        <v>750</v>
      </c>
      <c r="G489" s="0" t="n">
        <v>4</v>
      </c>
      <c r="H489" s="32" t="s">
        <v>5386</v>
      </c>
      <c r="I489" s="32" t="s">
        <v>4750</v>
      </c>
      <c r="J489" s="32" t="s">
        <v>3749</v>
      </c>
      <c r="K489" s="32" t="s">
        <v>2081</v>
      </c>
      <c r="L489" s="0" t="n">
        <v>65</v>
      </c>
      <c r="M489" s="32" t="s">
        <v>3849</v>
      </c>
      <c r="N489" s="32" t="s">
        <v>3751</v>
      </c>
      <c r="O489" s="32" t="n">
        <f aca="false">IF(I489="","",ROUND(MOD(TIMEVALUE(I489)-TIMEVALUE(F489),1)*1440,0))</f>
        <v>65</v>
      </c>
      <c r="P489" s="0" t="str">
        <f aca="false">IF(COUNTIF($A$2:A489,A489)&gt;1,"DUP","")</f>
        <v/>
      </c>
      <c r="Q489" s="0" t="str">
        <f aca="false">IF(O489="","",IF(O489&gt;240,"Y","N"))</f>
        <v>N</v>
      </c>
    </row>
    <row r="490" customFormat="false" ht="15" hidden="false" customHeight="false" outlineLevel="0" collapsed="false">
      <c r="A490" s="0" t="s">
        <v>5387</v>
      </c>
      <c r="B490" s="0" t="s">
        <v>4788</v>
      </c>
      <c r="C490" s="0" t="s">
        <v>1419</v>
      </c>
      <c r="D490" s="31" t="n">
        <v>36093</v>
      </c>
      <c r="E490" s="31" t="n">
        <v>45568</v>
      </c>
      <c r="F490" s="32" t="s">
        <v>5388</v>
      </c>
      <c r="G490" s="0" t="n">
        <v>3</v>
      </c>
      <c r="H490" s="32" t="s">
        <v>5389</v>
      </c>
      <c r="I490" s="32" t="s">
        <v>3957</v>
      </c>
      <c r="J490" s="32" t="s">
        <v>3749</v>
      </c>
      <c r="K490" s="32" t="s">
        <v>2106</v>
      </c>
      <c r="L490" s="0" t="n">
        <v>253</v>
      </c>
      <c r="M490" s="32" t="s">
        <v>3966</v>
      </c>
      <c r="N490" s="32" t="s">
        <v>3751</v>
      </c>
      <c r="O490" s="32" t="n">
        <f aca="false">IF(I490="","",ROUND(MOD(TIMEVALUE(I490)-TIMEVALUE(F490),1)*1440,0))</f>
        <v>253</v>
      </c>
      <c r="P490" s="0" t="str">
        <f aca="false">IF(COUNTIF($A$2:A490,A490)&gt;1,"DUP","")</f>
        <v/>
      </c>
      <c r="Q490" s="0" t="str">
        <f aca="false">IF(O490="","",IF(O490&gt;240,"Y","N"))</f>
        <v>Y</v>
      </c>
    </row>
    <row r="491" customFormat="false" ht="15" hidden="false" customHeight="false" outlineLevel="0" collapsed="false">
      <c r="A491" s="0" t="s">
        <v>5390</v>
      </c>
      <c r="B491" s="0" t="s">
        <v>4508</v>
      </c>
      <c r="C491" s="0" t="s">
        <v>1021</v>
      </c>
      <c r="D491" s="31" t="n">
        <v>33426</v>
      </c>
      <c r="E491" s="31" t="n">
        <v>45593</v>
      </c>
      <c r="F491" s="32" t="s">
        <v>4790</v>
      </c>
      <c r="G491" s="0" t="n">
        <v>4</v>
      </c>
      <c r="H491" s="32" t="s">
        <v>4362</v>
      </c>
      <c r="I491" s="32" t="s">
        <v>5091</v>
      </c>
      <c r="J491" s="32" t="s">
        <v>3763</v>
      </c>
      <c r="K491" s="32" t="s">
        <v>2081</v>
      </c>
      <c r="L491" s="0" t="n">
        <v>132</v>
      </c>
      <c r="M491" s="32" t="s">
        <v>4285</v>
      </c>
      <c r="N491" s="32" t="s">
        <v>3751</v>
      </c>
      <c r="O491" s="32" t="n">
        <f aca="false">IF(I491="","",ROUND(MOD(TIMEVALUE(I491)-TIMEVALUE(F491),1)*1440,0))</f>
        <v>132</v>
      </c>
      <c r="P491" s="0" t="str">
        <f aca="false">IF(COUNTIF($A$2:A491,A491)&gt;1,"DUP","")</f>
        <v/>
      </c>
      <c r="Q491" s="0" t="str">
        <f aca="false">IF(O491="","",IF(O491&gt;240,"Y","N"))</f>
        <v>N</v>
      </c>
    </row>
    <row r="492" customFormat="false" ht="15" hidden="false" customHeight="false" outlineLevel="0" collapsed="false">
      <c r="A492" s="0" t="s">
        <v>5391</v>
      </c>
      <c r="B492" s="0" t="s">
        <v>5392</v>
      </c>
      <c r="C492" s="0" t="s">
        <v>1393</v>
      </c>
      <c r="D492" s="31" t="n">
        <v>31176</v>
      </c>
      <c r="E492" s="31" t="n">
        <v>45598</v>
      </c>
      <c r="F492" s="32" t="s">
        <v>4419</v>
      </c>
      <c r="G492" s="0" t="n">
        <v>4</v>
      </c>
      <c r="H492" s="32" t="s">
        <v>3924</v>
      </c>
      <c r="I492" s="32" t="s">
        <v>5393</v>
      </c>
      <c r="J492" s="32" t="s">
        <v>3749</v>
      </c>
      <c r="K492" s="32" t="s">
        <v>2081</v>
      </c>
      <c r="L492" s="0" t="n">
        <v>31</v>
      </c>
      <c r="M492" s="32" t="s">
        <v>3794</v>
      </c>
      <c r="N492" s="32" t="s">
        <v>3751</v>
      </c>
      <c r="O492" s="32" t="n">
        <f aca="false">IF(I492="","",ROUND(MOD(TIMEVALUE(I492)-TIMEVALUE(F492),1)*1440,0))</f>
        <v>31</v>
      </c>
      <c r="P492" s="0" t="str">
        <f aca="false">IF(COUNTIF($A$2:A492,A492)&gt;1,"DUP","")</f>
        <v/>
      </c>
      <c r="Q492" s="0" t="str">
        <f aca="false">IF(O492="","",IF(O492&gt;240,"Y","N"))</f>
        <v>N</v>
      </c>
    </row>
    <row r="493" customFormat="false" ht="15" hidden="false" customHeight="false" outlineLevel="0" collapsed="false">
      <c r="A493" s="0" t="s">
        <v>5394</v>
      </c>
      <c r="B493" s="0" t="s">
        <v>5395</v>
      </c>
      <c r="C493" s="0" t="s">
        <v>954</v>
      </c>
      <c r="D493" s="31" t="n">
        <v>22941</v>
      </c>
      <c r="E493" s="31" t="n">
        <v>45679</v>
      </c>
      <c r="F493" s="32" t="s">
        <v>5375</v>
      </c>
      <c r="G493" s="0" t="n">
        <v>3</v>
      </c>
      <c r="I493" s="32" t="s">
        <v>4077</v>
      </c>
      <c r="J493" s="32" t="s">
        <v>3749</v>
      </c>
      <c r="K493" s="32" t="s">
        <v>2106</v>
      </c>
      <c r="L493" s="0" t="n">
        <v>269</v>
      </c>
      <c r="M493" s="32" t="s">
        <v>4106</v>
      </c>
      <c r="N493" s="32" t="s">
        <v>3751</v>
      </c>
      <c r="O493" s="32" t="n">
        <f aca="false">IF(I493="","",ROUND(MOD(TIMEVALUE(I493)-TIMEVALUE(F493),1)*1440,0))</f>
        <v>269</v>
      </c>
      <c r="P493" s="0" t="str">
        <f aca="false">IF(COUNTIF($A$2:A493,A493)&gt;1,"DUP","")</f>
        <v/>
      </c>
      <c r="Q493" s="0" t="str">
        <f aca="false">IF(O493="","",IF(O493&gt;240,"Y","N"))</f>
        <v>Y</v>
      </c>
    </row>
    <row r="494" customFormat="false" ht="15" hidden="false" customHeight="false" outlineLevel="0" collapsed="false">
      <c r="A494" s="0" t="s">
        <v>5396</v>
      </c>
      <c r="B494" s="0" t="s">
        <v>5397</v>
      </c>
      <c r="C494" s="0" t="s">
        <v>890</v>
      </c>
      <c r="D494" s="31" t="n">
        <v>29612</v>
      </c>
      <c r="E494" s="31" t="n">
        <v>45649</v>
      </c>
      <c r="F494" s="32" t="s">
        <v>4194</v>
      </c>
      <c r="G494" s="0" t="n">
        <v>3</v>
      </c>
      <c r="H494" s="32" t="s">
        <v>4568</v>
      </c>
      <c r="I494" s="32" t="s">
        <v>5398</v>
      </c>
      <c r="J494" s="32" t="s">
        <v>3793</v>
      </c>
      <c r="K494" s="32" t="s">
        <v>2081</v>
      </c>
      <c r="L494" s="0" t="n">
        <v>80</v>
      </c>
      <c r="M494" s="32" t="s">
        <v>3877</v>
      </c>
      <c r="N494" s="32" t="s">
        <v>747</v>
      </c>
      <c r="O494" s="32" t="n">
        <f aca="false">IF(I494="","",ROUND(MOD(TIMEVALUE(I494)-TIMEVALUE(F494),1)*1440,0))</f>
        <v>80</v>
      </c>
      <c r="P494" s="0" t="str">
        <f aca="false">IF(COUNTIF($A$2:A494,A494)&gt;1,"DUP","")</f>
        <v/>
      </c>
      <c r="Q494" s="0" t="str">
        <f aca="false">IF(O494="","",IF(O494&gt;240,"Y","N"))</f>
        <v>N</v>
      </c>
    </row>
    <row r="495" customFormat="false" ht="15" hidden="false" customHeight="false" outlineLevel="0" collapsed="false">
      <c r="A495" s="0" t="s">
        <v>5399</v>
      </c>
      <c r="C495" s="0" t="s">
        <v>1398</v>
      </c>
      <c r="D495" s="31" t="n">
        <v>15285</v>
      </c>
      <c r="E495" s="31" t="n">
        <v>45589</v>
      </c>
      <c r="F495" s="32" t="s">
        <v>5400</v>
      </c>
      <c r="G495" s="0" t="n">
        <v>5</v>
      </c>
      <c r="H495" s="32" t="s">
        <v>4892</v>
      </c>
      <c r="I495" s="32" t="s">
        <v>5401</v>
      </c>
      <c r="J495" s="32" t="s">
        <v>3749</v>
      </c>
      <c r="K495" s="32" t="s">
        <v>2106</v>
      </c>
      <c r="L495" s="0" t="n">
        <v>328</v>
      </c>
      <c r="M495" s="32" t="s">
        <v>3849</v>
      </c>
      <c r="N495" s="32" t="s">
        <v>3751</v>
      </c>
      <c r="O495" s="32" t="n">
        <f aca="false">IF(I495="","",ROUND(MOD(TIMEVALUE(I495)-TIMEVALUE(F495),1)*1440,0))</f>
        <v>328</v>
      </c>
      <c r="P495" s="0" t="str">
        <f aca="false">IF(COUNTIF($A$2:A495,A495)&gt;1,"DUP","")</f>
        <v/>
      </c>
      <c r="Q495" s="0" t="str">
        <f aca="false">IF(O495="","",IF(O495&gt;240,"Y","N"))</f>
        <v>Y</v>
      </c>
    </row>
    <row r="496" customFormat="false" ht="15" hidden="false" customHeight="false" outlineLevel="0" collapsed="false">
      <c r="A496" s="0" t="s">
        <v>5402</v>
      </c>
      <c r="B496" s="0" t="s">
        <v>4761</v>
      </c>
      <c r="C496" s="0" t="s">
        <v>1453</v>
      </c>
      <c r="D496" s="31" t="n">
        <v>29210</v>
      </c>
      <c r="E496" s="31" t="n">
        <v>45628</v>
      </c>
      <c r="F496" s="32" t="s">
        <v>5403</v>
      </c>
      <c r="G496" s="0" t="n">
        <v>3</v>
      </c>
      <c r="H496" s="32" t="s">
        <v>5404</v>
      </c>
      <c r="I496" s="32" t="s">
        <v>5405</v>
      </c>
      <c r="J496" s="32" t="s">
        <v>2307</v>
      </c>
      <c r="K496" s="32" t="s">
        <v>2081</v>
      </c>
      <c r="L496" s="0" t="n">
        <v>184</v>
      </c>
      <c r="M496" s="32" t="s">
        <v>3966</v>
      </c>
      <c r="N496" s="32" t="s">
        <v>3751</v>
      </c>
      <c r="O496" s="32" t="n">
        <f aca="false">IF(I496="","",ROUND(MOD(TIMEVALUE(I496)-TIMEVALUE(F496),1)*1440,0))</f>
        <v>184</v>
      </c>
      <c r="P496" s="0" t="str">
        <f aca="false">IF(COUNTIF($A$2:A496,A496)&gt;1,"DUP","")</f>
        <v/>
      </c>
      <c r="Q496" s="0" t="str">
        <f aca="false">IF(O496="","",IF(O496&gt;240,"Y","N"))</f>
        <v>N</v>
      </c>
    </row>
    <row r="497" customFormat="false" ht="15" hidden="false" customHeight="false" outlineLevel="0" collapsed="false">
      <c r="A497" s="0" t="s">
        <v>5406</v>
      </c>
      <c r="B497" s="0" t="s">
        <v>5304</v>
      </c>
      <c r="C497" s="0" t="s">
        <v>841</v>
      </c>
      <c r="D497" s="31" t="n">
        <v>17407</v>
      </c>
      <c r="E497" s="31" t="n">
        <v>45616</v>
      </c>
      <c r="F497" s="32" t="s">
        <v>5407</v>
      </c>
      <c r="G497" s="0" t="n">
        <v>5</v>
      </c>
      <c r="H497" s="32" t="s">
        <v>5408</v>
      </c>
      <c r="I497" s="32" t="s">
        <v>3884</v>
      </c>
      <c r="J497" s="32" t="s">
        <v>3793</v>
      </c>
      <c r="K497" s="32" t="s">
        <v>2081</v>
      </c>
      <c r="L497" s="0" t="n">
        <v>57</v>
      </c>
      <c r="M497" s="32" t="s">
        <v>3975</v>
      </c>
      <c r="N497" s="32" t="s">
        <v>802</v>
      </c>
      <c r="O497" s="32" t="n">
        <f aca="false">IF(I497="","",ROUND(MOD(TIMEVALUE(I497)-TIMEVALUE(F497),1)*1440,0))</f>
        <v>57</v>
      </c>
      <c r="P497" s="0" t="str">
        <f aca="false">IF(COUNTIF($A$2:A497,A497)&gt;1,"DUP","")</f>
        <v/>
      </c>
      <c r="Q497" s="0" t="str">
        <f aca="false">IF(O497="","",IF(O497&gt;240,"Y","N"))</f>
        <v>N</v>
      </c>
    </row>
    <row r="498" customFormat="false" ht="15" hidden="false" customHeight="false" outlineLevel="0" collapsed="false">
      <c r="A498" s="0" t="s">
        <v>5409</v>
      </c>
      <c r="B498" s="0" t="s">
        <v>3912</v>
      </c>
      <c r="C498" s="0" t="s">
        <v>775</v>
      </c>
      <c r="D498" s="31" t="n">
        <v>32005</v>
      </c>
      <c r="E498" s="31" t="n">
        <v>45599</v>
      </c>
      <c r="F498" s="32" t="s">
        <v>5410</v>
      </c>
      <c r="G498" s="0" t="n">
        <v>3</v>
      </c>
      <c r="H498" s="32" t="s">
        <v>5411</v>
      </c>
      <c r="I498" s="32" t="s">
        <v>4130</v>
      </c>
      <c r="J498" s="32" t="s">
        <v>2307</v>
      </c>
      <c r="K498" s="32" t="s">
        <v>2081</v>
      </c>
      <c r="L498" s="0" t="n">
        <v>86</v>
      </c>
      <c r="M498" s="32" t="s">
        <v>3843</v>
      </c>
      <c r="N498" s="32" t="s">
        <v>3751</v>
      </c>
      <c r="O498" s="32" t="n">
        <f aca="false">IF(I498="","",ROUND(MOD(TIMEVALUE(I498)-TIMEVALUE(F498),1)*1440,0))</f>
        <v>86</v>
      </c>
      <c r="P498" s="0" t="str">
        <f aca="false">IF(COUNTIF($A$2:A498,A498)&gt;1,"DUP","")</f>
        <v/>
      </c>
      <c r="Q498" s="0" t="str">
        <f aca="false">IF(O498="","",IF(O498&gt;240,"Y","N"))</f>
        <v>N</v>
      </c>
    </row>
    <row r="499" customFormat="false" ht="15" hidden="false" customHeight="false" outlineLevel="0" collapsed="false">
      <c r="A499" s="0" t="s">
        <v>5412</v>
      </c>
      <c r="B499" s="0" t="s">
        <v>4694</v>
      </c>
      <c r="C499" s="0" t="s">
        <v>950</v>
      </c>
      <c r="D499" s="31" t="n">
        <v>28986</v>
      </c>
      <c r="E499" s="31" t="n">
        <v>45662</v>
      </c>
      <c r="F499" s="32" t="s">
        <v>4547</v>
      </c>
      <c r="G499" s="0" t="n">
        <v>4</v>
      </c>
      <c r="H499" s="32" t="s">
        <v>5347</v>
      </c>
      <c r="I499" s="32" t="s">
        <v>4077</v>
      </c>
      <c r="J499" s="32" t="s">
        <v>3749</v>
      </c>
      <c r="K499" s="32" t="s">
        <v>2106</v>
      </c>
      <c r="L499" s="0" t="n">
        <v>583</v>
      </c>
      <c r="M499" s="32" t="s">
        <v>3787</v>
      </c>
      <c r="N499" s="32" t="s">
        <v>3751</v>
      </c>
      <c r="O499" s="32" t="n">
        <f aca="false">IF(I499="","",ROUND(MOD(TIMEVALUE(I499)-TIMEVALUE(F499),1)*1440,0))</f>
        <v>583</v>
      </c>
      <c r="P499" s="0" t="str">
        <f aca="false">IF(COUNTIF($A$2:A499,A499)&gt;1,"DUP","")</f>
        <v/>
      </c>
      <c r="Q499" s="0" t="str">
        <f aca="false">IF(O499="","",IF(O499&gt;240,"Y","N"))</f>
        <v>Y</v>
      </c>
    </row>
    <row r="500" customFormat="false" ht="15" hidden="false" customHeight="false" outlineLevel="0" collapsed="false">
      <c r="A500" s="0" t="s">
        <v>5413</v>
      </c>
      <c r="B500" s="0" t="s">
        <v>3789</v>
      </c>
      <c r="C500" s="0" t="s">
        <v>934</v>
      </c>
      <c r="D500" s="31" t="n">
        <v>36694</v>
      </c>
      <c r="E500" s="31" t="n">
        <v>45627</v>
      </c>
      <c r="F500" s="32" t="s">
        <v>5414</v>
      </c>
      <c r="G500" s="0" t="n">
        <v>4</v>
      </c>
      <c r="H500" s="32" t="s">
        <v>5408</v>
      </c>
      <c r="I500" s="32" t="s">
        <v>5415</v>
      </c>
      <c r="J500" s="32" t="s">
        <v>2307</v>
      </c>
      <c r="K500" s="32" t="s">
        <v>2081</v>
      </c>
      <c r="L500" s="0" t="n">
        <v>205</v>
      </c>
      <c r="M500" s="32" t="s">
        <v>3952</v>
      </c>
      <c r="N500" s="32" t="s">
        <v>3751</v>
      </c>
      <c r="O500" s="32" t="n">
        <f aca="false">IF(I500="","",ROUND(MOD(TIMEVALUE(I500)-TIMEVALUE(F500),1)*1440,0))</f>
        <v>205</v>
      </c>
      <c r="P500" s="0" t="str">
        <f aca="false">IF(COUNTIF($A$2:A500,A500)&gt;1,"DUP","")</f>
        <v/>
      </c>
      <c r="Q500" s="0" t="str">
        <f aca="false">IF(O500="","",IF(O500&gt;240,"Y","N"))</f>
        <v>N</v>
      </c>
    </row>
    <row r="501" customFormat="false" ht="15" hidden="false" customHeight="false" outlineLevel="0" collapsed="false">
      <c r="A501" s="0" t="s">
        <v>5416</v>
      </c>
      <c r="B501" s="0" t="s">
        <v>5417</v>
      </c>
      <c r="C501" s="0" t="s">
        <v>817</v>
      </c>
      <c r="D501" s="31" t="n">
        <v>25654</v>
      </c>
      <c r="E501" s="31" t="n">
        <v>45697</v>
      </c>
      <c r="F501" s="32" t="s">
        <v>3854</v>
      </c>
      <c r="G501" s="0" t="n">
        <v>2</v>
      </c>
      <c r="H501" s="32" t="s">
        <v>5418</v>
      </c>
      <c r="I501" s="32" t="s">
        <v>5419</v>
      </c>
      <c r="J501" s="32" t="s">
        <v>3749</v>
      </c>
      <c r="K501" s="32" t="s">
        <v>2081</v>
      </c>
      <c r="L501" s="0" t="n">
        <v>91</v>
      </c>
      <c r="M501" s="32" t="s">
        <v>4267</v>
      </c>
      <c r="N501" s="32" t="s">
        <v>3751</v>
      </c>
      <c r="O501" s="32" t="n">
        <f aca="false">IF(I501="","",ROUND(MOD(TIMEVALUE(I501)-TIMEVALUE(F501),1)*1440,0))</f>
        <v>91</v>
      </c>
      <c r="P501" s="0" t="str">
        <f aca="false">IF(COUNTIF($A$2:A501,A501)&gt;1,"DUP","")</f>
        <v/>
      </c>
      <c r="Q501" s="0" t="str">
        <f aca="false">IF(O501="","",IF(O501&gt;240,"Y","N"))</f>
        <v>N</v>
      </c>
    </row>
    <row r="502" customFormat="false" ht="15" hidden="false" customHeight="false" outlineLevel="0" collapsed="false">
      <c r="A502" s="0" t="s">
        <v>5420</v>
      </c>
      <c r="B502" s="0" t="s">
        <v>3954</v>
      </c>
      <c r="C502" s="0" t="s">
        <v>1453</v>
      </c>
      <c r="D502" s="31" t="n">
        <v>17829</v>
      </c>
      <c r="E502" s="31" t="n">
        <v>45627</v>
      </c>
      <c r="F502" s="32" t="s">
        <v>3996</v>
      </c>
      <c r="G502" s="0" t="n">
        <v>4</v>
      </c>
      <c r="H502" s="32" t="s">
        <v>3874</v>
      </c>
      <c r="I502" s="32" t="s">
        <v>5421</v>
      </c>
      <c r="J502" s="32" t="s">
        <v>2307</v>
      </c>
      <c r="K502" s="32" t="s">
        <v>2081</v>
      </c>
      <c r="L502" s="0" t="n">
        <v>47</v>
      </c>
      <c r="M502" s="32" t="s">
        <v>3877</v>
      </c>
      <c r="N502" s="32" t="s">
        <v>3751</v>
      </c>
      <c r="O502" s="32" t="n">
        <f aca="false">IF(I502="","",ROUND(MOD(TIMEVALUE(I502)-TIMEVALUE(F502),1)*1440,0))</f>
        <v>47</v>
      </c>
      <c r="P502" s="0" t="str">
        <f aca="false">IF(COUNTIF($A$2:A502,A502)&gt;1,"DUP","")</f>
        <v/>
      </c>
      <c r="Q502" s="0" t="str">
        <f aca="false">IF(O502="","",IF(O502&gt;240,"Y","N"))</f>
        <v>N</v>
      </c>
    </row>
    <row r="503" customFormat="false" ht="15" hidden="false" customHeight="false" outlineLevel="0" collapsed="false">
      <c r="A503" s="0" t="s">
        <v>5422</v>
      </c>
      <c r="B503" s="0" t="s">
        <v>4305</v>
      </c>
      <c r="C503" s="0" t="s">
        <v>825</v>
      </c>
      <c r="D503" s="31" t="n">
        <v>13871</v>
      </c>
      <c r="E503" s="31" t="n">
        <v>45733</v>
      </c>
      <c r="F503" s="32" t="s">
        <v>5423</v>
      </c>
      <c r="G503" s="0" t="n">
        <v>4</v>
      </c>
      <c r="H503" s="32" t="s">
        <v>5424</v>
      </c>
      <c r="I503" s="32" t="s">
        <v>4669</v>
      </c>
      <c r="J503" s="32" t="s">
        <v>7</v>
      </c>
      <c r="K503" s="32" t="s">
        <v>2081</v>
      </c>
      <c r="L503" s="0" t="n">
        <v>50</v>
      </c>
      <c r="M503" s="32" t="s">
        <v>3946</v>
      </c>
      <c r="N503" s="32" t="s">
        <v>3751</v>
      </c>
      <c r="O503" s="32" t="n">
        <f aca="false">IF(I503="","",ROUND(MOD(TIMEVALUE(I503)-TIMEVALUE(F503),1)*1440,0))</f>
        <v>50</v>
      </c>
      <c r="P503" s="0" t="str">
        <f aca="false">IF(COUNTIF($A$2:A503,A503)&gt;1,"DUP","")</f>
        <v/>
      </c>
      <c r="Q503" s="0" t="str">
        <f aca="false">IF(O503="","",IF(O503&gt;240,"Y","N"))</f>
        <v>N</v>
      </c>
    </row>
    <row r="504" customFormat="false" ht="15" hidden="false" customHeight="false" outlineLevel="0" collapsed="false">
      <c r="A504" s="0" t="s">
        <v>5425</v>
      </c>
      <c r="B504" s="0" t="s">
        <v>3921</v>
      </c>
      <c r="C504" s="0" t="s">
        <v>950</v>
      </c>
      <c r="D504" s="31" t="n">
        <v>13984</v>
      </c>
      <c r="E504" s="31" t="n">
        <v>45599</v>
      </c>
      <c r="F504" s="32" t="s">
        <v>4421</v>
      </c>
      <c r="G504" s="0" t="n">
        <v>0</v>
      </c>
      <c r="H504" s="32" t="s">
        <v>4109</v>
      </c>
      <c r="I504" s="32" t="s">
        <v>4740</v>
      </c>
      <c r="J504" s="32" t="s">
        <v>2307</v>
      </c>
      <c r="K504" s="32" t="s">
        <v>2081</v>
      </c>
      <c r="L504" s="0" t="n">
        <v>126</v>
      </c>
      <c r="M504" s="32" t="s">
        <v>4582</v>
      </c>
      <c r="N504" s="32" t="s">
        <v>3751</v>
      </c>
      <c r="O504" s="32" t="n">
        <f aca="false">IF(I504="","",ROUND(MOD(TIMEVALUE(I504)-TIMEVALUE(F504),1)*1440,0))</f>
        <v>126</v>
      </c>
      <c r="P504" s="0" t="str">
        <f aca="false">IF(COUNTIF($A$2:A504,A504)&gt;1,"DUP","")</f>
        <v/>
      </c>
      <c r="Q504" s="0" t="str">
        <f aca="false">IF(O504="","",IF(O504&gt;240,"Y","N"))</f>
        <v>N</v>
      </c>
    </row>
    <row r="505" customFormat="false" ht="15" hidden="false" customHeight="false" outlineLevel="0" collapsed="false">
      <c r="A505" s="0" t="s">
        <v>5426</v>
      </c>
      <c r="B505" s="0" t="s">
        <v>4169</v>
      </c>
      <c r="C505" s="0" t="s">
        <v>993</v>
      </c>
      <c r="D505" s="31" t="n">
        <v>35186</v>
      </c>
      <c r="E505" s="31" t="n">
        <v>45591</v>
      </c>
      <c r="F505" s="32" t="s">
        <v>4490</v>
      </c>
      <c r="G505" s="0" t="n">
        <v>5</v>
      </c>
      <c r="H505" s="32" t="s">
        <v>5427</v>
      </c>
      <c r="I505" s="32" t="s">
        <v>4104</v>
      </c>
      <c r="J505" s="32" t="s">
        <v>3763</v>
      </c>
      <c r="K505" s="32" t="s">
        <v>2081</v>
      </c>
      <c r="L505" s="0" t="n">
        <v>206</v>
      </c>
      <c r="M505" s="32" t="s">
        <v>3821</v>
      </c>
      <c r="N505" s="32" t="s">
        <v>3751</v>
      </c>
      <c r="O505" s="32" t="n">
        <f aca="false">IF(I505="","",ROUND(MOD(TIMEVALUE(I505)-TIMEVALUE(F505),1)*1440,0))</f>
        <v>206</v>
      </c>
      <c r="P505" s="0" t="str">
        <f aca="false">IF(COUNTIF($A$2:A505,A505)&gt;1,"DUP","")</f>
        <v/>
      </c>
      <c r="Q505" s="0" t="str">
        <f aca="false">IF(O505="","",IF(O505&gt;240,"Y","N"))</f>
        <v>N</v>
      </c>
    </row>
    <row r="506" customFormat="false" ht="15" hidden="false" customHeight="false" outlineLevel="0" collapsed="false">
      <c r="A506" s="0" t="s">
        <v>5428</v>
      </c>
      <c r="B506" s="0" t="s">
        <v>4515</v>
      </c>
      <c r="C506" s="0" t="s">
        <v>902</v>
      </c>
      <c r="D506" s="31" t="n">
        <v>17328</v>
      </c>
      <c r="E506" s="31" t="n">
        <v>45727</v>
      </c>
      <c r="F506" s="32" t="s">
        <v>4636</v>
      </c>
      <c r="G506" s="0" t="n">
        <v>2</v>
      </c>
      <c r="H506" s="32" t="s">
        <v>5195</v>
      </c>
      <c r="I506" s="32" t="s">
        <v>5429</v>
      </c>
      <c r="J506" s="32" t="s">
        <v>3749</v>
      </c>
      <c r="K506" s="32" t="s">
        <v>2081</v>
      </c>
      <c r="L506" s="0" t="n">
        <v>196</v>
      </c>
      <c r="M506" s="32" t="s">
        <v>3966</v>
      </c>
      <c r="N506" s="32" t="s">
        <v>3751</v>
      </c>
      <c r="O506" s="32" t="n">
        <f aca="false">IF(I506="","",ROUND(MOD(TIMEVALUE(I506)-TIMEVALUE(F506),1)*1440,0))</f>
        <v>196</v>
      </c>
      <c r="P506" s="0" t="str">
        <f aca="false">IF(COUNTIF($A$2:A506,A506)&gt;1,"DUP","")</f>
        <v/>
      </c>
      <c r="Q506" s="0" t="str">
        <f aca="false">IF(O506="","",IF(O506&gt;240,"Y","N"))</f>
        <v>N</v>
      </c>
    </row>
    <row r="507" customFormat="false" ht="15" hidden="false" customHeight="false" outlineLevel="0" collapsed="false">
      <c r="A507" s="0" t="s">
        <v>5430</v>
      </c>
      <c r="C507" s="0" t="s">
        <v>2206</v>
      </c>
      <c r="D507" s="31" t="n">
        <v>25407</v>
      </c>
      <c r="E507" s="31" t="n">
        <v>45570</v>
      </c>
      <c r="F507" s="32" t="s">
        <v>5046</v>
      </c>
      <c r="G507" s="0" t="n">
        <v>4</v>
      </c>
      <c r="H507" s="32" t="s">
        <v>4307</v>
      </c>
      <c r="I507" s="32" t="s">
        <v>5314</v>
      </c>
      <c r="J507" s="32" t="s">
        <v>3749</v>
      </c>
      <c r="K507" s="32" t="s">
        <v>2081</v>
      </c>
      <c r="L507" s="0" t="n">
        <v>100</v>
      </c>
      <c r="M507" s="32" t="s">
        <v>4114</v>
      </c>
      <c r="N507" s="32" t="s">
        <v>3751</v>
      </c>
      <c r="O507" s="32" t="n">
        <f aca="false">IF(I507="","",ROUND(MOD(TIMEVALUE(I507)-TIMEVALUE(F507),1)*1440,0))</f>
        <v>100</v>
      </c>
      <c r="P507" s="0" t="str">
        <f aca="false">IF(COUNTIF($A$2:A507,A507)&gt;1,"DUP","")</f>
        <v/>
      </c>
      <c r="Q507" s="0" t="str">
        <f aca="false">IF(O507="","",IF(O507&gt;240,"Y","N"))</f>
        <v>N</v>
      </c>
    </row>
    <row r="508" customFormat="false" ht="15" hidden="false" customHeight="false" outlineLevel="0" collapsed="false">
      <c r="A508" s="0" t="s">
        <v>5431</v>
      </c>
      <c r="B508" s="0" t="s">
        <v>5011</v>
      </c>
      <c r="C508" s="0" t="s">
        <v>1021</v>
      </c>
      <c r="D508" s="31" t="n">
        <v>32065</v>
      </c>
      <c r="E508" s="31" t="n">
        <v>45607</v>
      </c>
      <c r="F508" s="32" t="s">
        <v>5432</v>
      </c>
      <c r="G508" s="0" t="n">
        <v>3</v>
      </c>
      <c r="H508" s="32" t="s">
        <v>5433</v>
      </c>
      <c r="I508" s="32" t="s">
        <v>5434</v>
      </c>
      <c r="J508" s="32" t="s">
        <v>3749</v>
      </c>
      <c r="K508" s="32" t="s">
        <v>2081</v>
      </c>
      <c r="L508" s="0" t="n">
        <v>141</v>
      </c>
      <c r="M508" s="32" t="s">
        <v>4149</v>
      </c>
      <c r="N508" s="32" t="s">
        <v>3751</v>
      </c>
      <c r="O508" s="32" t="n">
        <f aca="false">IF(I508="","",ROUND(MOD(TIMEVALUE(I508)-TIMEVALUE(F508),1)*1440,0))</f>
        <v>141</v>
      </c>
      <c r="P508" s="0" t="str">
        <f aca="false">IF(COUNTIF($A$2:A508,A508)&gt;1,"DUP","")</f>
        <v/>
      </c>
      <c r="Q508" s="0" t="str">
        <f aca="false">IF(O508="","",IF(O508&gt;240,"Y","N"))</f>
        <v>N</v>
      </c>
    </row>
    <row r="509" customFormat="false" ht="15" hidden="false" customHeight="false" outlineLevel="0" collapsed="false">
      <c r="A509" s="0" t="s">
        <v>5435</v>
      </c>
      <c r="B509" s="0" t="s">
        <v>4761</v>
      </c>
      <c r="C509" s="0" t="s">
        <v>981</v>
      </c>
      <c r="D509" s="31" t="n">
        <v>28522</v>
      </c>
      <c r="E509" s="31" t="n">
        <v>45590</v>
      </c>
      <c r="F509" s="32" t="s">
        <v>5436</v>
      </c>
      <c r="G509" s="0" t="n">
        <v>4</v>
      </c>
      <c r="H509" s="32" t="s">
        <v>4483</v>
      </c>
      <c r="I509" s="32" t="s">
        <v>4806</v>
      </c>
      <c r="J509" s="32" t="s">
        <v>3749</v>
      </c>
      <c r="K509" s="32" t="s">
        <v>2081</v>
      </c>
      <c r="L509" s="0" t="n">
        <v>120</v>
      </c>
      <c r="M509" s="32" t="s">
        <v>4313</v>
      </c>
      <c r="N509" s="32" t="s">
        <v>3751</v>
      </c>
      <c r="O509" s="32" t="n">
        <f aca="false">IF(I509="","",ROUND(MOD(TIMEVALUE(I509)-TIMEVALUE(F509),1)*1440,0))</f>
        <v>120</v>
      </c>
      <c r="P509" s="0" t="str">
        <f aca="false">IF(COUNTIF($A$2:A509,A509)&gt;1,"DUP","")</f>
        <v/>
      </c>
      <c r="Q509" s="0" t="str">
        <f aca="false">IF(O509="","",IF(O509&gt;240,"Y","N"))</f>
        <v>N</v>
      </c>
    </row>
    <row r="510" customFormat="false" ht="15" hidden="false" customHeight="false" outlineLevel="0" collapsed="false">
      <c r="A510" s="0" t="s">
        <v>5437</v>
      </c>
      <c r="C510" s="0" t="s">
        <v>792</v>
      </c>
      <c r="D510" s="31" t="n">
        <v>15696</v>
      </c>
      <c r="E510" s="31" t="n">
        <v>45721</v>
      </c>
      <c r="F510" s="32" t="s">
        <v>4792</v>
      </c>
      <c r="G510" s="0" t="n">
        <v>2</v>
      </c>
      <c r="H510" s="32" t="s">
        <v>4253</v>
      </c>
      <c r="I510" s="32" t="s">
        <v>4465</v>
      </c>
      <c r="J510" s="32" t="s">
        <v>7</v>
      </c>
      <c r="K510" s="32" t="s">
        <v>2081</v>
      </c>
      <c r="L510" s="0" t="n">
        <v>191</v>
      </c>
      <c r="M510" s="32" t="s">
        <v>3877</v>
      </c>
      <c r="N510" s="32" t="s">
        <v>3751</v>
      </c>
      <c r="O510" s="32" t="n">
        <f aca="false">IF(I510="","",ROUND(MOD(TIMEVALUE(I510)-TIMEVALUE(F510),1)*1440,0))</f>
        <v>191</v>
      </c>
      <c r="P510" s="0" t="str">
        <f aca="false">IF(COUNTIF($A$2:A510,A510)&gt;1,"DUP","")</f>
        <v/>
      </c>
      <c r="Q510" s="0" t="str">
        <f aca="false">IF(O510="","",IF(O510&gt;240,"Y","N"))</f>
        <v>N</v>
      </c>
    </row>
    <row r="511" customFormat="false" ht="15" hidden="false" customHeight="false" outlineLevel="0" collapsed="false">
      <c r="A511" s="0" t="s">
        <v>5438</v>
      </c>
      <c r="B511" s="0" t="s">
        <v>4423</v>
      </c>
      <c r="C511" s="0" t="s">
        <v>1393</v>
      </c>
      <c r="D511" s="31" t="n">
        <v>14231</v>
      </c>
      <c r="E511" s="31" t="n">
        <v>45585</v>
      </c>
      <c r="F511" s="32" t="s">
        <v>4805</v>
      </c>
      <c r="G511" s="0" t="n">
        <v>5</v>
      </c>
      <c r="H511" s="32" t="s">
        <v>3983</v>
      </c>
      <c r="I511" s="32" t="s">
        <v>5439</v>
      </c>
      <c r="J511" s="32" t="s">
        <v>3749</v>
      </c>
      <c r="K511" s="32" t="s">
        <v>2081</v>
      </c>
      <c r="L511" s="0" t="n">
        <v>140</v>
      </c>
      <c r="M511" s="32" t="s">
        <v>4106</v>
      </c>
      <c r="N511" s="32" t="s">
        <v>3751</v>
      </c>
      <c r="O511" s="32" t="n">
        <f aca="false">IF(I511="","",ROUND(MOD(TIMEVALUE(I511)-TIMEVALUE(F511),1)*1440,0))</f>
        <v>140</v>
      </c>
      <c r="P511" s="0" t="str">
        <f aca="false">IF(COUNTIF($A$2:A511,A511)&gt;1,"DUP","")</f>
        <v/>
      </c>
      <c r="Q511" s="0" t="str">
        <f aca="false">IF(O511="","",IF(O511&gt;240,"Y","N"))</f>
        <v>N</v>
      </c>
    </row>
    <row r="512" customFormat="false" ht="15" hidden="false" customHeight="false" outlineLevel="0" collapsed="false">
      <c r="A512" s="0" t="s">
        <v>5440</v>
      </c>
      <c r="B512" s="0" t="s">
        <v>4809</v>
      </c>
      <c r="C512" s="0" t="s">
        <v>775</v>
      </c>
      <c r="D512" s="31" t="n">
        <v>24529</v>
      </c>
      <c r="E512" s="31" t="n">
        <v>45568</v>
      </c>
      <c r="F512" s="32" t="s">
        <v>5181</v>
      </c>
      <c r="G512" s="0" t="n">
        <v>5</v>
      </c>
      <c r="H512" s="32" t="s">
        <v>4597</v>
      </c>
      <c r="I512" s="32" t="s">
        <v>4597</v>
      </c>
      <c r="J512" s="32" t="s">
        <v>2307</v>
      </c>
      <c r="K512" s="32" t="s">
        <v>2081</v>
      </c>
      <c r="L512" s="0" t="n">
        <v>210</v>
      </c>
      <c r="M512" s="32" t="s">
        <v>4165</v>
      </c>
      <c r="N512" s="32" t="s">
        <v>3751</v>
      </c>
      <c r="O512" s="32" t="n">
        <f aca="false">IF(I512="","",ROUND(MOD(TIMEVALUE(I512)-TIMEVALUE(F512),1)*1440,0))</f>
        <v>210</v>
      </c>
      <c r="P512" s="0" t="str">
        <f aca="false">IF(COUNTIF($A$2:A512,A512)&gt;1,"DUP","")</f>
        <v/>
      </c>
      <c r="Q512" s="0" t="str">
        <f aca="false">IF(O512="","",IF(O512&gt;240,"Y","N"))</f>
        <v>N</v>
      </c>
    </row>
    <row r="513" customFormat="false" ht="15" hidden="false" customHeight="false" outlineLevel="0" collapsed="false">
      <c r="A513" s="0" t="s">
        <v>5441</v>
      </c>
      <c r="B513" s="0" t="s">
        <v>5057</v>
      </c>
      <c r="C513" s="0" t="s">
        <v>1453</v>
      </c>
      <c r="D513" s="31" t="n">
        <v>19340</v>
      </c>
      <c r="E513" s="31" t="n">
        <v>45732</v>
      </c>
      <c r="F513" s="32" t="s">
        <v>5442</v>
      </c>
      <c r="G513" s="0" t="n">
        <v>6</v>
      </c>
      <c r="H513" s="32" t="s">
        <v>5443</v>
      </c>
      <c r="I513" s="32" t="s">
        <v>3785</v>
      </c>
      <c r="J513" s="32" t="s">
        <v>3749</v>
      </c>
      <c r="K513" s="32" t="s">
        <v>2081</v>
      </c>
      <c r="L513" s="0" t="n">
        <v>200</v>
      </c>
      <c r="M513" s="32" t="s">
        <v>4313</v>
      </c>
      <c r="N513" s="32" t="s">
        <v>3751</v>
      </c>
      <c r="O513" s="32" t="n">
        <f aca="false">IF(I513="","",ROUND(MOD(TIMEVALUE(I513)-TIMEVALUE(F513),1)*1440,0))</f>
        <v>200</v>
      </c>
      <c r="P513" s="0" t="str">
        <f aca="false">IF(COUNTIF($A$2:A513,A513)&gt;1,"DUP","")</f>
        <v/>
      </c>
      <c r="Q513" s="0" t="str">
        <f aca="false">IF(O513="","",IF(O513&gt;240,"Y","N"))</f>
        <v>N</v>
      </c>
    </row>
    <row r="514" customFormat="false" ht="15" hidden="false" customHeight="false" outlineLevel="0" collapsed="false">
      <c r="A514" s="0" t="s">
        <v>5444</v>
      </c>
      <c r="B514" s="0" t="s">
        <v>5356</v>
      </c>
      <c r="C514" s="0" t="s">
        <v>946</v>
      </c>
      <c r="D514" s="31" t="n">
        <v>32969</v>
      </c>
      <c r="E514" s="31" t="n">
        <v>45568</v>
      </c>
      <c r="F514" s="32" t="s">
        <v>788</v>
      </c>
      <c r="G514" s="0" t="n">
        <v>5</v>
      </c>
      <c r="H514" s="32" t="s">
        <v>5445</v>
      </c>
      <c r="I514" s="32" t="s">
        <v>3785</v>
      </c>
      <c r="J514" s="32" t="s">
        <v>3749</v>
      </c>
      <c r="K514" s="32" t="s">
        <v>2081</v>
      </c>
      <c r="L514" s="0" t="n">
        <v>127</v>
      </c>
      <c r="M514" s="32" t="s">
        <v>3925</v>
      </c>
      <c r="N514" s="32" t="s">
        <v>3751</v>
      </c>
      <c r="O514" s="32" t="n">
        <f aca="false">IF(I514="","",ROUND(MOD(TIMEVALUE(I514)-TIMEVALUE(F514),1)*1440,0))</f>
        <v>127</v>
      </c>
      <c r="P514" s="0" t="str">
        <f aca="false">IF(COUNTIF($A$2:A514,A514)&gt;1,"DUP","")</f>
        <v/>
      </c>
      <c r="Q514" s="0" t="str">
        <f aca="false">IF(O514="","",IF(O514&gt;240,"Y","N"))</f>
        <v>N</v>
      </c>
    </row>
    <row r="515" customFormat="false" ht="15" hidden="false" customHeight="false" outlineLevel="0" collapsed="false">
      <c r="A515" s="0" t="s">
        <v>5446</v>
      </c>
      <c r="B515" s="0" t="s">
        <v>5447</v>
      </c>
      <c r="C515" s="0" t="s">
        <v>874</v>
      </c>
      <c r="D515" s="31" t="n">
        <v>27510</v>
      </c>
      <c r="E515" s="31" t="n">
        <v>45580</v>
      </c>
      <c r="F515" s="32" t="s">
        <v>3913</v>
      </c>
      <c r="G515" s="0" t="n">
        <v>2</v>
      </c>
      <c r="H515" s="32" t="s">
        <v>5448</v>
      </c>
      <c r="I515" s="32" t="s">
        <v>5148</v>
      </c>
      <c r="J515" s="32" t="s">
        <v>2307</v>
      </c>
      <c r="K515" s="32" t="s">
        <v>2081</v>
      </c>
      <c r="L515" s="0" t="n">
        <v>63</v>
      </c>
      <c r="M515" s="32" t="s">
        <v>4219</v>
      </c>
      <c r="N515" s="32" t="s">
        <v>3751</v>
      </c>
      <c r="O515" s="32" t="n">
        <f aca="false">IF(I515="","",ROUND(MOD(TIMEVALUE(I515)-TIMEVALUE(F515),1)*1440,0))</f>
        <v>63</v>
      </c>
      <c r="P515" s="0" t="str">
        <f aca="false">IF(COUNTIF($A$2:A515,A515)&gt;1,"DUP","")</f>
        <v/>
      </c>
      <c r="Q515" s="0" t="str">
        <f aca="false">IF(O515="","",IF(O515&gt;240,"Y","N"))</f>
        <v>N</v>
      </c>
    </row>
    <row r="516" customFormat="false" ht="15" hidden="false" customHeight="false" outlineLevel="0" collapsed="false">
      <c r="A516" s="0" t="s">
        <v>5449</v>
      </c>
      <c r="B516" s="0" t="s">
        <v>4471</v>
      </c>
      <c r="C516" s="0" t="s">
        <v>902</v>
      </c>
      <c r="D516" s="31" t="n">
        <v>32318</v>
      </c>
      <c r="E516" s="31" t="n">
        <v>45615</v>
      </c>
      <c r="F516" s="32" t="s">
        <v>5450</v>
      </c>
      <c r="G516" s="0" t="n">
        <v>3</v>
      </c>
      <c r="H516" s="32" t="s">
        <v>5451</v>
      </c>
      <c r="I516" s="32" t="s">
        <v>3885</v>
      </c>
      <c r="J516" s="32" t="s">
        <v>3793</v>
      </c>
      <c r="L516" s="0" t="n">
        <v>-52</v>
      </c>
      <c r="M516" s="32" t="s">
        <v>4285</v>
      </c>
      <c r="N516" s="32" t="s">
        <v>776</v>
      </c>
      <c r="O516" s="32" t="n">
        <f aca="false">IF(I516="","",ROUND(MOD(TIMEVALUE(I516)-TIMEVALUE(F516),1)*1440,0))</f>
        <v>94</v>
      </c>
      <c r="P516" s="0" t="str">
        <f aca="false">IF(COUNTIF($A$2:A516,A516)&gt;1,"DUP","")</f>
        <v/>
      </c>
      <c r="Q516" s="0" t="str">
        <f aca="false">IF(O516="","",IF(O516&gt;240,"Y","N"))</f>
        <v>N</v>
      </c>
    </row>
    <row r="517" customFormat="false" ht="15" hidden="false" customHeight="false" outlineLevel="0" collapsed="false">
      <c r="A517" s="0" t="s">
        <v>5452</v>
      </c>
      <c r="B517" s="0" t="s">
        <v>4341</v>
      </c>
      <c r="C517" s="0" t="s">
        <v>1419</v>
      </c>
      <c r="D517" s="31" t="n">
        <v>26278</v>
      </c>
      <c r="E517" s="31" t="n">
        <v>45657</v>
      </c>
      <c r="F517" s="32" t="s">
        <v>4590</v>
      </c>
      <c r="G517" s="0" t="n">
        <v>4</v>
      </c>
      <c r="H517" s="32" t="s">
        <v>3965</v>
      </c>
      <c r="I517" s="32" t="s">
        <v>5453</v>
      </c>
      <c r="J517" s="32" t="s">
        <v>3749</v>
      </c>
      <c r="K517" s="32" t="s">
        <v>2081</v>
      </c>
      <c r="L517" s="0" t="n">
        <v>60</v>
      </c>
      <c r="M517" s="32" t="s">
        <v>3799</v>
      </c>
      <c r="N517" s="32" t="s">
        <v>3751</v>
      </c>
      <c r="O517" s="32" t="n">
        <f aca="false">IF(I517="","",ROUND(MOD(TIMEVALUE(I517)-TIMEVALUE(F517),1)*1440,0))</f>
        <v>60</v>
      </c>
      <c r="P517" s="0" t="str">
        <f aca="false">IF(COUNTIF($A$2:A517,A517)&gt;1,"DUP","")</f>
        <v/>
      </c>
      <c r="Q517" s="0" t="str">
        <f aca="false">IF(O517="","",IF(O517&gt;240,"Y","N"))</f>
        <v>N</v>
      </c>
    </row>
    <row r="518" customFormat="false" ht="15" hidden="false" customHeight="false" outlineLevel="0" collapsed="false">
      <c r="A518" s="0" t="s">
        <v>5454</v>
      </c>
      <c r="B518" s="0" t="s">
        <v>4138</v>
      </c>
      <c r="C518" s="0" t="s">
        <v>817</v>
      </c>
      <c r="D518" s="31" t="n">
        <v>34238</v>
      </c>
      <c r="E518" s="31" t="n">
        <v>45731</v>
      </c>
      <c r="F518" s="32" t="s">
        <v>5455</v>
      </c>
      <c r="G518" s="0" t="n">
        <v>3</v>
      </c>
      <c r="H518" s="32" t="s">
        <v>5456</v>
      </c>
      <c r="I518" s="32" t="s">
        <v>4669</v>
      </c>
      <c r="J518" s="32" t="s">
        <v>3749</v>
      </c>
      <c r="K518" s="32" t="s">
        <v>2081</v>
      </c>
      <c r="L518" s="0" t="n">
        <v>180</v>
      </c>
      <c r="M518" s="32" t="s">
        <v>4165</v>
      </c>
      <c r="N518" s="32" t="s">
        <v>3751</v>
      </c>
      <c r="O518" s="32" t="n">
        <f aca="false">IF(I518="","",ROUND(MOD(TIMEVALUE(I518)-TIMEVALUE(F518),1)*1440,0))</f>
        <v>180</v>
      </c>
      <c r="P518" s="0" t="str">
        <f aca="false">IF(COUNTIF($A$2:A518,A518)&gt;1,"DUP","")</f>
        <v/>
      </c>
      <c r="Q518" s="0" t="str">
        <f aca="false">IF(O518="","",IF(O518&gt;240,"Y","N"))</f>
        <v>N</v>
      </c>
    </row>
    <row r="519" customFormat="false" ht="15" hidden="false" customHeight="false" outlineLevel="0" collapsed="false">
      <c r="A519" s="0" t="s">
        <v>5457</v>
      </c>
      <c r="C519" s="0" t="s">
        <v>966</v>
      </c>
      <c r="D519" s="31" t="n">
        <v>28696</v>
      </c>
      <c r="E519" s="31" t="n">
        <v>45714</v>
      </c>
      <c r="F519" s="32" t="s">
        <v>4810</v>
      </c>
      <c r="G519" s="0" t="n">
        <v>2</v>
      </c>
      <c r="H519" s="32" t="s">
        <v>5458</v>
      </c>
      <c r="I519" s="32" t="s">
        <v>3992</v>
      </c>
      <c r="J519" s="32" t="s">
        <v>3749</v>
      </c>
      <c r="K519" s="32" t="s">
        <v>2081</v>
      </c>
      <c r="L519" s="0" t="n">
        <v>192</v>
      </c>
      <c r="M519" s="32" t="s">
        <v>3782</v>
      </c>
      <c r="N519" s="32" t="s">
        <v>3751</v>
      </c>
      <c r="O519" s="32" t="n">
        <f aca="false">IF(I519="","",ROUND(MOD(TIMEVALUE(I519)-TIMEVALUE(F519),1)*1440,0))</f>
        <v>192</v>
      </c>
      <c r="P519" s="0" t="str">
        <f aca="false">IF(COUNTIF($A$2:A519,A519)&gt;1,"DUP","")</f>
        <v/>
      </c>
      <c r="Q519" s="0" t="str">
        <f aca="false">IF(O519="","",IF(O519&gt;240,"Y","N"))</f>
        <v>N</v>
      </c>
    </row>
    <row r="520" customFormat="false" ht="15" hidden="false" customHeight="false" outlineLevel="0" collapsed="false">
      <c r="A520" s="0" t="s">
        <v>5459</v>
      </c>
      <c r="B520" s="0" t="s">
        <v>4553</v>
      </c>
      <c r="C520" s="0" t="s">
        <v>926</v>
      </c>
      <c r="D520" s="31" t="n">
        <v>21932</v>
      </c>
      <c r="E520" s="31" t="n">
        <v>45619</v>
      </c>
      <c r="F520" s="32" t="s">
        <v>4951</v>
      </c>
      <c r="G520" s="0" t="n">
        <v>1</v>
      </c>
      <c r="H520" s="32" t="s">
        <v>5460</v>
      </c>
      <c r="I520" s="32" t="s">
        <v>4899</v>
      </c>
      <c r="J520" s="32" t="s">
        <v>3749</v>
      </c>
      <c r="K520" s="32" t="s">
        <v>2081</v>
      </c>
      <c r="L520" s="0" t="n">
        <v>149</v>
      </c>
      <c r="M520" s="32" t="s">
        <v>3782</v>
      </c>
      <c r="N520" s="32" t="s">
        <v>3751</v>
      </c>
      <c r="O520" s="32" t="n">
        <f aca="false">IF(I520="","",ROUND(MOD(TIMEVALUE(I520)-TIMEVALUE(F520),1)*1440,0))</f>
        <v>149</v>
      </c>
      <c r="P520" s="0" t="str">
        <f aca="false">IF(COUNTIF($A$2:A520,A520)&gt;1,"DUP","")</f>
        <v/>
      </c>
      <c r="Q520" s="0" t="str">
        <f aca="false">IF(O520="","",IF(O520&gt;240,"Y","N"))</f>
        <v>N</v>
      </c>
    </row>
    <row r="521" customFormat="false" ht="15" hidden="false" customHeight="false" outlineLevel="0" collapsed="false">
      <c r="A521" s="0" t="s">
        <v>5461</v>
      </c>
      <c r="C521" s="0" t="s">
        <v>1426</v>
      </c>
      <c r="D521" s="31" t="n">
        <v>14155</v>
      </c>
      <c r="E521" s="31" t="n">
        <v>45726</v>
      </c>
      <c r="F521" s="32" t="s">
        <v>4444</v>
      </c>
      <c r="G521" s="0" t="n">
        <v>4</v>
      </c>
      <c r="H521" s="32" t="s">
        <v>4339</v>
      </c>
      <c r="I521" s="32" t="s">
        <v>5462</v>
      </c>
      <c r="J521" s="32" t="s">
        <v>3749</v>
      </c>
      <c r="K521" s="32" t="s">
        <v>2106</v>
      </c>
      <c r="L521" s="0" t="n">
        <v>413</v>
      </c>
      <c r="M521" s="32" t="s">
        <v>4047</v>
      </c>
      <c r="N521" s="32" t="s">
        <v>3751</v>
      </c>
      <c r="O521" s="32" t="n">
        <f aca="false">IF(I521="","",ROUND(MOD(TIMEVALUE(I521)-TIMEVALUE(F521),1)*1440,0))</f>
        <v>413</v>
      </c>
      <c r="P521" s="0" t="str">
        <f aca="false">IF(COUNTIF($A$2:A521,A521)&gt;1,"DUP","")</f>
        <v/>
      </c>
      <c r="Q521" s="0" t="str">
        <f aca="false">IF(O521="","",IF(O521&gt;240,"Y","N"))</f>
        <v>Y</v>
      </c>
    </row>
    <row r="522" customFormat="false" ht="15" hidden="false" customHeight="false" outlineLevel="0" collapsed="false">
      <c r="A522" s="0" t="s">
        <v>5463</v>
      </c>
      <c r="C522" s="0" t="s">
        <v>882</v>
      </c>
      <c r="D522" s="31" t="n">
        <v>32087</v>
      </c>
      <c r="E522" s="31" t="n">
        <v>45607</v>
      </c>
      <c r="F522" s="32" t="s">
        <v>5464</v>
      </c>
      <c r="G522" s="0" t="n">
        <v>3</v>
      </c>
      <c r="H522" s="32" t="s">
        <v>5465</v>
      </c>
      <c r="I522" s="32" t="s">
        <v>5466</v>
      </c>
      <c r="J522" s="32" t="s">
        <v>3763</v>
      </c>
      <c r="K522" s="32" t="s">
        <v>2081</v>
      </c>
      <c r="L522" s="0" t="n">
        <v>145</v>
      </c>
      <c r="M522" s="32" t="s">
        <v>4122</v>
      </c>
      <c r="N522" s="32" t="s">
        <v>3751</v>
      </c>
      <c r="O522" s="32" t="n">
        <f aca="false">IF(I522="","",ROUND(MOD(TIMEVALUE(I522)-TIMEVALUE(F522),1)*1440,0))</f>
        <v>145</v>
      </c>
      <c r="P522" s="0" t="str">
        <f aca="false">IF(COUNTIF($A$2:A522,A522)&gt;1,"DUP","")</f>
        <v/>
      </c>
      <c r="Q522" s="0" t="str">
        <f aca="false">IF(O522="","",IF(O522&gt;240,"Y","N"))</f>
        <v>N</v>
      </c>
    </row>
    <row r="523" customFormat="false" ht="15" hidden="false" customHeight="false" outlineLevel="0" collapsed="false">
      <c r="A523" s="0" t="s">
        <v>5467</v>
      </c>
      <c r="B523" s="0" t="s">
        <v>3916</v>
      </c>
      <c r="C523" s="0" t="s">
        <v>906</v>
      </c>
      <c r="D523" s="31" t="n">
        <v>31767</v>
      </c>
      <c r="E523" s="31" t="n">
        <v>45581</v>
      </c>
      <c r="F523" s="32" t="s">
        <v>5468</v>
      </c>
      <c r="G523" s="0" t="n">
        <v>4</v>
      </c>
      <c r="H523" s="32" t="s">
        <v>3973</v>
      </c>
      <c r="I523" s="32" t="s">
        <v>4604</v>
      </c>
      <c r="J523" s="32" t="s">
        <v>7</v>
      </c>
      <c r="K523" s="32" t="s">
        <v>2081</v>
      </c>
      <c r="L523" s="0" t="n">
        <v>89</v>
      </c>
      <c r="M523" s="32" t="s">
        <v>3975</v>
      </c>
      <c r="N523" s="32" t="s">
        <v>3751</v>
      </c>
      <c r="O523" s="32" t="n">
        <f aca="false">IF(I523="","",ROUND(MOD(TIMEVALUE(I523)-TIMEVALUE(F523),1)*1440,0))</f>
        <v>89</v>
      </c>
      <c r="P523" s="0" t="str">
        <f aca="false">IF(COUNTIF($A$2:A523,A523)&gt;1,"DUP","")</f>
        <v/>
      </c>
      <c r="Q523" s="0" t="str">
        <f aca="false">IF(O523="","",IF(O523&gt;240,"Y","N"))</f>
        <v>N</v>
      </c>
    </row>
    <row r="524" customFormat="false" ht="15" hidden="false" customHeight="false" outlineLevel="0" collapsed="false">
      <c r="A524" s="0" t="s">
        <v>5469</v>
      </c>
      <c r="B524" s="0" t="s">
        <v>4476</v>
      </c>
      <c r="C524" s="0" t="s">
        <v>954</v>
      </c>
      <c r="D524" s="31" t="n">
        <v>19269</v>
      </c>
      <c r="E524" s="31" t="n">
        <v>45588</v>
      </c>
      <c r="F524" s="32" t="s">
        <v>5470</v>
      </c>
      <c r="G524" s="0" t="n">
        <v>5</v>
      </c>
      <c r="H524" s="32" t="s">
        <v>5066</v>
      </c>
      <c r="I524" s="32" t="s">
        <v>5208</v>
      </c>
      <c r="J524" s="32" t="s">
        <v>2307</v>
      </c>
      <c r="K524" s="32" t="s">
        <v>2081</v>
      </c>
      <c r="L524" s="0" t="n">
        <v>74</v>
      </c>
      <c r="M524" s="32" t="s">
        <v>3799</v>
      </c>
      <c r="N524" s="32" t="s">
        <v>3751</v>
      </c>
      <c r="O524" s="32" t="n">
        <f aca="false">IF(I524="","",ROUND(MOD(TIMEVALUE(I524)-TIMEVALUE(F524),1)*1440,0))</f>
        <v>74</v>
      </c>
      <c r="P524" s="0" t="str">
        <f aca="false">IF(COUNTIF($A$2:A524,A524)&gt;1,"DUP","")</f>
        <v/>
      </c>
      <c r="Q524" s="0" t="str">
        <f aca="false">IF(O524="","",IF(O524&gt;240,"Y","N"))</f>
        <v>N</v>
      </c>
    </row>
    <row r="525" customFormat="false" ht="15" hidden="false" customHeight="false" outlineLevel="0" collapsed="false">
      <c r="A525" s="0" t="s">
        <v>5471</v>
      </c>
      <c r="C525" s="0" t="s">
        <v>910</v>
      </c>
      <c r="D525" s="31" t="n">
        <v>34919</v>
      </c>
      <c r="E525" s="31" t="n">
        <v>45664</v>
      </c>
      <c r="F525" s="32" t="s">
        <v>3960</v>
      </c>
      <c r="G525" s="0" t="n">
        <v>4</v>
      </c>
      <c r="H525" s="32" t="s">
        <v>4652</v>
      </c>
      <c r="I525" s="32" t="s">
        <v>5472</v>
      </c>
      <c r="J525" s="32" t="s">
        <v>3793</v>
      </c>
      <c r="K525" s="32" t="s">
        <v>2081</v>
      </c>
      <c r="L525" s="0" t="n">
        <v>124</v>
      </c>
      <c r="M525" s="32" t="s">
        <v>3764</v>
      </c>
      <c r="N525" s="32" t="s">
        <v>785</v>
      </c>
      <c r="O525" s="32" t="n">
        <f aca="false">IF(I525="","",ROUND(MOD(TIMEVALUE(I525)-TIMEVALUE(F525),1)*1440,0))</f>
        <v>124</v>
      </c>
      <c r="P525" s="0" t="str">
        <f aca="false">IF(COUNTIF($A$2:A525,A525)&gt;1,"DUP","")</f>
        <v/>
      </c>
      <c r="Q525" s="0" t="str">
        <f aca="false">IF(O525="","",IF(O525&gt;240,"Y","N"))</f>
        <v>N</v>
      </c>
    </row>
    <row r="526" customFormat="false" ht="15" hidden="false" customHeight="false" outlineLevel="0" collapsed="false">
      <c r="A526" s="0" t="s">
        <v>5473</v>
      </c>
      <c r="B526" s="0" t="s">
        <v>3932</v>
      </c>
      <c r="C526" s="0" t="s">
        <v>825</v>
      </c>
      <c r="D526" s="31" t="n">
        <v>22731</v>
      </c>
      <c r="E526" s="31" t="n">
        <v>45670</v>
      </c>
      <c r="F526" s="32" t="s">
        <v>4004</v>
      </c>
      <c r="G526" s="0" t="n">
        <v>5</v>
      </c>
      <c r="H526" s="32" t="s">
        <v>5474</v>
      </c>
      <c r="I526" s="32" t="s">
        <v>5475</v>
      </c>
      <c r="J526" s="32" t="s">
        <v>3749</v>
      </c>
      <c r="K526" s="32" t="s">
        <v>2106</v>
      </c>
      <c r="L526" s="0" t="n">
        <v>298</v>
      </c>
      <c r="M526" s="32" t="s">
        <v>4295</v>
      </c>
      <c r="N526" s="32" t="s">
        <v>3751</v>
      </c>
      <c r="O526" s="32" t="n">
        <f aca="false">IF(I526="","",ROUND(MOD(TIMEVALUE(I526)-TIMEVALUE(F526),1)*1440,0))</f>
        <v>298</v>
      </c>
      <c r="P526" s="0" t="str">
        <f aca="false">IF(COUNTIF($A$2:A526,A526)&gt;1,"DUP","")</f>
        <v/>
      </c>
      <c r="Q526" s="0" t="str">
        <f aca="false">IF(O526="","",IF(O526&gt;240,"Y","N"))</f>
        <v>Y</v>
      </c>
    </row>
    <row r="527" customFormat="false" ht="15" hidden="false" customHeight="false" outlineLevel="0" collapsed="false">
      <c r="A527" s="0" t="s">
        <v>5476</v>
      </c>
      <c r="B527" s="0" t="s">
        <v>5477</v>
      </c>
      <c r="C527" s="0" t="s">
        <v>1414</v>
      </c>
      <c r="D527" s="31" t="n">
        <v>17706</v>
      </c>
      <c r="E527" s="31" t="n">
        <v>45673</v>
      </c>
      <c r="F527" s="32" t="s">
        <v>4359</v>
      </c>
      <c r="G527" s="0" t="n">
        <v>4</v>
      </c>
      <c r="H527" s="32" t="s">
        <v>4790</v>
      </c>
      <c r="I527" s="32" t="s">
        <v>5478</v>
      </c>
      <c r="J527" s="32" t="s">
        <v>3749</v>
      </c>
      <c r="K527" s="32" t="s">
        <v>2106</v>
      </c>
      <c r="L527" s="0" t="n">
        <v>519</v>
      </c>
      <c r="M527" s="32" t="s">
        <v>4165</v>
      </c>
      <c r="N527" s="32" t="s">
        <v>3751</v>
      </c>
      <c r="O527" s="32" t="n">
        <f aca="false">IF(I527="","",ROUND(MOD(TIMEVALUE(I527)-TIMEVALUE(F527),1)*1440,0))</f>
        <v>519</v>
      </c>
      <c r="P527" s="0" t="str">
        <f aca="false">IF(COUNTIF($A$2:A527,A527)&gt;1,"DUP","")</f>
        <v/>
      </c>
      <c r="Q527" s="0" t="str">
        <f aca="false">IF(O527="","",IF(O527&gt;240,"Y","N"))</f>
        <v>Y</v>
      </c>
    </row>
    <row r="528" customFormat="false" ht="15" hidden="false" customHeight="false" outlineLevel="0" collapsed="false">
      <c r="A528" s="0" t="s">
        <v>5479</v>
      </c>
      <c r="B528" s="0" t="s">
        <v>4724</v>
      </c>
      <c r="C528" s="0" t="s">
        <v>970</v>
      </c>
      <c r="D528" s="31" t="n">
        <v>26003</v>
      </c>
      <c r="E528" s="31" t="n">
        <v>45707</v>
      </c>
      <c r="F528" s="32" t="s">
        <v>4215</v>
      </c>
      <c r="G528" s="0" t="n">
        <v>5</v>
      </c>
      <c r="H528" s="32" t="s">
        <v>5480</v>
      </c>
      <c r="I528" s="32" t="s">
        <v>4085</v>
      </c>
      <c r="J528" s="32" t="s">
        <v>3793</v>
      </c>
      <c r="K528" s="32" t="s">
        <v>2081</v>
      </c>
      <c r="L528" s="0" t="n">
        <v>130</v>
      </c>
      <c r="M528" s="32" t="s">
        <v>3993</v>
      </c>
      <c r="N528" s="32" t="s">
        <v>826</v>
      </c>
      <c r="O528" s="32" t="n">
        <f aca="false">IF(I528="","",ROUND(MOD(TIMEVALUE(I528)-TIMEVALUE(F528),1)*1440,0))</f>
        <v>130</v>
      </c>
      <c r="P528" s="0" t="str">
        <f aca="false">IF(COUNTIF($A$2:A528,A528)&gt;1,"DUP","")</f>
        <v/>
      </c>
      <c r="Q528" s="0" t="str">
        <f aca="false">IF(O528="","",IF(O528&gt;240,"Y","N"))</f>
        <v>N</v>
      </c>
    </row>
    <row r="529" customFormat="false" ht="15" hidden="false" customHeight="false" outlineLevel="0" collapsed="false">
      <c r="A529" s="0" t="s">
        <v>5481</v>
      </c>
      <c r="B529" s="0" t="s">
        <v>5482</v>
      </c>
      <c r="C529" s="0" t="s">
        <v>870</v>
      </c>
      <c r="D529" s="31" t="n">
        <v>31160</v>
      </c>
      <c r="E529" s="31" t="n">
        <v>45630</v>
      </c>
      <c r="F529" s="32" t="s">
        <v>4618</v>
      </c>
      <c r="G529" s="0" t="n">
        <v>4</v>
      </c>
      <c r="H529" s="32" t="s">
        <v>5158</v>
      </c>
      <c r="I529" s="32" t="s">
        <v>5483</v>
      </c>
      <c r="J529" s="32" t="s">
        <v>2307</v>
      </c>
      <c r="K529" s="32" t="s">
        <v>2081</v>
      </c>
      <c r="L529" s="0" t="n">
        <v>130</v>
      </c>
      <c r="M529" s="32" t="s">
        <v>3843</v>
      </c>
      <c r="N529" s="32" t="s">
        <v>3751</v>
      </c>
      <c r="O529" s="32" t="n">
        <f aca="false">IF(I529="","",ROUND(MOD(TIMEVALUE(I529)-TIMEVALUE(F529),1)*1440,0))</f>
        <v>130</v>
      </c>
      <c r="P529" s="0" t="str">
        <f aca="false">IF(COUNTIF($A$2:A529,A529)&gt;1,"DUP","")</f>
        <v/>
      </c>
      <c r="Q529" s="0" t="str">
        <f aca="false">IF(O529="","",IF(O529&gt;240,"Y","N"))</f>
        <v>N</v>
      </c>
    </row>
    <row r="530" customFormat="false" ht="15" hidden="false" customHeight="false" outlineLevel="0" collapsed="false">
      <c r="A530" s="0" t="s">
        <v>5484</v>
      </c>
      <c r="B530" s="0" t="s">
        <v>5057</v>
      </c>
      <c r="C530" s="0" t="s">
        <v>954</v>
      </c>
      <c r="D530" s="31" t="n">
        <v>23206</v>
      </c>
      <c r="E530" s="31" t="n">
        <v>45692</v>
      </c>
      <c r="F530" s="32" t="s">
        <v>4211</v>
      </c>
      <c r="G530" s="0" t="n">
        <v>5</v>
      </c>
      <c r="H530" s="32" t="s">
        <v>4716</v>
      </c>
      <c r="I530" s="32" t="s">
        <v>4164</v>
      </c>
      <c r="J530" s="32" t="s">
        <v>3749</v>
      </c>
      <c r="K530" s="32" t="s">
        <v>2081</v>
      </c>
      <c r="L530" s="0" t="n">
        <v>111</v>
      </c>
      <c r="M530" s="32" t="s">
        <v>4313</v>
      </c>
      <c r="N530" s="32" t="s">
        <v>3751</v>
      </c>
      <c r="O530" s="32" t="n">
        <f aca="false">IF(I530="","",ROUND(MOD(TIMEVALUE(I530)-TIMEVALUE(F530),1)*1440,0))</f>
        <v>111</v>
      </c>
      <c r="P530" s="0" t="str">
        <f aca="false">IF(COUNTIF($A$2:A530,A530)&gt;1,"DUP","")</f>
        <v/>
      </c>
      <c r="Q530" s="0" t="str">
        <f aca="false">IF(O530="","",IF(O530&gt;240,"Y","N"))</f>
        <v>N</v>
      </c>
    </row>
    <row r="531" customFormat="false" ht="15" hidden="false" customHeight="false" outlineLevel="0" collapsed="false">
      <c r="A531" s="0" t="s">
        <v>5485</v>
      </c>
      <c r="B531" s="0" t="s">
        <v>4788</v>
      </c>
      <c r="C531" s="0" t="s">
        <v>993</v>
      </c>
      <c r="D531" s="31" t="n">
        <v>34026</v>
      </c>
      <c r="E531" s="31" t="n">
        <v>45711</v>
      </c>
      <c r="F531" s="32" t="s">
        <v>4420</v>
      </c>
      <c r="G531" s="0" t="n">
        <v>3</v>
      </c>
      <c r="H531" s="32" t="s">
        <v>3780</v>
      </c>
      <c r="I531" s="32" t="s">
        <v>4461</v>
      </c>
      <c r="J531" s="32" t="s">
        <v>3749</v>
      </c>
      <c r="K531" s="32" t="s">
        <v>2081</v>
      </c>
      <c r="L531" s="0" t="n">
        <v>81</v>
      </c>
      <c r="M531" s="32" t="s">
        <v>4114</v>
      </c>
      <c r="N531" s="32" t="s">
        <v>3751</v>
      </c>
      <c r="O531" s="32" t="n">
        <f aca="false">IF(I531="","",ROUND(MOD(TIMEVALUE(I531)-TIMEVALUE(F531),1)*1440,0))</f>
        <v>81</v>
      </c>
      <c r="P531" s="0" t="str">
        <f aca="false">IF(COUNTIF($A$2:A531,A531)&gt;1,"DUP","")</f>
        <v/>
      </c>
      <c r="Q531" s="0" t="str">
        <f aca="false">IF(O531="","",IF(O531&gt;240,"Y","N"))</f>
        <v>N</v>
      </c>
    </row>
    <row r="532" customFormat="false" ht="15" hidden="false" customHeight="false" outlineLevel="0" collapsed="false">
      <c r="A532" s="0" t="s">
        <v>5486</v>
      </c>
      <c r="B532" s="0" t="s">
        <v>4592</v>
      </c>
      <c r="C532" s="0" t="s">
        <v>918</v>
      </c>
      <c r="D532" s="31" t="n">
        <v>27351</v>
      </c>
      <c r="E532" s="31" t="n">
        <v>45613</v>
      </c>
      <c r="F532" s="32" t="s">
        <v>4598</v>
      </c>
      <c r="G532" s="0" t="n">
        <v>3</v>
      </c>
      <c r="H532" s="32" t="s">
        <v>5159</v>
      </c>
      <c r="I532" s="32" t="s">
        <v>4011</v>
      </c>
      <c r="J532" s="32" t="s">
        <v>3763</v>
      </c>
      <c r="K532" s="32" t="s">
        <v>2081</v>
      </c>
      <c r="L532" s="0" t="n">
        <v>54</v>
      </c>
      <c r="M532" s="32" t="s">
        <v>4582</v>
      </c>
      <c r="N532" s="32" t="s">
        <v>3751</v>
      </c>
      <c r="O532" s="32" t="n">
        <f aca="false">IF(I532="","",ROUND(MOD(TIMEVALUE(I532)-TIMEVALUE(F532),1)*1440,0))</f>
        <v>54</v>
      </c>
      <c r="P532" s="0" t="str">
        <f aca="false">IF(COUNTIF($A$2:A532,A532)&gt;1,"DUP","")</f>
        <v/>
      </c>
      <c r="Q532" s="0" t="str">
        <f aca="false">IF(O532="","",IF(O532&gt;240,"Y","N"))</f>
        <v>N</v>
      </c>
    </row>
    <row r="533" customFormat="false" ht="15" hidden="false" customHeight="false" outlineLevel="0" collapsed="false">
      <c r="A533" s="0" t="s">
        <v>5487</v>
      </c>
      <c r="B533" s="0" t="s">
        <v>5477</v>
      </c>
      <c r="C533" s="0" t="s">
        <v>981</v>
      </c>
      <c r="D533" s="31" t="n">
        <v>35313</v>
      </c>
      <c r="E533" s="31" t="n">
        <v>45641</v>
      </c>
      <c r="F533" s="32" t="s">
        <v>5339</v>
      </c>
      <c r="G533" s="0" t="n">
        <v>4</v>
      </c>
      <c r="H533" s="32" t="s">
        <v>4485</v>
      </c>
      <c r="J533" s="32" t="s">
        <v>3749</v>
      </c>
      <c r="M533" s="32" t="s">
        <v>4295</v>
      </c>
      <c r="N533" s="32" t="s">
        <v>3751</v>
      </c>
      <c r="O533" s="0" t="str">
        <f aca="false">IF(I533="","",ROUND(MOD(TIMEVALUE(I533)-TIMEVALUE(F533),1)*1440,0))</f>
        <v/>
      </c>
      <c r="P533" s="0" t="str">
        <f aca="false">IF(COUNTIF($A$2:A533,A533)&gt;1,"DUP","")</f>
        <v/>
      </c>
      <c r="Q533" s="0" t="str">
        <f aca="false">IF(O533="","",IF(O533&gt;240,"Y","N"))</f>
        <v/>
      </c>
    </row>
    <row r="534" customFormat="false" ht="15" hidden="false" customHeight="false" outlineLevel="0" collapsed="false">
      <c r="A534" s="0" t="s">
        <v>5488</v>
      </c>
      <c r="B534" s="0" t="s">
        <v>4183</v>
      </c>
      <c r="C534" s="0" t="s">
        <v>882</v>
      </c>
      <c r="D534" s="31" t="n">
        <v>16126</v>
      </c>
      <c r="E534" s="31" t="n">
        <v>45611</v>
      </c>
      <c r="F534" s="32" t="s">
        <v>4477</v>
      </c>
      <c r="G534" s="0" t="n">
        <v>3</v>
      </c>
      <c r="H534" s="32" t="s">
        <v>5489</v>
      </c>
      <c r="I534" s="32" t="s">
        <v>5363</v>
      </c>
      <c r="J534" s="32" t="s">
        <v>3749</v>
      </c>
      <c r="K534" s="32" t="s">
        <v>2081</v>
      </c>
      <c r="L534" s="0" t="n">
        <v>235</v>
      </c>
      <c r="M534" s="32" t="s">
        <v>3925</v>
      </c>
      <c r="N534" s="32" t="s">
        <v>3751</v>
      </c>
      <c r="O534" s="32" t="n">
        <f aca="false">IF(I534="","",ROUND(MOD(TIMEVALUE(I534)-TIMEVALUE(F534),1)*1440,0))</f>
        <v>235</v>
      </c>
      <c r="P534" s="0" t="str">
        <f aca="false">IF(COUNTIF($A$2:A534,A534)&gt;1,"DUP","")</f>
        <v/>
      </c>
      <c r="Q534" s="0" t="str">
        <f aca="false">IF(O534="","",IF(O534&gt;240,"Y","N"))</f>
        <v>N</v>
      </c>
    </row>
    <row r="535" customFormat="false" ht="15" hidden="false" customHeight="false" outlineLevel="0" collapsed="false">
      <c r="A535" s="0" t="s">
        <v>5490</v>
      </c>
      <c r="B535" s="0" t="s">
        <v>4423</v>
      </c>
      <c r="C535" s="0" t="s">
        <v>942</v>
      </c>
      <c r="D535" s="31" t="n">
        <v>13011</v>
      </c>
      <c r="E535" s="31" t="n">
        <v>45603</v>
      </c>
      <c r="F535" s="32" t="s">
        <v>4758</v>
      </c>
      <c r="G535" s="0" t="n">
        <v>4</v>
      </c>
      <c r="H535" s="32" t="s">
        <v>5491</v>
      </c>
      <c r="I535" s="32" t="s">
        <v>4886</v>
      </c>
      <c r="J535" s="32" t="s">
        <v>3793</v>
      </c>
      <c r="K535" s="32" t="s">
        <v>2081</v>
      </c>
      <c r="L535" s="0" t="n">
        <v>122</v>
      </c>
      <c r="M535" s="32" t="s">
        <v>3843</v>
      </c>
      <c r="N535" s="32" t="s">
        <v>758</v>
      </c>
      <c r="O535" s="32" t="n">
        <f aca="false">IF(I535="","",ROUND(MOD(TIMEVALUE(I535)-TIMEVALUE(F535),1)*1440,0))</f>
        <v>122</v>
      </c>
      <c r="P535" s="0" t="str">
        <f aca="false">IF(COUNTIF($A$2:A535,A535)&gt;1,"DUP","")</f>
        <v/>
      </c>
      <c r="Q535" s="0" t="str">
        <f aca="false">IF(O535="","",IF(O535&gt;240,"Y","N"))</f>
        <v>N</v>
      </c>
    </row>
    <row r="536" customFormat="false" ht="15" hidden="false" customHeight="false" outlineLevel="0" collapsed="false">
      <c r="A536" s="0" t="s">
        <v>5492</v>
      </c>
      <c r="B536" s="0" t="s">
        <v>4917</v>
      </c>
      <c r="C536" s="0" t="s">
        <v>853</v>
      </c>
      <c r="D536" s="31" t="n">
        <v>14573</v>
      </c>
      <c r="E536" s="31" t="n">
        <v>45713</v>
      </c>
      <c r="F536" s="32" t="s">
        <v>5493</v>
      </c>
      <c r="G536" s="0" t="n">
        <v>4</v>
      </c>
      <c r="H536" s="32" t="s">
        <v>4918</v>
      </c>
      <c r="J536" s="32" t="s">
        <v>3749</v>
      </c>
      <c r="M536" s="32" t="s">
        <v>3843</v>
      </c>
      <c r="N536" s="32" t="s">
        <v>3751</v>
      </c>
      <c r="O536" s="0" t="str">
        <f aca="false">IF(I536="","",ROUND(MOD(TIMEVALUE(I536)-TIMEVALUE(F536),1)*1440,0))</f>
        <v/>
      </c>
      <c r="P536" s="0" t="str">
        <f aca="false">IF(COUNTIF($A$2:A536,A536)&gt;1,"DUP","")</f>
        <v/>
      </c>
      <c r="Q536" s="0" t="str">
        <f aca="false">IF(O536="","",IF(O536&gt;240,"Y","N"))</f>
        <v/>
      </c>
    </row>
    <row r="537" customFormat="false" ht="15" hidden="false" customHeight="false" outlineLevel="0" collapsed="false">
      <c r="A537" s="0" t="s">
        <v>5494</v>
      </c>
      <c r="B537" s="0" t="s">
        <v>5495</v>
      </c>
      <c r="C537" s="0" t="s">
        <v>922</v>
      </c>
      <c r="D537" s="31" t="n">
        <v>19526</v>
      </c>
      <c r="E537" s="31" t="n">
        <v>45696</v>
      </c>
      <c r="F537" s="32" t="s">
        <v>4863</v>
      </c>
      <c r="G537" s="0" t="n">
        <v>3</v>
      </c>
      <c r="H537" s="32" t="s">
        <v>5496</v>
      </c>
      <c r="I537" s="32" t="s">
        <v>4298</v>
      </c>
      <c r="J537" s="32" t="s">
        <v>3749</v>
      </c>
      <c r="K537" s="32" t="s">
        <v>2106</v>
      </c>
      <c r="L537" s="0" t="n">
        <v>321</v>
      </c>
      <c r="M537" s="32" t="s">
        <v>4206</v>
      </c>
      <c r="N537" s="32" t="s">
        <v>3751</v>
      </c>
      <c r="O537" s="32" t="n">
        <f aca="false">IF(I537="","",ROUND(MOD(TIMEVALUE(I537)-TIMEVALUE(F537),1)*1440,0))</f>
        <v>321</v>
      </c>
      <c r="P537" s="0" t="str">
        <f aca="false">IF(COUNTIF($A$2:A537,A537)&gt;1,"DUP","")</f>
        <v/>
      </c>
      <c r="Q537" s="0" t="str">
        <f aca="false">IF(O537="","",IF(O537&gt;240,"Y","N"))</f>
        <v>Y</v>
      </c>
    </row>
    <row r="538" customFormat="false" ht="15" hidden="false" customHeight="false" outlineLevel="0" collapsed="false">
      <c r="A538" s="0" t="s">
        <v>5497</v>
      </c>
      <c r="B538" s="0" t="s">
        <v>4431</v>
      </c>
      <c r="C538" s="0" t="s">
        <v>894</v>
      </c>
      <c r="D538" s="31" t="n">
        <v>36536</v>
      </c>
      <c r="E538" s="31" t="n">
        <v>45736</v>
      </c>
      <c r="F538" s="32" t="s">
        <v>5498</v>
      </c>
      <c r="G538" s="0" t="n">
        <v>2</v>
      </c>
      <c r="H538" s="32" t="s">
        <v>4601</v>
      </c>
      <c r="I538" s="32" t="s">
        <v>5499</v>
      </c>
      <c r="J538" s="32" t="s">
        <v>3749</v>
      </c>
      <c r="K538" s="32" t="s">
        <v>2081</v>
      </c>
      <c r="L538" s="0" t="n">
        <v>41</v>
      </c>
      <c r="M538" s="32" t="s">
        <v>3855</v>
      </c>
      <c r="N538" s="32" t="s">
        <v>3751</v>
      </c>
      <c r="O538" s="32" t="n">
        <f aca="false">IF(I538="","",ROUND(MOD(TIMEVALUE(I538)-TIMEVALUE(F538),1)*1440,0))</f>
        <v>41</v>
      </c>
      <c r="P538" s="0" t="str">
        <f aca="false">IF(COUNTIF($A$2:A538,A538)&gt;1,"DUP","")</f>
        <v/>
      </c>
      <c r="Q538" s="0" t="str">
        <f aca="false">IF(O538="","",IF(O538&gt;240,"Y","N"))</f>
        <v>N</v>
      </c>
    </row>
    <row r="539" customFormat="false" ht="15" hidden="false" customHeight="false" outlineLevel="0" collapsed="false">
      <c r="A539" s="0" t="s">
        <v>5500</v>
      </c>
      <c r="B539" s="0" t="s">
        <v>3851</v>
      </c>
      <c r="C539" s="0" t="s">
        <v>853</v>
      </c>
      <c r="D539" s="31" t="n">
        <v>27528</v>
      </c>
      <c r="E539" s="31" t="n">
        <v>45601</v>
      </c>
      <c r="F539" s="32" t="s">
        <v>3792</v>
      </c>
      <c r="G539" s="0" t="n">
        <v>4</v>
      </c>
      <c r="H539" s="32" t="s">
        <v>5501</v>
      </c>
      <c r="I539" s="32" t="s">
        <v>4843</v>
      </c>
      <c r="J539" s="32" t="s">
        <v>3749</v>
      </c>
      <c r="K539" s="32" t="s">
        <v>2081</v>
      </c>
      <c r="L539" s="0" t="n">
        <v>48</v>
      </c>
      <c r="M539" s="32" t="s">
        <v>4047</v>
      </c>
      <c r="N539" s="32" t="s">
        <v>3751</v>
      </c>
      <c r="O539" s="32" t="n">
        <f aca="false">IF(I539="","",ROUND(MOD(TIMEVALUE(I539)-TIMEVALUE(F539),1)*1440,0))</f>
        <v>48</v>
      </c>
      <c r="P539" s="0" t="str">
        <f aca="false">IF(COUNTIF($A$2:A539,A539)&gt;1,"DUP","")</f>
        <v/>
      </c>
      <c r="Q539" s="0" t="str">
        <f aca="false">IF(O539="","",IF(O539&gt;240,"Y","N"))</f>
        <v>N</v>
      </c>
    </row>
    <row r="540" customFormat="false" ht="15" hidden="false" customHeight="false" outlineLevel="0" collapsed="false">
      <c r="A540" s="0" t="s">
        <v>5502</v>
      </c>
      <c r="B540" s="0" t="s">
        <v>4008</v>
      </c>
      <c r="C540" s="0" t="s">
        <v>765</v>
      </c>
      <c r="D540" s="31" t="n">
        <v>26731</v>
      </c>
      <c r="E540" s="31" t="n">
        <v>45690</v>
      </c>
      <c r="F540" s="32" t="s">
        <v>5033</v>
      </c>
      <c r="G540" s="0" t="n">
        <v>4</v>
      </c>
      <c r="H540" s="32" t="s">
        <v>5503</v>
      </c>
      <c r="I540" s="32" t="s">
        <v>5209</v>
      </c>
      <c r="J540" s="32" t="s">
        <v>3749</v>
      </c>
      <c r="K540" s="32" t="s">
        <v>2081</v>
      </c>
      <c r="L540" s="0" t="n">
        <v>66</v>
      </c>
      <c r="M540" s="32" t="s">
        <v>3902</v>
      </c>
      <c r="N540" s="32" t="s">
        <v>3751</v>
      </c>
      <c r="O540" s="32" t="n">
        <f aca="false">IF(I540="","",ROUND(MOD(TIMEVALUE(I540)-TIMEVALUE(F540),1)*1440,0))</f>
        <v>66</v>
      </c>
      <c r="P540" s="0" t="str">
        <f aca="false">IF(COUNTIF($A$2:A540,A540)&gt;1,"DUP","")</f>
        <v/>
      </c>
      <c r="Q540" s="0" t="str">
        <f aca="false">IF(O540="","",IF(O540&gt;240,"Y","N"))</f>
        <v>N</v>
      </c>
    </row>
    <row r="541" customFormat="false" ht="15" hidden="false" customHeight="false" outlineLevel="0" collapsed="false">
      <c r="A541" s="0" t="s">
        <v>5504</v>
      </c>
      <c r="B541" s="0" t="s">
        <v>4291</v>
      </c>
      <c r="C541" s="0" t="s">
        <v>1402</v>
      </c>
      <c r="D541" s="31" t="n">
        <v>35112</v>
      </c>
      <c r="E541" s="31" t="n">
        <v>45704</v>
      </c>
      <c r="F541" s="32" t="s">
        <v>3885</v>
      </c>
      <c r="G541" s="0" t="n">
        <v>3</v>
      </c>
      <c r="H541" s="32" t="s">
        <v>5505</v>
      </c>
      <c r="I541" s="32" t="s">
        <v>5506</v>
      </c>
      <c r="J541" s="32" t="s">
        <v>3749</v>
      </c>
      <c r="K541" s="32" t="s">
        <v>2081</v>
      </c>
      <c r="L541" s="0" t="n">
        <v>100</v>
      </c>
      <c r="M541" s="32" t="s">
        <v>3750</v>
      </c>
      <c r="N541" s="32" t="s">
        <v>3751</v>
      </c>
      <c r="O541" s="32" t="n">
        <f aca="false">IF(I541="","",ROUND(MOD(TIMEVALUE(I541)-TIMEVALUE(F541),1)*1440,0))</f>
        <v>100</v>
      </c>
      <c r="P541" s="0" t="str">
        <f aca="false">IF(COUNTIF($A$2:A541,A541)&gt;1,"DUP","")</f>
        <v/>
      </c>
      <c r="Q541" s="0" t="str">
        <f aca="false">IF(O541="","",IF(O541&gt;240,"Y","N"))</f>
        <v>N</v>
      </c>
    </row>
    <row r="542" customFormat="false" ht="15" hidden="false" customHeight="false" outlineLevel="0" collapsed="false">
      <c r="A542" s="0" t="s">
        <v>5507</v>
      </c>
      <c r="C542" s="0" t="s">
        <v>1414</v>
      </c>
      <c r="D542" s="31" t="n">
        <v>36872</v>
      </c>
      <c r="E542" s="31" t="n">
        <v>45717</v>
      </c>
      <c r="F542" s="32" t="s">
        <v>3798</v>
      </c>
      <c r="G542" s="0" t="n">
        <v>3</v>
      </c>
      <c r="H542" s="32" t="s">
        <v>5508</v>
      </c>
      <c r="I542" s="32" t="s">
        <v>5509</v>
      </c>
      <c r="J542" s="32" t="s">
        <v>3749</v>
      </c>
      <c r="K542" s="32" t="s">
        <v>2081</v>
      </c>
      <c r="L542" s="0" t="n">
        <v>210</v>
      </c>
      <c r="M542" s="32" t="s">
        <v>4165</v>
      </c>
      <c r="N542" s="32" t="s">
        <v>3751</v>
      </c>
      <c r="O542" s="32" t="n">
        <f aca="false">IF(I542="","",ROUND(MOD(TIMEVALUE(I542)-TIMEVALUE(F542),1)*1440,0))</f>
        <v>210</v>
      </c>
      <c r="P542" s="0" t="str">
        <f aca="false">IF(COUNTIF($A$2:A542,A542)&gt;1,"DUP","")</f>
        <v/>
      </c>
      <c r="Q542" s="0" t="str">
        <f aca="false">IF(O542="","",IF(O542&gt;240,"Y","N"))</f>
        <v>N</v>
      </c>
    </row>
    <row r="543" customFormat="false" ht="15" hidden="false" customHeight="false" outlineLevel="0" collapsed="false">
      <c r="A543" s="0" t="s">
        <v>5510</v>
      </c>
      <c r="B543" s="0" t="s">
        <v>5511</v>
      </c>
      <c r="C543" s="0" t="s">
        <v>784</v>
      </c>
      <c r="D543" s="31" t="n">
        <v>23280</v>
      </c>
      <c r="E543" s="31" t="n">
        <v>45705</v>
      </c>
      <c r="F543" s="32" t="s">
        <v>4765</v>
      </c>
      <c r="G543" s="0" t="n">
        <v>4</v>
      </c>
      <c r="H543" s="32" t="s">
        <v>5512</v>
      </c>
      <c r="I543" s="32" t="s">
        <v>5475</v>
      </c>
      <c r="J543" s="32" t="s">
        <v>3749</v>
      </c>
      <c r="K543" s="32" t="s">
        <v>2081</v>
      </c>
      <c r="L543" s="0" t="n">
        <v>73</v>
      </c>
      <c r="M543" s="32" t="s">
        <v>3827</v>
      </c>
      <c r="N543" s="32" t="s">
        <v>3751</v>
      </c>
      <c r="O543" s="32" t="n">
        <f aca="false">IF(I543="","",ROUND(MOD(TIMEVALUE(I543)-TIMEVALUE(F543),1)*1440,0))</f>
        <v>73</v>
      </c>
      <c r="P543" s="0" t="str">
        <f aca="false">IF(COUNTIF($A$2:A543,A543)&gt;1,"DUP","")</f>
        <v/>
      </c>
      <c r="Q543" s="0" t="str">
        <f aca="false">IF(O543="","",IF(O543&gt;240,"Y","N"))</f>
        <v>N</v>
      </c>
    </row>
    <row r="544" customFormat="false" ht="15" hidden="false" customHeight="false" outlineLevel="0" collapsed="false">
      <c r="A544" s="0" t="s">
        <v>5513</v>
      </c>
      <c r="B544" s="0" t="s">
        <v>5514</v>
      </c>
      <c r="C544" s="0" t="s">
        <v>934</v>
      </c>
      <c r="D544" s="31" t="n">
        <v>33112</v>
      </c>
      <c r="E544" s="31" t="n">
        <v>45632</v>
      </c>
      <c r="F544" s="32" t="s">
        <v>3944</v>
      </c>
      <c r="G544" s="0" t="n">
        <v>3</v>
      </c>
      <c r="H544" s="32" t="s">
        <v>4307</v>
      </c>
      <c r="J544" s="32" t="s">
        <v>3749</v>
      </c>
      <c r="M544" s="32" t="s">
        <v>4060</v>
      </c>
      <c r="N544" s="32" t="s">
        <v>3751</v>
      </c>
      <c r="O544" s="0" t="str">
        <f aca="false">IF(I544="","",ROUND(MOD(TIMEVALUE(I544)-TIMEVALUE(F544),1)*1440,0))</f>
        <v/>
      </c>
      <c r="P544" s="0" t="str">
        <f aca="false">IF(COUNTIF($A$2:A544,A544)&gt;1,"DUP","")</f>
        <v/>
      </c>
      <c r="Q544" s="0" t="str">
        <f aca="false">IF(O544="","",IF(O544&gt;240,"Y","N"))</f>
        <v/>
      </c>
    </row>
    <row r="545" customFormat="false" ht="15" hidden="false" customHeight="false" outlineLevel="0" collapsed="false">
      <c r="A545" s="0" t="s">
        <v>5515</v>
      </c>
      <c r="B545" s="0" t="s">
        <v>4796</v>
      </c>
      <c r="C545" s="0" t="s">
        <v>970</v>
      </c>
      <c r="D545" s="31" t="n">
        <v>34280</v>
      </c>
      <c r="E545" s="31" t="n">
        <v>45598</v>
      </c>
      <c r="F545" s="32" t="s">
        <v>4623</v>
      </c>
      <c r="G545" s="0" t="n">
        <v>5</v>
      </c>
      <c r="H545" s="32" t="s">
        <v>5371</v>
      </c>
      <c r="I545" s="32" t="s">
        <v>5516</v>
      </c>
      <c r="J545" s="32" t="s">
        <v>3793</v>
      </c>
      <c r="K545" s="32" t="s">
        <v>2081</v>
      </c>
      <c r="L545" s="0" t="n">
        <v>100</v>
      </c>
      <c r="M545" s="32" t="s">
        <v>4149</v>
      </c>
      <c r="N545" s="32" t="s">
        <v>810</v>
      </c>
      <c r="O545" s="32" t="n">
        <f aca="false">IF(I545="","",ROUND(MOD(TIMEVALUE(I545)-TIMEVALUE(F545),1)*1440,0))</f>
        <v>100</v>
      </c>
      <c r="P545" s="0" t="str">
        <f aca="false">IF(COUNTIF($A$2:A545,A545)&gt;1,"DUP","")</f>
        <v/>
      </c>
      <c r="Q545" s="0" t="str">
        <f aca="false">IF(O545="","",IF(O545&gt;240,"Y","N"))</f>
        <v>N</v>
      </c>
    </row>
    <row r="546" customFormat="false" ht="15" hidden="false" customHeight="false" outlineLevel="0" collapsed="false">
      <c r="A546" s="0" t="s">
        <v>5517</v>
      </c>
      <c r="B546" s="0" t="s">
        <v>5518</v>
      </c>
      <c r="C546" s="0" t="s">
        <v>942</v>
      </c>
      <c r="D546" s="31" t="n">
        <v>31160</v>
      </c>
      <c r="E546" s="31" t="n">
        <v>45651</v>
      </c>
      <c r="F546" s="32" t="s">
        <v>4824</v>
      </c>
      <c r="G546" s="0" t="n">
        <v>3</v>
      </c>
      <c r="H546" s="32" t="s">
        <v>4370</v>
      </c>
      <c r="I546" s="32" t="s">
        <v>4609</v>
      </c>
      <c r="J546" s="32" t="s">
        <v>2307</v>
      </c>
      <c r="K546" s="32" t="s">
        <v>2081</v>
      </c>
      <c r="L546" s="0" t="n">
        <v>177</v>
      </c>
      <c r="M546" s="32" t="s">
        <v>4206</v>
      </c>
      <c r="N546" s="32" t="s">
        <v>3751</v>
      </c>
      <c r="O546" s="32" t="n">
        <f aca="false">IF(I546="","",ROUND(MOD(TIMEVALUE(I546)-TIMEVALUE(F546),1)*1440,0))</f>
        <v>177</v>
      </c>
      <c r="P546" s="0" t="str">
        <f aca="false">IF(COUNTIF($A$2:A546,A546)&gt;1,"DUP","")</f>
        <v/>
      </c>
      <c r="Q546" s="0" t="str">
        <f aca="false">IF(O546="","",IF(O546&gt;240,"Y","N"))</f>
        <v>N</v>
      </c>
    </row>
    <row r="547" customFormat="false" ht="15" hidden="false" customHeight="false" outlineLevel="0" collapsed="false">
      <c r="A547" s="0" t="s">
        <v>5519</v>
      </c>
      <c r="B547" s="0" t="s">
        <v>4546</v>
      </c>
      <c r="C547" s="0" t="s">
        <v>1402</v>
      </c>
      <c r="D547" s="31" t="n">
        <v>30886</v>
      </c>
      <c r="E547" s="31" t="n">
        <v>45619</v>
      </c>
      <c r="F547" s="32" t="s">
        <v>4072</v>
      </c>
      <c r="G547" s="0" t="n">
        <v>3</v>
      </c>
      <c r="H547" s="32" t="s">
        <v>4568</v>
      </c>
      <c r="I547" s="32" t="s">
        <v>5520</v>
      </c>
      <c r="J547" s="32" t="s">
        <v>2307</v>
      </c>
      <c r="K547" s="32" t="s">
        <v>2081</v>
      </c>
      <c r="L547" s="0" t="n">
        <v>205</v>
      </c>
      <c r="M547" s="32" t="s">
        <v>4114</v>
      </c>
      <c r="N547" s="32" t="s">
        <v>3751</v>
      </c>
      <c r="O547" s="32" t="n">
        <f aca="false">IF(I547="","",ROUND(MOD(TIMEVALUE(I547)-TIMEVALUE(F547),1)*1440,0))</f>
        <v>205</v>
      </c>
      <c r="P547" s="0" t="str">
        <f aca="false">IF(COUNTIF($A$2:A547,A547)&gt;1,"DUP","")</f>
        <v/>
      </c>
      <c r="Q547" s="0" t="str">
        <f aca="false">IF(O547="","",IF(O547&gt;240,"Y","N"))</f>
        <v>N</v>
      </c>
    </row>
    <row r="548" customFormat="false" ht="15" hidden="false" customHeight="false" outlineLevel="0" collapsed="false">
      <c r="A548" s="0" t="s">
        <v>5521</v>
      </c>
      <c r="B548" s="0" t="s">
        <v>5522</v>
      </c>
      <c r="C548" s="0" t="s">
        <v>890</v>
      </c>
      <c r="D548" s="31" t="n">
        <v>13807</v>
      </c>
      <c r="E548" s="31" t="n">
        <v>45691</v>
      </c>
      <c r="F548" s="32" t="s">
        <v>3933</v>
      </c>
      <c r="G548" s="0" t="n">
        <v>4</v>
      </c>
      <c r="H548" s="32" t="s">
        <v>4687</v>
      </c>
      <c r="I548" s="32" t="s">
        <v>5523</v>
      </c>
      <c r="J548" s="32" t="s">
        <v>3749</v>
      </c>
      <c r="K548" s="32" t="s">
        <v>2081</v>
      </c>
      <c r="L548" s="0" t="n">
        <v>63</v>
      </c>
      <c r="M548" s="32" t="s">
        <v>3966</v>
      </c>
      <c r="N548" s="32" t="s">
        <v>3751</v>
      </c>
      <c r="O548" s="32" t="n">
        <f aca="false">IF(I548="","",ROUND(MOD(TIMEVALUE(I548)-TIMEVALUE(F548),1)*1440,0))</f>
        <v>63</v>
      </c>
      <c r="P548" s="0" t="str">
        <f aca="false">IF(COUNTIF($A$2:A548,A548)&gt;1,"DUP","")</f>
        <v/>
      </c>
      <c r="Q548" s="0" t="str">
        <f aca="false">IF(O548="","",IF(O548&gt;240,"Y","N"))</f>
        <v>N</v>
      </c>
    </row>
    <row r="549" customFormat="false" ht="15" hidden="false" customHeight="false" outlineLevel="0" collapsed="false">
      <c r="A549" s="0" t="s">
        <v>5524</v>
      </c>
      <c r="B549" s="0" t="s">
        <v>4511</v>
      </c>
      <c r="C549" s="0" t="s">
        <v>1393</v>
      </c>
      <c r="D549" s="31" t="n">
        <v>16853</v>
      </c>
      <c r="E549" s="31" t="n">
        <v>45708</v>
      </c>
      <c r="F549" s="32" t="s">
        <v>5525</v>
      </c>
      <c r="G549" s="0" t="n">
        <v>1</v>
      </c>
      <c r="H549" s="32" t="s">
        <v>4785</v>
      </c>
      <c r="J549" s="32" t="s">
        <v>3749</v>
      </c>
      <c r="M549" s="32" t="s">
        <v>4037</v>
      </c>
      <c r="N549" s="32" t="s">
        <v>3751</v>
      </c>
      <c r="O549" s="0" t="str">
        <f aca="false">IF(I549="","",ROUND(MOD(TIMEVALUE(I549)-TIMEVALUE(F549),1)*1440,0))</f>
        <v/>
      </c>
      <c r="P549" s="0" t="str">
        <f aca="false">IF(COUNTIF($A$2:A549,A549)&gt;1,"DUP","")</f>
        <v/>
      </c>
      <c r="Q549" s="0" t="str">
        <f aca="false">IF(O549="","",IF(O549&gt;240,"Y","N"))</f>
        <v/>
      </c>
    </row>
    <row r="550" customFormat="false" ht="15" hidden="false" customHeight="false" outlineLevel="0" collapsed="false">
      <c r="A550" s="0" t="s">
        <v>5526</v>
      </c>
      <c r="B550" s="0" t="s">
        <v>4724</v>
      </c>
      <c r="C550" s="0" t="s">
        <v>817</v>
      </c>
      <c r="D550" s="31" t="n">
        <v>14064</v>
      </c>
      <c r="E550" s="31" t="n">
        <v>45729</v>
      </c>
      <c r="F550" s="32" t="s">
        <v>5527</v>
      </c>
      <c r="G550" s="0" t="n">
        <v>4</v>
      </c>
      <c r="H550" s="32" t="s">
        <v>5528</v>
      </c>
      <c r="I550" s="32" t="s">
        <v>5529</v>
      </c>
      <c r="J550" s="32" t="s">
        <v>3749</v>
      </c>
      <c r="K550" s="32" t="s">
        <v>2081</v>
      </c>
      <c r="L550" s="0" t="n">
        <v>186</v>
      </c>
      <c r="M550" s="32" t="s">
        <v>3877</v>
      </c>
      <c r="N550" s="32" t="s">
        <v>3751</v>
      </c>
      <c r="O550" s="32" t="n">
        <f aca="false">IF(I550="","",ROUND(MOD(TIMEVALUE(I550)-TIMEVALUE(F550),1)*1440,0))</f>
        <v>186</v>
      </c>
      <c r="P550" s="0" t="str">
        <f aca="false">IF(COUNTIF($A$2:A550,A550)&gt;1,"DUP","")</f>
        <v/>
      </c>
      <c r="Q550" s="0" t="str">
        <f aca="false">IF(O550="","",IF(O550&gt;240,"Y","N"))</f>
        <v>N</v>
      </c>
    </row>
    <row r="551" customFormat="false" ht="15" hidden="false" customHeight="false" outlineLevel="0" collapsed="false">
      <c r="A551" s="0" t="s">
        <v>5530</v>
      </c>
      <c r="B551" s="0" t="s">
        <v>3948</v>
      </c>
      <c r="C551" s="0" t="s">
        <v>1398</v>
      </c>
      <c r="D551" s="31" t="n">
        <v>23905</v>
      </c>
      <c r="E551" s="31" t="n">
        <v>45576</v>
      </c>
      <c r="F551" s="32" t="s">
        <v>5090</v>
      </c>
      <c r="G551" s="0" t="n">
        <v>3</v>
      </c>
      <c r="H551" s="32" t="s">
        <v>5531</v>
      </c>
      <c r="I551" s="32" t="s">
        <v>4385</v>
      </c>
      <c r="J551" s="32" t="s">
        <v>3749</v>
      </c>
      <c r="K551" s="32" t="s">
        <v>2081</v>
      </c>
      <c r="L551" s="0" t="n">
        <v>190</v>
      </c>
      <c r="M551" s="32" t="s">
        <v>4313</v>
      </c>
      <c r="N551" s="32" t="s">
        <v>3751</v>
      </c>
      <c r="O551" s="32" t="n">
        <f aca="false">IF(I551="","",ROUND(MOD(TIMEVALUE(I551)-TIMEVALUE(F551),1)*1440,0))</f>
        <v>190</v>
      </c>
      <c r="P551" s="0" t="str">
        <f aca="false">IF(COUNTIF($A$2:A551,A551)&gt;1,"DUP","")</f>
        <v/>
      </c>
      <c r="Q551" s="0" t="str">
        <f aca="false">IF(O551="","",IF(O551&gt;240,"Y","N"))</f>
        <v>N</v>
      </c>
    </row>
    <row r="552" customFormat="false" ht="15" hidden="false" customHeight="false" outlineLevel="0" collapsed="false">
      <c r="A552" s="0" t="s">
        <v>5532</v>
      </c>
      <c r="B552" s="0" t="s">
        <v>4480</v>
      </c>
      <c r="C552" s="0" t="s">
        <v>801</v>
      </c>
      <c r="D552" s="31" t="n">
        <v>16434</v>
      </c>
      <c r="E552" s="31" t="n">
        <v>45638</v>
      </c>
      <c r="F552" s="32" t="s">
        <v>5533</v>
      </c>
      <c r="G552" s="0" t="n">
        <v>4</v>
      </c>
      <c r="H552" s="32" t="s">
        <v>4464</v>
      </c>
      <c r="I552" s="32" t="s">
        <v>5534</v>
      </c>
      <c r="J552" s="32" t="s">
        <v>3749</v>
      </c>
      <c r="K552" s="32" t="s">
        <v>2081</v>
      </c>
      <c r="L552" s="0" t="n">
        <v>47</v>
      </c>
      <c r="M552" s="32" t="s">
        <v>3946</v>
      </c>
      <c r="N552" s="32" t="s">
        <v>3751</v>
      </c>
      <c r="O552" s="32" t="n">
        <f aca="false">IF(I552="","",ROUND(MOD(TIMEVALUE(I552)-TIMEVALUE(F552),1)*1440,0))</f>
        <v>47</v>
      </c>
      <c r="P552" s="0" t="str">
        <f aca="false">IF(COUNTIF($A$2:A552,A552)&gt;1,"DUP","")</f>
        <v/>
      </c>
      <c r="Q552" s="0" t="str">
        <f aca="false">IF(O552="","",IF(O552&gt;240,"Y","N"))</f>
        <v>N</v>
      </c>
    </row>
    <row r="553" customFormat="false" ht="15" hidden="false" customHeight="false" outlineLevel="0" collapsed="false">
      <c r="A553" s="0" t="s">
        <v>5535</v>
      </c>
      <c r="C553" s="0" t="s">
        <v>1402</v>
      </c>
      <c r="D553" s="31" t="n">
        <v>32454</v>
      </c>
      <c r="E553" s="31" t="n">
        <v>45678</v>
      </c>
      <c r="F553" s="32" t="s">
        <v>3890</v>
      </c>
      <c r="G553" s="0" t="n">
        <v>2</v>
      </c>
      <c r="H553" s="32" t="s">
        <v>4867</v>
      </c>
      <c r="I553" s="32" t="s">
        <v>4339</v>
      </c>
      <c r="J553" s="32" t="s">
        <v>3749</v>
      </c>
      <c r="K553" s="32" t="s">
        <v>2081</v>
      </c>
      <c r="L553" s="0" t="n">
        <v>194</v>
      </c>
      <c r="M553" s="32" t="s">
        <v>3952</v>
      </c>
      <c r="N553" s="32" t="s">
        <v>3751</v>
      </c>
      <c r="O553" s="32" t="n">
        <f aca="false">IF(I553="","",ROUND(MOD(TIMEVALUE(I553)-TIMEVALUE(F553),1)*1440,0))</f>
        <v>194</v>
      </c>
      <c r="P553" s="0" t="str">
        <f aca="false">IF(COUNTIF($A$2:A553,A553)&gt;1,"DUP","")</f>
        <v/>
      </c>
      <c r="Q553" s="0" t="str">
        <f aca="false">IF(O553="","",IF(O553&gt;240,"Y","N"))</f>
        <v>N</v>
      </c>
    </row>
    <row r="554" customFormat="false" ht="15" hidden="false" customHeight="false" outlineLevel="0" collapsed="false">
      <c r="A554" s="0" t="s">
        <v>5536</v>
      </c>
      <c r="B554" s="0" t="s">
        <v>3759</v>
      </c>
      <c r="C554" s="0" t="s">
        <v>1005</v>
      </c>
      <c r="D554" s="31" t="n">
        <v>29134</v>
      </c>
      <c r="E554" s="31" t="n">
        <v>45683</v>
      </c>
      <c r="F554" s="32" t="s">
        <v>5193</v>
      </c>
      <c r="G554" s="0" t="n">
        <v>3</v>
      </c>
      <c r="H554" s="32" t="s">
        <v>5268</v>
      </c>
      <c r="I554" s="32" t="s">
        <v>5281</v>
      </c>
      <c r="J554" s="32" t="s">
        <v>3749</v>
      </c>
      <c r="K554" s="32" t="s">
        <v>2081</v>
      </c>
      <c r="L554" s="0" t="n">
        <v>194</v>
      </c>
      <c r="M554" s="32" t="s">
        <v>4582</v>
      </c>
      <c r="N554" s="32" t="s">
        <v>3751</v>
      </c>
      <c r="O554" s="32" t="n">
        <f aca="false">IF(I554="","",ROUND(MOD(TIMEVALUE(I554)-TIMEVALUE(F554),1)*1440,0))</f>
        <v>194</v>
      </c>
      <c r="P554" s="0" t="str">
        <f aca="false">IF(COUNTIF($A$2:A554,A554)&gt;1,"DUP","")</f>
        <v/>
      </c>
      <c r="Q554" s="0" t="str">
        <f aca="false">IF(O554="","",IF(O554&gt;240,"Y","N"))</f>
        <v>N</v>
      </c>
    </row>
    <row r="555" customFormat="false" ht="15" hidden="false" customHeight="false" outlineLevel="0" collapsed="false">
      <c r="A555" s="0" t="s">
        <v>5537</v>
      </c>
      <c r="B555" s="0" t="s">
        <v>4934</v>
      </c>
      <c r="C555" s="0" t="s">
        <v>922</v>
      </c>
      <c r="D555" s="31" t="n">
        <v>26637</v>
      </c>
      <c r="E555" s="31" t="n">
        <v>45690</v>
      </c>
      <c r="F555" s="32" t="s">
        <v>5538</v>
      </c>
      <c r="G555" s="0" t="n">
        <v>4</v>
      </c>
      <c r="H555" s="32" t="s">
        <v>3760</v>
      </c>
      <c r="I555" s="32" t="s">
        <v>5539</v>
      </c>
      <c r="J555" s="32" t="s">
        <v>3793</v>
      </c>
      <c r="K555" s="32" t="s">
        <v>2106</v>
      </c>
      <c r="L555" s="0" t="n">
        <v>393</v>
      </c>
      <c r="M555" s="32" t="s">
        <v>3975</v>
      </c>
      <c r="N555" s="32" t="s">
        <v>802</v>
      </c>
      <c r="O555" s="32" t="n">
        <f aca="false">IF(I555="","",ROUND(MOD(TIMEVALUE(I555)-TIMEVALUE(F555),1)*1440,0))</f>
        <v>393</v>
      </c>
      <c r="P555" s="0" t="str">
        <f aca="false">IF(COUNTIF($A$2:A555,A555)&gt;1,"DUP","")</f>
        <v/>
      </c>
      <c r="Q555" s="0" t="str">
        <f aca="false">IF(O555="","",IF(O555&gt;240,"Y","N"))</f>
        <v>Y</v>
      </c>
    </row>
    <row r="556" customFormat="false" ht="15" hidden="false" customHeight="false" outlineLevel="0" collapsed="false">
      <c r="A556" s="0" t="s">
        <v>5540</v>
      </c>
      <c r="C556" s="0" t="s">
        <v>954</v>
      </c>
      <c r="D556" s="31" t="n">
        <v>17559</v>
      </c>
      <c r="E556" s="31" t="n">
        <v>45569</v>
      </c>
      <c r="F556" s="32" t="s">
        <v>3906</v>
      </c>
      <c r="G556" s="0" t="n">
        <v>3</v>
      </c>
      <c r="H556" s="32" t="s">
        <v>5541</v>
      </c>
      <c r="I556" s="32" t="s">
        <v>4892</v>
      </c>
      <c r="J556" s="32" t="s">
        <v>3749</v>
      </c>
      <c r="K556" s="32" t="s">
        <v>2081</v>
      </c>
      <c r="L556" s="0" t="n">
        <v>165</v>
      </c>
      <c r="M556" s="32" t="s">
        <v>3946</v>
      </c>
      <c r="N556" s="32" t="s">
        <v>3751</v>
      </c>
      <c r="O556" s="32" t="n">
        <f aca="false">IF(I556="","",ROUND(MOD(TIMEVALUE(I556)-TIMEVALUE(F556),1)*1440,0))</f>
        <v>165</v>
      </c>
      <c r="P556" s="0" t="str">
        <f aca="false">IF(COUNTIF($A$2:A556,A556)&gt;1,"DUP","")</f>
        <v/>
      </c>
      <c r="Q556" s="0" t="str">
        <f aca="false">IF(O556="","",IF(O556&gt;240,"Y","N"))</f>
        <v>N</v>
      </c>
    </row>
    <row r="557" customFormat="false" ht="15" hidden="false" customHeight="false" outlineLevel="0" collapsed="false">
      <c r="A557" s="0" t="s">
        <v>5542</v>
      </c>
      <c r="B557" s="0" t="s">
        <v>4192</v>
      </c>
      <c r="C557" s="0" t="s">
        <v>1017</v>
      </c>
      <c r="D557" s="31" t="n">
        <v>25974</v>
      </c>
      <c r="E557" s="31" t="n">
        <v>45671</v>
      </c>
      <c r="F557" s="32" t="s">
        <v>5543</v>
      </c>
      <c r="G557" s="0" t="n">
        <v>4</v>
      </c>
      <c r="H557" s="32" t="s">
        <v>4757</v>
      </c>
      <c r="I557" s="32" t="s">
        <v>4872</v>
      </c>
      <c r="J557" s="32" t="s">
        <v>3749</v>
      </c>
      <c r="K557" s="32" t="s">
        <v>2106</v>
      </c>
      <c r="L557" s="0" t="n">
        <v>249</v>
      </c>
      <c r="M557" s="32" t="s">
        <v>3993</v>
      </c>
      <c r="N557" s="32" t="s">
        <v>3751</v>
      </c>
      <c r="O557" s="32" t="n">
        <f aca="false">IF(I557="","",ROUND(MOD(TIMEVALUE(I557)-TIMEVALUE(F557),1)*1440,0))</f>
        <v>249</v>
      </c>
      <c r="P557" s="0" t="str">
        <f aca="false">IF(COUNTIF($A$2:A557,A557)&gt;1,"DUP","")</f>
        <v/>
      </c>
      <c r="Q557" s="0" t="str">
        <f aca="false">IF(O557="","",IF(O557&gt;240,"Y","N"))</f>
        <v>Y</v>
      </c>
    </row>
    <row r="558" customFormat="false" ht="15" hidden="false" customHeight="false" outlineLevel="0" collapsed="false">
      <c r="A558" s="0" t="s">
        <v>5544</v>
      </c>
      <c r="B558" s="0" t="s">
        <v>5098</v>
      </c>
      <c r="C558" s="0" t="s">
        <v>1419</v>
      </c>
      <c r="D558" s="31" t="n">
        <v>20131</v>
      </c>
      <c r="E558" s="31" t="n">
        <v>45587</v>
      </c>
      <c r="F558" s="32" t="s">
        <v>5545</v>
      </c>
      <c r="G558" s="0" t="n">
        <v>5</v>
      </c>
      <c r="H558" s="32" t="s">
        <v>5546</v>
      </c>
      <c r="I558" s="32" t="s">
        <v>4791</v>
      </c>
      <c r="J558" s="32" t="s">
        <v>3749</v>
      </c>
      <c r="K558" s="32" t="s">
        <v>2081</v>
      </c>
      <c r="L558" s="0" t="n">
        <v>30</v>
      </c>
      <c r="M558" s="32" t="s">
        <v>4409</v>
      </c>
      <c r="N558" s="32" t="s">
        <v>3751</v>
      </c>
      <c r="O558" s="32" t="n">
        <f aca="false">IF(I558="","",ROUND(MOD(TIMEVALUE(I558)-TIMEVALUE(F558),1)*1440,0))</f>
        <v>30</v>
      </c>
      <c r="P558" s="0" t="str">
        <f aca="false">IF(COUNTIF($A$2:A558,A558)&gt;1,"DUP","")</f>
        <v/>
      </c>
      <c r="Q558" s="0" t="str">
        <f aca="false">IF(O558="","",IF(O558&gt;240,"Y","N"))</f>
        <v>N</v>
      </c>
    </row>
    <row r="559" customFormat="false" ht="15" hidden="false" customHeight="false" outlineLevel="0" collapsed="false">
      <c r="A559" s="0" t="s">
        <v>5547</v>
      </c>
      <c r="C559" s="0" t="s">
        <v>853</v>
      </c>
      <c r="D559" s="31" t="n">
        <v>15390</v>
      </c>
      <c r="E559" s="31" t="n">
        <v>45635</v>
      </c>
      <c r="F559" s="32" t="s">
        <v>5548</v>
      </c>
      <c r="G559" s="0" t="n">
        <v>5</v>
      </c>
      <c r="H559" s="32" t="s">
        <v>5549</v>
      </c>
      <c r="I559" s="32" t="s">
        <v>5550</v>
      </c>
      <c r="J559" s="32" t="s">
        <v>3763</v>
      </c>
      <c r="K559" s="32" t="s">
        <v>2081</v>
      </c>
      <c r="L559" s="0" t="n">
        <v>107</v>
      </c>
      <c r="M559" s="32" t="s">
        <v>3855</v>
      </c>
      <c r="N559" s="32" t="s">
        <v>3751</v>
      </c>
      <c r="O559" s="32" t="n">
        <f aca="false">IF(I559="","",ROUND(MOD(TIMEVALUE(I559)-TIMEVALUE(F559),1)*1440,0))</f>
        <v>107</v>
      </c>
      <c r="P559" s="0" t="str">
        <f aca="false">IF(COUNTIF($A$2:A559,A559)&gt;1,"DUP","")</f>
        <v/>
      </c>
      <c r="Q559" s="0" t="str">
        <f aca="false">IF(O559="","",IF(O559&gt;240,"Y","N"))</f>
        <v>N</v>
      </c>
    </row>
    <row r="560" customFormat="false" ht="15" hidden="false" customHeight="false" outlineLevel="0" collapsed="false">
      <c r="A560" s="0" t="s">
        <v>5551</v>
      </c>
      <c r="B560" s="0" t="s">
        <v>5552</v>
      </c>
      <c r="C560" s="0" t="s">
        <v>1009</v>
      </c>
      <c r="D560" s="31" t="n">
        <v>28076</v>
      </c>
      <c r="E560" s="31" t="n">
        <v>45703</v>
      </c>
      <c r="F560" s="32" t="s">
        <v>5553</v>
      </c>
      <c r="G560" s="0" t="n">
        <v>3</v>
      </c>
      <c r="H560" s="32" t="s">
        <v>4307</v>
      </c>
      <c r="I560" s="32" t="s">
        <v>4739</v>
      </c>
      <c r="J560" s="32" t="s">
        <v>3749</v>
      </c>
      <c r="K560" s="32" t="s">
        <v>2106</v>
      </c>
      <c r="L560" s="0" t="n">
        <v>400</v>
      </c>
      <c r="M560" s="32" t="s">
        <v>3827</v>
      </c>
      <c r="N560" s="32" t="s">
        <v>3751</v>
      </c>
      <c r="O560" s="32" t="n">
        <f aca="false">IF(I560="","",ROUND(MOD(TIMEVALUE(I560)-TIMEVALUE(F560),1)*1440,0))</f>
        <v>400</v>
      </c>
      <c r="P560" s="0" t="str">
        <f aca="false">IF(COUNTIF($A$2:A560,A560)&gt;1,"DUP","")</f>
        <v/>
      </c>
      <c r="Q560" s="0" t="str">
        <f aca="false">IF(O560="","",IF(O560&gt;240,"Y","N"))</f>
        <v>Y</v>
      </c>
    </row>
    <row r="561" customFormat="false" ht="15" hidden="false" customHeight="false" outlineLevel="0" collapsed="false">
      <c r="A561" s="0" t="s">
        <v>5554</v>
      </c>
      <c r="B561" s="0" t="s">
        <v>3801</v>
      </c>
      <c r="C561" s="0" t="s">
        <v>878</v>
      </c>
      <c r="D561" s="31" t="n">
        <v>34944</v>
      </c>
      <c r="E561" s="31" t="n">
        <v>45622</v>
      </c>
      <c r="F561" s="32" t="s">
        <v>5555</v>
      </c>
      <c r="G561" s="0" t="n">
        <v>3</v>
      </c>
      <c r="H561" s="32" t="s">
        <v>5556</v>
      </c>
      <c r="I561" s="32" t="s">
        <v>5557</v>
      </c>
      <c r="J561" s="32" t="s">
        <v>2307</v>
      </c>
      <c r="K561" s="32" t="s">
        <v>2081</v>
      </c>
      <c r="L561" s="0" t="n">
        <v>55</v>
      </c>
      <c r="M561" s="32" t="s">
        <v>4060</v>
      </c>
      <c r="N561" s="32" t="s">
        <v>3751</v>
      </c>
      <c r="O561" s="32" t="n">
        <f aca="false">IF(I561="","",ROUND(MOD(TIMEVALUE(I561)-TIMEVALUE(F561),1)*1440,0))</f>
        <v>55</v>
      </c>
      <c r="P561" s="0" t="str">
        <f aca="false">IF(COUNTIF($A$2:A561,A561)&gt;1,"DUP","")</f>
        <v/>
      </c>
      <c r="Q561" s="0" t="str">
        <f aca="false">IF(O561="","",IF(O561&gt;240,"Y","N"))</f>
        <v>N</v>
      </c>
    </row>
    <row r="562" customFormat="false" ht="15" hidden="false" customHeight="false" outlineLevel="0" collapsed="false">
      <c r="A562" s="0" t="s">
        <v>5558</v>
      </c>
      <c r="B562" s="0" t="s">
        <v>5559</v>
      </c>
      <c r="C562" s="0" t="s">
        <v>817</v>
      </c>
      <c r="D562" s="31" t="n">
        <v>16717</v>
      </c>
      <c r="E562" s="31" t="n">
        <v>45578</v>
      </c>
      <c r="F562" s="32" t="s">
        <v>5096</v>
      </c>
      <c r="G562" s="0" t="n">
        <v>4</v>
      </c>
      <c r="H562" s="32" t="s">
        <v>4994</v>
      </c>
      <c r="I562" s="32" t="s">
        <v>5560</v>
      </c>
      <c r="J562" s="32" t="s">
        <v>3749</v>
      </c>
      <c r="K562" s="32" t="s">
        <v>2081</v>
      </c>
      <c r="L562" s="0" t="n">
        <v>185</v>
      </c>
      <c r="M562" s="32" t="s">
        <v>3799</v>
      </c>
      <c r="N562" s="32" t="s">
        <v>3751</v>
      </c>
      <c r="O562" s="32" t="n">
        <f aca="false">IF(I562="","",ROUND(MOD(TIMEVALUE(I562)-TIMEVALUE(F562),1)*1440,0))</f>
        <v>185</v>
      </c>
      <c r="P562" s="0" t="str">
        <f aca="false">IF(COUNTIF($A$2:A562,A562)&gt;1,"DUP","")</f>
        <v/>
      </c>
      <c r="Q562" s="0" t="str">
        <f aca="false">IF(O562="","",IF(O562&gt;240,"Y","N"))</f>
        <v>N</v>
      </c>
    </row>
    <row r="563" customFormat="false" ht="15" hidden="false" customHeight="false" outlineLevel="0" collapsed="false">
      <c r="A563" s="0" t="s">
        <v>5561</v>
      </c>
      <c r="B563" s="0" t="s">
        <v>3995</v>
      </c>
      <c r="C563" s="0" t="s">
        <v>1021</v>
      </c>
      <c r="D563" s="31" t="n">
        <v>20813</v>
      </c>
      <c r="E563" s="31" t="n">
        <v>45703</v>
      </c>
      <c r="F563" s="32" t="s">
        <v>3775</v>
      </c>
      <c r="G563" s="0" t="n">
        <v>3</v>
      </c>
      <c r="H563" s="32" t="s">
        <v>3830</v>
      </c>
      <c r="I563" s="32" t="s">
        <v>5562</v>
      </c>
      <c r="J563" s="32" t="s">
        <v>3793</v>
      </c>
      <c r="K563" s="32" t="s">
        <v>2081</v>
      </c>
      <c r="L563" s="0" t="n">
        <v>214</v>
      </c>
      <c r="M563" s="32" t="s">
        <v>4219</v>
      </c>
      <c r="N563" s="32" t="s">
        <v>818</v>
      </c>
      <c r="O563" s="32" t="n">
        <f aca="false">IF(I563="","",ROUND(MOD(TIMEVALUE(I563)-TIMEVALUE(F563),1)*1440,0))</f>
        <v>214</v>
      </c>
      <c r="P563" s="0" t="str">
        <f aca="false">IF(COUNTIF($A$2:A563,A563)&gt;1,"DUP","")</f>
        <v/>
      </c>
      <c r="Q563" s="0" t="str">
        <f aca="false">IF(O563="","",IF(O563&gt;240,"Y","N"))</f>
        <v>N</v>
      </c>
    </row>
    <row r="564" customFormat="false" ht="15" hidden="false" customHeight="false" outlineLevel="0" collapsed="false">
      <c r="A564" s="0" t="s">
        <v>5563</v>
      </c>
      <c r="B564" s="0" t="s">
        <v>5564</v>
      </c>
      <c r="C564" s="0" t="s">
        <v>918</v>
      </c>
      <c r="D564" s="31" t="n">
        <v>36417</v>
      </c>
      <c r="E564" s="31" t="n">
        <v>45571</v>
      </c>
      <c r="F564" s="32" t="s">
        <v>4594</v>
      </c>
      <c r="G564" s="0" t="n">
        <v>4</v>
      </c>
      <c r="H564" s="32" t="s">
        <v>5565</v>
      </c>
      <c r="I564" s="32" t="s">
        <v>5520</v>
      </c>
      <c r="J564" s="32" t="s">
        <v>3763</v>
      </c>
      <c r="K564" s="32" t="s">
        <v>2081</v>
      </c>
      <c r="L564" s="0" t="n">
        <v>141</v>
      </c>
      <c r="M564" s="32" t="s">
        <v>3821</v>
      </c>
      <c r="N564" s="32" t="s">
        <v>3751</v>
      </c>
      <c r="O564" s="32" t="n">
        <f aca="false">IF(I564="","",ROUND(MOD(TIMEVALUE(I564)-TIMEVALUE(F564),1)*1440,0))</f>
        <v>141</v>
      </c>
      <c r="P564" s="0" t="str">
        <f aca="false">IF(COUNTIF($A$2:A564,A564)&gt;1,"DUP","")</f>
        <v/>
      </c>
      <c r="Q564" s="0" t="str">
        <f aca="false">IF(O564="","",IF(O564&gt;240,"Y","N"))</f>
        <v>N</v>
      </c>
    </row>
    <row r="565" customFormat="false" ht="15" hidden="false" customHeight="false" outlineLevel="0" collapsed="false">
      <c r="A565" s="0" t="s">
        <v>5566</v>
      </c>
      <c r="B565" s="0" t="s">
        <v>4327</v>
      </c>
      <c r="C565" s="0" t="s">
        <v>970</v>
      </c>
      <c r="D565" s="31" t="n">
        <v>17239</v>
      </c>
      <c r="E565" s="31" t="n">
        <v>45668</v>
      </c>
      <c r="F565" s="32" t="s">
        <v>4241</v>
      </c>
      <c r="G565" s="0" t="n">
        <v>3</v>
      </c>
      <c r="H565" s="32" t="s">
        <v>5331</v>
      </c>
      <c r="I565" s="32" t="s">
        <v>5567</v>
      </c>
      <c r="J565" s="32" t="s">
        <v>3793</v>
      </c>
      <c r="K565" s="32" t="s">
        <v>2081</v>
      </c>
      <c r="L565" s="0" t="n">
        <v>45</v>
      </c>
      <c r="M565" s="32" t="s">
        <v>3757</v>
      </c>
      <c r="N565" s="32" t="s">
        <v>802</v>
      </c>
      <c r="O565" s="32" t="n">
        <f aca="false">IF(I565="","",ROUND(MOD(TIMEVALUE(I565)-TIMEVALUE(F565),1)*1440,0))</f>
        <v>45</v>
      </c>
      <c r="P565" s="0" t="str">
        <f aca="false">IF(COUNTIF($A$2:A565,A565)&gt;1,"DUP","")</f>
        <v/>
      </c>
      <c r="Q565" s="0" t="str">
        <f aca="false">IF(O565="","",IF(O565&gt;240,"Y","N"))</f>
        <v>N</v>
      </c>
    </row>
    <row r="566" customFormat="false" ht="15" hidden="false" customHeight="false" outlineLevel="0" collapsed="false">
      <c r="A566" s="0" t="s">
        <v>5568</v>
      </c>
      <c r="C566" s="0" t="s">
        <v>930</v>
      </c>
      <c r="D566" s="31" t="n">
        <v>18766</v>
      </c>
      <c r="E566" s="31" t="n">
        <v>45613</v>
      </c>
      <c r="F566" s="32" t="s">
        <v>5569</v>
      </c>
      <c r="G566" s="0" t="n">
        <v>6</v>
      </c>
      <c r="H566" s="32" t="s">
        <v>5570</v>
      </c>
      <c r="I566" s="32" t="s">
        <v>5571</v>
      </c>
      <c r="J566" s="32" t="s">
        <v>3749</v>
      </c>
      <c r="K566" s="32" t="s">
        <v>2106</v>
      </c>
      <c r="L566" s="0" t="n">
        <v>520</v>
      </c>
      <c r="M566" s="32" t="s">
        <v>3887</v>
      </c>
      <c r="N566" s="32" t="s">
        <v>3751</v>
      </c>
      <c r="O566" s="32" t="n">
        <f aca="false">IF(I566="","",ROUND(MOD(TIMEVALUE(I566)-TIMEVALUE(F566),1)*1440,0))</f>
        <v>520</v>
      </c>
      <c r="P566" s="0" t="str">
        <f aca="false">IF(COUNTIF($A$2:A566,A566)&gt;1,"DUP","")</f>
        <v/>
      </c>
      <c r="Q566" s="0" t="str">
        <f aca="false">IF(O566="","",IF(O566&gt;240,"Y","N"))</f>
        <v>Y</v>
      </c>
    </row>
    <row r="567" customFormat="false" ht="15" hidden="false" customHeight="false" outlineLevel="0" collapsed="false">
      <c r="A567" s="0" t="s">
        <v>5572</v>
      </c>
      <c r="B567" s="0" t="s">
        <v>4418</v>
      </c>
      <c r="C567" s="0" t="s">
        <v>862</v>
      </c>
      <c r="D567" s="31" t="n">
        <v>20405</v>
      </c>
      <c r="E567" s="31" t="n">
        <v>45706</v>
      </c>
      <c r="F567" s="32" t="s">
        <v>5573</v>
      </c>
      <c r="G567" s="0" t="n">
        <v>5</v>
      </c>
      <c r="H567" s="32" t="s">
        <v>5451</v>
      </c>
      <c r="I567" s="32" t="s">
        <v>5055</v>
      </c>
      <c r="J567" s="32" t="s">
        <v>2307</v>
      </c>
      <c r="K567" s="32" t="s">
        <v>2106</v>
      </c>
      <c r="L567" s="0" t="n">
        <v>314</v>
      </c>
      <c r="M567" s="32" t="s">
        <v>4114</v>
      </c>
      <c r="N567" s="32" t="s">
        <v>3751</v>
      </c>
      <c r="O567" s="32" t="n">
        <f aca="false">IF(I567="","",ROUND(MOD(TIMEVALUE(I567)-TIMEVALUE(F567),1)*1440,0))</f>
        <v>314</v>
      </c>
      <c r="P567" s="0" t="str">
        <f aca="false">IF(COUNTIF($A$2:A567,A567)&gt;1,"DUP","")</f>
        <v/>
      </c>
      <c r="Q567" s="0" t="str">
        <f aca="false">IF(O567="","",IF(O567&gt;240,"Y","N"))</f>
        <v>Y</v>
      </c>
    </row>
    <row r="568" customFormat="false" ht="15" hidden="false" customHeight="false" outlineLevel="0" collapsed="false">
      <c r="A568" s="0" t="s">
        <v>5574</v>
      </c>
      <c r="B568" s="0" t="s">
        <v>5575</v>
      </c>
      <c r="C568" s="0" t="s">
        <v>985</v>
      </c>
      <c r="D568" s="31" t="n">
        <v>35749</v>
      </c>
      <c r="E568" s="31" t="n">
        <v>45581</v>
      </c>
      <c r="F568" s="32" t="s">
        <v>5576</v>
      </c>
      <c r="G568" s="0" t="n">
        <v>1</v>
      </c>
      <c r="H568" s="32" t="s">
        <v>5003</v>
      </c>
      <c r="I568" s="32" t="s">
        <v>3863</v>
      </c>
      <c r="J568" s="32" t="s">
        <v>2307</v>
      </c>
      <c r="K568" s="32" t="s">
        <v>2081</v>
      </c>
      <c r="L568" s="0" t="n">
        <v>80</v>
      </c>
      <c r="M568" s="32" t="s">
        <v>4409</v>
      </c>
      <c r="N568" s="32" t="s">
        <v>3751</v>
      </c>
      <c r="O568" s="32" t="n">
        <f aca="false">IF(I568="","",ROUND(MOD(TIMEVALUE(I568)-TIMEVALUE(F568),1)*1440,0))</f>
        <v>80</v>
      </c>
      <c r="P568" s="0" t="str">
        <f aca="false">IF(COUNTIF($A$2:A568,A568)&gt;1,"DUP","")</f>
        <v/>
      </c>
      <c r="Q568" s="0" t="str">
        <f aca="false">IF(O568="","",IF(O568&gt;240,"Y","N"))</f>
        <v>N</v>
      </c>
    </row>
    <row r="569" customFormat="false" ht="15" hidden="false" customHeight="false" outlineLevel="0" collapsed="false">
      <c r="A569" s="0" t="s">
        <v>5577</v>
      </c>
      <c r="B569" s="0" t="s">
        <v>4310</v>
      </c>
      <c r="C569" s="0" t="s">
        <v>1005</v>
      </c>
      <c r="D569" s="31" t="n">
        <v>31910</v>
      </c>
      <c r="E569" s="31" t="n">
        <v>45644</v>
      </c>
      <c r="F569" s="32" t="s">
        <v>4828</v>
      </c>
      <c r="G569" s="0" t="n">
        <v>3</v>
      </c>
      <c r="H569" s="32" t="s">
        <v>5578</v>
      </c>
      <c r="J569" s="32" t="s">
        <v>3763</v>
      </c>
      <c r="M569" s="32" t="s">
        <v>3757</v>
      </c>
      <c r="N569" s="32" t="s">
        <v>3751</v>
      </c>
      <c r="O569" s="0" t="str">
        <f aca="false">IF(I569="","",ROUND(MOD(TIMEVALUE(I569)-TIMEVALUE(F569),1)*1440,0))</f>
        <v/>
      </c>
      <c r="P569" s="0" t="str">
        <f aca="false">IF(COUNTIF($A$2:A569,A569)&gt;1,"DUP","")</f>
        <v/>
      </c>
      <c r="Q569" s="0" t="str">
        <f aca="false">IF(O569="","",IF(O569&gt;240,"Y","N"))</f>
        <v/>
      </c>
    </row>
    <row r="570" customFormat="false" ht="15" hidden="false" customHeight="false" outlineLevel="0" collapsed="false">
      <c r="A570" s="0" t="s">
        <v>5579</v>
      </c>
      <c r="B570" s="0" t="s">
        <v>5262</v>
      </c>
      <c r="C570" s="0" t="s">
        <v>792</v>
      </c>
      <c r="D570" s="31" t="n">
        <v>34260</v>
      </c>
      <c r="E570" s="31" t="n">
        <v>45611</v>
      </c>
      <c r="F570" s="32" t="s">
        <v>5580</v>
      </c>
      <c r="G570" s="0" t="n">
        <v>1</v>
      </c>
      <c r="H570" s="32" t="s">
        <v>4163</v>
      </c>
      <c r="I570" s="32" t="s">
        <v>4324</v>
      </c>
      <c r="J570" s="32" t="s">
        <v>2307</v>
      </c>
      <c r="K570" s="32" t="s">
        <v>2106</v>
      </c>
      <c r="L570" s="0" t="n">
        <v>323</v>
      </c>
      <c r="M570" s="32" t="s">
        <v>3887</v>
      </c>
      <c r="N570" s="32" t="s">
        <v>3751</v>
      </c>
      <c r="O570" s="32" t="n">
        <f aca="false">IF(I570="","",ROUND(MOD(TIMEVALUE(I570)-TIMEVALUE(F570),1)*1440,0))</f>
        <v>323</v>
      </c>
      <c r="P570" s="0" t="str">
        <f aca="false">IF(COUNTIF($A$2:A570,A570)&gt;1,"DUP","")</f>
        <v/>
      </c>
      <c r="Q570" s="0" t="str">
        <f aca="false">IF(O570="","",IF(O570&gt;240,"Y","N"))</f>
        <v>Y</v>
      </c>
    </row>
    <row r="571" customFormat="false" ht="15" hidden="false" customHeight="false" outlineLevel="0" collapsed="false">
      <c r="A571" s="0" t="s">
        <v>5581</v>
      </c>
      <c r="B571" s="0" t="s">
        <v>3989</v>
      </c>
      <c r="C571" s="0" t="s">
        <v>902</v>
      </c>
      <c r="D571" s="31" t="n">
        <v>22932</v>
      </c>
      <c r="E571" s="31" t="n">
        <v>45723</v>
      </c>
      <c r="F571" s="32" t="s">
        <v>5289</v>
      </c>
      <c r="G571" s="0" t="n">
        <v>3</v>
      </c>
      <c r="H571" s="32" t="s">
        <v>4385</v>
      </c>
      <c r="I571" s="32" t="s">
        <v>4363</v>
      </c>
      <c r="J571" s="32" t="s">
        <v>3749</v>
      </c>
      <c r="K571" s="32" t="s">
        <v>2081</v>
      </c>
      <c r="L571" s="0" t="n">
        <v>40</v>
      </c>
      <c r="M571" s="32" t="s">
        <v>4781</v>
      </c>
      <c r="N571" s="32" t="s">
        <v>3751</v>
      </c>
      <c r="O571" s="32" t="n">
        <f aca="false">IF(I571="","",ROUND(MOD(TIMEVALUE(I571)-TIMEVALUE(F571),1)*1440,0))</f>
        <v>40</v>
      </c>
      <c r="P571" s="0" t="str">
        <f aca="false">IF(COUNTIF($A$2:A571,A571)&gt;1,"DUP","")</f>
        <v/>
      </c>
      <c r="Q571" s="0" t="str">
        <f aca="false">IF(O571="","",IF(O571&gt;240,"Y","N"))</f>
        <v>N</v>
      </c>
    </row>
    <row r="572" customFormat="false" ht="15" hidden="false" customHeight="false" outlineLevel="0" collapsed="false">
      <c r="A572" s="0" t="s">
        <v>5582</v>
      </c>
      <c r="B572" s="0" t="s">
        <v>4365</v>
      </c>
      <c r="C572" s="0" t="s">
        <v>926</v>
      </c>
      <c r="D572" s="31" t="n">
        <v>24589</v>
      </c>
      <c r="E572" s="31" t="n">
        <v>45632</v>
      </c>
      <c r="F572" s="32" t="s">
        <v>5583</v>
      </c>
      <c r="G572" s="0" t="n">
        <v>4</v>
      </c>
      <c r="H572" s="32" t="s">
        <v>5357</v>
      </c>
      <c r="I572" s="32" t="s">
        <v>4077</v>
      </c>
      <c r="J572" s="32" t="s">
        <v>3749</v>
      </c>
      <c r="K572" s="32" t="s">
        <v>2081</v>
      </c>
      <c r="L572" s="0" t="n">
        <v>178</v>
      </c>
      <c r="M572" s="32" t="s">
        <v>4313</v>
      </c>
      <c r="N572" s="32" t="s">
        <v>3751</v>
      </c>
      <c r="O572" s="32" t="n">
        <f aca="false">IF(I572="","",ROUND(MOD(TIMEVALUE(I572)-TIMEVALUE(F572),1)*1440,0))</f>
        <v>178</v>
      </c>
      <c r="P572" s="0" t="str">
        <f aca="false">IF(COUNTIF($A$2:A572,A572)&gt;1,"DUP","")</f>
        <v/>
      </c>
      <c r="Q572" s="0" t="str">
        <f aca="false">IF(O572="","",IF(O572&gt;240,"Y","N"))</f>
        <v>N</v>
      </c>
    </row>
    <row r="573" customFormat="false" ht="15" hidden="false" customHeight="false" outlineLevel="0" collapsed="false">
      <c r="A573" s="0" t="s">
        <v>5584</v>
      </c>
      <c r="B573" s="0" t="s">
        <v>3981</v>
      </c>
      <c r="C573" s="0" t="s">
        <v>1402</v>
      </c>
      <c r="D573" s="31" t="n">
        <v>30540</v>
      </c>
      <c r="E573" s="31" t="n">
        <v>45704</v>
      </c>
      <c r="F573" s="32" t="s">
        <v>5122</v>
      </c>
      <c r="G573" s="0" t="n">
        <v>4</v>
      </c>
      <c r="H573" s="32" t="s">
        <v>5585</v>
      </c>
      <c r="I573" s="32" t="s">
        <v>4028</v>
      </c>
      <c r="J573" s="32" t="s">
        <v>3749</v>
      </c>
      <c r="K573" s="32" t="s">
        <v>2081</v>
      </c>
      <c r="L573" s="0" t="n">
        <v>48</v>
      </c>
      <c r="M573" s="32" t="s">
        <v>3866</v>
      </c>
      <c r="N573" s="32" t="s">
        <v>3751</v>
      </c>
      <c r="O573" s="32" t="n">
        <f aca="false">IF(I573="","",ROUND(MOD(TIMEVALUE(I573)-TIMEVALUE(F573),1)*1440,0))</f>
        <v>48</v>
      </c>
      <c r="P573" s="0" t="str">
        <f aca="false">IF(COUNTIF($A$2:A573,A573)&gt;1,"DUP","")</f>
        <v/>
      </c>
      <c r="Q573" s="0" t="str">
        <f aca="false">IF(O573="","",IF(O573&gt;240,"Y","N"))</f>
        <v>N</v>
      </c>
    </row>
    <row r="574" customFormat="false" ht="15" hidden="false" customHeight="false" outlineLevel="0" collapsed="false">
      <c r="A574" s="0" t="s">
        <v>5586</v>
      </c>
      <c r="B574" s="0" t="s">
        <v>4809</v>
      </c>
      <c r="C574" s="0" t="s">
        <v>1390</v>
      </c>
      <c r="D574" s="31" t="n">
        <v>16935</v>
      </c>
      <c r="E574" s="31" t="n">
        <v>45624</v>
      </c>
      <c r="F574" s="32" t="s">
        <v>4937</v>
      </c>
      <c r="G574" s="0" t="n">
        <v>4</v>
      </c>
      <c r="H574" s="32" t="s">
        <v>4226</v>
      </c>
      <c r="I574" s="32" t="s">
        <v>5347</v>
      </c>
      <c r="J574" s="32" t="s">
        <v>2307</v>
      </c>
      <c r="K574" s="32" t="s">
        <v>2106</v>
      </c>
      <c r="L574" s="0" t="n">
        <v>574</v>
      </c>
      <c r="M574" s="32" t="s">
        <v>4149</v>
      </c>
      <c r="N574" s="32" t="s">
        <v>3751</v>
      </c>
      <c r="O574" s="32" t="n">
        <f aca="false">IF(I574="","",ROUND(MOD(TIMEVALUE(I574)-TIMEVALUE(F574),1)*1440,0))</f>
        <v>574</v>
      </c>
      <c r="P574" s="0" t="str">
        <f aca="false">IF(COUNTIF($A$2:A574,A574)&gt;1,"DUP","")</f>
        <v/>
      </c>
      <c r="Q574" s="0" t="str">
        <f aca="false">IF(O574="","",IF(O574&gt;240,"Y","N"))</f>
        <v>Y</v>
      </c>
    </row>
    <row r="575" customFormat="false" ht="15" hidden="false" customHeight="false" outlineLevel="0" collapsed="false">
      <c r="A575" s="0" t="s">
        <v>5587</v>
      </c>
      <c r="B575" s="0" t="s">
        <v>4291</v>
      </c>
      <c r="C575" s="0" t="s">
        <v>746</v>
      </c>
      <c r="D575" s="31" t="n">
        <v>38249</v>
      </c>
      <c r="E575" s="31" t="n">
        <v>45570</v>
      </c>
      <c r="F575" s="32" t="s">
        <v>5209</v>
      </c>
      <c r="G575" s="0" t="n">
        <v>3</v>
      </c>
      <c r="H575" s="32" t="s">
        <v>5588</v>
      </c>
      <c r="I575" s="32" t="s">
        <v>4010</v>
      </c>
      <c r="J575" s="32" t="s">
        <v>3749</v>
      </c>
      <c r="K575" s="32" t="s">
        <v>2081</v>
      </c>
      <c r="L575" s="0" t="n">
        <v>159</v>
      </c>
      <c r="M575" s="32" t="s">
        <v>3952</v>
      </c>
      <c r="N575" s="32" t="s">
        <v>3751</v>
      </c>
      <c r="O575" s="32" t="n">
        <f aca="false">IF(I575="","",ROUND(MOD(TIMEVALUE(I575)-TIMEVALUE(F575),1)*1440,0))</f>
        <v>159</v>
      </c>
      <c r="P575" s="0" t="str">
        <f aca="false">IF(COUNTIF($A$2:A575,A575)&gt;1,"DUP","")</f>
        <v/>
      </c>
      <c r="Q575" s="0" t="str">
        <f aca="false">IF(O575="","",IF(O575&gt;240,"Y","N"))</f>
        <v>N</v>
      </c>
    </row>
    <row r="576" customFormat="false" ht="15" hidden="false" customHeight="false" outlineLevel="0" collapsed="false">
      <c r="A576" s="0" t="s">
        <v>5589</v>
      </c>
      <c r="B576" s="0" t="s">
        <v>4273</v>
      </c>
      <c r="C576" s="0" t="s">
        <v>922</v>
      </c>
      <c r="D576" s="31" t="n">
        <v>27532</v>
      </c>
      <c r="E576" s="31" t="n">
        <v>45679</v>
      </c>
      <c r="F576" s="32" t="s">
        <v>5415</v>
      </c>
      <c r="G576" s="0" t="n">
        <v>3</v>
      </c>
      <c r="H576" s="32" t="s">
        <v>5460</v>
      </c>
      <c r="I576" s="32" t="s">
        <v>4261</v>
      </c>
      <c r="J576" s="32" t="s">
        <v>7</v>
      </c>
      <c r="K576" s="32" t="s">
        <v>2106</v>
      </c>
      <c r="L576" s="0" t="n">
        <v>416</v>
      </c>
      <c r="M576" s="32" t="s">
        <v>3782</v>
      </c>
      <c r="N576" s="32" t="s">
        <v>1455</v>
      </c>
      <c r="O576" s="32" t="n">
        <f aca="false">IF(I576="","",ROUND(MOD(TIMEVALUE(I576)-TIMEVALUE(F576),1)*1440,0))</f>
        <v>416</v>
      </c>
      <c r="P576" s="0" t="str">
        <f aca="false">IF(COUNTIF($A$2:A576,A576)&gt;1,"DUP","")</f>
        <v/>
      </c>
      <c r="Q576" s="0" t="str">
        <f aca="false">IF(O576="","",IF(O576&gt;240,"Y","N"))</f>
        <v>Y</v>
      </c>
    </row>
    <row r="577" customFormat="false" ht="15" hidden="false" customHeight="false" outlineLevel="0" collapsed="false">
      <c r="A577" s="0" t="s">
        <v>5590</v>
      </c>
      <c r="B577" s="0" t="s">
        <v>3912</v>
      </c>
      <c r="C577" s="0" t="s">
        <v>2225</v>
      </c>
      <c r="D577" s="31" t="n">
        <v>19368</v>
      </c>
      <c r="E577" s="31" t="n">
        <v>45658</v>
      </c>
      <c r="F577" s="32" t="s">
        <v>4863</v>
      </c>
      <c r="G577" s="0" t="n">
        <v>4</v>
      </c>
      <c r="H577" s="32" t="s">
        <v>4446</v>
      </c>
      <c r="I577" s="32" t="s">
        <v>4885</v>
      </c>
      <c r="J577" s="32" t="s">
        <v>2307</v>
      </c>
      <c r="K577" s="32" t="s">
        <v>2081</v>
      </c>
      <c r="L577" s="0" t="n">
        <v>183</v>
      </c>
      <c r="M577" s="32" t="s">
        <v>3925</v>
      </c>
      <c r="N577" s="32" t="s">
        <v>3751</v>
      </c>
      <c r="O577" s="32" t="n">
        <f aca="false">IF(I577="","",ROUND(MOD(TIMEVALUE(I577)-TIMEVALUE(F577),1)*1440,0))</f>
        <v>183</v>
      </c>
      <c r="P577" s="0" t="str">
        <f aca="false">IF(COUNTIF($A$2:A577,A577)&gt;1,"DUP","")</f>
        <v/>
      </c>
      <c r="Q577" s="0" t="str">
        <f aca="false">IF(O577="","",IF(O577&gt;240,"Y","N"))</f>
        <v>N</v>
      </c>
    </row>
    <row r="578" customFormat="false" ht="15" hidden="false" customHeight="false" outlineLevel="0" collapsed="false">
      <c r="A578" s="0" t="s">
        <v>5591</v>
      </c>
      <c r="B578" s="0" t="s">
        <v>5592</v>
      </c>
      <c r="C578" s="0" t="s">
        <v>2178</v>
      </c>
      <c r="D578" s="31" t="n">
        <v>31851</v>
      </c>
      <c r="E578" s="31" t="n">
        <v>45623</v>
      </c>
      <c r="F578" s="32" t="s">
        <v>3940</v>
      </c>
      <c r="G578" s="0" t="n">
        <v>6</v>
      </c>
      <c r="H578" s="32" t="s">
        <v>5593</v>
      </c>
      <c r="I578" s="32" t="s">
        <v>3910</v>
      </c>
      <c r="J578" s="32" t="s">
        <v>7</v>
      </c>
      <c r="K578" s="32" t="s">
        <v>2081</v>
      </c>
      <c r="L578" s="0" t="n">
        <v>180</v>
      </c>
      <c r="M578" s="32" t="s">
        <v>3794</v>
      </c>
      <c r="N578" s="32" t="s">
        <v>3751</v>
      </c>
      <c r="O578" s="32" t="n">
        <f aca="false">IF(I578="","",ROUND(MOD(TIMEVALUE(I578)-TIMEVALUE(F578),1)*1440,0))</f>
        <v>180</v>
      </c>
      <c r="P578" s="0" t="str">
        <f aca="false">IF(COUNTIF($A$2:A578,A578)&gt;1,"DUP","")</f>
        <v/>
      </c>
      <c r="Q578" s="0" t="str">
        <f aca="false">IF(O578="","",IF(O578&gt;240,"Y","N"))</f>
        <v>N</v>
      </c>
    </row>
    <row r="579" customFormat="false" ht="15" hidden="false" customHeight="false" outlineLevel="0" collapsed="false">
      <c r="A579" s="0" t="s">
        <v>5594</v>
      </c>
      <c r="B579" s="0" t="s">
        <v>4049</v>
      </c>
      <c r="C579" s="0" t="s">
        <v>849</v>
      </c>
      <c r="D579" s="31" t="n">
        <v>31911</v>
      </c>
      <c r="E579" s="31" t="n">
        <v>45681</v>
      </c>
      <c r="F579" s="32" t="s">
        <v>5331</v>
      </c>
      <c r="G579" s="0" t="n">
        <v>5</v>
      </c>
      <c r="H579" s="32" t="s">
        <v>3786</v>
      </c>
      <c r="I579" s="32" t="s">
        <v>4909</v>
      </c>
      <c r="J579" s="32" t="s">
        <v>3749</v>
      </c>
      <c r="K579" s="32" t="s">
        <v>2106</v>
      </c>
      <c r="L579" s="0" t="n">
        <v>351</v>
      </c>
      <c r="M579" s="32" t="s">
        <v>4219</v>
      </c>
      <c r="N579" s="32" t="s">
        <v>1455</v>
      </c>
      <c r="O579" s="32" t="n">
        <f aca="false">IF(I579="","",ROUND(MOD(TIMEVALUE(I579)-TIMEVALUE(F579),1)*1440,0))</f>
        <v>351</v>
      </c>
      <c r="P579" s="0" t="str">
        <f aca="false">IF(COUNTIF($A$2:A579,A579)&gt;1,"DUP","")</f>
        <v/>
      </c>
      <c r="Q579" s="0" t="str">
        <f aca="false">IF(O579="","",IF(O579&gt;240,"Y","N"))</f>
        <v>Y</v>
      </c>
    </row>
    <row r="580" customFormat="false" ht="15" hidden="false" customHeight="false" outlineLevel="0" collapsed="false">
      <c r="A580" s="0" t="s">
        <v>5595</v>
      </c>
      <c r="B580" s="0" t="s">
        <v>5564</v>
      </c>
      <c r="C580" s="0" t="s">
        <v>1419</v>
      </c>
      <c r="D580" s="31" t="n">
        <v>28345</v>
      </c>
      <c r="E580" s="31" t="n">
        <v>45672</v>
      </c>
      <c r="F580" s="32" t="s">
        <v>4000</v>
      </c>
      <c r="G580" s="0" t="n">
        <v>4</v>
      </c>
      <c r="H580" s="32" t="s">
        <v>4766</v>
      </c>
      <c r="I580" s="32" t="s">
        <v>5596</v>
      </c>
      <c r="J580" s="32" t="s">
        <v>3749</v>
      </c>
      <c r="K580" s="32" t="s">
        <v>2106</v>
      </c>
      <c r="L580" s="0" t="n">
        <v>305</v>
      </c>
      <c r="M580" s="32" t="s">
        <v>3799</v>
      </c>
      <c r="N580" s="32" t="s">
        <v>3751</v>
      </c>
      <c r="O580" s="32" t="n">
        <f aca="false">IF(I580="","",ROUND(MOD(TIMEVALUE(I580)-TIMEVALUE(F580),1)*1440,0))</f>
        <v>305</v>
      </c>
      <c r="P580" s="0" t="str">
        <f aca="false">IF(COUNTIF($A$2:A580,A580)&gt;1,"DUP","")</f>
        <v/>
      </c>
      <c r="Q580" s="0" t="str">
        <f aca="false">IF(O580="","",IF(O580&gt;240,"Y","N"))</f>
        <v>Y</v>
      </c>
    </row>
    <row r="581" customFormat="false" ht="15" hidden="false" customHeight="false" outlineLevel="0" collapsed="false">
      <c r="A581" s="0" t="s">
        <v>5597</v>
      </c>
      <c r="B581" s="0" t="s">
        <v>4776</v>
      </c>
      <c r="C581" s="0" t="s">
        <v>1001</v>
      </c>
      <c r="D581" s="31" t="n">
        <v>20677</v>
      </c>
      <c r="E581" s="31" t="n">
        <v>45666</v>
      </c>
      <c r="F581" s="32" t="s">
        <v>5598</v>
      </c>
      <c r="G581" s="0" t="n">
        <v>5</v>
      </c>
      <c r="H581" s="32" t="s">
        <v>5599</v>
      </c>
      <c r="I581" s="32" t="s">
        <v>5600</v>
      </c>
      <c r="J581" s="32" t="s">
        <v>3749</v>
      </c>
      <c r="K581" s="32" t="s">
        <v>2106</v>
      </c>
      <c r="L581" s="0" t="n">
        <v>264</v>
      </c>
      <c r="M581" s="32" t="s">
        <v>3877</v>
      </c>
      <c r="N581" s="32" t="s">
        <v>3751</v>
      </c>
      <c r="O581" s="32" t="n">
        <f aca="false">IF(I581="","",ROUND(MOD(TIMEVALUE(I581)-TIMEVALUE(F581),1)*1440,0))</f>
        <v>264</v>
      </c>
      <c r="P581" s="0" t="str">
        <f aca="false">IF(COUNTIF($A$2:A581,A581)&gt;1,"DUP","")</f>
        <v/>
      </c>
      <c r="Q581" s="0" t="str">
        <f aca="false">IF(O581="","",IF(O581&gt;240,"Y","N"))</f>
        <v>Y</v>
      </c>
    </row>
    <row r="582" customFormat="false" ht="15" hidden="false" customHeight="false" outlineLevel="0" collapsed="false">
      <c r="A582" s="0" t="s">
        <v>5601</v>
      </c>
      <c r="B582" s="0" t="s">
        <v>4761</v>
      </c>
      <c r="C582" s="0" t="s">
        <v>1453</v>
      </c>
      <c r="D582" s="31" t="n">
        <v>32276</v>
      </c>
      <c r="E582" s="31" t="n">
        <v>45663</v>
      </c>
      <c r="F582" s="32" t="s">
        <v>4104</v>
      </c>
      <c r="G582" s="0" t="n">
        <v>3</v>
      </c>
      <c r="H582" s="32" t="s">
        <v>5602</v>
      </c>
      <c r="J582" s="32" t="s">
        <v>3763</v>
      </c>
      <c r="M582" s="32" t="s">
        <v>4267</v>
      </c>
      <c r="N582" s="32" t="s">
        <v>3751</v>
      </c>
      <c r="O582" s="0" t="str">
        <f aca="false">IF(I582="","",ROUND(MOD(TIMEVALUE(I582)-TIMEVALUE(F582),1)*1440,0))</f>
        <v/>
      </c>
      <c r="P582" s="0" t="str">
        <f aca="false">IF(COUNTIF($A$2:A582,A582)&gt;1,"DUP","")</f>
        <v/>
      </c>
      <c r="Q582" s="0" t="str">
        <f aca="false">IF(O582="","",IF(O582&gt;240,"Y","N"))</f>
        <v/>
      </c>
    </row>
    <row r="583" customFormat="false" ht="15" hidden="false" customHeight="false" outlineLevel="0" collapsed="false">
      <c r="A583" s="0" t="s">
        <v>5603</v>
      </c>
      <c r="B583" s="0" t="s">
        <v>4188</v>
      </c>
      <c r="C583" s="0" t="s">
        <v>970</v>
      </c>
      <c r="D583" s="31" t="n">
        <v>30501</v>
      </c>
      <c r="E583" s="31" t="n">
        <v>45624</v>
      </c>
      <c r="F583" s="32" t="s">
        <v>5604</v>
      </c>
      <c r="G583" s="0" t="n">
        <v>4</v>
      </c>
      <c r="H583" s="32" t="s">
        <v>4919</v>
      </c>
      <c r="I583" s="32" t="s">
        <v>5275</v>
      </c>
      <c r="J583" s="32" t="s">
        <v>3749</v>
      </c>
      <c r="K583" s="32" t="s">
        <v>2081</v>
      </c>
      <c r="L583" s="0" t="n">
        <v>124</v>
      </c>
      <c r="M583" s="32" t="s">
        <v>4047</v>
      </c>
      <c r="N583" s="32" t="s">
        <v>3751</v>
      </c>
      <c r="O583" s="32" t="n">
        <f aca="false">IF(I583="","",ROUND(MOD(TIMEVALUE(I583)-TIMEVALUE(F583),1)*1440,0))</f>
        <v>124</v>
      </c>
      <c r="P583" s="0" t="str">
        <f aca="false">IF(COUNTIF($A$2:A583,A583)&gt;1,"DUP","")</f>
        <v/>
      </c>
      <c r="Q583" s="0" t="str">
        <f aca="false">IF(O583="","",IF(O583&gt;240,"Y","N"))</f>
        <v>N</v>
      </c>
    </row>
    <row r="584" customFormat="false" ht="15" hidden="false" customHeight="false" outlineLevel="0" collapsed="false">
      <c r="A584" s="0" t="s">
        <v>5605</v>
      </c>
      <c r="C584" s="0" t="s">
        <v>853</v>
      </c>
      <c r="D584" s="31" t="n">
        <v>31676</v>
      </c>
      <c r="E584" s="31" t="n">
        <v>45585</v>
      </c>
      <c r="F584" s="32" t="s">
        <v>5004</v>
      </c>
      <c r="G584" s="0" t="n">
        <v>3</v>
      </c>
      <c r="H584" s="32" t="s">
        <v>4628</v>
      </c>
      <c r="J584" s="32" t="s">
        <v>2307</v>
      </c>
      <c r="M584" s="32" t="s">
        <v>3770</v>
      </c>
      <c r="N584" s="32" t="s">
        <v>3751</v>
      </c>
      <c r="O584" s="0" t="str">
        <f aca="false">IF(I584="","",ROUND(MOD(TIMEVALUE(I584)-TIMEVALUE(F584),1)*1440,0))</f>
        <v/>
      </c>
      <c r="P584" s="0" t="str">
        <f aca="false">IF(COUNTIF($A$2:A584,A584)&gt;1,"DUP","")</f>
        <v/>
      </c>
      <c r="Q584" s="0" t="str">
        <f aca="false">IF(O584="","",IF(O584&gt;240,"Y","N"))</f>
        <v/>
      </c>
    </row>
    <row r="585" customFormat="false" ht="15" hidden="false" customHeight="false" outlineLevel="0" collapsed="false">
      <c r="A585" s="0" t="s">
        <v>5606</v>
      </c>
      <c r="B585" s="0" t="s">
        <v>5607</v>
      </c>
      <c r="C585" s="0" t="s">
        <v>934</v>
      </c>
      <c r="D585" s="31" t="n">
        <v>39407</v>
      </c>
      <c r="E585" s="31" t="n">
        <v>45567</v>
      </c>
      <c r="F585" s="32" t="s">
        <v>4339</v>
      </c>
      <c r="G585" s="0" t="n">
        <v>5</v>
      </c>
      <c r="H585" s="32" t="s">
        <v>5509</v>
      </c>
      <c r="I585" s="32" t="s">
        <v>3768</v>
      </c>
      <c r="J585" s="32" t="s">
        <v>3749</v>
      </c>
      <c r="K585" s="32" t="s">
        <v>2081</v>
      </c>
      <c r="L585" s="0" t="n">
        <v>201</v>
      </c>
      <c r="M585" s="32" t="s">
        <v>3966</v>
      </c>
      <c r="N585" s="32" t="s">
        <v>3751</v>
      </c>
      <c r="O585" s="32" t="n">
        <f aca="false">IF(I585="","",ROUND(MOD(TIMEVALUE(I585)-TIMEVALUE(F585),1)*1440,0))</f>
        <v>201</v>
      </c>
      <c r="P585" s="0" t="str">
        <f aca="false">IF(COUNTIF($A$2:A585,A585)&gt;1,"DUP","")</f>
        <v/>
      </c>
      <c r="Q585" s="0" t="str">
        <f aca="false">IF(O585="","",IF(O585&gt;240,"Y","N"))</f>
        <v>N</v>
      </c>
    </row>
    <row r="586" customFormat="false" ht="15" hidden="false" customHeight="false" outlineLevel="0" collapsed="false">
      <c r="A586" s="0" t="s">
        <v>5608</v>
      </c>
      <c r="B586" s="0" t="s">
        <v>5098</v>
      </c>
      <c r="C586" s="0" t="s">
        <v>1453</v>
      </c>
      <c r="D586" s="31" t="n">
        <v>33521</v>
      </c>
      <c r="E586" s="31" t="n">
        <v>45639</v>
      </c>
      <c r="F586" s="32" t="s">
        <v>4851</v>
      </c>
      <c r="G586" s="0" t="n">
        <v>5</v>
      </c>
      <c r="H586" s="32" t="s">
        <v>5109</v>
      </c>
      <c r="I586" s="32" t="s">
        <v>4398</v>
      </c>
      <c r="J586" s="32" t="s">
        <v>3749</v>
      </c>
      <c r="K586" s="32" t="s">
        <v>2106</v>
      </c>
      <c r="L586" s="0" t="n">
        <v>507</v>
      </c>
      <c r="M586" s="32" t="s">
        <v>4060</v>
      </c>
      <c r="N586" s="32" t="s">
        <v>3751</v>
      </c>
      <c r="O586" s="32" t="n">
        <f aca="false">IF(I586="","",ROUND(MOD(TIMEVALUE(I586)-TIMEVALUE(F586),1)*1440,0))</f>
        <v>507</v>
      </c>
      <c r="P586" s="0" t="str">
        <f aca="false">IF(COUNTIF($A$2:A586,A586)&gt;1,"DUP","")</f>
        <v/>
      </c>
      <c r="Q586" s="0" t="str">
        <f aca="false">IF(O586="","",IF(O586&gt;240,"Y","N"))</f>
        <v>Y</v>
      </c>
    </row>
    <row r="587" customFormat="false" ht="15" hidden="false" customHeight="false" outlineLevel="0" collapsed="false">
      <c r="A587" s="0" t="s">
        <v>5609</v>
      </c>
      <c r="B587" s="0" t="s">
        <v>5373</v>
      </c>
      <c r="C587" s="0" t="s">
        <v>997</v>
      </c>
      <c r="D587" s="31" t="n">
        <v>18250</v>
      </c>
      <c r="E587" s="31" t="n">
        <v>45653</v>
      </c>
      <c r="F587" s="32" t="s">
        <v>5610</v>
      </c>
      <c r="G587" s="0" t="n">
        <v>4</v>
      </c>
      <c r="H587" s="32" t="s">
        <v>4063</v>
      </c>
      <c r="I587" s="32" t="s">
        <v>3983</v>
      </c>
      <c r="J587" s="32" t="s">
        <v>3749</v>
      </c>
      <c r="K587" s="32" t="s">
        <v>2081</v>
      </c>
      <c r="L587" s="0" t="n">
        <v>111</v>
      </c>
      <c r="M587" s="32" t="s">
        <v>3993</v>
      </c>
      <c r="N587" s="32" t="s">
        <v>3751</v>
      </c>
      <c r="O587" s="32" t="n">
        <f aca="false">IF(I587="","",ROUND(MOD(TIMEVALUE(I587)-TIMEVALUE(F587),1)*1440,0))</f>
        <v>111</v>
      </c>
      <c r="P587" s="0" t="str">
        <f aca="false">IF(COUNTIF($A$2:A587,A587)&gt;1,"DUP","")</f>
        <v/>
      </c>
      <c r="Q587" s="0" t="str">
        <f aca="false">IF(O587="","",IF(O587&gt;240,"Y","N"))</f>
        <v>N</v>
      </c>
    </row>
    <row r="588" customFormat="false" ht="15" hidden="false" customHeight="false" outlineLevel="0" collapsed="false">
      <c r="A588" s="0" t="s">
        <v>5611</v>
      </c>
      <c r="B588" s="0" t="s">
        <v>5612</v>
      </c>
      <c r="C588" s="0" t="s">
        <v>918</v>
      </c>
      <c r="D588" s="31" t="n">
        <v>14551</v>
      </c>
      <c r="E588" s="31" t="n">
        <v>45611</v>
      </c>
      <c r="F588" s="32" t="s">
        <v>3875</v>
      </c>
      <c r="G588" s="0" t="n">
        <v>4</v>
      </c>
      <c r="H588" s="32" t="s">
        <v>4416</v>
      </c>
      <c r="I588" s="32" t="s">
        <v>4695</v>
      </c>
      <c r="J588" s="32" t="s">
        <v>3793</v>
      </c>
      <c r="K588" s="32" t="s">
        <v>2081</v>
      </c>
      <c r="L588" s="0" t="n">
        <v>100</v>
      </c>
      <c r="M588" s="32" t="s">
        <v>4031</v>
      </c>
      <c r="N588" s="32" t="s">
        <v>810</v>
      </c>
      <c r="O588" s="32" t="n">
        <f aca="false">IF(I588="","",ROUND(MOD(TIMEVALUE(I588)-TIMEVALUE(F588),1)*1440,0))</f>
        <v>100</v>
      </c>
      <c r="P588" s="0" t="str">
        <f aca="false">IF(COUNTIF($A$2:A588,A588)&gt;1,"DUP","")</f>
        <v/>
      </c>
      <c r="Q588" s="0" t="str">
        <f aca="false">IF(O588="","",IF(O588&gt;240,"Y","N"))</f>
        <v>N</v>
      </c>
    </row>
    <row r="589" customFormat="false" ht="15" hidden="false" customHeight="false" outlineLevel="0" collapsed="false">
      <c r="A589" s="0" t="s">
        <v>5613</v>
      </c>
      <c r="B589" s="0" t="s">
        <v>3873</v>
      </c>
      <c r="C589" s="0" t="s">
        <v>746</v>
      </c>
      <c r="D589" s="31" t="n">
        <v>37438</v>
      </c>
      <c r="E589" s="31" t="n">
        <v>45658</v>
      </c>
      <c r="F589" s="32" t="s">
        <v>4530</v>
      </c>
      <c r="G589" s="0" t="n">
        <v>4</v>
      </c>
      <c r="H589" s="32" t="s">
        <v>5614</v>
      </c>
      <c r="I589" s="32" t="s">
        <v>4063</v>
      </c>
      <c r="J589" s="32" t="s">
        <v>3749</v>
      </c>
      <c r="K589" s="32" t="s">
        <v>2081</v>
      </c>
      <c r="L589" s="0" t="n">
        <v>123</v>
      </c>
      <c r="M589" s="32" t="s">
        <v>4267</v>
      </c>
      <c r="N589" s="32" t="s">
        <v>3751</v>
      </c>
      <c r="O589" s="32" t="n">
        <f aca="false">IF(I589="","",ROUND(MOD(TIMEVALUE(I589)-TIMEVALUE(F589),1)*1440,0))</f>
        <v>123</v>
      </c>
      <c r="P589" s="0" t="str">
        <f aca="false">IF(COUNTIF($A$2:A589,A589)&gt;1,"DUP","")</f>
        <v/>
      </c>
      <c r="Q589" s="0" t="str">
        <f aca="false">IF(O589="","",IF(O589&gt;240,"Y","N"))</f>
        <v>N</v>
      </c>
    </row>
    <row r="590" customFormat="false" ht="15" hidden="false" customHeight="false" outlineLevel="0" collapsed="false">
      <c r="A590" s="0" t="s">
        <v>5615</v>
      </c>
      <c r="B590" s="0" t="s">
        <v>4436</v>
      </c>
      <c r="C590" s="0" t="s">
        <v>946</v>
      </c>
      <c r="D590" s="31" t="n">
        <v>25517</v>
      </c>
      <c r="E590" s="31" t="n">
        <v>45660</v>
      </c>
      <c r="F590" s="32" t="s">
        <v>4299</v>
      </c>
      <c r="G590" s="0" t="n">
        <v>4</v>
      </c>
      <c r="H590" s="32" t="s">
        <v>4316</v>
      </c>
      <c r="I590" s="32" t="s">
        <v>4120</v>
      </c>
      <c r="J590" s="32" t="s">
        <v>2307</v>
      </c>
      <c r="K590" s="32" t="s">
        <v>2081</v>
      </c>
      <c r="L590" s="0" t="n">
        <v>208</v>
      </c>
      <c r="M590" s="32" t="s">
        <v>4165</v>
      </c>
      <c r="N590" s="32" t="s">
        <v>3751</v>
      </c>
      <c r="O590" s="32" t="n">
        <f aca="false">IF(I590="","",ROUND(MOD(TIMEVALUE(I590)-TIMEVALUE(F590),1)*1440,0))</f>
        <v>208</v>
      </c>
      <c r="P590" s="0" t="str">
        <f aca="false">IF(COUNTIF($A$2:A590,A590)&gt;1,"DUP","")</f>
        <v/>
      </c>
      <c r="Q590" s="0" t="str">
        <f aca="false">IF(O590="","",IF(O590&gt;240,"Y","N"))</f>
        <v>N</v>
      </c>
    </row>
    <row r="591" customFormat="false" ht="15" hidden="false" customHeight="false" outlineLevel="0" collapsed="false">
      <c r="A591" s="0" t="s">
        <v>5616</v>
      </c>
      <c r="B591" s="0" t="s">
        <v>4169</v>
      </c>
      <c r="C591" s="0" t="s">
        <v>866</v>
      </c>
      <c r="D591" s="31" t="n">
        <v>15437</v>
      </c>
      <c r="E591" s="31" t="n">
        <v>45571</v>
      </c>
      <c r="F591" s="32" t="s">
        <v>4780</v>
      </c>
      <c r="G591" s="0" t="n">
        <v>3</v>
      </c>
      <c r="H591" s="32" t="s">
        <v>3755</v>
      </c>
      <c r="I591" s="32" t="s">
        <v>5617</v>
      </c>
      <c r="J591" s="32" t="s">
        <v>3749</v>
      </c>
      <c r="K591" s="32" t="s">
        <v>2081</v>
      </c>
      <c r="L591" s="0" t="n">
        <v>200</v>
      </c>
      <c r="M591" s="32" t="s">
        <v>4031</v>
      </c>
      <c r="N591" s="32" t="s">
        <v>3751</v>
      </c>
      <c r="O591" s="32" t="n">
        <f aca="false">IF(I591="","",ROUND(MOD(TIMEVALUE(I591)-TIMEVALUE(F591),1)*1440,0))</f>
        <v>200</v>
      </c>
      <c r="P591" s="0" t="str">
        <f aca="false">IF(COUNTIF($A$2:A591,A591)&gt;1,"DUP","")</f>
        <v/>
      </c>
      <c r="Q591" s="0" t="str">
        <f aca="false">IF(O591="","",IF(O591&gt;240,"Y","N"))</f>
        <v>N</v>
      </c>
    </row>
    <row r="592" customFormat="false" ht="15" hidden="false" customHeight="false" outlineLevel="0" collapsed="false">
      <c r="A592" s="0" t="s">
        <v>5618</v>
      </c>
      <c r="B592" s="0" t="s">
        <v>5619</v>
      </c>
      <c r="C592" s="0" t="s">
        <v>874</v>
      </c>
      <c r="D592" s="31" t="n">
        <v>25398</v>
      </c>
      <c r="E592" s="31" t="n">
        <v>45694</v>
      </c>
      <c r="F592" s="32" t="s">
        <v>4105</v>
      </c>
      <c r="G592" s="0" t="n">
        <v>4</v>
      </c>
      <c r="H592" s="32" t="s">
        <v>3940</v>
      </c>
      <c r="I592" s="32" t="s">
        <v>5620</v>
      </c>
      <c r="J592" s="32" t="s">
        <v>3749</v>
      </c>
      <c r="K592" s="32" t="s">
        <v>2106</v>
      </c>
      <c r="L592" s="0" t="n">
        <v>342</v>
      </c>
      <c r="M592" s="32" t="s">
        <v>4047</v>
      </c>
      <c r="N592" s="32" t="s">
        <v>3751</v>
      </c>
      <c r="O592" s="32" t="n">
        <f aca="false">IF(I592="","",ROUND(MOD(TIMEVALUE(I592)-TIMEVALUE(F592),1)*1440,0))</f>
        <v>342</v>
      </c>
      <c r="P592" s="0" t="str">
        <f aca="false">IF(COUNTIF($A$2:A592,A592)&gt;1,"DUP","")</f>
        <v/>
      </c>
      <c r="Q592" s="0" t="str">
        <f aca="false">IF(O592="","",IF(O592&gt;240,"Y","N"))</f>
        <v>Y</v>
      </c>
    </row>
    <row r="593" customFormat="false" ht="15" hidden="false" customHeight="false" outlineLevel="0" collapsed="false">
      <c r="A593" s="0" t="s">
        <v>5621</v>
      </c>
      <c r="B593" s="0" t="s">
        <v>5161</v>
      </c>
      <c r="C593" s="0" t="s">
        <v>765</v>
      </c>
      <c r="D593" s="31" t="n">
        <v>25804</v>
      </c>
      <c r="E593" s="31" t="n">
        <v>45664</v>
      </c>
      <c r="F593" s="32" t="s">
        <v>4350</v>
      </c>
      <c r="G593" s="0" t="n">
        <v>4</v>
      </c>
      <c r="H593" s="32" t="s">
        <v>4730</v>
      </c>
      <c r="I593" s="32" t="s">
        <v>5450</v>
      </c>
      <c r="J593" s="32" t="s">
        <v>3749</v>
      </c>
      <c r="K593" s="32" t="s">
        <v>2081</v>
      </c>
      <c r="L593" s="0" t="n">
        <v>127</v>
      </c>
      <c r="M593" s="32" t="s">
        <v>3843</v>
      </c>
      <c r="N593" s="32" t="s">
        <v>3751</v>
      </c>
      <c r="O593" s="32" t="n">
        <f aca="false">IF(I593="","",ROUND(MOD(TIMEVALUE(I593)-TIMEVALUE(F593),1)*1440,0))</f>
        <v>127</v>
      </c>
      <c r="P593" s="0" t="str">
        <f aca="false">IF(COUNTIF($A$2:A593,A593)&gt;1,"DUP","")</f>
        <v/>
      </c>
      <c r="Q593" s="0" t="str">
        <f aca="false">IF(O593="","",IF(O593&gt;240,"Y","N"))</f>
        <v>N</v>
      </c>
    </row>
    <row r="594" customFormat="false" ht="15" hidden="false" customHeight="false" outlineLevel="0" collapsed="false">
      <c r="A594" s="0" t="s">
        <v>5622</v>
      </c>
      <c r="B594" s="0" t="s">
        <v>4809</v>
      </c>
      <c r="C594" s="0" t="s">
        <v>878</v>
      </c>
      <c r="D594" s="31" t="n">
        <v>21176</v>
      </c>
      <c r="E594" s="31" t="n">
        <v>45702</v>
      </c>
      <c r="F594" s="32" t="s">
        <v>5623</v>
      </c>
      <c r="G594" s="0" t="n">
        <v>3</v>
      </c>
      <c r="H594" s="32" t="s">
        <v>5624</v>
      </c>
      <c r="I594" s="32" t="s">
        <v>4378</v>
      </c>
      <c r="J594" s="32" t="s">
        <v>3749</v>
      </c>
      <c r="K594" s="32" t="s">
        <v>2106</v>
      </c>
      <c r="L594" s="0" t="n">
        <v>477</v>
      </c>
      <c r="M594" s="32" t="s">
        <v>4409</v>
      </c>
      <c r="N594" s="32" t="s">
        <v>3751</v>
      </c>
      <c r="O594" s="32" t="n">
        <f aca="false">IF(I594="","",ROUND(MOD(TIMEVALUE(I594)-TIMEVALUE(F594),1)*1440,0))</f>
        <v>477</v>
      </c>
      <c r="P594" s="0" t="str">
        <f aca="false">IF(COUNTIF($A$2:A594,A594)&gt;1,"DUP","")</f>
        <v/>
      </c>
      <c r="Q594" s="0" t="str">
        <f aca="false">IF(O594="","",IF(O594&gt;240,"Y","N"))</f>
        <v>Y</v>
      </c>
    </row>
    <row r="595" customFormat="false" ht="15" hidden="false" customHeight="false" outlineLevel="0" collapsed="false">
      <c r="A595" s="0" t="s">
        <v>5625</v>
      </c>
      <c r="B595" s="0" t="s">
        <v>3823</v>
      </c>
      <c r="C595" s="0" t="s">
        <v>2206</v>
      </c>
      <c r="D595" s="31" t="n">
        <v>18006</v>
      </c>
      <c r="E595" s="31" t="n">
        <v>45622</v>
      </c>
      <c r="F595" s="32" t="s">
        <v>5626</v>
      </c>
      <c r="G595" s="0" t="n">
        <v>5</v>
      </c>
      <c r="H595" s="32" t="s">
        <v>5538</v>
      </c>
      <c r="I595" s="32" t="s">
        <v>5498</v>
      </c>
      <c r="J595" s="32" t="s">
        <v>7</v>
      </c>
      <c r="K595" s="32" t="s">
        <v>2081</v>
      </c>
      <c r="L595" s="0" t="n">
        <v>228</v>
      </c>
      <c r="M595" s="32" t="s">
        <v>4114</v>
      </c>
      <c r="N595" s="32" t="s">
        <v>3751</v>
      </c>
      <c r="O595" s="32" t="n">
        <f aca="false">IF(I595="","",ROUND(MOD(TIMEVALUE(I595)-TIMEVALUE(F595),1)*1440,0))</f>
        <v>228</v>
      </c>
      <c r="P595" s="0" t="str">
        <f aca="false">IF(COUNTIF($A$2:A595,A595)&gt;1,"DUP","")</f>
        <v/>
      </c>
      <c r="Q595" s="0" t="str">
        <f aca="false">IF(O595="","",IF(O595&gt;240,"Y","N"))</f>
        <v>N</v>
      </c>
    </row>
    <row r="596" customFormat="false" ht="15" hidden="false" customHeight="false" outlineLevel="0" collapsed="false">
      <c r="A596" s="0" t="s">
        <v>5627</v>
      </c>
      <c r="B596" s="0" t="s">
        <v>4147</v>
      </c>
      <c r="C596" s="0" t="s">
        <v>792</v>
      </c>
      <c r="D596" s="31" t="n">
        <v>25240</v>
      </c>
      <c r="E596" s="31" t="n">
        <v>45577</v>
      </c>
      <c r="F596" s="32" t="s">
        <v>5279</v>
      </c>
      <c r="G596" s="0" t="n">
        <v>4</v>
      </c>
      <c r="H596" s="32" t="s">
        <v>4890</v>
      </c>
      <c r="I596" s="32" t="s">
        <v>5628</v>
      </c>
      <c r="J596" s="32" t="s">
        <v>3763</v>
      </c>
      <c r="K596" s="32" t="s">
        <v>2106</v>
      </c>
      <c r="L596" s="0" t="n">
        <v>414</v>
      </c>
      <c r="M596" s="32" t="s">
        <v>3815</v>
      </c>
      <c r="N596" s="32" t="s">
        <v>3751</v>
      </c>
      <c r="O596" s="32" t="n">
        <f aca="false">IF(I596="","",ROUND(MOD(TIMEVALUE(I596)-TIMEVALUE(F596),1)*1440,0))</f>
        <v>414</v>
      </c>
      <c r="P596" s="0" t="str">
        <f aca="false">IF(COUNTIF($A$2:A596,A596)&gt;1,"DUP","")</f>
        <v/>
      </c>
      <c r="Q596" s="0" t="str">
        <f aca="false">IF(O596="","",IF(O596&gt;240,"Y","N"))</f>
        <v>Y</v>
      </c>
    </row>
    <row r="597" customFormat="false" ht="15" hidden="false" customHeight="false" outlineLevel="0" collapsed="false">
      <c r="A597" s="0" t="s">
        <v>5629</v>
      </c>
      <c r="B597" s="0" t="s">
        <v>5267</v>
      </c>
      <c r="C597" s="0" t="s">
        <v>970</v>
      </c>
      <c r="D597" s="31" t="n">
        <v>36035</v>
      </c>
      <c r="E597" s="31" t="n">
        <v>45713</v>
      </c>
      <c r="F597" s="32" t="s">
        <v>4389</v>
      </c>
      <c r="G597" s="0" t="n">
        <v>5</v>
      </c>
      <c r="H597" s="32" t="s">
        <v>5565</v>
      </c>
      <c r="I597" s="32" t="s">
        <v>5453</v>
      </c>
      <c r="J597" s="32" t="s">
        <v>3793</v>
      </c>
      <c r="K597" s="32" t="s">
        <v>2081</v>
      </c>
      <c r="L597" s="0" t="n">
        <v>209</v>
      </c>
      <c r="M597" s="32" t="s">
        <v>4037</v>
      </c>
      <c r="N597" s="32" t="s">
        <v>802</v>
      </c>
      <c r="O597" s="32" t="n">
        <f aca="false">IF(I597="","",ROUND(MOD(TIMEVALUE(I597)-TIMEVALUE(F597),1)*1440,0))</f>
        <v>209</v>
      </c>
      <c r="P597" s="0" t="str">
        <f aca="false">IF(COUNTIF($A$2:A597,A597)&gt;1,"DUP","")</f>
        <v/>
      </c>
      <c r="Q597" s="0" t="str">
        <f aca="false">IF(O597="","",IF(O597&gt;240,"Y","N"))</f>
        <v>N</v>
      </c>
    </row>
    <row r="598" customFormat="false" ht="15" hidden="false" customHeight="false" outlineLevel="0" collapsed="false">
      <c r="A598" s="0" t="s">
        <v>5630</v>
      </c>
      <c r="B598" s="0" t="s">
        <v>3948</v>
      </c>
      <c r="C598" s="0" t="s">
        <v>886</v>
      </c>
      <c r="D598" s="31" t="n">
        <v>37879</v>
      </c>
      <c r="E598" s="31" t="n">
        <v>45693</v>
      </c>
      <c r="F598" s="32" t="s">
        <v>5631</v>
      </c>
      <c r="G598" s="0" t="n">
        <v>4</v>
      </c>
      <c r="H598" s="32" t="s">
        <v>5632</v>
      </c>
      <c r="I598" s="32" t="s">
        <v>5633</v>
      </c>
      <c r="J598" s="32" t="s">
        <v>3749</v>
      </c>
      <c r="K598" s="32" t="s">
        <v>2081</v>
      </c>
      <c r="L598" s="0" t="n">
        <v>169</v>
      </c>
      <c r="M598" s="32" t="s">
        <v>4141</v>
      </c>
      <c r="N598" s="32" t="s">
        <v>3751</v>
      </c>
      <c r="O598" s="32" t="n">
        <f aca="false">IF(I598="","",ROUND(MOD(TIMEVALUE(I598)-TIMEVALUE(F598),1)*1440,0))</f>
        <v>169</v>
      </c>
      <c r="P598" s="0" t="str">
        <f aca="false">IF(COUNTIF($A$2:A598,A598)&gt;1,"DUP","")</f>
        <v/>
      </c>
      <c r="Q598" s="0" t="str">
        <f aca="false">IF(O598="","",IF(O598&gt;240,"Y","N"))</f>
        <v>N</v>
      </c>
    </row>
    <row r="599" customFormat="false" ht="15" hidden="false" customHeight="false" outlineLevel="0" collapsed="false">
      <c r="A599" s="0" t="s">
        <v>5634</v>
      </c>
      <c r="B599" s="0" t="s">
        <v>5356</v>
      </c>
      <c r="C599" s="0" t="s">
        <v>918</v>
      </c>
      <c r="D599" s="31" t="n">
        <v>22333</v>
      </c>
      <c r="E599" s="31" t="n">
        <v>45627</v>
      </c>
      <c r="F599" s="32" t="s">
        <v>4441</v>
      </c>
      <c r="G599" s="0" t="n">
        <v>5</v>
      </c>
      <c r="I599" s="32" t="s">
        <v>5635</v>
      </c>
      <c r="J599" s="32" t="s">
        <v>3763</v>
      </c>
      <c r="K599" s="32" t="s">
        <v>2081</v>
      </c>
      <c r="L599" s="0" t="n">
        <v>170</v>
      </c>
      <c r="M599" s="32" t="s">
        <v>3871</v>
      </c>
      <c r="N599" s="32" t="s">
        <v>3751</v>
      </c>
      <c r="O599" s="32" t="n">
        <f aca="false">IF(I599="","",ROUND(MOD(TIMEVALUE(I599)-TIMEVALUE(F599),1)*1440,0))</f>
        <v>170</v>
      </c>
      <c r="P599" s="0" t="str">
        <f aca="false">IF(COUNTIF($A$2:A599,A599)&gt;1,"DUP","")</f>
        <v/>
      </c>
      <c r="Q599" s="0" t="str">
        <f aca="false">IF(O599="","",IF(O599&gt;240,"Y","N"))</f>
        <v>N</v>
      </c>
    </row>
    <row r="600" customFormat="false" ht="15" hidden="false" customHeight="false" outlineLevel="0" collapsed="false">
      <c r="A600" s="0" t="s">
        <v>5636</v>
      </c>
      <c r="B600" s="0" t="s">
        <v>4749</v>
      </c>
      <c r="C600" s="0" t="s">
        <v>886</v>
      </c>
      <c r="D600" s="31" t="n">
        <v>29323</v>
      </c>
      <c r="E600" s="31" t="n">
        <v>45719</v>
      </c>
      <c r="F600" s="32" t="s">
        <v>4453</v>
      </c>
      <c r="G600" s="0" t="n">
        <v>3</v>
      </c>
      <c r="H600" s="32" t="s">
        <v>5637</v>
      </c>
      <c r="I600" s="32" t="s">
        <v>5638</v>
      </c>
      <c r="J600" s="32" t="s">
        <v>3749</v>
      </c>
      <c r="K600" s="32" t="s">
        <v>2081</v>
      </c>
      <c r="L600" s="0" t="n">
        <v>105</v>
      </c>
      <c r="M600" s="32" t="s">
        <v>4582</v>
      </c>
      <c r="N600" s="32" t="s">
        <v>3751</v>
      </c>
      <c r="O600" s="32" t="n">
        <f aca="false">IF(I600="","",ROUND(MOD(TIMEVALUE(I600)-TIMEVALUE(F600),1)*1440,0))</f>
        <v>105</v>
      </c>
      <c r="P600" s="0" t="str">
        <f aca="false">IF(COUNTIF($A$2:A600,A600)&gt;1,"DUP","")</f>
        <v/>
      </c>
      <c r="Q600" s="0" t="str">
        <f aca="false">IF(O600="","",IF(O600&gt;240,"Y","N"))</f>
        <v>N</v>
      </c>
    </row>
    <row r="601" customFormat="false" ht="15" hidden="false" customHeight="false" outlineLevel="0" collapsed="false">
      <c r="A601" s="0" t="s">
        <v>5639</v>
      </c>
      <c r="B601" s="0" t="s">
        <v>5417</v>
      </c>
      <c r="C601" s="0" t="s">
        <v>938</v>
      </c>
      <c r="D601" s="31" t="n">
        <v>22366</v>
      </c>
      <c r="E601" s="31" t="n">
        <v>45588</v>
      </c>
      <c r="F601" s="32" t="s">
        <v>5640</v>
      </c>
      <c r="G601" s="0" t="n">
        <v>2</v>
      </c>
      <c r="H601" s="32" t="s">
        <v>5641</v>
      </c>
      <c r="I601" s="32" t="s">
        <v>4334</v>
      </c>
      <c r="J601" s="32" t="s">
        <v>2307</v>
      </c>
      <c r="K601" s="32" t="s">
        <v>2081</v>
      </c>
      <c r="L601" s="0" t="n">
        <v>194</v>
      </c>
      <c r="M601" s="32" t="s">
        <v>4781</v>
      </c>
      <c r="N601" s="32" t="s">
        <v>3751</v>
      </c>
      <c r="O601" s="32" t="n">
        <f aca="false">IF(I601="","",ROUND(MOD(TIMEVALUE(I601)-TIMEVALUE(F601),1)*1440,0))</f>
        <v>194</v>
      </c>
      <c r="P601" s="0" t="str">
        <f aca="false">IF(COUNTIF($A$2:A601,A601)&gt;1,"DUP","")</f>
        <v/>
      </c>
      <c r="Q601" s="0" t="str">
        <f aca="false">IF(O601="","",IF(O601&gt;240,"Y","N"))</f>
        <v>N</v>
      </c>
    </row>
    <row r="602" customFormat="false" ht="15" hidden="false" customHeight="false" outlineLevel="0" collapsed="false">
      <c r="A602" s="0" t="s">
        <v>5642</v>
      </c>
      <c r="B602" s="0" t="s">
        <v>5643</v>
      </c>
      <c r="C602" s="0" t="s">
        <v>765</v>
      </c>
      <c r="D602" s="31" t="n">
        <v>16558</v>
      </c>
      <c r="E602" s="31" t="n">
        <v>45620</v>
      </c>
      <c r="F602" s="32" t="s">
        <v>5585</v>
      </c>
      <c r="G602" s="0" t="n">
        <v>4</v>
      </c>
      <c r="H602" s="32" t="s">
        <v>3965</v>
      </c>
      <c r="I602" s="32" t="s">
        <v>5027</v>
      </c>
      <c r="J602" s="32" t="s">
        <v>3749</v>
      </c>
      <c r="K602" s="32" t="s">
        <v>2081</v>
      </c>
      <c r="L602" s="0" t="n">
        <v>139</v>
      </c>
      <c r="M602" s="32" t="s">
        <v>4141</v>
      </c>
      <c r="N602" s="32" t="s">
        <v>3751</v>
      </c>
      <c r="O602" s="32" t="n">
        <f aca="false">IF(I602="","",ROUND(MOD(TIMEVALUE(I602)-TIMEVALUE(F602),1)*1440,0))</f>
        <v>139</v>
      </c>
      <c r="P602" s="0" t="str">
        <f aca="false">IF(COUNTIF($A$2:A602,A602)&gt;1,"DUP","")</f>
        <v/>
      </c>
      <c r="Q602" s="0" t="str">
        <f aca="false">IF(O602="","",IF(O602&gt;240,"Y","N"))</f>
        <v>N</v>
      </c>
    </row>
    <row r="603" customFormat="false" ht="15" hidden="false" customHeight="false" outlineLevel="0" collapsed="false">
      <c r="A603" s="0" t="s">
        <v>5644</v>
      </c>
      <c r="B603" s="0" t="s">
        <v>3789</v>
      </c>
      <c r="C603" s="0" t="s">
        <v>853</v>
      </c>
      <c r="D603" s="31" t="n">
        <v>37187</v>
      </c>
      <c r="E603" s="31" t="n">
        <v>45737</v>
      </c>
      <c r="F603" s="32" t="s">
        <v>5150</v>
      </c>
      <c r="G603" s="0" t="n">
        <v>2</v>
      </c>
      <c r="H603" s="32" t="s">
        <v>5645</v>
      </c>
      <c r="I603" s="32" t="s">
        <v>5252</v>
      </c>
      <c r="J603" s="32" t="s">
        <v>3749</v>
      </c>
      <c r="K603" s="32" t="s">
        <v>2081</v>
      </c>
      <c r="L603" s="0" t="n">
        <v>217</v>
      </c>
      <c r="M603" s="32" t="s">
        <v>3877</v>
      </c>
      <c r="N603" s="32" t="s">
        <v>3751</v>
      </c>
      <c r="O603" s="32" t="n">
        <f aca="false">IF(I603="","",ROUND(MOD(TIMEVALUE(I603)-TIMEVALUE(F603),1)*1440,0))</f>
        <v>217</v>
      </c>
      <c r="P603" s="0" t="str">
        <f aca="false">IF(COUNTIF($A$2:A603,A603)&gt;1,"DUP","")</f>
        <v/>
      </c>
      <c r="Q603" s="0" t="str">
        <f aca="false">IF(O603="","",IF(O603&gt;240,"Y","N"))</f>
        <v>N</v>
      </c>
    </row>
    <row r="604" customFormat="false" ht="15" hidden="false" customHeight="false" outlineLevel="0" collapsed="false">
      <c r="A604" s="0" t="s">
        <v>5646</v>
      </c>
      <c r="B604" s="0" t="s">
        <v>5373</v>
      </c>
      <c r="C604" s="0" t="s">
        <v>1393</v>
      </c>
      <c r="D604" s="31" t="n">
        <v>21979</v>
      </c>
      <c r="E604" s="31" t="n">
        <v>45685</v>
      </c>
      <c r="F604" s="32" t="s">
        <v>5647</v>
      </c>
      <c r="G604" s="0" t="n">
        <v>4</v>
      </c>
      <c r="H604" s="32" t="s">
        <v>3803</v>
      </c>
      <c r="I604" s="32" t="s">
        <v>5648</v>
      </c>
      <c r="J604" s="32" t="s">
        <v>3793</v>
      </c>
      <c r="K604" s="32" t="s">
        <v>2081</v>
      </c>
      <c r="L604" s="0" t="n">
        <v>140</v>
      </c>
      <c r="M604" s="32" t="s">
        <v>4582</v>
      </c>
      <c r="N604" s="32" t="s">
        <v>758</v>
      </c>
      <c r="O604" s="32" t="n">
        <f aca="false">IF(I604="","",ROUND(MOD(TIMEVALUE(I604)-TIMEVALUE(F604),1)*1440,0))</f>
        <v>140</v>
      </c>
      <c r="P604" s="0" t="str">
        <f aca="false">IF(COUNTIF($A$2:A604,A604)&gt;1,"DUP","")</f>
        <v/>
      </c>
      <c r="Q604" s="0" t="str">
        <f aca="false">IF(O604="","",IF(O604&gt;240,"Y","N"))</f>
        <v>N</v>
      </c>
    </row>
    <row r="605" customFormat="false" ht="15" hidden="false" customHeight="false" outlineLevel="0" collapsed="false">
      <c r="A605" s="0" t="s">
        <v>5649</v>
      </c>
      <c r="B605" s="0" t="s">
        <v>4519</v>
      </c>
      <c r="C605" s="0" t="s">
        <v>857</v>
      </c>
      <c r="D605" s="31" t="n">
        <v>29819</v>
      </c>
      <c r="E605" s="31" t="n">
        <v>45730</v>
      </c>
      <c r="F605" s="32" t="s">
        <v>5650</v>
      </c>
      <c r="G605" s="0" t="n">
        <v>4</v>
      </c>
      <c r="H605" s="32" t="s">
        <v>5651</v>
      </c>
      <c r="I605" s="32" t="s">
        <v>5652</v>
      </c>
      <c r="J605" s="32" t="s">
        <v>3749</v>
      </c>
      <c r="K605" s="32" t="s">
        <v>2081</v>
      </c>
      <c r="L605" s="0" t="n">
        <v>138</v>
      </c>
      <c r="M605" s="32" t="s">
        <v>4073</v>
      </c>
      <c r="N605" s="32" t="s">
        <v>3751</v>
      </c>
      <c r="O605" s="32" t="n">
        <f aca="false">IF(I605="","",ROUND(MOD(TIMEVALUE(I605)-TIMEVALUE(F605),1)*1440,0))</f>
        <v>138</v>
      </c>
      <c r="P605" s="0" t="str">
        <f aca="false">IF(COUNTIF($A$2:A605,A605)&gt;1,"DUP","")</f>
        <v/>
      </c>
      <c r="Q605" s="0" t="str">
        <f aca="false">IF(O605="","",IF(O605&gt;240,"Y","N"))</f>
        <v>N</v>
      </c>
    </row>
    <row r="606" customFormat="false" ht="15" hidden="false" customHeight="false" outlineLevel="0" collapsed="false">
      <c r="A606" s="0" t="s">
        <v>5653</v>
      </c>
      <c r="B606" s="0" t="s">
        <v>5654</v>
      </c>
      <c r="C606" s="0" t="s">
        <v>2225</v>
      </c>
      <c r="D606" s="31" t="n">
        <v>17685</v>
      </c>
      <c r="E606" s="31" t="n">
        <v>45671</v>
      </c>
      <c r="F606" s="32" t="s">
        <v>4001</v>
      </c>
      <c r="G606" s="0" t="n">
        <v>4</v>
      </c>
      <c r="H606" s="32" t="s">
        <v>5655</v>
      </c>
      <c r="I606" s="32" t="s">
        <v>4337</v>
      </c>
      <c r="J606" s="32" t="s">
        <v>2307</v>
      </c>
      <c r="K606" s="32" t="s">
        <v>2081</v>
      </c>
      <c r="L606" s="0" t="n">
        <v>143</v>
      </c>
      <c r="M606" s="32" t="s">
        <v>3946</v>
      </c>
      <c r="N606" s="32" t="s">
        <v>3751</v>
      </c>
      <c r="O606" s="32" t="n">
        <f aca="false">IF(I606="","",ROUND(MOD(TIMEVALUE(I606)-TIMEVALUE(F606),1)*1440,0))</f>
        <v>143</v>
      </c>
      <c r="P606" s="0" t="str">
        <f aca="false">IF(COUNTIF($A$2:A606,A606)&gt;1,"DUP","")</f>
        <v/>
      </c>
      <c r="Q606" s="0" t="str">
        <f aca="false">IF(O606="","",IF(O606&gt;240,"Y","N"))</f>
        <v>N</v>
      </c>
    </row>
    <row r="607" customFormat="false" ht="15" hidden="false" customHeight="false" outlineLevel="0" collapsed="false">
      <c r="A607" s="0" t="s">
        <v>5656</v>
      </c>
      <c r="B607" s="0" t="s">
        <v>4894</v>
      </c>
      <c r="C607" s="0" t="s">
        <v>938</v>
      </c>
      <c r="D607" s="31" t="n">
        <v>16584</v>
      </c>
      <c r="E607" s="31" t="n">
        <v>45657</v>
      </c>
      <c r="F607" s="32" t="s">
        <v>4189</v>
      </c>
      <c r="G607" s="0" t="n">
        <v>4</v>
      </c>
      <c r="I607" s="32" t="s">
        <v>4254</v>
      </c>
      <c r="J607" s="32" t="s">
        <v>2307</v>
      </c>
      <c r="K607" s="32" t="s">
        <v>2081</v>
      </c>
      <c r="L607" s="0" t="n">
        <v>178</v>
      </c>
      <c r="M607" s="32" t="s">
        <v>3975</v>
      </c>
      <c r="N607" s="32" t="s">
        <v>3751</v>
      </c>
      <c r="O607" s="32" t="n">
        <f aca="false">IF(I607="","",ROUND(MOD(TIMEVALUE(I607)-TIMEVALUE(F607),1)*1440,0))</f>
        <v>178</v>
      </c>
      <c r="P607" s="0" t="str">
        <f aca="false">IF(COUNTIF($A$2:A607,A607)&gt;1,"DUP","")</f>
        <v/>
      </c>
      <c r="Q607" s="0" t="str">
        <f aca="false">IF(O607="","",IF(O607&gt;240,"Y","N"))</f>
        <v>N</v>
      </c>
    </row>
    <row r="608" customFormat="false" ht="15" hidden="false" customHeight="false" outlineLevel="0" collapsed="false">
      <c r="A608" s="0" t="s">
        <v>5657</v>
      </c>
      <c r="C608" s="0" t="s">
        <v>862</v>
      </c>
      <c r="D608" s="31" t="n">
        <v>25874</v>
      </c>
      <c r="E608" s="31" t="n">
        <v>45658</v>
      </c>
      <c r="F608" s="32" t="s">
        <v>5369</v>
      </c>
      <c r="G608" s="0" t="n">
        <v>2</v>
      </c>
      <c r="H608" s="32" t="s">
        <v>5123</v>
      </c>
      <c r="I608" s="32" t="s">
        <v>5300</v>
      </c>
      <c r="J608" s="32" t="s">
        <v>7</v>
      </c>
      <c r="K608" s="32" t="s">
        <v>2081</v>
      </c>
      <c r="L608" s="0" t="n">
        <v>147</v>
      </c>
      <c r="M608" s="32" t="s">
        <v>4060</v>
      </c>
      <c r="N608" s="32" t="s">
        <v>3751</v>
      </c>
      <c r="O608" s="32" t="n">
        <f aca="false">IF(I608="","",ROUND(MOD(TIMEVALUE(I608)-TIMEVALUE(F608),1)*1440,0))</f>
        <v>147</v>
      </c>
      <c r="P608" s="0" t="str">
        <f aca="false">IF(COUNTIF($A$2:A608,A608)&gt;1,"DUP","")</f>
        <v/>
      </c>
      <c r="Q608" s="0" t="str">
        <f aca="false">IF(O608="","",IF(O608&gt;240,"Y","N"))</f>
        <v>N</v>
      </c>
    </row>
    <row r="609" customFormat="false" ht="15" hidden="false" customHeight="false" outlineLevel="0" collapsed="false">
      <c r="A609" s="0" t="s">
        <v>5658</v>
      </c>
      <c r="C609" s="0" t="s">
        <v>934</v>
      </c>
      <c r="D609" s="31" t="n">
        <v>25924</v>
      </c>
      <c r="E609" s="31" t="n">
        <v>45719</v>
      </c>
      <c r="F609" s="32" t="s">
        <v>4299</v>
      </c>
      <c r="G609" s="0" t="n">
        <v>3</v>
      </c>
      <c r="H609" s="32" t="s">
        <v>4401</v>
      </c>
      <c r="I609" s="32" t="s">
        <v>5583</v>
      </c>
      <c r="J609" s="32" t="s">
        <v>3749</v>
      </c>
      <c r="K609" s="32" t="s">
        <v>2081</v>
      </c>
      <c r="L609" s="0" t="n">
        <v>197</v>
      </c>
      <c r="M609" s="32" t="s">
        <v>4219</v>
      </c>
      <c r="N609" s="32" t="s">
        <v>3751</v>
      </c>
      <c r="O609" s="32" t="n">
        <f aca="false">IF(I609="","",ROUND(MOD(TIMEVALUE(I609)-TIMEVALUE(F609),1)*1440,0))</f>
        <v>197</v>
      </c>
      <c r="P609" s="0" t="str">
        <f aca="false">IF(COUNTIF($A$2:A609,A609)&gt;1,"DUP","")</f>
        <v/>
      </c>
      <c r="Q609" s="0" t="str">
        <f aca="false">IF(O609="","",IF(O609&gt;240,"Y","N"))</f>
        <v>N</v>
      </c>
    </row>
    <row r="610" customFormat="false" ht="15" hidden="false" customHeight="false" outlineLevel="0" collapsed="false">
      <c r="A610" s="0" t="s">
        <v>5659</v>
      </c>
      <c r="B610" s="0" t="s">
        <v>4498</v>
      </c>
      <c r="C610" s="0" t="s">
        <v>985</v>
      </c>
      <c r="D610" s="31" t="n">
        <v>18497</v>
      </c>
      <c r="E610" s="31" t="n">
        <v>45693</v>
      </c>
      <c r="F610" s="32" t="s">
        <v>4597</v>
      </c>
      <c r="G610" s="0" t="n">
        <v>2</v>
      </c>
      <c r="H610" s="32" t="s">
        <v>4623</v>
      </c>
      <c r="I610" s="32" t="s">
        <v>3876</v>
      </c>
      <c r="J610" s="32" t="s">
        <v>7</v>
      </c>
      <c r="K610" s="32" t="s">
        <v>2081</v>
      </c>
      <c r="L610" s="0" t="n">
        <v>151</v>
      </c>
      <c r="M610" s="32" t="s">
        <v>4267</v>
      </c>
      <c r="N610" s="32" t="s">
        <v>3751</v>
      </c>
      <c r="O610" s="32" t="n">
        <f aca="false">IF(I610="","",ROUND(MOD(TIMEVALUE(I610)-TIMEVALUE(F610),1)*1440,0))</f>
        <v>151</v>
      </c>
      <c r="P610" s="0" t="str">
        <f aca="false">IF(COUNTIF($A$2:A610,A610)&gt;1,"DUP","")</f>
        <v/>
      </c>
      <c r="Q610" s="0" t="str">
        <f aca="false">IF(O610="","",IF(O610&gt;240,"Y","N"))</f>
        <v>N</v>
      </c>
    </row>
    <row r="611" customFormat="false" ht="15" hidden="false" customHeight="false" outlineLevel="0" collapsed="false">
      <c r="A611" s="0" t="s">
        <v>5660</v>
      </c>
      <c r="B611" s="0" t="s">
        <v>5661</v>
      </c>
      <c r="C611" s="0" t="s">
        <v>977</v>
      </c>
      <c r="D611" s="31" t="n">
        <v>32960</v>
      </c>
      <c r="E611" s="31" t="n">
        <v>45694</v>
      </c>
      <c r="F611" s="32" t="s">
        <v>5662</v>
      </c>
      <c r="G611" s="0" t="n">
        <v>3</v>
      </c>
      <c r="I611" s="32" t="s">
        <v>4791</v>
      </c>
      <c r="J611" s="32" t="s">
        <v>3749</v>
      </c>
      <c r="K611" s="32" t="s">
        <v>2106</v>
      </c>
      <c r="L611" s="0" t="n">
        <v>557</v>
      </c>
      <c r="M611" s="32" t="s">
        <v>3764</v>
      </c>
      <c r="N611" s="32" t="s">
        <v>3751</v>
      </c>
      <c r="O611" s="32" t="n">
        <f aca="false">IF(I611="","",ROUND(MOD(TIMEVALUE(I611)-TIMEVALUE(F611),1)*1440,0))</f>
        <v>557</v>
      </c>
      <c r="P611" s="0" t="str">
        <f aca="false">IF(COUNTIF($A$2:A611,A611)&gt;1,"DUP","")</f>
        <v/>
      </c>
      <c r="Q611" s="0" t="str">
        <f aca="false">IF(O611="","",IF(O611&gt;240,"Y","N"))</f>
        <v>Y</v>
      </c>
    </row>
    <row r="612" customFormat="false" ht="15" hidden="false" customHeight="false" outlineLevel="0" collapsed="false">
      <c r="A612" s="0" t="s">
        <v>5663</v>
      </c>
      <c r="C612" s="0" t="s">
        <v>870</v>
      </c>
      <c r="D612" s="31" t="n">
        <v>37108</v>
      </c>
      <c r="E612" s="31" t="n">
        <v>45609</v>
      </c>
      <c r="F612" s="32" t="s">
        <v>4456</v>
      </c>
      <c r="G612" s="0" t="n">
        <v>2</v>
      </c>
      <c r="H612" s="32" t="s">
        <v>4719</v>
      </c>
      <c r="J612" s="32" t="s">
        <v>3749</v>
      </c>
      <c r="M612" s="32" t="s">
        <v>3952</v>
      </c>
      <c r="N612" s="32" t="s">
        <v>3751</v>
      </c>
      <c r="O612" s="0" t="str">
        <f aca="false">IF(I612="","",ROUND(MOD(TIMEVALUE(I612)-TIMEVALUE(F612),1)*1440,0))</f>
        <v/>
      </c>
      <c r="P612" s="0" t="str">
        <f aca="false">IF(COUNTIF($A$2:A612,A612)&gt;1,"DUP","")</f>
        <v/>
      </c>
      <c r="Q612" s="0" t="str">
        <f aca="false">IF(O612="","",IF(O612&gt;240,"Y","N"))</f>
        <v/>
      </c>
    </row>
    <row r="613" customFormat="false" ht="15" hidden="false" customHeight="false" outlineLevel="0" collapsed="false">
      <c r="A613" s="0" t="s">
        <v>5664</v>
      </c>
      <c r="B613" s="0" t="s">
        <v>4377</v>
      </c>
      <c r="C613" s="0" t="s">
        <v>894</v>
      </c>
      <c r="D613" s="31" t="n">
        <v>18208</v>
      </c>
      <c r="E613" s="31" t="n">
        <v>45605</v>
      </c>
      <c r="F613" s="32" t="s">
        <v>3930</v>
      </c>
      <c r="G613" s="0" t="n">
        <v>4</v>
      </c>
      <c r="H613" s="32" t="s">
        <v>5244</v>
      </c>
      <c r="I613" s="32" t="s">
        <v>4566</v>
      </c>
      <c r="J613" s="32" t="s">
        <v>3749</v>
      </c>
      <c r="K613" s="32" t="s">
        <v>2081</v>
      </c>
      <c r="L613" s="0" t="n">
        <v>231</v>
      </c>
      <c r="M613" s="32" t="s">
        <v>3787</v>
      </c>
      <c r="N613" s="32" t="s">
        <v>3751</v>
      </c>
      <c r="O613" s="32" t="n">
        <f aca="false">IF(I613="","",ROUND(MOD(TIMEVALUE(I613)-TIMEVALUE(F613),1)*1440,0))</f>
        <v>231</v>
      </c>
      <c r="P613" s="0" t="str">
        <f aca="false">IF(COUNTIF($A$2:A613,A613)&gt;1,"DUP","")</f>
        <v/>
      </c>
      <c r="Q613" s="0" t="str">
        <f aca="false">IF(O613="","",IF(O613&gt;240,"Y","N"))</f>
        <v>N</v>
      </c>
    </row>
    <row r="614" customFormat="false" ht="15" hidden="false" customHeight="false" outlineLevel="0" collapsed="false">
      <c r="A614" s="0" t="s">
        <v>5665</v>
      </c>
      <c r="B614" s="0" t="s">
        <v>4200</v>
      </c>
      <c r="C614" s="0" t="s">
        <v>1021</v>
      </c>
      <c r="D614" s="31" t="n">
        <v>29846</v>
      </c>
      <c r="E614" s="31" t="n">
        <v>45599</v>
      </c>
      <c r="F614" s="32" t="s">
        <v>5666</v>
      </c>
      <c r="G614" s="0" t="n">
        <v>3</v>
      </c>
      <c r="H614" s="32" t="s">
        <v>5667</v>
      </c>
      <c r="I614" s="32" t="s">
        <v>4496</v>
      </c>
      <c r="J614" s="32" t="s">
        <v>3749</v>
      </c>
      <c r="K614" s="32" t="s">
        <v>2081</v>
      </c>
      <c r="L614" s="0" t="n">
        <v>171</v>
      </c>
      <c r="M614" s="32" t="s">
        <v>3966</v>
      </c>
      <c r="N614" s="32" t="s">
        <v>3751</v>
      </c>
      <c r="O614" s="32" t="n">
        <f aca="false">IF(I614="","",ROUND(MOD(TIMEVALUE(I614)-TIMEVALUE(F614),1)*1440,0))</f>
        <v>171</v>
      </c>
      <c r="P614" s="0" t="str">
        <f aca="false">IF(COUNTIF($A$2:A614,A614)&gt;1,"DUP","")</f>
        <v/>
      </c>
      <c r="Q614" s="0" t="str">
        <f aca="false">IF(O614="","",IF(O614&gt;240,"Y","N"))</f>
        <v>N</v>
      </c>
    </row>
    <row r="615" customFormat="false" ht="15" hidden="false" customHeight="false" outlineLevel="0" collapsed="false">
      <c r="A615" s="0" t="s">
        <v>5668</v>
      </c>
      <c r="B615" s="0" t="s">
        <v>3948</v>
      </c>
      <c r="C615" s="0" t="s">
        <v>1001</v>
      </c>
      <c r="D615" s="31" t="n">
        <v>31697</v>
      </c>
      <c r="E615" s="31" t="n">
        <v>45662</v>
      </c>
      <c r="F615" s="32" t="s">
        <v>5669</v>
      </c>
      <c r="G615" s="0" t="n">
        <v>5</v>
      </c>
      <c r="H615" s="32" t="s">
        <v>5670</v>
      </c>
      <c r="I615" s="32" t="s">
        <v>813</v>
      </c>
      <c r="J615" s="32" t="s">
        <v>3793</v>
      </c>
      <c r="K615" s="32" t="s">
        <v>2081</v>
      </c>
      <c r="L615" s="0" t="n">
        <v>229</v>
      </c>
      <c r="M615" s="32" t="s">
        <v>4037</v>
      </c>
      <c r="N615" s="32" t="s">
        <v>826</v>
      </c>
      <c r="O615" s="32" t="n">
        <f aca="false">IF(I615="","",ROUND(MOD(TIMEVALUE(I615)-TIMEVALUE(F615),1)*1440,0))</f>
        <v>229</v>
      </c>
      <c r="P615" s="0" t="str">
        <f aca="false">IF(COUNTIF($A$2:A615,A615)&gt;1,"DUP","")</f>
        <v/>
      </c>
      <c r="Q615" s="0" t="str">
        <f aca="false">IF(O615="","",IF(O615&gt;240,"Y","N"))</f>
        <v>N</v>
      </c>
    </row>
    <row r="616" customFormat="false" ht="15" hidden="false" customHeight="false" outlineLevel="0" collapsed="false">
      <c r="A616" s="0" t="s">
        <v>5671</v>
      </c>
      <c r="B616" s="0" t="s">
        <v>4788</v>
      </c>
      <c r="C616" s="0" t="s">
        <v>817</v>
      </c>
      <c r="D616" s="31" t="n">
        <v>34907</v>
      </c>
      <c r="E616" s="31" t="n">
        <v>45610</v>
      </c>
      <c r="F616" s="32" t="s">
        <v>5672</v>
      </c>
      <c r="G616" s="0" t="n">
        <v>3</v>
      </c>
      <c r="H616" s="32" t="s">
        <v>4020</v>
      </c>
      <c r="I616" s="32" t="s">
        <v>3906</v>
      </c>
      <c r="J616" s="32" t="s">
        <v>3749</v>
      </c>
      <c r="K616" s="32" t="s">
        <v>2106</v>
      </c>
      <c r="L616" s="0" t="n">
        <v>531</v>
      </c>
      <c r="M616" s="32" t="s">
        <v>4295</v>
      </c>
      <c r="N616" s="32" t="s">
        <v>3751</v>
      </c>
      <c r="O616" s="32" t="n">
        <f aca="false">IF(I616="","",ROUND(MOD(TIMEVALUE(I616)-TIMEVALUE(F616),1)*1440,0))</f>
        <v>531</v>
      </c>
      <c r="P616" s="0" t="str">
        <f aca="false">IF(COUNTIF($A$2:A616,A616)&gt;1,"DUP","")</f>
        <v/>
      </c>
      <c r="Q616" s="0" t="str">
        <f aca="false">IF(O616="","",IF(O616&gt;240,"Y","N"))</f>
        <v>Y</v>
      </c>
    </row>
    <row r="617" customFormat="false" ht="15" hidden="false" customHeight="false" outlineLevel="0" collapsed="false">
      <c r="A617" s="0" t="s">
        <v>5673</v>
      </c>
      <c r="B617" s="0" t="s">
        <v>4305</v>
      </c>
      <c r="C617" s="0" t="s">
        <v>817</v>
      </c>
      <c r="D617" s="31" t="n">
        <v>37599</v>
      </c>
      <c r="E617" s="31" t="n">
        <v>45583</v>
      </c>
      <c r="F617" s="32" t="s">
        <v>4792</v>
      </c>
      <c r="G617" s="0" t="n">
        <v>4</v>
      </c>
      <c r="H617" s="32" t="s">
        <v>5599</v>
      </c>
      <c r="I617" s="32" t="s">
        <v>3852</v>
      </c>
      <c r="J617" s="32" t="s">
        <v>3749</v>
      </c>
      <c r="K617" s="32" t="s">
        <v>2081</v>
      </c>
      <c r="L617" s="0" t="n">
        <v>220</v>
      </c>
      <c r="M617" s="32" t="s">
        <v>3993</v>
      </c>
      <c r="N617" s="32" t="s">
        <v>3751</v>
      </c>
      <c r="O617" s="32" t="n">
        <f aca="false">IF(I617="","",ROUND(MOD(TIMEVALUE(I617)-TIMEVALUE(F617),1)*1440,0))</f>
        <v>220</v>
      </c>
      <c r="P617" s="0" t="str">
        <f aca="false">IF(COUNTIF($A$2:A617,A617)&gt;1,"DUP","")</f>
        <v/>
      </c>
      <c r="Q617" s="0" t="str">
        <f aca="false">IF(O617="","",IF(O617&gt;240,"Y","N"))</f>
        <v>N</v>
      </c>
    </row>
    <row r="618" customFormat="false" ht="15" hidden="false" customHeight="false" outlineLevel="0" collapsed="false">
      <c r="A618" s="0" t="s">
        <v>5674</v>
      </c>
      <c r="B618" s="0" t="s">
        <v>4049</v>
      </c>
      <c r="C618" s="0" t="s">
        <v>914</v>
      </c>
      <c r="D618" s="31" t="n">
        <v>13789</v>
      </c>
      <c r="E618" s="31" t="n">
        <v>45699</v>
      </c>
      <c r="F618" s="32" t="s">
        <v>5166</v>
      </c>
      <c r="G618" s="0" t="n">
        <v>5</v>
      </c>
      <c r="H618" s="32" t="s">
        <v>3876</v>
      </c>
      <c r="I618" s="32" t="s">
        <v>5675</v>
      </c>
      <c r="J618" s="32" t="s">
        <v>3749</v>
      </c>
      <c r="K618" s="32" t="s">
        <v>2106</v>
      </c>
      <c r="L618" s="0" t="n">
        <v>477</v>
      </c>
      <c r="M618" s="32" t="s">
        <v>3855</v>
      </c>
      <c r="N618" s="32" t="s">
        <v>3751</v>
      </c>
      <c r="O618" s="32" t="n">
        <f aca="false">IF(I618="","",ROUND(MOD(TIMEVALUE(I618)-TIMEVALUE(F618),1)*1440,0))</f>
        <v>477</v>
      </c>
      <c r="P618" s="0" t="str">
        <f aca="false">IF(COUNTIF($A$2:A618,A618)&gt;1,"DUP","")</f>
        <v/>
      </c>
      <c r="Q618" s="0" t="str">
        <f aca="false">IF(O618="","",IF(O618&gt;240,"Y","N"))</f>
        <v>Y</v>
      </c>
    </row>
    <row r="619" customFormat="false" ht="15" hidden="false" customHeight="false" outlineLevel="0" collapsed="false">
      <c r="A619" s="0" t="s">
        <v>5676</v>
      </c>
      <c r="B619" s="0" t="s">
        <v>5677</v>
      </c>
      <c r="C619" s="0" t="s">
        <v>833</v>
      </c>
      <c r="D619" s="31" t="n">
        <v>35427</v>
      </c>
      <c r="E619" s="31" t="n">
        <v>45696</v>
      </c>
      <c r="F619" s="32" t="s">
        <v>5678</v>
      </c>
      <c r="G619" s="0" t="n">
        <v>2</v>
      </c>
      <c r="H619" s="32" t="s">
        <v>5679</v>
      </c>
      <c r="I619" s="32" t="s">
        <v>5680</v>
      </c>
      <c r="J619" s="32" t="s">
        <v>3749</v>
      </c>
      <c r="K619" s="32" t="s">
        <v>2081</v>
      </c>
      <c r="L619" s="0" t="n">
        <v>44</v>
      </c>
      <c r="M619" s="32" t="s">
        <v>3975</v>
      </c>
      <c r="N619" s="32" t="s">
        <v>3751</v>
      </c>
      <c r="O619" s="32" t="n">
        <f aca="false">IF(I619="","",ROUND(MOD(TIMEVALUE(I619)-TIMEVALUE(F619),1)*1440,0))</f>
        <v>44</v>
      </c>
      <c r="P619" s="0" t="str">
        <f aca="false">IF(COUNTIF($A$2:A619,A619)&gt;1,"DUP","")</f>
        <v/>
      </c>
      <c r="Q619" s="0" t="str">
        <f aca="false">IF(O619="","",IF(O619&gt;240,"Y","N"))</f>
        <v>N</v>
      </c>
    </row>
    <row r="620" customFormat="false" ht="15" hidden="false" customHeight="false" outlineLevel="0" collapsed="false">
      <c r="A620" s="0" t="s">
        <v>5681</v>
      </c>
      <c r="B620" s="0" t="s">
        <v>5682</v>
      </c>
      <c r="C620" s="0" t="s">
        <v>1001</v>
      </c>
      <c r="D620" s="31" t="n">
        <v>17290</v>
      </c>
      <c r="E620" s="31" t="n">
        <v>45660</v>
      </c>
      <c r="F620" s="32" t="s">
        <v>5683</v>
      </c>
      <c r="G620" s="0" t="n">
        <v>5</v>
      </c>
      <c r="H620" s="32" t="s">
        <v>5684</v>
      </c>
      <c r="I620" s="32" t="s">
        <v>4201</v>
      </c>
      <c r="J620" s="32" t="s">
        <v>2307</v>
      </c>
      <c r="K620" s="32" t="s">
        <v>2081</v>
      </c>
      <c r="L620" s="0" t="n">
        <v>78</v>
      </c>
      <c r="M620" s="32" t="s">
        <v>3787</v>
      </c>
      <c r="N620" s="32" t="s">
        <v>3751</v>
      </c>
      <c r="O620" s="32" t="n">
        <f aca="false">IF(I620="","",ROUND(MOD(TIMEVALUE(I620)-TIMEVALUE(F620),1)*1440,0))</f>
        <v>78</v>
      </c>
      <c r="P620" s="0" t="str">
        <f aca="false">IF(COUNTIF($A$2:A620,A620)&gt;1,"DUP","")</f>
        <v/>
      </c>
      <c r="Q620" s="0" t="str">
        <f aca="false">IF(O620="","",IF(O620&gt;240,"Y","N"))</f>
        <v>N</v>
      </c>
    </row>
    <row r="621" customFormat="false" ht="15" hidden="false" customHeight="false" outlineLevel="0" collapsed="false">
      <c r="A621" s="0" t="s">
        <v>5685</v>
      </c>
      <c r="B621" s="0" t="s">
        <v>5686</v>
      </c>
      <c r="C621" s="0" t="s">
        <v>966</v>
      </c>
      <c r="D621" s="31" t="n">
        <v>27109</v>
      </c>
      <c r="E621" s="31" t="n">
        <v>45668</v>
      </c>
      <c r="F621" s="32" t="s">
        <v>5046</v>
      </c>
      <c r="G621" s="0" t="n">
        <v>4</v>
      </c>
      <c r="H621" s="32" t="s">
        <v>4006</v>
      </c>
      <c r="I621" s="32" t="s">
        <v>4852</v>
      </c>
      <c r="J621" s="32" t="s">
        <v>3749</v>
      </c>
      <c r="K621" s="32" t="s">
        <v>2081</v>
      </c>
      <c r="L621" s="0" t="n">
        <v>231</v>
      </c>
      <c r="M621" s="32" t="s">
        <v>3882</v>
      </c>
      <c r="N621" s="32" t="s">
        <v>3751</v>
      </c>
      <c r="O621" s="32" t="n">
        <f aca="false">IF(I621="","",ROUND(MOD(TIMEVALUE(I621)-TIMEVALUE(F621),1)*1440,0))</f>
        <v>231</v>
      </c>
      <c r="P621" s="0" t="str">
        <f aca="false">IF(COUNTIF($A$2:A621,A621)&gt;1,"DUP","")</f>
        <v/>
      </c>
      <c r="Q621" s="0" t="str">
        <f aca="false">IF(O621="","",IF(O621&gt;240,"Y","N"))</f>
        <v>N</v>
      </c>
    </row>
    <row r="622" customFormat="false" ht="15" hidden="false" customHeight="false" outlineLevel="0" collapsed="false">
      <c r="A622" s="0" t="s">
        <v>5687</v>
      </c>
      <c r="B622" s="0" t="s">
        <v>5688</v>
      </c>
      <c r="C622" s="0" t="s">
        <v>1029</v>
      </c>
      <c r="D622" s="31" t="n">
        <v>27770</v>
      </c>
      <c r="E622" s="31" t="n">
        <v>45667</v>
      </c>
      <c r="F622" s="32" t="s">
        <v>3924</v>
      </c>
      <c r="G622" s="0" t="n">
        <v>4</v>
      </c>
      <c r="H622" s="32" t="s">
        <v>4589</v>
      </c>
      <c r="I622" s="32" t="s">
        <v>4965</v>
      </c>
      <c r="J622" s="32" t="s">
        <v>3749</v>
      </c>
      <c r="K622" s="32" t="s">
        <v>2081</v>
      </c>
      <c r="L622" s="0" t="n">
        <v>36</v>
      </c>
      <c r="M622" s="32" t="s">
        <v>4031</v>
      </c>
      <c r="N622" s="32" t="s">
        <v>3751</v>
      </c>
      <c r="O622" s="32" t="n">
        <f aca="false">IF(I622="","",ROUND(MOD(TIMEVALUE(I622)-TIMEVALUE(F622),1)*1440,0))</f>
        <v>36</v>
      </c>
      <c r="P622" s="0" t="str">
        <f aca="false">IF(COUNTIF($A$2:A622,A622)&gt;1,"DUP","")</f>
        <v/>
      </c>
      <c r="Q622" s="0" t="str">
        <f aca="false">IF(O622="","",IF(O622&gt;240,"Y","N"))</f>
        <v>N</v>
      </c>
    </row>
    <row r="623" customFormat="false" ht="15" hidden="false" customHeight="false" outlineLevel="0" collapsed="false">
      <c r="A623" s="0" t="s">
        <v>5689</v>
      </c>
      <c r="B623" s="0" t="s">
        <v>5682</v>
      </c>
      <c r="C623" s="0" t="s">
        <v>906</v>
      </c>
      <c r="D623" s="31" t="n">
        <v>22532</v>
      </c>
      <c r="E623" s="31" t="n">
        <v>45716</v>
      </c>
      <c r="F623" s="32" t="s">
        <v>5690</v>
      </c>
      <c r="G623" s="0" t="n">
        <v>2</v>
      </c>
      <c r="H623" s="32" t="s">
        <v>4639</v>
      </c>
      <c r="I623" s="32" t="s">
        <v>4456</v>
      </c>
      <c r="J623" s="32" t="s">
        <v>3749</v>
      </c>
      <c r="K623" s="32" t="s">
        <v>2081</v>
      </c>
      <c r="L623" s="0" t="n">
        <v>43</v>
      </c>
      <c r="M623" s="32" t="s">
        <v>3821</v>
      </c>
      <c r="N623" s="32" t="s">
        <v>3751</v>
      </c>
      <c r="O623" s="32" t="n">
        <f aca="false">IF(I623="","",ROUND(MOD(TIMEVALUE(I623)-TIMEVALUE(F623),1)*1440,0))</f>
        <v>43</v>
      </c>
      <c r="P623" s="0" t="str">
        <f aca="false">IF(COUNTIF($A$2:A623,A623)&gt;1,"DUP","")</f>
        <v/>
      </c>
      <c r="Q623" s="0" t="str">
        <f aca="false">IF(O623="","",IF(O623&gt;240,"Y","N"))</f>
        <v>N</v>
      </c>
    </row>
    <row r="624" customFormat="false" ht="15" hidden="false" customHeight="false" outlineLevel="0" collapsed="false">
      <c r="A624" s="0" t="s">
        <v>5691</v>
      </c>
      <c r="B624" s="0" t="s">
        <v>5619</v>
      </c>
      <c r="C624" s="0" t="s">
        <v>958</v>
      </c>
      <c r="D624" s="31" t="n">
        <v>26820</v>
      </c>
      <c r="E624" s="31" t="n">
        <v>45623</v>
      </c>
      <c r="F624" s="32" t="s">
        <v>5692</v>
      </c>
      <c r="G624" s="0" t="n">
        <v>3</v>
      </c>
      <c r="H624" s="32" t="s">
        <v>5105</v>
      </c>
      <c r="I624" s="32" t="s">
        <v>4994</v>
      </c>
      <c r="J624" s="32" t="s">
        <v>3749</v>
      </c>
      <c r="K624" s="32" t="s">
        <v>2081</v>
      </c>
      <c r="L624" s="0" t="n">
        <v>51</v>
      </c>
      <c r="M624" s="32" t="s">
        <v>4582</v>
      </c>
      <c r="N624" s="32" t="s">
        <v>1455</v>
      </c>
      <c r="O624" s="32" t="n">
        <f aca="false">IF(I624="","",ROUND(MOD(TIMEVALUE(I624)-TIMEVALUE(F624),1)*1440,0))</f>
        <v>51</v>
      </c>
      <c r="P624" s="0" t="str">
        <f aca="false">IF(COUNTIF($A$2:A624,A624)&gt;1,"DUP","")</f>
        <v/>
      </c>
      <c r="Q624" s="0" t="str">
        <f aca="false">IF(O624="","",IF(O624&gt;240,"Y","N"))</f>
        <v>N</v>
      </c>
    </row>
    <row r="625" customFormat="false" ht="15" hidden="false" customHeight="false" outlineLevel="0" collapsed="false">
      <c r="A625" s="0" t="s">
        <v>5693</v>
      </c>
      <c r="B625" s="0" t="s">
        <v>4174</v>
      </c>
      <c r="C625" s="0" t="s">
        <v>950</v>
      </c>
      <c r="D625" s="31" t="n">
        <v>18674</v>
      </c>
      <c r="E625" s="31" t="n">
        <v>45592</v>
      </c>
      <c r="F625" s="32" t="s">
        <v>4020</v>
      </c>
      <c r="G625" s="0" t="n">
        <v>3</v>
      </c>
      <c r="H625" s="32" t="s">
        <v>5694</v>
      </c>
      <c r="I625" s="32" t="s">
        <v>5695</v>
      </c>
      <c r="J625" s="32" t="s">
        <v>3749</v>
      </c>
      <c r="K625" s="32" t="s">
        <v>2081</v>
      </c>
      <c r="L625" s="0" t="n">
        <v>123</v>
      </c>
      <c r="M625" s="32" t="s">
        <v>4285</v>
      </c>
      <c r="N625" s="32" t="s">
        <v>3751</v>
      </c>
      <c r="O625" s="32" t="n">
        <f aca="false">IF(I625="","",ROUND(MOD(TIMEVALUE(I625)-TIMEVALUE(F625),1)*1440,0))</f>
        <v>123</v>
      </c>
      <c r="P625" s="0" t="str">
        <f aca="false">IF(COUNTIF($A$2:A625,A625)&gt;1,"DUP","")</f>
        <v/>
      </c>
      <c r="Q625" s="0" t="str">
        <f aca="false">IF(O625="","",IF(O625&gt;240,"Y","N"))</f>
        <v>N</v>
      </c>
    </row>
    <row r="626" customFormat="false" ht="15" hidden="false" customHeight="false" outlineLevel="0" collapsed="false">
      <c r="A626" s="0" t="s">
        <v>5696</v>
      </c>
      <c r="B626" s="0" t="s">
        <v>5686</v>
      </c>
      <c r="C626" s="0" t="s">
        <v>2148</v>
      </c>
      <c r="D626" s="31" t="n">
        <v>24126</v>
      </c>
      <c r="E626" s="31" t="n">
        <v>45589</v>
      </c>
      <c r="F626" s="32" t="s">
        <v>5697</v>
      </c>
      <c r="G626" s="0" t="n">
        <v>3</v>
      </c>
      <c r="H626" s="32" t="s">
        <v>5578</v>
      </c>
      <c r="I626" s="32" t="s">
        <v>4416</v>
      </c>
      <c r="J626" s="32" t="s">
        <v>3763</v>
      </c>
      <c r="K626" s="32" t="s">
        <v>2081</v>
      </c>
      <c r="L626" s="0" t="n">
        <v>54</v>
      </c>
      <c r="M626" s="32" t="s">
        <v>3799</v>
      </c>
      <c r="N626" s="32" t="s">
        <v>3751</v>
      </c>
      <c r="O626" s="32" t="n">
        <f aca="false">IF(I626="","",ROUND(MOD(TIMEVALUE(I626)-TIMEVALUE(F626),1)*1440,0))</f>
        <v>54</v>
      </c>
      <c r="P626" s="0" t="str">
        <f aca="false">IF(COUNTIF($A$2:A626,A626)&gt;1,"DUP","")</f>
        <v/>
      </c>
      <c r="Q626" s="0" t="str">
        <f aca="false">IF(O626="","",IF(O626&gt;240,"Y","N"))</f>
        <v>N</v>
      </c>
    </row>
    <row r="627" customFormat="false" ht="15" hidden="false" customHeight="false" outlineLevel="0" collapsed="false">
      <c r="A627" s="0" t="s">
        <v>5698</v>
      </c>
      <c r="B627" s="0" t="s">
        <v>5120</v>
      </c>
      <c r="C627" s="0" t="s">
        <v>934</v>
      </c>
      <c r="D627" s="31" t="n">
        <v>17914</v>
      </c>
      <c r="E627" s="31" t="n">
        <v>45651</v>
      </c>
      <c r="F627" s="32" t="s">
        <v>4576</v>
      </c>
      <c r="G627" s="0" t="n">
        <v>4</v>
      </c>
      <c r="H627" s="32" t="s">
        <v>5699</v>
      </c>
      <c r="I627" s="32" t="s">
        <v>5700</v>
      </c>
      <c r="J627" s="32" t="s">
        <v>3749</v>
      </c>
      <c r="K627" s="32" t="s">
        <v>2081</v>
      </c>
      <c r="L627" s="0" t="n">
        <v>91</v>
      </c>
      <c r="M627" s="32" t="s">
        <v>3975</v>
      </c>
      <c r="N627" s="32" t="s">
        <v>3751</v>
      </c>
      <c r="O627" s="32" t="n">
        <f aca="false">IF(I627="","",ROUND(MOD(TIMEVALUE(I627)-TIMEVALUE(F627),1)*1440,0))</f>
        <v>91</v>
      </c>
      <c r="P627" s="0" t="str">
        <f aca="false">IF(COUNTIF($A$2:A627,A627)&gt;1,"DUP","")</f>
        <v/>
      </c>
      <c r="Q627" s="0" t="str">
        <f aca="false">IF(O627="","",IF(O627&gt;240,"Y","N"))</f>
        <v>N</v>
      </c>
    </row>
    <row r="628" customFormat="false" ht="15" hidden="false" customHeight="false" outlineLevel="0" collapsed="false">
      <c r="A628" s="0" t="s">
        <v>5701</v>
      </c>
      <c r="B628" s="0" t="s">
        <v>3778</v>
      </c>
      <c r="C628" s="0" t="s">
        <v>775</v>
      </c>
      <c r="D628" s="31" t="n">
        <v>30356</v>
      </c>
      <c r="E628" s="31" t="n">
        <v>45667</v>
      </c>
      <c r="F628" s="32" t="s">
        <v>4970</v>
      </c>
      <c r="G628" s="0" t="n">
        <v>5</v>
      </c>
      <c r="H628" s="32" t="s">
        <v>4502</v>
      </c>
      <c r="I628" s="32" t="s">
        <v>5279</v>
      </c>
      <c r="J628" s="32" t="s">
        <v>3749</v>
      </c>
      <c r="K628" s="32" t="s">
        <v>2081</v>
      </c>
      <c r="L628" s="0" t="n">
        <v>32</v>
      </c>
      <c r="M628" s="32" t="s">
        <v>4582</v>
      </c>
      <c r="N628" s="32" t="s">
        <v>3751</v>
      </c>
      <c r="O628" s="32" t="n">
        <f aca="false">IF(I628="","",ROUND(MOD(TIMEVALUE(I628)-TIMEVALUE(F628),1)*1440,0))</f>
        <v>32</v>
      </c>
      <c r="P628" s="0" t="str">
        <f aca="false">IF(COUNTIF($A$2:A628,A628)&gt;1,"DUP","")</f>
        <v/>
      </c>
      <c r="Q628" s="0" t="str">
        <f aca="false">IF(O628="","",IF(O628&gt;240,"Y","N"))</f>
        <v>N</v>
      </c>
    </row>
    <row r="629" customFormat="false" ht="15" hidden="false" customHeight="false" outlineLevel="0" collapsed="false">
      <c r="A629" s="0" t="s">
        <v>5702</v>
      </c>
      <c r="B629" s="0" t="s">
        <v>5259</v>
      </c>
      <c r="C629" s="0" t="s">
        <v>757</v>
      </c>
      <c r="D629" s="31" t="n">
        <v>13365</v>
      </c>
      <c r="E629" s="31" t="n">
        <v>45732</v>
      </c>
      <c r="F629" s="32" t="s">
        <v>5458</v>
      </c>
      <c r="G629" s="0" t="n">
        <v>2</v>
      </c>
      <c r="H629" s="32" t="s">
        <v>5703</v>
      </c>
      <c r="I629" s="32" t="s">
        <v>5704</v>
      </c>
      <c r="J629" s="32" t="s">
        <v>3749</v>
      </c>
      <c r="K629" s="32" t="s">
        <v>2081</v>
      </c>
      <c r="L629" s="0" t="n">
        <v>92</v>
      </c>
      <c r="M629" s="32" t="s">
        <v>3866</v>
      </c>
      <c r="N629" s="32" t="s">
        <v>3751</v>
      </c>
      <c r="O629" s="32" t="n">
        <f aca="false">IF(I629="","",ROUND(MOD(TIMEVALUE(I629)-TIMEVALUE(F629),1)*1440,0))</f>
        <v>92</v>
      </c>
      <c r="P629" s="0" t="str">
        <f aca="false">IF(COUNTIF($A$2:A629,A629)&gt;1,"DUP","")</f>
        <v/>
      </c>
      <c r="Q629" s="0" t="str">
        <f aca="false">IF(O629="","",IF(O629&gt;240,"Y","N"))</f>
        <v>N</v>
      </c>
    </row>
    <row r="630" customFormat="false" ht="15" hidden="false" customHeight="false" outlineLevel="0" collapsed="false">
      <c r="A630" s="0" t="s">
        <v>5705</v>
      </c>
      <c r="B630" s="0" t="s">
        <v>5321</v>
      </c>
      <c r="C630" s="0" t="s">
        <v>914</v>
      </c>
      <c r="D630" s="31" t="n">
        <v>30657</v>
      </c>
      <c r="E630" s="31" t="n">
        <v>45604</v>
      </c>
      <c r="F630" s="32" t="s">
        <v>5384</v>
      </c>
      <c r="G630" s="0" t="n">
        <v>3</v>
      </c>
      <c r="H630" s="32" t="s">
        <v>5695</v>
      </c>
      <c r="I630" s="32" t="s">
        <v>4068</v>
      </c>
      <c r="J630" s="32" t="s">
        <v>3749</v>
      </c>
      <c r="K630" s="32" t="s">
        <v>2081</v>
      </c>
      <c r="L630" s="0" t="n">
        <v>165</v>
      </c>
      <c r="M630" s="32" t="s">
        <v>3827</v>
      </c>
      <c r="N630" s="32" t="s">
        <v>3751</v>
      </c>
      <c r="O630" s="32" t="n">
        <f aca="false">IF(I630="","",ROUND(MOD(TIMEVALUE(I630)-TIMEVALUE(F630),1)*1440,0))</f>
        <v>165</v>
      </c>
      <c r="P630" s="0" t="str">
        <f aca="false">IF(COUNTIF($A$2:A630,A630)&gt;1,"DUP","")</f>
        <v/>
      </c>
      <c r="Q630" s="0" t="str">
        <f aca="false">IF(O630="","",IF(O630&gt;240,"Y","N"))</f>
        <v>N</v>
      </c>
    </row>
    <row r="631" customFormat="false" ht="15" hidden="false" customHeight="false" outlineLevel="0" collapsed="false">
      <c r="A631" s="0" t="s">
        <v>5706</v>
      </c>
      <c r="C631" s="0" t="s">
        <v>1419</v>
      </c>
      <c r="D631" s="31" t="n">
        <v>34785</v>
      </c>
      <c r="E631" s="31" t="n">
        <v>45633</v>
      </c>
      <c r="F631" s="32" t="s">
        <v>4598</v>
      </c>
      <c r="G631" s="0" t="n">
        <v>2</v>
      </c>
      <c r="H631" s="32" t="s">
        <v>5570</v>
      </c>
      <c r="I631" s="32" t="s">
        <v>5623</v>
      </c>
      <c r="J631" s="32" t="s">
        <v>3749</v>
      </c>
      <c r="K631" s="32" t="s">
        <v>2081</v>
      </c>
      <c r="L631" s="0" t="n">
        <v>166</v>
      </c>
      <c r="M631" s="32" t="s">
        <v>4313</v>
      </c>
      <c r="N631" s="32" t="s">
        <v>3751</v>
      </c>
      <c r="O631" s="32" t="n">
        <f aca="false">IF(I631="","",ROUND(MOD(TIMEVALUE(I631)-TIMEVALUE(F631),1)*1440,0))</f>
        <v>166</v>
      </c>
      <c r="P631" s="0" t="str">
        <f aca="false">IF(COUNTIF($A$2:A631,A631)&gt;1,"DUP","")</f>
        <v/>
      </c>
      <c r="Q631" s="0" t="str">
        <f aca="false">IF(O631="","",IF(O631&gt;240,"Y","N"))</f>
        <v>N</v>
      </c>
    </row>
    <row r="632" customFormat="false" ht="15" hidden="false" customHeight="false" outlineLevel="0" collapsed="false">
      <c r="A632" s="0" t="s">
        <v>5707</v>
      </c>
      <c r="B632" s="0" t="s">
        <v>3995</v>
      </c>
      <c r="C632" s="0" t="s">
        <v>765</v>
      </c>
      <c r="D632" s="31" t="n">
        <v>20418</v>
      </c>
      <c r="E632" s="31" t="n">
        <v>45589</v>
      </c>
      <c r="F632" s="32" t="s">
        <v>5708</v>
      </c>
      <c r="G632" s="0" t="n">
        <v>2</v>
      </c>
      <c r="H632" s="32" t="s">
        <v>4644</v>
      </c>
      <c r="I632" s="32" t="s">
        <v>3969</v>
      </c>
      <c r="J632" s="32" t="s">
        <v>3749</v>
      </c>
      <c r="K632" s="32" t="s">
        <v>2081</v>
      </c>
      <c r="L632" s="0" t="n">
        <v>157</v>
      </c>
      <c r="M632" s="32" t="s">
        <v>3946</v>
      </c>
      <c r="N632" s="32" t="s">
        <v>3751</v>
      </c>
      <c r="O632" s="32" t="n">
        <f aca="false">IF(I632="","",ROUND(MOD(TIMEVALUE(I632)-TIMEVALUE(F632),1)*1440,0))</f>
        <v>157</v>
      </c>
      <c r="P632" s="0" t="str">
        <f aca="false">IF(COUNTIF($A$2:A632,A632)&gt;1,"DUP","")</f>
        <v/>
      </c>
      <c r="Q632" s="0" t="str">
        <f aca="false">IF(O632="","",IF(O632&gt;240,"Y","N"))</f>
        <v>N</v>
      </c>
    </row>
    <row r="633" customFormat="false" ht="15" hidden="false" customHeight="false" outlineLevel="0" collapsed="false">
      <c r="A633" s="0" t="s">
        <v>5709</v>
      </c>
      <c r="C633" s="0" t="s">
        <v>2206</v>
      </c>
      <c r="D633" s="31" t="n">
        <v>28441</v>
      </c>
      <c r="E633" s="31" t="n">
        <v>45679</v>
      </c>
      <c r="F633" s="32" t="s">
        <v>5181</v>
      </c>
      <c r="G633" s="0" t="n">
        <v>3</v>
      </c>
      <c r="I633" s="32" t="s">
        <v>5710</v>
      </c>
      <c r="J633" s="32" t="s">
        <v>3793</v>
      </c>
      <c r="K633" s="32" t="s">
        <v>2081</v>
      </c>
      <c r="L633" s="0" t="n">
        <v>63</v>
      </c>
      <c r="M633" s="32" t="s">
        <v>4219</v>
      </c>
      <c r="N633" s="32" t="s">
        <v>785</v>
      </c>
      <c r="O633" s="32" t="n">
        <f aca="false">IF(I633="","",ROUND(MOD(TIMEVALUE(I633)-TIMEVALUE(F633),1)*1440,0))</f>
        <v>63</v>
      </c>
      <c r="P633" s="0" t="str">
        <f aca="false">IF(COUNTIF($A$2:A633,A633)&gt;1,"DUP","")</f>
        <v/>
      </c>
      <c r="Q633" s="0" t="str">
        <f aca="false">IF(O633="","",IF(O633&gt;240,"Y","N"))</f>
        <v>N</v>
      </c>
    </row>
    <row r="634" customFormat="false" ht="15" hidden="false" customHeight="false" outlineLevel="0" collapsed="false">
      <c r="A634" s="0" t="s">
        <v>5711</v>
      </c>
      <c r="B634" s="0" t="s">
        <v>5712</v>
      </c>
      <c r="C634" s="0" t="s">
        <v>2225</v>
      </c>
      <c r="D634" s="31" t="n">
        <v>31557</v>
      </c>
      <c r="E634" s="31" t="n">
        <v>45702</v>
      </c>
      <c r="F634" s="32" t="s">
        <v>5599</v>
      </c>
      <c r="G634" s="0" t="n">
        <v>4</v>
      </c>
      <c r="I634" s="32" t="s">
        <v>4593</v>
      </c>
      <c r="J634" s="32" t="s">
        <v>2307</v>
      </c>
      <c r="K634" s="32" t="s">
        <v>2081</v>
      </c>
      <c r="L634" s="0" t="n">
        <v>136</v>
      </c>
      <c r="M634" s="32" t="s">
        <v>3946</v>
      </c>
      <c r="N634" s="32" t="s">
        <v>3751</v>
      </c>
      <c r="O634" s="32" t="n">
        <f aca="false">IF(I634="","",ROUND(MOD(TIMEVALUE(I634)-TIMEVALUE(F634),1)*1440,0))</f>
        <v>136</v>
      </c>
      <c r="P634" s="0" t="str">
        <f aca="false">IF(COUNTIF($A$2:A634,A634)&gt;1,"DUP","")</f>
        <v/>
      </c>
      <c r="Q634" s="0" t="str">
        <f aca="false">IF(O634="","",IF(O634&gt;240,"Y","N"))</f>
        <v>N</v>
      </c>
    </row>
    <row r="635" customFormat="false" ht="15" hidden="false" customHeight="false" outlineLevel="0" collapsed="false">
      <c r="A635" s="0" t="s">
        <v>5713</v>
      </c>
      <c r="B635" s="0" t="s">
        <v>5714</v>
      </c>
      <c r="C635" s="0" t="s">
        <v>989</v>
      </c>
      <c r="D635" s="31" t="n">
        <v>30782</v>
      </c>
      <c r="E635" s="31" t="n">
        <v>45644</v>
      </c>
      <c r="F635" s="32" t="s">
        <v>5715</v>
      </c>
      <c r="G635" s="0" t="n">
        <v>4</v>
      </c>
      <c r="H635" s="32" t="s">
        <v>5716</v>
      </c>
      <c r="I635" s="32" t="s">
        <v>3970</v>
      </c>
      <c r="J635" s="32" t="s">
        <v>7</v>
      </c>
      <c r="K635" s="32" t="s">
        <v>2106</v>
      </c>
      <c r="L635" s="0" t="n">
        <v>245</v>
      </c>
      <c r="M635" s="32" t="s">
        <v>4285</v>
      </c>
      <c r="N635" s="32" t="s">
        <v>3751</v>
      </c>
      <c r="O635" s="32" t="n">
        <f aca="false">IF(I635="","",ROUND(MOD(TIMEVALUE(I635)-TIMEVALUE(F635),1)*1440,0))</f>
        <v>245</v>
      </c>
      <c r="P635" s="0" t="str">
        <f aca="false">IF(COUNTIF($A$2:A635,A635)&gt;1,"DUP","")</f>
        <v/>
      </c>
      <c r="Q635" s="0" t="str">
        <f aca="false">IF(O635="","",IF(O635&gt;240,"Y","N"))</f>
        <v>Y</v>
      </c>
    </row>
    <row r="636" customFormat="false" ht="15" hidden="false" customHeight="false" outlineLevel="0" collapsed="false">
      <c r="A636" s="0" t="s">
        <v>5717</v>
      </c>
      <c r="B636" s="0" t="s">
        <v>5718</v>
      </c>
      <c r="C636" s="0" t="s">
        <v>966</v>
      </c>
      <c r="D636" s="31" t="n">
        <v>19785</v>
      </c>
      <c r="E636" s="31" t="n">
        <v>45736</v>
      </c>
      <c r="F636" s="32" t="s">
        <v>5719</v>
      </c>
      <c r="G636" s="0" t="n">
        <v>4</v>
      </c>
      <c r="H636" s="32" t="s">
        <v>5720</v>
      </c>
      <c r="I636" s="32" t="s">
        <v>4547</v>
      </c>
      <c r="J636" s="32" t="s">
        <v>3763</v>
      </c>
      <c r="K636" s="32" t="s">
        <v>2081</v>
      </c>
      <c r="L636" s="0" t="n">
        <v>54</v>
      </c>
      <c r="M636" s="32" t="s">
        <v>3821</v>
      </c>
      <c r="N636" s="32" t="s">
        <v>3751</v>
      </c>
      <c r="O636" s="32" t="n">
        <f aca="false">IF(I636="","",ROUND(MOD(TIMEVALUE(I636)-TIMEVALUE(F636),1)*1440,0))</f>
        <v>54</v>
      </c>
      <c r="P636" s="0" t="str">
        <f aca="false">IF(COUNTIF($A$2:A636,A636)&gt;1,"DUP","")</f>
        <v/>
      </c>
      <c r="Q636" s="0" t="str">
        <f aca="false">IF(O636="","",IF(O636&gt;240,"Y","N"))</f>
        <v>N</v>
      </c>
    </row>
    <row r="637" customFormat="false" ht="15" hidden="false" customHeight="false" outlineLevel="0" collapsed="false">
      <c r="A637" s="0" t="s">
        <v>5721</v>
      </c>
      <c r="B637" s="0" t="s">
        <v>4603</v>
      </c>
      <c r="C637" s="0" t="s">
        <v>922</v>
      </c>
      <c r="D637" s="31" t="n">
        <v>29902</v>
      </c>
      <c r="E637" s="31" t="n">
        <v>45675</v>
      </c>
      <c r="F637" s="32" t="s">
        <v>5126</v>
      </c>
      <c r="G637" s="0" t="n">
        <v>4</v>
      </c>
      <c r="H637" s="32" t="s">
        <v>4899</v>
      </c>
      <c r="J637" s="32" t="s">
        <v>3749</v>
      </c>
      <c r="M637" s="32" t="s">
        <v>4285</v>
      </c>
      <c r="N637" s="32" t="s">
        <v>3751</v>
      </c>
      <c r="O637" s="0" t="str">
        <f aca="false">IF(I637="","",ROUND(MOD(TIMEVALUE(I637)-TIMEVALUE(F637),1)*1440,0))</f>
        <v/>
      </c>
      <c r="P637" s="0" t="str">
        <f aca="false">IF(COUNTIF($A$2:A637,A637)&gt;1,"DUP","")</f>
        <v/>
      </c>
      <c r="Q637" s="0" t="str">
        <f aca="false">IF(O637="","",IF(O637&gt;240,"Y","N"))</f>
        <v/>
      </c>
    </row>
    <row r="638" customFormat="false" ht="15" hidden="false" customHeight="false" outlineLevel="0" collapsed="false">
      <c r="A638" s="0" t="s">
        <v>5722</v>
      </c>
      <c r="B638" s="0" t="s">
        <v>4973</v>
      </c>
      <c r="C638" s="0" t="s">
        <v>938</v>
      </c>
      <c r="D638" s="31" t="n">
        <v>30904</v>
      </c>
      <c r="E638" s="31" t="n">
        <v>45686</v>
      </c>
      <c r="F638" s="32" t="s">
        <v>5265</v>
      </c>
      <c r="G638" s="0" t="n">
        <v>3</v>
      </c>
      <c r="H638" s="32" t="s">
        <v>5723</v>
      </c>
      <c r="I638" s="32" t="s">
        <v>5460</v>
      </c>
      <c r="J638" s="32" t="s">
        <v>3749</v>
      </c>
      <c r="K638" s="32" t="s">
        <v>2081</v>
      </c>
      <c r="L638" s="0" t="n">
        <v>66</v>
      </c>
      <c r="M638" s="32" t="s">
        <v>3902</v>
      </c>
      <c r="N638" s="32" t="s">
        <v>3751</v>
      </c>
      <c r="O638" s="32" t="n">
        <f aca="false">IF(I638="","",ROUND(MOD(TIMEVALUE(I638)-TIMEVALUE(F638),1)*1440,0))</f>
        <v>66</v>
      </c>
      <c r="P638" s="0" t="str">
        <f aca="false">IF(COUNTIF($A$2:A638,A638)&gt;1,"DUP","")</f>
        <v/>
      </c>
      <c r="Q638" s="0" t="str">
        <f aca="false">IF(O638="","",IF(O638&gt;240,"Y","N"))</f>
        <v>N</v>
      </c>
    </row>
    <row r="639" customFormat="false" ht="15" hidden="false" customHeight="false" outlineLevel="0" collapsed="false">
      <c r="A639" s="0" t="s">
        <v>5724</v>
      </c>
      <c r="B639" s="0" t="s">
        <v>5725</v>
      </c>
      <c r="C639" s="0" t="s">
        <v>1398</v>
      </c>
      <c r="D639" s="31" t="n">
        <v>27851</v>
      </c>
      <c r="E639" s="31" t="n">
        <v>45582</v>
      </c>
      <c r="F639" s="32" t="s">
        <v>5726</v>
      </c>
      <c r="G639" s="0" t="n">
        <v>3</v>
      </c>
      <c r="H639" s="32" t="s">
        <v>5346</v>
      </c>
      <c r="I639" s="32" t="s">
        <v>4241</v>
      </c>
      <c r="J639" s="32" t="s">
        <v>3749</v>
      </c>
      <c r="K639" s="32" t="s">
        <v>2081</v>
      </c>
      <c r="L639" s="0" t="n">
        <v>144</v>
      </c>
      <c r="M639" s="32" t="s">
        <v>3821</v>
      </c>
      <c r="N639" s="32" t="s">
        <v>3751</v>
      </c>
      <c r="O639" s="32" t="n">
        <f aca="false">IF(I639="","",ROUND(MOD(TIMEVALUE(I639)-TIMEVALUE(F639),1)*1440,0))</f>
        <v>144</v>
      </c>
      <c r="P639" s="0" t="str">
        <f aca="false">IF(COUNTIF($A$2:A639,A639)&gt;1,"DUP","")</f>
        <v/>
      </c>
      <c r="Q639" s="0" t="str">
        <f aca="false">IF(O639="","",IF(O639&gt;240,"Y","N"))</f>
        <v>N</v>
      </c>
    </row>
    <row r="640" customFormat="false" ht="15" hidden="false" customHeight="false" outlineLevel="0" collapsed="false">
      <c r="A640" s="0" t="s">
        <v>5727</v>
      </c>
      <c r="B640" s="0" t="s">
        <v>3845</v>
      </c>
      <c r="C640" s="0" t="s">
        <v>977</v>
      </c>
      <c r="D640" s="31" t="n">
        <v>27031</v>
      </c>
      <c r="E640" s="31" t="n">
        <v>45716</v>
      </c>
      <c r="F640" s="32" t="s">
        <v>4397</v>
      </c>
      <c r="G640" s="0" t="n">
        <v>4</v>
      </c>
      <c r="H640" s="32" t="s">
        <v>5728</v>
      </c>
      <c r="I640" s="32" t="s">
        <v>5729</v>
      </c>
      <c r="J640" s="32" t="s">
        <v>3749</v>
      </c>
      <c r="K640" s="32" t="s">
        <v>2081</v>
      </c>
      <c r="L640" s="0" t="n">
        <v>196</v>
      </c>
      <c r="M640" s="32" t="s">
        <v>3849</v>
      </c>
      <c r="N640" s="32" t="s">
        <v>3751</v>
      </c>
      <c r="O640" s="32" t="n">
        <f aca="false">IF(I640="","",ROUND(MOD(TIMEVALUE(I640)-TIMEVALUE(F640),1)*1440,0))</f>
        <v>196</v>
      </c>
      <c r="P640" s="0" t="str">
        <f aca="false">IF(COUNTIF($A$2:A640,A640)&gt;1,"DUP","")</f>
        <v/>
      </c>
      <c r="Q640" s="0" t="str">
        <f aca="false">IF(O640="","",IF(O640&gt;240,"Y","N"))</f>
        <v>N</v>
      </c>
    </row>
    <row r="641" customFormat="false" ht="15" hidden="false" customHeight="false" outlineLevel="0" collapsed="false">
      <c r="A641" s="0" t="s">
        <v>5730</v>
      </c>
      <c r="B641" s="0" t="s">
        <v>4978</v>
      </c>
      <c r="C641" s="0" t="s">
        <v>833</v>
      </c>
      <c r="D641" s="31" t="n">
        <v>16428</v>
      </c>
      <c r="E641" s="31" t="n">
        <v>45707</v>
      </c>
      <c r="F641" s="32" t="s">
        <v>5731</v>
      </c>
      <c r="G641" s="0" t="n">
        <v>5</v>
      </c>
      <c r="H641" s="32" t="s">
        <v>5732</v>
      </c>
      <c r="I641" s="32" t="s">
        <v>5029</v>
      </c>
      <c r="J641" s="32" t="s">
        <v>3763</v>
      </c>
      <c r="K641" s="32" t="s">
        <v>2081</v>
      </c>
      <c r="L641" s="0" t="n">
        <v>195</v>
      </c>
      <c r="M641" s="32" t="s">
        <v>4141</v>
      </c>
      <c r="N641" s="32" t="s">
        <v>3751</v>
      </c>
      <c r="O641" s="32" t="n">
        <f aca="false">IF(I641="","",ROUND(MOD(TIMEVALUE(I641)-TIMEVALUE(F641),1)*1440,0))</f>
        <v>195</v>
      </c>
      <c r="P641" s="0" t="str">
        <f aca="false">IF(COUNTIF($A$2:A641,A641)&gt;1,"DUP","")</f>
        <v/>
      </c>
      <c r="Q641" s="0" t="str">
        <f aca="false">IF(O641="","",IF(O641&gt;240,"Y","N"))</f>
        <v>N</v>
      </c>
    </row>
    <row r="642" customFormat="false" ht="15" hidden="false" customHeight="false" outlineLevel="0" collapsed="false">
      <c r="A642" s="0" t="s">
        <v>5733</v>
      </c>
      <c r="B642" s="0" t="s">
        <v>5156</v>
      </c>
      <c r="C642" s="0" t="s">
        <v>954</v>
      </c>
      <c r="D642" s="31" t="n">
        <v>35069</v>
      </c>
      <c r="E642" s="31" t="n">
        <v>45685</v>
      </c>
      <c r="F642" s="32" t="s">
        <v>5734</v>
      </c>
      <c r="G642" s="0" t="n">
        <v>3</v>
      </c>
      <c r="H642" s="32" t="s">
        <v>4547</v>
      </c>
      <c r="I642" s="32" t="s">
        <v>5735</v>
      </c>
      <c r="J642" s="32" t="s">
        <v>3749</v>
      </c>
      <c r="K642" s="32" t="s">
        <v>2081</v>
      </c>
      <c r="L642" s="0" t="n">
        <v>118</v>
      </c>
      <c r="M642" s="32" t="s">
        <v>3993</v>
      </c>
      <c r="N642" s="32" t="s">
        <v>3751</v>
      </c>
      <c r="O642" s="32" t="n">
        <f aca="false">IF(I642="","",ROUND(MOD(TIMEVALUE(I642)-TIMEVALUE(F642),1)*1440,0))</f>
        <v>118</v>
      </c>
      <c r="P642" s="0" t="str">
        <f aca="false">IF(COUNTIF($A$2:A642,A642)&gt;1,"DUP","")</f>
        <v/>
      </c>
      <c r="Q642" s="0" t="str">
        <f aca="false">IF(O642="","",IF(O642&gt;240,"Y","N"))</f>
        <v>N</v>
      </c>
    </row>
    <row r="643" customFormat="false" ht="15" hidden="false" customHeight="false" outlineLevel="0" collapsed="false">
      <c r="A643" s="0" t="s">
        <v>5736</v>
      </c>
      <c r="B643" s="0" t="s">
        <v>4511</v>
      </c>
      <c r="C643" s="0" t="s">
        <v>946</v>
      </c>
      <c r="D643" s="31" t="n">
        <v>16503</v>
      </c>
      <c r="E643" s="31" t="n">
        <v>45594</v>
      </c>
      <c r="F643" s="32" t="s">
        <v>5737</v>
      </c>
      <c r="G643" s="0" t="n">
        <v>5</v>
      </c>
      <c r="H643" s="32" t="s">
        <v>5738</v>
      </c>
      <c r="I643" s="32" t="s">
        <v>3756</v>
      </c>
      <c r="J643" s="32" t="s">
        <v>3749</v>
      </c>
      <c r="K643" s="32" t="s">
        <v>2081</v>
      </c>
      <c r="L643" s="0" t="n">
        <v>185</v>
      </c>
      <c r="M643" s="32" t="s">
        <v>4313</v>
      </c>
      <c r="N643" s="32" t="s">
        <v>3751</v>
      </c>
      <c r="O643" s="32" t="n">
        <f aca="false">IF(I643="","",ROUND(MOD(TIMEVALUE(I643)-TIMEVALUE(F643),1)*1440,0))</f>
        <v>185</v>
      </c>
      <c r="P643" s="0" t="str">
        <f aca="false">IF(COUNTIF($A$2:A643,A643)&gt;1,"DUP","")</f>
        <v/>
      </c>
      <c r="Q643" s="0" t="str">
        <f aca="false">IF(O643="","",IF(O643&gt;240,"Y","N"))</f>
        <v>N</v>
      </c>
    </row>
    <row r="644" customFormat="false" ht="15" hidden="false" customHeight="false" outlineLevel="0" collapsed="false">
      <c r="A644" s="0" t="s">
        <v>5739</v>
      </c>
      <c r="B644" s="0" t="s">
        <v>5740</v>
      </c>
      <c r="C644" s="0" t="s">
        <v>954</v>
      </c>
      <c r="D644" s="31" t="n">
        <v>19511</v>
      </c>
      <c r="E644" s="31" t="n">
        <v>45709</v>
      </c>
      <c r="F644" s="32" t="s">
        <v>4370</v>
      </c>
      <c r="G644" s="0" t="n">
        <v>5</v>
      </c>
      <c r="H644" s="32" t="s">
        <v>5741</v>
      </c>
      <c r="I644" s="32" t="s">
        <v>4190</v>
      </c>
      <c r="J644" s="32" t="s">
        <v>3749</v>
      </c>
      <c r="K644" s="32" t="s">
        <v>2081</v>
      </c>
      <c r="L644" s="0" t="n">
        <v>161</v>
      </c>
      <c r="M644" s="32" t="s">
        <v>4141</v>
      </c>
      <c r="N644" s="32" t="s">
        <v>3751</v>
      </c>
      <c r="O644" s="32" t="n">
        <f aca="false">IF(I644="","",ROUND(MOD(TIMEVALUE(I644)-TIMEVALUE(F644),1)*1440,0))</f>
        <v>161</v>
      </c>
      <c r="P644" s="0" t="str">
        <f aca="false">IF(COUNTIF($A$2:A644,A644)&gt;1,"DUP","")</f>
        <v/>
      </c>
      <c r="Q644" s="0" t="str">
        <f aca="false">IF(O644="","",IF(O644&gt;240,"Y","N"))</f>
        <v>N</v>
      </c>
    </row>
    <row r="645" customFormat="false" ht="15" hidden="false" customHeight="false" outlineLevel="0" collapsed="false">
      <c r="A645" s="0" t="s">
        <v>5742</v>
      </c>
      <c r="C645" s="0" t="s">
        <v>765</v>
      </c>
      <c r="D645" s="31" t="n">
        <v>29428</v>
      </c>
      <c r="E645" s="31" t="n">
        <v>45663</v>
      </c>
      <c r="F645" s="32" t="s">
        <v>5720</v>
      </c>
      <c r="G645" s="0" t="n">
        <v>3</v>
      </c>
      <c r="H645" s="32" t="s">
        <v>3935</v>
      </c>
      <c r="I645" s="32" t="s">
        <v>3853</v>
      </c>
      <c r="J645" s="32" t="s">
        <v>3749</v>
      </c>
      <c r="K645" s="32" t="s">
        <v>2106</v>
      </c>
      <c r="L645" s="0" t="n">
        <v>546</v>
      </c>
      <c r="M645" s="32" t="s">
        <v>3750</v>
      </c>
      <c r="N645" s="32" t="s">
        <v>3751</v>
      </c>
      <c r="O645" s="32" t="n">
        <f aca="false">IF(I645="","",ROUND(MOD(TIMEVALUE(I645)-TIMEVALUE(F645),1)*1440,0))</f>
        <v>546</v>
      </c>
      <c r="P645" s="0" t="str">
        <f aca="false">IF(COUNTIF($A$2:A645,A645)&gt;1,"DUP","")</f>
        <v/>
      </c>
      <c r="Q645" s="0" t="str">
        <f aca="false">IF(O645="","",IF(O645&gt;240,"Y","N"))</f>
        <v>Y</v>
      </c>
    </row>
    <row r="646" customFormat="false" ht="15" hidden="false" customHeight="false" outlineLevel="0" collapsed="false">
      <c r="A646" s="0" t="s">
        <v>5743</v>
      </c>
      <c r="B646" s="0" t="s">
        <v>4224</v>
      </c>
      <c r="C646" s="0" t="s">
        <v>1025</v>
      </c>
      <c r="D646" s="31" t="n">
        <v>23707</v>
      </c>
      <c r="E646" s="31" t="n">
        <v>45726</v>
      </c>
      <c r="F646" s="32" t="s">
        <v>5190</v>
      </c>
      <c r="G646" s="0" t="n">
        <v>3</v>
      </c>
      <c r="H646" s="32" t="s">
        <v>5480</v>
      </c>
      <c r="I646" s="32" t="s">
        <v>5744</v>
      </c>
      <c r="J646" s="32" t="s">
        <v>3749</v>
      </c>
      <c r="K646" s="32" t="s">
        <v>2106</v>
      </c>
      <c r="L646" s="0" t="n">
        <v>243</v>
      </c>
      <c r="M646" s="32" t="s">
        <v>4114</v>
      </c>
      <c r="N646" s="32" t="s">
        <v>3751</v>
      </c>
      <c r="O646" s="32" t="n">
        <f aca="false">IF(I646="","",ROUND(MOD(TIMEVALUE(I646)-TIMEVALUE(F646),1)*1440,0))</f>
        <v>243</v>
      </c>
      <c r="P646" s="0" t="str">
        <f aca="false">IF(COUNTIF($A$2:A646,A646)&gt;1,"DUP","")</f>
        <v/>
      </c>
      <c r="Q646" s="0" t="str">
        <f aca="false">IF(O646="","",IF(O646&gt;240,"Y","N"))</f>
        <v>Y</v>
      </c>
    </row>
    <row r="647" customFormat="false" ht="15" hidden="false" customHeight="false" outlineLevel="0" collapsed="false">
      <c r="A647" s="0" t="s">
        <v>5745</v>
      </c>
      <c r="B647" s="0" t="s">
        <v>4613</v>
      </c>
      <c r="C647" s="0" t="s">
        <v>1393</v>
      </c>
      <c r="D647" s="31" t="n">
        <v>26768</v>
      </c>
      <c r="E647" s="31" t="n">
        <v>45618</v>
      </c>
      <c r="F647" s="32" t="s">
        <v>5342</v>
      </c>
      <c r="G647" s="0" t="n">
        <v>3</v>
      </c>
      <c r="H647" s="32" t="s">
        <v>4939</v>
      </c>
      <c r="I647" s="32" t="s">
        <v>5268</v>
      </c>
      <c r="J647" s="32" t="s">
        <v>3763</v>
      </c>
      <c r="K647" s="32" t="s">
        <v>2081</v>
      </c>
      <c r="L647" s="0" t="n">
        <v>110</v>
      </c>
      <c r="M647" s="32" t="s">
        <v>3787</v>
      </c>
      <c r="N647" s="32" t="s">
        <v>3751</v>
      </c>
      <c r="O647" s="32" t="n">
        <f aca="false">IF(I647="","",ROUND(MOD(TIMEVALUE(I647)-TIMEVALUE(F647),1)*1440,0))</f>
        <v>110</v>
      </c>
      <c r="P647" s="0" t="str">
        <f aca="false">IF(COUNTIF($A$2:A647,A647)&gt;1,"DUP","")</f>
        <v/>
      </c>
      <c r="Q647" s="0" t="str">
        <f aca="false">IF(O647="","",IF(O647&gt;240,"Y","N"))</f>
        <v>N</v>
      </c>
    </row>
    <row r="648" customFormat="false" ht="15" hidden="false" customHeight="false" outlineLevel="0" collapsed="false">
      <c r="A648" s="0" t="s">
        <v>5746</v>
      </c>
      <c r="B648" s="0" t="s">
        <v>4315</v>
      </c>
      <c r="C648" s="0" t="s">
        <v>1021</v>
      </c>
      <c r="D648" s="31" t="n">
        <v>18868</v>
      </c>
      <c r="E648" s="31" t="n">
        <v>45642</v>
      </c>
      <c r="F648" s="32" t="s">
        <v>4698</v>
      </c>
      <c r="G648" s="0" t="n">
        <v>3</v>
      </c>
      <c r="H648" s="32" t="s">
        <v>4270</v>
      </c>
      <c r="I648" s="32" t="s">
        <v>5747</v>
      </c>
      <c r="J648" s="32" t="s">
        <v>3763</v>
      </c>
      <c r="K648" s="32" t="s">
        <v>2106</v>
      </c>
      <c r="L648" s="0" t="n">
        <v>377</v>
      </c>
      <c r="M648" s="32" t="s">
        <v>3787</v>
      </c>
      <c r="N648" s="32" t="s">
        <v>3751</v>
      </c>
      <c r="O648" s="32" t="n">
        <f aca="false">IF(I648="","",ROUND(MOD(TIMEVALUE(I648)-TIMEVALUE(F648),1)*1440,0))</f>
        <v>377</v>
      </c>
      <c r="P648" s="0" t="str">
        <f aca="false">IF(COUNTIF($A$2:A648,A648)&gt;1,"DUP","")</f>
        <v/>
      </c>
      <c r="Q648" s="0" t="str">
        <f aca="false">IF(O648="","",IF(O648&gt;240,"Y","N"))</f>
        <v>Y</v>
      </c>
    </row>
    <row r="649" customFormat="false" ht="15" hidden="false" customHeight="false" outlineLevel="0" collapsed="false">
      <c r="A649" s="0" t="s">
        <v>5748</v>
      </c>
      <c r="B649" s="0" t="s">
        <v>4322</v>
      </c>
      <c r="C649" s="0" t="s">
        <v>878</v>
      </c>
      <c r="D649" s="31" t="n">
        <v>33423</v>
      </c>
      <c r="E649" s="31" t="n">
        <v>45566</v>
      </c>
      <c r="F649" s="32" t="s">
        <v>3802</v>
      </c>
      <c r="G649" s="0" t="n">
        <v>3</v>
      </c>
      <c r="H649" s="32" t="s">
        <v>4983</v>
      </c>
      <c r="I649" s="32" t="s">
        <v>769</v>
      </c>
      <c r="J649" s="32" t="s">
        <v>2307</v>
      </c>
      <c r="K649" s="32" t="s">
        <v>2081</v>
      </c>
      <c r="L649" s="0" t="n">
        <v>216</v>
      </c>
      <c r="M649" s="32" t="s">
        <v>3866</v>
      </c>
      <c r="N649" s="32" t="s">
        <v>3751</v>
      </c>
      <c r="O649" s="32" t="n">
        <f aca="false">IF(I649="","",ROUND(MOD(TIMEVALUE(I649)-TIMEVALUE(F649),1)*1440,0))</f>
        <v>216</v>
      </c>
      <c r="P649" s="0" t="str">
        <f aca="false">IF(COUNTIF($A$2:A649,A649)&gt;1,"DUP","")</f>
        <v/>
      </c>
      <c r="Q649" s="0" t="str">
        <f aca="false">IF(O649="","",IF(O649&gt;240,"Y","N"))</f>
        <v>N</v>
      </c>
    </row>
    <row r="650" customFormat="false" ht="15" hidden="false" customHeight="false" outlineLevel="0" collapsed="false">
      <c r="A650" s="0" t="s">
        <v>5749</v>
      </c>
      <c r="B650" s="0" t="s">
        <v>4788</v>
      </c>
      <c r="C650" s="0" t="s">
        <v>862</v>
      </c>
      <c r="D650" s="31" t="n">
        <v>14980</v>
      </c>
      <c r="E650" s="31" t="n">
        <v>45667</v>
      </c>
      <c r="F650" s="32" t="s">
        <v>4080</v>
      </c>
      <c r="G650" s="0" t="n">
        <v>3</v>
      </c>
      <c r="H650" s="32" t="s">
        <v>5539</v>
      </c>
      <c r="I650" s="32" t="s">
        <v>5750</v>
      </c>
      <c r="J650" s="32" t="s">
        <v>3749</v>
      </c>
      <c r="K650" s="32" t="s">
        <v>2081</v>
      </c>
      <c r="L650" s="0" t="n">
        <v>206</v>
      </c>
      <c r="M650" s="32" t="s">
        <v>3882</v>
      </c>
      <c r="N650" s="32" t="s">
        <v>3751</v>
      </c>
      <c r="O650" s="32" t="n">
        <f aca="false">IF(I650="","",ROUND(MOD(TIMEVALUE(I650)-TIMEVALUE(F650),1)*1440,0))</f>
        <v>206</v>
      </c>
      <c r="P650" s="0" t="str">
        <f aca="false">IF(COUNTIF($A$2:A650,A650)&gt;1,"DUP","")</f>
        <v/>
      </c>
      <c r="Q650" s="0" t="str">
        <f aca="false">IF(O650="","",IF(O650&gt;240,"Y","N"))</f>
        <v>N</v>
      </c>
    </row>
    <row r="651" customFormat="false" ht="15" hidden="false" customHeight="false" outlineLevel="0" collapsed="false">
      <c r="A651" s="0" t="s">
        <v>5751</v>
      </c>
      <c r="B651" s="0" t="s">
        <v>5203</v>
      </c>
      <c r="C651" s="0" t="s">
        <v>894</v>
      </c>
      <c r="D651" s="31" t="n">
        <v>22338</v>
      </c>
      <c r="E651" s="31" t="n">
        <v>45618</v>
      </c>
      <c r="F651" s="32" t="s">
        <v>5037</v>
      </c>
      <c r="G651" s="0" t="n">
        <v>5</v>
      </c>
      <c r="H651" s="32" t="s">
        <v>5549</v>
      </c>
      <c r="J651" s="32" t="s">
        <v>3749</v>
      </c>
      <c r="M651" s="32" t="s">
        <v>4141</v>
      </c>
      <c r="N651" s="32" t="s">
        <v>3751</v>
      </c>
      <c r="O651" s="0" t="str">
        <f aca="false">IF(I651="","",ROUND(MOD(TIMEVALUE(I651)-TIMEVALUE(F651),1)*1440,0))</f>
        <v/>
      </c>
      <c r="P651" s="0" t="str">
        <f aca="false">IF(COUNTIF($A$2:A651,A651)&gt;1,"DUP","")</f>
        <v/>
      </c>
      <c r="Q651" s="0" t="str">
        <f aca="false">IF(O651="","",IF(O651&gt;240,"Y","N"))</f>
        <v/>
      </c>
    </row>
    <row r="652" customFormat="false" ht="15" hidden="false" customHeight="false" outlineLevel="0" collapsed="false">
      <c r="A652" s="0" t="s">
        <v>5752</v>
      </c>
      <c r="B652" s="0" t="s">
        <v>4672</v>
      </c>
      <c r="C652" s="0" t="s">
        <v>2206</v>
      </c>
      <c r="D652" s="31" t="n">
        <v>16865</v>
      </c>
      <c r="E652" s="31" t="n">
        <v>45713</v>
      </c>
      <c r="F652" s="32" t="s">
        <v>4457</v>
      </c>
      <c r="G652" s="0" t="n">
        <v>2</v>
      </c>
      <c r="H652" s="32" t="s">
        <v>4955</v>
      </c>
      <c r="I652" s="32" t="s">
        <v>5753</v>
      </c>
      <c r="J652" s="32" t="s">
        <v>3749</v>
      </c>
      <c r="K652" s="32" t="s">
        <v>2081</v>
      </c>
      <c r="L652" s="0" t="n">
        <v>187</v>
      </c>
      <c r="M652" s="32" t="s">
        <v>3799</v>
      </c>
      <c r="N652" s="32" t="s">
        <v>3751</v>
      </c>
      <c r="O652" s="32" t="n">
        <f aca="false">IF(I652="","",ROUND(MOD(TIMEVALUE(I652)-TIMEVALUE(F652),1)*1440,0))</f>
        <v>187</v>
      </c>
      <c r="P652" s="0" t="str">
        <f aca="false">IF(COUNTIF($A$2:A652,A652)&gt;1,"DUP","")</f>
        <v/>
      </c>
      <c r="Q652" s="0" t="str">
        <f aca="false">IF(O652="","",IF(O652&gt;240,"Y","N"))</f>
        <v>N</v>
      </c>
    </row>
    <row r="653" customFormat="false" ht="15" hidden="false" customHeight="false" outlineLevel="0" collapsed="false">
      <c r="A653" s="0" t="s">
        <v>5754</v>
      </c>
      <c r="B653" s="0" t="s">
        <v>5330</v>
      </c>
      <c r="C653" s="0" t="s">
        <v>809</v>
      </c>
      <c r="D653" s="31" t="n">
        <v>30708</v>
      </c>
      <c r="E653" s="31" t="n">
        <v>45578</v>
      </c>
      <c r="F653" s="32" t="s">
        <v>4712</v>
      </c>
      <c r="G653" s="0" t="n">
        <v>3</v>
      </c>
      <c r="H653" s="32" t="s">
        <v>4351</v>
      </c>
      <c r="I653" s="32" t="s">
        <v>5505</v>
      </c>
      <c r="J653" s="32" t="s">
        <v>3793</v>
      </c>
      <c r="K653" s="32" t="s">
        <v>2081</v>
      </c>
      <c r="L653" s="0" t="n">
        <v>165</v>
      </c>
      <c r="M653" s="32" t="s">
        <v>4037</v>
      </c>
      <c r="N653" s="32" t="s">
        <v>826</v>
      </c>
      <c r="O653" s="32" t="n">
        <f aca="false">IF(I653="","",ROUND(MOD(TIMEVALUE(I653)-TIMEVALUE(F653),1)*1440,0))</f>
        <v>165</v>
      </c>
      <c r="P653" s="0" t="str">
        <f aca="false">IF(COUNTIF($A$2:A653,A653)&gt;1,"DUP","")</f>
        <v/>
      </c>
      <c r="Q653" s="0" t="str">
        <f aca="false">IF(O653="","",IF(O653&gt;240,"Y","N"))</f>
        <v>N</v>
      </c>
    </row>
    <row r="654" customFormat="false" ht="15" hidden="false" customHeight="false" outlineLevel="0" collapsed="false">
      <c r="A654" s="0" t="s">
        <v>5755</v>
      </c>
      <c r="B654" s="0" t="s">
        <v>4480</v>
      </c>
      <c r="C654" s="0" t="s">
        <v>1017</v>
      </c>
      <c r="D654" s="31" t="n">
        <v>26640</v>
      </c>
      <c r="E654" s="31" t="n">
        <v>45702</v>
      </c>
      <c r="F654" s="32" t="s">
        <v>5251</v>
      </c>
      <c r="G654" s="0" t="n">
        <v>5</v>
      </c>
      <c r="H654" s="32" t="s">
        <v>4878</v>
      </c>
      <c r="I654" s="32" t="s">
        <v>4604</v>
      </c>
      <c r="J654" s="32" t="s">
        <v>3749</v>
      </c>
      <c r="K654" s="32" t="s">
        <v>2106</v>
      </c>
      <c r="L654" s="0" t="n">
        <v>257</v>
      </c>
      <c r="M654" s="32" t="s">
        <v>3887</v>
      </c>
      <c r="N654" s="32" t="s">
        <v>3751</v>
      </c>
      <c r="O654" s="32" t="n">
        <f aca="false">IF(I654="","",ROUND(MOD(TIMEVALUE(I654)-TIMEVALUE(F654),1)*1440,0))</f>
        <v>257</v>
      </c>
      <c r="P654" s="0" t="str">
        <f aca="false">IF(COUNTIF($A$2:A654,A654)&gt;1,"DUP","")</f>
        <v/>
      </c>
      <c r="Q654" s="0" t="str">
        <f aca="false">IF(O654="","",IF(O654&gt;240,"Y","N"))</f>
        <v>Y</v>
      </c>
    </row>
    <row r="655" customFormat="false" ht="15" hidden="false" customHeight="false" outlineLevel="0" collapsed="false">
      <c r="A655" s="0" t="s">
        <v>5756</v>
      </c>
      <c r="B655" s="0" t="s">
        <v>5718</v>
      </c>
      <c r="C655" s="0" t="s">
        <v>981</v>
      </c>
      <c r="D655" s="31" t="n">
        <v>31109</v>
      </c>
      <c r="E655" s="31" t="n">
        <v>45718</v>
      </c>
      <c r="F655" s="32" t="s">
        <v>4930</v>
      </c>
      <c r="G655" s="0" t="n">
        <v>4</v>
      </c>
      <c r="H655" s="32" t="s">
        <v>5757</v>
      </c>
      <c r="I655" s="32" t="s">
        <v>3746</v>
      </c>
      <c r="J655" s="32" t="s">
        <v>3749</v>
      </c>
      <c r="K655" s="32" t="s">
        <v>2081</v>
      </c>
      <c r="L655" s="0" t="n">
        <v>233</v>
      </c>
      <c r="M655" s="32" t="s">
        <v>4255</v>
      </c>
      <c r="N655" s="32" t="s">
        <v>3751</v>
      </c>
      <c r="O655" s="32" t="n">
        <f aca="false">IF(I655="","",ROUND(MOD(TIMEVALUE(I655)-TIMEVALUE(F655),1)*1440,0))</f>
        <v>233</v>
      </c>
      <c r="P655" s="0" t="str">
        <f aca="false">IF(COUNTIF($A$2:A655,A655)&gt;1,"DUP","")</f>
        <v/>
      </c>
      <c r="Q655" s="0" t="str">
        <f aca="false">IF(O655="","",IF(O655&gt;240,"Y","N"))</f>
        <v>N</v>
      </c>
    </row>
    <row r="656" customFormat="false" ht="15" hidden="false" customHeight="false" outlineLevel="0" collapsed="false">
      <c r="A656" s="0" t="s">
        <v>5758</v>
      </c>
      <c r="B656" s="0" t="s">
        <v>4249</v>
      </c>
      <c r="C656" s="0" t="s">
        <v>1001</v>
      </c>
      <c r="D656" s="31" t="n">
        <v>22253</v>
      </c>
      <c r="E656" s="31" t="n">
        <v>45626</v>
      </c>
      <c r="F656" s="32" t="s">
        <v>4163</v>
      </c>
      <c r="G656" s="0" t="n">
        <v>4</v>
      </c>
      <c r="H656" s="32" t="s">
        <v>5242</v>
      </c>
      <c r="I656" s="32" t="s">
        <v>4580</v>
      </c>
      <c r="J656" s="32" t="s">
        <v>3749</v>
      </c>
      <c r="K656" s="32" t="s">
        <v>2106</v>
      </c>
      <c r="L656" s="0" t="n">
        <v>490</v>
      </c>
      <c r="M656" s="32" t="s">
        <v>3975</v>
      </c>
      <c r="N656" s="32" t="s">
        <v>3751</v>
      </c>
      <c r="O656" s="32" t="n">
        <f aca="false">IF(I656="","",ROUND(MOD(TIMEVALUE(I656)-TIMEVALUE(F656),1)*1440,0))</f>
        <v>490</v>
      </c>
      <c r="P656" s="0" t="str">
        <f aca="false">IF(COUNTIF($A$2:A656,A656)&gt;1,"DUP","")</f>
        <v/>
      </c>
      <c r="Q656" s="0" t="str">
        <f aca="false">IF(O656="","",IF(O656&gt;240,"Y","N"))</f>
        <v>Y</v>
      </c>
    </row>
    <row r="657" customFormat="false" ht="15" hidden="false" customHeight="false" outlineLevel="0" collapsed="false">
      <c r="A657" s="0" t="s">
        <v>5759</v>
      </c>
      <c r="C657" s="0" t="s">
        <v>950</v>
      </c>
      <c r="D657" s="31" t="n">
        <v>38645</v>
      </c>
      <c r="E657" s="31" t="n">
        <v>45694</v>
      </c>
      <c r="F657" s="32" t="s">
        <v>5234</v>
      </c>
      <c r="G657" s="0" t="n">
        <v>4</v>
      </c>
      <c r="H657" s="32" t="s">
        <v>5760</v>
      </c>
      <c r="I657" s="32" t="s">
        <v>5761</v>
      </c>
      <c r="J657" s="32" t="s">
        <v>3749</v>
      </c>
      <c r="K657" s="32" t="s">
        <v>2106</v>
      </c>
      <c r="L657" s="0" t="n">
        <v>300</v>
      </c>
      <c r="M657" s="32" t="s">
        <v>3975</v>
      </c>
      <c r="N657" s="32" t="s">
        <v>3751</v>
      </c>
      <c r="O657" s="32" t="n">
        <f aca="false">IF(I657="","",ROUND(MOD(TIMEVALUE(I657)-TIMEVALUE(F657),1)*1440,0))</f>
        <v>300</v>
      </c>
      <c r="P657" s="0" t="str">
        <f aca="false">IF(COUNTIF($A$2:A657,A657)&gt;1,"DUP","")</f>
        <v/>
      </c>
      <c r="Q657" s="0" t="str">
        <f aca="false">IF(O657="","",IF(O657&gt;240,"Y","N"))</f>
        <v>Y</v>
      </c>
    </row>
    <row r="658" customFormat="false" ht="15" hidden="false" customHeight="false" outlineLevel="0" collapsed="false">
      <c r="A658" s="0" t="s">
        <v>5762</v>
      </c>
      <c r="B658" s="0" t="s">
        <v>5763</v>
      </c>
      <c r="C658" s="0" t="s">
        <v>878</v>
      </c>
      <c r="D658" s="31" t="n">
        <v>27726</v>
      </c>
      <c r="E658" s="31" t="n">
        <v>45604</v>
      </c>
      <c r="F658" s="32" t="s">
        <v>5764</v>
      </c>
      <c r="G658" s="0" t="n">
        <v>4</v>
      </c>
      <c r="H658" s="32" t="s">
        <v>3775</v>
      </c>
      <c r="I658" s="32" t="s">
        <v>5617</v>
      </c>
      <c r="J658" s="32" t="s">
        <v>2307</v>
      </c>
      <c r="K658" s="32" t="s">
        <v>2081</v>
      </c>
      <c r="L658" s="0" t="n">
        <v>237</v>
      </c>
      <c r="M658" s="32" t="s">
        <v>3902</v>
      </c>
      <c r="N658" s="32" t="s">
        <v>3751</v>
      </c>
      <c r="O658" s="32" t="n">
        <f aca="false">IF(I658="","",ROUND(MOD(TIMEVALUE(I658)-TIMEVALUE(F658),1)*1440,0))</f>
        <v>237</v>
      </c>
      <c r="P658" s="0" t="str">
        <f aca="false">IF(COUNTIF($A$2:A658,A658)&gt;1,"DUP","")</f>
        <v/>
      </c>
      <c r="Q658" s="0" t="str">
        <f aca="false">IF(O658="","",IF(O658&gt;240,"Y","N"))</f>
        <v>N</v>
      </c>
    </row>
    <row r="659" customFormat="false" ht="15" hidden="false" customHeight="false" outlineLevel="0" collapsed="false">
      <c r="A659" s="0" t="s">
        <v>5765</v>
      </c>
      <c r="B659" s="0" t="s">
        <v>4903</v>
      </c>
      <c r="C659" s="0" t="s">
        <v>825</v>
      </c>
      <c r="D659" s="31" t="n">
        <v>18449</v>
      </c>
      <c r="E659" s="31" t="n">
        <v>45716</v>
      </c>
      <c r="F659" s="32" t="s">
        <v>5410</v>
      </c>
      <c r="G659" s="0" t="n">
        <v>2</v>
      </c>
      <c r="H659" s="32" t="s">
        <v>5766</v>
      </c>
      <c r="I659" s="32" t="s">
        <v>5573</v>
      </c>
      <c r="J659" s="32" t="s">
        <v>3793</v>
      </c>
      <c r="K659" s="32" t="s">
        <v>2081</v>
      </c>
      <c r="L659" s="0" t="n">
        <v>112</v>
      </c>
      <c r="M659" s="32" t="s">
        <v>3757</v>
      </c>
      <c r="N659" s="32" t="s">
        <v>802</v>
      </c>
      <c r="O659" s="32" t="n">
        <f aca="false">IF(I659="","",ROUND(MOD(TIMEVALUE(I659)-TIMEVALUE(F659),1)*1440,0))</f>
        <v>112</v>
      </c>
      <c r="P659" s="0" t="str">
        <f aca="false">IF(COUNTIF($A$2:A659,A659)&gt;1,"DUP","")</f>
        <v/>
      </c>
      <c r="Q659" s="0" t="str">
        <f aca="false">IF(O659="","",IF(O659&gt;240,"Y","N"))</f>
        <v>N</v>
      </c>
    </row>
    <row r="660" customFormat="false" ht="15" hidden="false" customHeight="false" outlineLevel="0" collapsed="false">
      <c r="A660" s="0" t="s">
        <v>5767</v>
      </c>
      <c r="B660" s="0" t="s">
        <v>4776</v>
      </c>
      <c r="C660" s="0" t="s">
        <v>1017</v>
      </c>
      <c r="D660" s="31" t="n">
        <v>16498</v>
      </c>
      <c r="E660" s="31" t="n">
        <v>45618</v>
      </c>
      <c r="F660" s="32" t="s">
        <v>5768</v>
      </c>
      <c r="G660" s="0" t="n">
        <v>3</v>
      </c>
      <c r="H660" s="32" t="s">
        <v>4258</v>
      </c>
      <c r="I660" s="32" t="s">
        <v>5001</v>
      </c>
      <c r="J660" s="32" t="s">
        <v>3793</v>
      </c>
      <c r="K660" s="32" t="s">
        <v>2081</v>
      </c>
      <c r="L660" s="0" t="n">
        <v>79</v>
      </c>
      <c r="M660" s="32" t="s">
        <v>4149</v>
      </c>
      <c r="N660" s="32" t="s">
        <v>785</v>
      </c>
      <c r="O660" s="32" t="n">
        <f aca="false">IF(I660="","",ROUND(MOD(TIMEVALUE(I660)-TIMEVALUE(F660),1)*1440,0))</f>
        <v>79</v>
      </c>
      <c r="P660" s="0" t="str">
        <f aca="false">IF(COUNTIF($A$2:A660,A660)&gt;1,"DUP","")</f>
        <v/>
      </c>
      <c r="Q660" s="0" t="str">
        <f aca="false">IF(O660="","",IF(O660&gt;240,"Y","N"))</f>
        <v>N</v>
      </c>
    </row>
    <row r="661" customFormat="false" ht="15" hidden="false" customHeight="false" outlineLevel="0" collapsed="false">
      <c r="A661" s="0" t="s">
        <v>5769</v>
      </c>
      <c r="B661" s="0" t="s">
        <v>5770</v>
      </c>
      <c r="C661" s="0" t="s">
        <v>958</v>
      </c>
      <c r="D661" s="31" t="n">
        <v>25364</v>
      </c>
      <c r="E661" s="31" t="n">
        <v>45681</v>
      </c>
      <c r="F661" s="32" t="s">
        <v>3876</v>
      </c>
      <c r="G661" s="0" t="n">
        <v>3</v>
      </c>
      <c r="H661" s="32" t="s">
        <v>4029</v>
      </c>
      <c r="I661" s="32" t="s">
        <v>4568</v>
      </c>
      <c r="J661" s="32" t="s">
        <v>3749</v>
      </c>
      <c r="K661" s="32" t="s">
        <v>2081</v>
      </c>
      <c r="L661" s="0" t="n">
        <v>175</v>
      </c>
      <c r="M661" s="32" t="s">
        <v>3750</v>
      </c>
      <c r="N661" s="32" t="s">
        <v>3751</v>
      </c>
      <c r="O661" s="32" t="n">
        <f aca="false">IF(I661="","",ROUND(MOD(TIMEVALUE(I661)-TIMEVALUE(F661),1)*1440,0))</f>
        <v>175</v>
      </c>
      <c r="P661" s="0" t="str">
        <f aca="false">IF(COUNTIF($A$2:A661,A661)&gt;1,"DUP","")</f>
        <v/>
      </c>
      <c r="Q661" s="0" t="str">
        <f aca="false">IF(O661="","",IF(O661&gt;240,"Y","N"))</f>
        <v>N</v>
      </c>
    </row>
    <row r="662" customFormat="false" ht="15" hidden="false" customHeight="false" outlineLevel="0" collapsed="false">
      <c r="A662" s="0" t="s">
        <v>5771</v>
      </c>
      <c r="B662" s="0" t="s">
        <v>5552</v>
      </c>
      <c r="C662" s="0" t="s">
        <v>857</v>
      </c>
      <c r="D662" s="31" t="n">
        <v>38286</v>
      </c>
      <c r="E662" s="31" t="n">
        <v>45675</v>
      </c>
      <c r="F662" s="32" t="s">
        <v>4068</v>
      </c>
      <c r="G662" s="0" t="n">
        <v>3</v>
      </c>
      <c r="H662" s="32" t="s">
        <v>5089</v>
      </c>
      <c r="J662" s="32" t="s">
        <v>3749</v>
      </c>
      <c r="M662" s="32" t="s">
        <v>4141</v>
      </c>
      <c r="N662" s="32" t="s">
        <v>3751</v>
      </c>
      <c r="O662" s="0" t="str">
        <f aca="false">IF(I662="","",ROUND(MOD(TIMEVALUE(I662)-TIMEVALUE(F662),1)*1440,0))</f>
        <v/>
      </c>
      <c r="P662" s="0" t="str">
        <f aca="false">IF(COUNTIF($A$2:A662,A662)&gt;1,"DUP","")</f>
        <v/>
      </c>
      <c r="Q662" s="0" t="str">
        <f aca="false">IF(O662="","",IF(O662&gt;240,"Y","N"))</f>
        <v/>
      </c>
    </row>
    <row r="663" customFormat="false" ht="15" hidden="false" customHeight="false" outlineLevel="0" collapsed="false">
      <c r="A663" s="0" t="s">
        <v>5772</v>
      </c>
      <c r="B663" s="0" t="s">
        <v>4715</v>
      </c>
      <c r="C663" s="0" t="s">
        <v>784</v>
      </c>
      <c r="D663" s="31" t="n">
        <v>39430</v>
      </c>
      <c r="E663" s="31" t="n">
        <v>45661</v>
      </c>
      <c r="F663" s="32" t="s">
        <v>4794</v>
      </c>
      <c r="G663" s="0" t="n">
        <v>4</v>
      </c>
      <c r="I663" s="32" t="s">
        <v>4753</v>
      </c>
      <c r="J663" s="32" t="s">
        <v>3749</v>
      </c>
      <c r="K663" s="32" t="s">
        <v>2106</v>
      </c>
      <c r="L663" s="0" t="n">
        <v>319</v>
      </c>
      <c r="M663" s="32" t="s">
        <v>3843</v>
      </c>
      <c r="N663" s="32" t="s">
        <v>3751</v>
      </c>
      <c r="O663" s="32" t="n">
        <f aca="false">IF(I663="","",ROUND(MOD(TIMEVALUE(I663)-TIMEVALUE(F663),1)*1440,0))</f>
        <v>319</v>
      </c>
      <c r="P663" s="0" t="str">
        <f aca="false">IF(COUNTIF($A$2:A663,A663)&gt;1,"DUP","")</f>
        <v/>
      </c>
      <c r="Q663" s="0" t="str">
        <f aca="false">IF(O663="","",IF(O663&gt;240,"Y","N"))</f>
        <v>Y</v>
      </c>
    </row>
    <row r="664" customFormat="false" ht="15" hidden="false" customHeight="false" outlineLevel="0" collapsed="false">
      <c r="A664" s="0" t="s">
        <v>5773</v>
      </c>
      <c r="B664" s="0" t="s">
        <v>4297</v>
      </c>
      <c r="C664" s="0" t="s">
        <v>765</v>
      </c>
      <c r="D664" s="31" t="n">
        <v>28616</v>
      </c>
      <c r="E664" s="31" t="n">
        <v>45614</v>
      </c>
      <c r="F664" s="32" t="s">
        <v>4407</v>
      </c>
      <c r="G664" s="0" t="n">
        <v>3</v>
      </c>
      <c r="H664" s="32" t="s">
        <v>4615</v>
      </c>
      <c r="J664" s="32" t="s">
        <v>3749</v>
      </c>
      <c r="M664" s="32" t="s">
        <v>4165</v>
      </c>
      <c r="N664" s="32" t="s">
        <v>3751</v>
      </c>
      <c r="O664" s="0" t="str">
        <f aca="false">IF(I664="","",ROUND(MOD(TIMEVALUE(I664)-TIMEVALUE(F664),1)*1440,0))</f>
        <v/>
      </c>
      <c r="P664" s="0" t="str">
        <f aca="false">IF(COUNTIF($A$2:A664,A664)&gt;1,"DUP","")</f>
        <v/>
      </c>
      <c r="Q664" s="0" t="str">
        <f aca="false">IF(O664="","",IF(O664&gt;240,"Y","N"))</f>
        <v/>
      </c>
    </row>
    <row r="665" customFormat="false" ht="15" hidden="false" customHeight="false" outlineLevel="0" collapsed="false">
      <c r="A665" s="0" t="s">
        <v>5774</v>
      </c>
      <c r="B665" s="0" t="s">
        <v>4322</v>
      </c>
      <c r="C665" s="0" t="s">
        <v>898</v>
      </c>
      <c r="D665" s="31" t="n">
        <v>38601</v>
      </c>
      <c r="E665" s="31" t="n">
        <v>45717</v>
      </c>
      <c r="F665" s="32" t="s">
        <v>4565</v>
      </c>
      <c r="G665" s="0" t="n">
        <v>5</v>
      </c>
      <c r="H665" s="32" t="s">
        <v>4504</v>
      </c>
      <c r="I665" s="32" t="s">
        <v>5775</v>
      </c>
      <c r="J665" s="32" t="s">
        <v>3749</v>
      </c>
      <c r="K665" s="32" t="s">
        <v>2081</v>
      </c>
      <c r="L665" s="0" t="n">
        <v>238</v>
      </c>
      <c r="M665" s="32" t="s">
        <v>4255</v>
      </c>
      <c r="N665" s="32" t="s">
        <v>3751</v>
      </c>
      <c r="O665" s="32" t="n">
        <f aca="false">IF(I665="","",ROUND(MOD(TIMEVALUE(I665)-TIMEVALUE(F665),1)*1440,0))</f>
        <v>238</v>
      </c>
      <c r="P665" s="0" t="str">
        <f aca="false">IF(COUNTIF($A$2:A665,A665)&gt;1,"DUP","")</f>
        <v/>
      </c>
      <c r="Q665" s="0" t="str">
        <f aca="false">IF(O665="","",IF(O665&gt;240,"Y","N"))</f>
        <v>N</v>
      </c>
    </row>
    <row r="666" customFormat="false" ht="15" hidden="false" customHeight="false" outlineLevel="0" collapsed="false">
      <c r="A666" s="0" t="s">
        <v>5776</v>
      </c>
      <c r="B666" s="0" t="s">
        <v>5777</v>
      </c>
      <c r="C666" s="0" t="s">
        <v>878</v>
      </c>
      <c r="D666" s="31" t="n">
        <v>26334</v>
      </c>
      <c r="E666" s="31" t="n">
        <v>45621</v>
      </c>
      <c r="F666" s="32" t="s">
        <v>5778</v>
      </c>
      <c r="G666" s="0" t="n">
        <v>4</v>
      </c>
      <c r="H666" s="32" t="s">
        <v>5779</v>
      </c>
      <c r="I666" s="32" t="s">
        <v>5780</v>
      </c>
      <c r="J666" s="32" t="s">
        <v>3793</v>
      </c>
      <c r="K666" s="32" t="s">
        <v>2081</v>
      </c>
      <c r="L666" s="0" t="n">
        <v>194</v>
      </c>
      <c r="M666" s="32" t="s">
        <v>3764</v>
      </c>
      <c r="N666" s="32" t="s">
        <v>758</v>
      </c>
      <c r="O666" s="32" t="n">
        <f aca="false">IF(I666="","",ROUND(MOD(TIMEVALUE(I666)-TIMEVALUE(F666),1)*1440,0))</f>
        <v>194</v>
      </c>
      <c r="P666" s="0" t="str">
        <f aca="false">IF(COUNTIF($A$2:A666,A666)&gt;1,"DUP","")</f>
        <v/>
      </c>
      <c r="Q666" s="0" t="str">
        <f aca="false">IF(O666="","",IF(O666&gt;240,"Y","N"))</f>
        <v>N</v>
      </c>
    </row>
    <row r="667" customFormat="false" ht="15" hidden="false" customHeight="false" outlineLevel="0" collapsed="false">
      <c r="A667" s="0" t="s">
        <v>5781</v>
      </c>
      <c r="B667" s="0" t="s">
        <v>5782</v>
      </c>
      <c r="C667" s="0" t="s">
        <v>950</v>
      </c>
      <c r="D667" s="31" t="n">
        <v>38670</v>
      </c>
      <c r="E667" s="31" t="n">
        <v>45697</v>
      </c>
      <c r="F667" s="32" t="s">
        <v>3960</v>
      </c>
      <c r="G667" s="0" t="n">
        <v>4</v>
      </c>
      <c r="H667" s="32" t="s">
        <v>4898</v>
      </c>
      <c r="J667" s="32" t="s">
        <v>2307</v>
      </c>
      <c r="M667" s="32" t="s">
        <v>4285</v>
      </c>
      <c r="N667" s="32" t="s">
        <v>3751</v>
      </c>
      <c r="O667" s="0" t="str">
        <f aca="false">IF(I667="","",ROUND(MOD(TIMEVALUE(I667)-TIMEVALUE(F667),1)*1440,0))</f>
        <v/>
      </c>
      <c r="P667" s="0" t="str">
        <f aca="false">IF(COUNTIF($A$2:A667,A667)&gt;1,"DUP","")</f>
        <v/>
      </c>
      <c r="Q667" s="0" t="str">
        <f aca="false">IF(O667="","",IF(O667&gt;240,"Y","N"))</f>
        <v/>
      </c>
    </row>
    <row r="668" customFormat="false" ht="15" hidden="false" customHeight="false" outlineLevel="0" collapsed="false">
      <c r="A668" s="0" t="s">
        <v>5783</v>
      </c>
      <c r="B668" s="0" t="s">
        <v>5477</v>
      </c>
      <c r="C668" s="0" t="s">
        <v>853</v>
      </c>
      <c r="D668" s="31" t="n">
        <v>35481</v>
      </c>
      <c r="E668" s="31" t="n">
        <v>45664</v>
      </c>
      <c r="F668" s="32" t="s">
        <v>4540</v>
      </c>
      <c r="G668" s="0" t="n">
        <v>3</v>
      </c>
      <c r="H668" s="32" t="s">
        <v>4131</v>
      </c>
      <c r="J668" s="32" t="s">
        <v>3763</v>
      </c>
      <c r="M668" s="32" t="s">
        <v>3975</v>
      </c>
      <c r="N668" s="32" t="s">
        <v>3751</v>
      </c>
      <c r="O668" s="0" t="str">
        <f aca="false">IF(I668="","",ROUND(MOD(TIMEVALUE(I668)-TIMEVALUE(F668),1)*1440,0))</f>
        <v/>
      </c>
      <c r="P668" s="0" t="str">
        <f aca="false">IF(COUNTIF($A$2:A668,A668)&gt;1,"DUP","")</f>
        <v/>
      </c>
      <c r="Q668" s="0" t="str">
        <f aca="false">IF(O668="","",IF(O668&gt;240,"Y","N"))</f>
        <v/>
      </c>
    </row>
    <row r="669" customFormat="false" ht="15" hidden="false" customHeight="false" outlineLevel="0" collapsed="false">
      <c r="A669" s="0" t="s">
        <v>5784</v>
      </c>
      <c r="B669" s="0" t="s">
        <v>3962</v>
      </c>
      <c r="C669" s="0" t="s">
        <v>977</v>
      </c>
      <c r="D669" s="31" t="n">
        <v>25856</v>
      </c>
      <c r="E669" s="31" t="n">
        <v>45598</v>
      </c>
      <c r="F669" s="32" t="s">
        <v>5785</v>
      </c>
      <c r="G669" s="0" t="n">
        <v>1</v>
      </c>
      <c r="H669" s="32" t="s">
        <v>5651</v>
      </c>
      <c r="I669" s="32" t="s">
        <v>5786</v>
      </c>
      <c r="J669" s="32" t="s">
        <v>3749</v>
      </c>
      <c r="K669" s="32" t="s">
        <v>2081</v>
      </c>
      <c r="L669" s="0" t="n">
        <v>214</v>
      </c>
      <c r="M669" s="32" t="s">
        <v>3871</v>
      </c>
      <c r="N669" s="32" t="s">
        <v>3751</v>
      </c>
      <c r="O669" s="32" t="n">
        <f aca="false">IF(I669="","",ROUND(MOD(TIMEVALUE(I669)-TIMEVALUE(F669),1)*1440,0))</f>
        <v>214</v>
      </c>
      <c r="P669" s="0" t="str">
        <f aca="false">IF(COUNTIF($A$2:A669,A669)&gt;1,"DUP","")</f>
        <v/>
      </c>
      <c r="Q669" s="0" t="str">
        <f aca="false">IF(O669="","",IF(O669&gt;240,"Y","N"))</f>
        <v>N</v>
      </c>
    </row>
    <row r="670" customFormat="false" ht="15" hidden="false" customHeight="false" outlineLevel="0" collapsed="false">
      <c r="A670" s="0" t="s">
        <v>5787</v>
      </c>
      <c r="B670" s="0" t="s">
        <v>4820</v>
      </c>
      <c r="C670" s="0" t="s">
        <v>1393</v>
      </c>
      <c r="D670" s="31" t="n">
        <v>25954</v>
      </c>
      <c r="E670" s="31" t="n">
        <v>45706</v>
      </c>
      <c r="F670" s="32" t="s">
        <v>5692</v>
      </c>
      <c r="G670" s="0" t="n">
        <v>4</v>
      </c>
      <c r="H670" s="32" t="s">
        <v>5788</v>
      </c>
      <c r="I670" s="32" t="s">
        <v>4051</v>
      </c>
      <c r="J670" s="32" t="s">
        <v>3793</v>
      </c>
      <c r="K670" s="32" t="s">
        <v>2081</v>
      </c>
      <c r="L670" s="0" t="n">
        <v>88</v>
      </c>
      <c r="M670" s="32" t="s">
        <v>3815</v>
      </c>
      <c r="N670" s="32" t="s">
        <v>758</v>
      </c>
      <c r="O670" s="32" t="n">
        <f aca="false">IF(I670="","",ROUND(MOD(TIMEVALUE(I670)-TIMEVALUE(F670),1)*1440,0))</f>
        <v>88</v>
      </c>
      <c r="P670" s="0" t="str">
        <f aca="false">IF(COUNTIF($A$2:A670,A670)&gt;1,"DUP","")</f>
        <v/>
      </c>
      <c r="Q670" s="0" t="str">
        <f aca="false">IF(O670="","",IF(O670&gt;240,"Y","N"))</f>
        <v>N</v>
      </c>
    </row>
    <row r="671" customFormat="false" ht="15" hidden="false" customHeight="false" outlineLevel="0" collapsed="false">
      <c r="A671" s="0" t="s">
        <v>5789</v>
      </c>
      <c r="B671" s="0" t="s">
        <v>3806</v>
      </c>
      <c r="C671" s="0" t="s">
        <v>886</v>
      </c>
      <c r="D671" s="31" t="n">
        <v>15878</v>
      </c>
      <c r="E671" s="31" t="n">
        <v>45708</v>
      </c>
      <c r="F671" s="32" t="s">
        <v>5790</v>
      </c>
      <c r="G671" s="0" t="n">
        <v>4</v>
      </c>
      <c r="H671" s="32" t="s">
        <v>5208</v>
      </c>
      <c r="I671" s="32" t="s">
        <v>4729</v>
      </c>
      <c r="J671" s="32" t="s">
        <v>3749</v>
      </c>
      <c r="K671" s="32" t="s">
        <v>2106</v>
      </c>
      <c r="L671" s="0" t="n">
        <v>478</v>
      </c>
      <c r="M671" s="32" t="s">
        <v>3821</v>
      </c>
      <c r="N671" s="32" t="s">
        <v>3751</v>
      </c>
      <c r="O671" s="32" t="n">
        <f aca="false">IF(I671="","",ROUND(MOD(TIMEVALUE(I671)-TIMEVALUE(F671),1)*1440,0))</f>
        <v>478</v>
      </c>
      <c r="P671" s="0" t="str">
        <f aca="false">IF(COUNTIF($A$2:A671,A671)&gt;1,"DUP","")</f>
        <v/>
      </c>
      <c r="Q671" s="0" t="str">
        <f aca="false">IF(O671="","",IF(O671&gt;240,"Y","N"))</f>
        <v>Y</v>
      </c>
    </row>
    <row r="672" customFormat="false" ht="15" hidden="false" customHeight="false" outlineLevel="0" collapsed="false">
      <c r="A672" s="0" t="s">
        <v>5791</v>
      </c>
      <c r="C672" s="0" t="s">
        <v>942</v>
      </c>
      <c r="D672" s="31" t="n">
        <v>16148</v>
      </c>
      <c r="E672" s="31" t="n">
        <v>45577</v>
      </c>
      <c r="F672" s="32" t="s">
        <v>5792</v>
      </c>
      <c r="G672" s="0" t="n">
        <v>5</v>
      </c>
      <c r="H672" s="32" t="s">
        <v>4009</v>
      </c>
      <c r="I672" s="32" t="s">
        <v>4323</v>
      </c>
      <c r="J672" s="32" t="s">
        <v>3793</v>
      </c>
      <c r="K672" s="32" t="s">
        <v>2081</v>
      </c>
      <c r="L672" s="0" t="n">
        <v>164</v>
      </c>
      <c r="M672" s="32" t="s">
        <v>3877</v>
      </c>
      <c r="N672" s="32" t="s">
        <v>826</v>
      </c>
      <c r="O672" s="32" t="n">
        <f aca="false">IF(I672="","",ROUND(MOD(TIMEVALUE(I672)-TIMEVALUE(F672),1)*1440,0))</f>
        <v>164</v>
      </c>
      <c r="P672" s="0" t="str">
        <f aca="false">IF(COUNTIF($A$2:A672,A672)&gt;1,"DUP","")</f>
        <v/>
      </c>
      <c r="Q672" s="0" t="str">
        <f aca="false">IF(O672="","",IF(O672&gt;240,"Y","N"))</f>
        <v>N</v>
      </c>
    </row>
    <row r="673" customFormat="false" ht="15" hidden="false" customHeight="false" outlineLevel="0" collapsed="false">
      <c r="A673" s="0" t="s">
        <v>5793</v>
      </c>
      <c r="B673" s="0" t="s">
        <v>4880</v>
      </c>
      <c r="C673" s="0" t="s">
        <v>1426</v>
      </c>
      <c r="D673" s="31" t="n">
        <v>31834</v>
      </c>
      <c r="E673" s="31" t="n">
        <v>45730</v>
      </c>
      <c r="F673" s="32" t="s">
        <v>4863</v>
      </c>
      <c r="G673" s="0" t="n">
        <v>3</v>
      </c>
      <c r="H673" s="32" t="s">
        <v>5450</v>
      </c>
      <c r="I673" s="32" t="s">
        <v>4185</v>
      </c>
      <c r="J673" s="32" t="s">
        <v>2307</v>
      </c>
      <c r="K673" s="32" t="s">
        <v>2081</v>
      </c>
      <c r="L673" s="0" t="n">
        <v>235</v>
      </c>
      <c r="M673" s="32" t="s">
        <v>3887</v>
      </c>
      <c r="N673" s="32" t="s">
        <v>3751</v>
      </c>
      <c r="O673" s="32" t="n">
        <f aca="false">IF(I673="","",ROUND(MOD(TIMEVALUE(I673)-TIMEVALUE(F673),1)*1440,0))</f>
        <v>235</v>
      </c>
      <c r="P673" s="0" t="str">
        <f aca="false">IF(COUNTIF($A$2:A673,A673)&gt;1,"DUP","")</f>
        <v/>
      </c>
      <c r="Q673" s="0" t="str">
        <f aca="false">IF(O673="","",IF(O673&gt;240,"Y","N"))</f>
        <v>N</v>
      </c>
    </row>
    <row r="674" customFormat="false" ht="15" hidden="false" customHeight="false" outlineLevel="0" collapsed="false">
      <c r="A674" s="0" t="s">
        <v>5794</v>
      </c>
      <c r="B674" s="0" t="s">
        <v>4527</v>
      </c>
      <c r="C674" s="0" t="s">
        <v>817</v>
      </c>
      <c r="D674" s="31" t="n">
        <v>20767</v>
      </c>
      <c r="E674" s="31" t="n">
        <v>45630</v>
      </c>
      <c r="F674" s="32" t="s">
        <v>4594</v>
      </c>
      <c r="G674" s="0" t="n">
        <v>4</v>
      </c>
      <c r="H674" s="32" t="s">
        <v>3992</v>
      </c>
      <c r="I674" s="32" t="s">
        <v>5795</v>
      </c>
      <c r="J674" s="32" t="s">
        <v>3749</v>
      </c>
      <c r="K674" s="32" t="s">
        <v>2081</v>
      </c>
      <c r="L674" s="0" t="n">
        <v>68</v>
      </c>
      <c r="M674" s="32" t="s">
        <v>3952</v>
      </c>
      <c r="N674" s="32" t="s">
        <v>3751</v>
      </c>
      <c r="O674" s="32" t="n">
        <f aca="false">IF(I674="","",ROUND(MOD(TIMEVALUE(I674)-TIMEVALUE(F674),1)*1440,0))</f>
        <v>68</v>
      </c>
      <c r="P674" s="0" t="str">
        <f aca="false">IF(COUNTIF($A$2:A674,A674)&gt;1,"DUP","")</f>
        <v/>
      </c>
      <c r="Q674" s="0" t="str">
        <f aca="false">IF(O674="","",IF(O674&gt;240,"Y","N"))</f>
        <v>N</v>
      </c>
    </row>
    <row r="675" customFormat="false" ht="15" hidden="false" customHeight="false" outlineLevel="0" collapsed="false">
      <c r="A675" s="0" t="s">
        <v>5796</v>
      </c>
      <c r="B675" s="0" t="s">
        <v>4229</v>
      </c>
      <c r="C675" s="0" t="s">
        <v>746</v>
      </c>
      <c r="D675" s="31" t="n">
        <v>16672</v>
      </c>
      <c r="E675" s="31" t="n">
        <v>45664</v>
      </c>
      <c r="F675" s="32" t="s">
        <v>829</v>
      </c>
      <c r="G675" s="0" t="n">
        <v>3</v>
      </c>
      <c r="H675" s="32" t="s">
        <v>4908</v>
      </c>
      <c r="I675" s="32" t="s">
        <v>5465</v>
      </c>
      <c r="J675" s="32" t="s">
        <v>3749</v>
      </c>
      <c r="K675" s="32" t="s">
        <v>2081</v>
      </c>
      <c r="L675" s="0" t="n">
        <v>87</v>
      </c>
      <c r="M675" s="32" t="s">
        <v>4219</v>
      </c>
      <c r="N675" s="32" t="s">
        <v>3751</v>
      </c>
      <c r="O675" s="32" t="n">
        <f aca="false">IF(I675="","",ROUND(MOD(TIMEVALUE(I675)-TIMEVALUE(F675),1)*1440,0))</f>
        <v>87</v>
      </c>
      <c r="P675" s="0" t="str">
        <f aca="false">IF(COUNTIF($A$2:A675,A675)&gt;1,"DUP","")</f>
        <v/>
      </c>
      <c r="Q675" s="0" t="str">
        <f aca="false">IF(O675="","",IF(O675&gt;240,"Y","N"))</f>
        <v>N</v>
      </c>
    </row>
    <row r="676" customFormat="false" ht="15" hidden="false" customHeight="false" outlineLevel="0" collapsed="false">
      <c r="A676" s="0" t="s">
        <v>5797</v>
      </c>
      <c r="C676" s="0" t="s">
        <v>866</v>
      </c>
      <c r="D676" s="31" t="n">
        <v>18212</v>
      </c>
      <c r="E676" s="31" t="n">
        <v>45673</v>
      </c>
      <c r="F676" s="32" t="s">
        <v>5798</v>
      </c>
      <c r="G676" s="0" t="n">
        <v>4</v>
      </c>
      <c r="H676" s="32" t="s">
        <v>4557</v>
      </c>
      <c r="I676" s="32" t="s">
        <v>5450</v>
      </c>
      <c r="J676" s="32" t="s">
        <v>3749</v>
      </c>
      <c r="K676" s="32" t="s">
        <v>2081</v>
      </c>
      <c r="L676" s="0" t="n">
        <v>84</v>
      </c>
      <c r="M676" s="32" t="s">
        <v>3827</v>
      </c>
      <c r="N676" s="32" t="s">
        <v>3751</v>
      </c>
      <c r="O676" s="32" t="n">
        <f aca="false">IF(I676="","",ROUND(MOD(TIMEVALUE(I676)-TIMEVALUE(F676),1)*1440,0))</f>
        <v>84</v>
      </c>
      <c r="P676" s="0" t="str">
        <f aca="false">IF(COUNTIF($A$2:A676,A676)&gt;1,"DUP","")</f>
        <v/>
      </c>
      <c r="Q676" s="0" t="str">
        <f aca="false">IF(O676="","",IF(O676&gt;240,"Y","N"))</f>
        <v>N</v>
      </c>
    </row>
    <row r="677" customFormat="false" ht="15" hidden="false" customHeight="false" outlineLevel="0" collapsed="false">
      <c r="A677" s="0" t="s">
        <v>5799</v>
      </c>
      <c r="B677" s="0" t="s">
        <v>5552</v>
      </c>
      <c r="C677" s="0" t="s">
        <v>1009</v>
      </c>
      <c r="D677" s="31" t="n">
        <v>34836</v>
      </c>
      <c r="E677" s="31" t="n">
        <v>45670</v>
      </c>
      <c r="F677" s="32" t="s">
        <v>5800</v>
      </c>
      <c r="G677" s="0" t="n">
        <v>5</v>
      </c>
      <c r="H677" s="32" t="s">
        <v>4160</v>
      </c>
      <c r="I677" s="32" t="s">
        <v>5801</v>
      </c>
      <c r="J677" s="32" t="s">
        <v>3749</v>
      </c>
      <c r="K677" s="32" t="s">
        <v>2106</v>
      </c>
      <c r="L677" s="0" t="n">
        <v>373</v>
      </c>
      <c r="M677" s="32" t="s">
        <v>3799</v>
      </c>
      <c r="N677" s="32" t="s">
        <v>3751</v>
      </c>
      <c r="O677" s="32" t="n">
        <f aca="false">IF(I677="","",ROUND(MOD(TIMEVALUE(I677)-TIMEVALUE(F677),1)*1440,0))</f>
        <v>373</v>
      </c>
      <c r="P677" s="0" t="str">
        <f aca="false">IF(COUNTIF($A$2:A677,A677)&gt;1,"DUP","")</f>
        <v/>
      </c>
      <c r="Q677" s="0" t="str">
        <f aca="false">IF(O677="","",IF(O677&gt;240,"Y","N"))</f>
        <v>Y</v>
      </c>
    </row>
    <row r="678" customFormat="false" ht="15" hidden="false" customHeight="false" outlineLevel="0" collapsed="false">
      <c r="A678" s="0" t="s">
        <v>5802</v>
      </c>
      <c r="B678" s="0" t="s">
        <v>5718</v>
      </c>
      <c r="C678" s="0" t="s">
        <v>841</v>
      </c>
      <c r="D678" s="31" t="n">
        <v>33517</v>
      </c>
      <c r="E678" s="31" t="n">
        <v>45721</v>
      </c>
      <c r="F678" s="32" t="s">
        <v>5803</v>
      </c>
      <c r="G678" s="0" t="n">
        <v>3</v>
      </c>
      <c r="H678" s="32" t="s">
        <v>4829</v>
      </c>
      <c r="I678" s="32" t="s">
        <v>4814</v>
      </c>
      <c r="J678" s="32" t="s">
        <v>3763</v>
      </c>
      <c r="K678" s="32" t="s">
        <v>2081</v>
      </c>
      <c r="L678" s="0" t="n">
        <v>97</v>
      </c>
      <c r="M678" s="32" t="s">
        <v>3794</v>
      </c>
      <c r="N678" s="32" t="s">
        <v>3751</v>
      </c>
      <c r="O678" s="32" t="n">
        <f aca="false">IF(I678="","",ROUND(MOD(TIMEVALUE(I678)-TIMEVALUE(F678),1)*1440,0))</f>
        <v>97</v>
      </c>
      <c r="P678" s="0" t="str">
        <f aca="false">IF(COUNTIF($A$2:A678,A678)&gt;1,"DUP","")</f>
        <v/>
      </c>
      <c r="Q678" s="0" t="str">
        <f aca="false">IF(O678="","",IF(O678&gt;240,"Y","N"))</f>
        <v>N</v>
      </c>
    </row>
    <row r="679" customFormat="false" ht="15" hidden="false" customHeight="false" outlineLevel="0" collapsed="false">
      <c r="A679" s="0" t="s">
        <v>5804</v>
      </c>
      <c r="B679" s="0" t="s">
        <v>4395</v>
      </c>
      <c r="C679" s="0" t="s">
        <v>2225</v>
      </c>
      <c r="D679" s="31" t="n">
        <v>27138</v>
      </c>
      <c r="E679" s="31" t="n">
        <v>45734</v>
      </c>
      <c r="F679" s="32" t="s">
        <v>5529</v>
      </c>
      <c r="G679" s="0" t="n">
        <v>3</v>
      </c>
      <c r="H679" s="32" t="s">
        <v>5805</v>
      </c>
      <c r="I679" s="32" t="s">
        <v>3875</v>
      </c>
      <c r="J679" s="32" t="s">
        <v>3763</v>
      </c>
      <c r="K679" s="32" t="s">
        <v>2081</v>
      </c>
      <c r="L679" s="0" t="n">
        <v>49</v>
      </c>
      <c r="M679" s="32" t="s">
        <v>3794</v>
      </c>
      <c r="N679" s="32" t="s">
        <v>3751</v>
      </c>
      <c r="O679" s="32" t="n">
        <f aca="false">IF(I679="","",ROUND(MOD(TIMEVALUE(I679)-TIMEVALUE(F679),1)*1440,0))</f>
        <v>49</v>
      </c>
      <c r="P679" s="0" t="str">
        <f aca="false">IF(COUNTIF($A$2:A679,A679)&gt;1,"DUP","")</f>
        <v/>
      </c>
      <c r="Q679" s="0" t="str">
        <f aca="false">IF(O679="","",IF(O679&gt;240,"Y","N"))</f>
        <v>N</v>
      </c>
    </row>
    <row r="680" customFormat="false" ht="15" hidden="false" customHeight="false" outlineLevel="0" collapsed="false">
      <c r="A680" s="0" t="s">
        <v>5806</v>
      </c>
      <c r="B680" s="0" t="s">
        <v>4625</v>
      </c>
      <c r="C680" s="0" t="s">
        <v>894</v>
      </c>
      <c r="D680" s="31" t="n">
        <v>13313</v>
      </c>
      <c r="E680" s="31" t="n">
        <v>45594</v>
      </c>
      <c r="F680" s="32" t="s">
        <v>5013</v>
      </c>
      <c r="G680" s="0" t="n">
        <v>4</v>
      </c>
      <c r="H680" s="32" t="s">
        <v>5393</v>
      </c>
      <c r="I680" s="32" t="s">
        <v>3814</v>
      </c>
      <c r="J680" s="32" t="s">
        <v>3763</v>
      </c>
      <c r="K680" s="32" t="s">
        <v>2081</v>
      </c>
      <c r="L680" s="0" t="n">
        <v>117</v>
      </c>
      <c r="M680" s="32" t="s">
        <v>4141</v>
      </c>
      <c r="N680" s="32" t="s">
        <v>3751</v>
      </c>
      <c r="O680" s="32" t="n">
        <f aca="false">IF(I680="","",ROUND(MOD(TIMEVALUE(I680)-TIMEVALUE(F680),1)*1440,0))</f>
        <v>117</v>
      </c>
      <c r="P680" s="0" t="str">
        <f aca="false">IF(COUNTIF($A$2:A680,A680)&gt;1,"DUP","")</f>
        <v/>
      </c>
      <c r="Q680" s="0" t="str">
        <f aca="false">IF(O680="","",IF(O680&gt;240,"Y","N"))</f>
        <v>N</v>
      </c>
    </row>
    <row r="681" customFormat="false" ht="15" hidden="false" customHeight="false" outlineLevel="0" collapsed="false">
      <c r="A681" s="0" t="s">
        <v>5807</v>
      </c>
      <c r="B681" s="0" t="s">
        <v>4960</v>
      </c>
      <c r="C681" s="0" t="s">
        <v>890</v>
      </c>
      <c r="D681" s="31" t="n">
        <v>32515</v>
      </c>
      <c r="E681" s="31" t="n">
        <v>45626</v>
      </c>
      <c r="F681" s="32" t="s">
        <v>5808</v>
      </c>
      <c r="G681" s="0" t="n">
        <v>4</v>
      </c>
      <c r="H681" s="32" t="s">
        <v>3807</v>
      </c>
      <c r="I681" s="32" t="s">
        <v>4532</v>
      </c>
      <c r="J681" s="32" t="s">
        <v>3749</v>
      </c>
      <c r="K681" s="32" t="s">
        <v>2081</v>
      </c>
      <c r="L681" s="0" t="n">
        <v>97</v>
      </c>
      <c r="M681" s="32" t="s">
        <v>3821</v>
      </c>
      <c r="N681" s="32" t="s">
        <v>3751</v>
      </c>
      <c r="O681" s="32" t="n">
        <f aca="false">IF(I681="","",ROUND(MOD(TIMEVALUE(I681)-TIMEVALUE(F681),1)*1440,0))</f>
        <v>97</v>
      </c>
      <c r="P681" s="0" t="str">
        <f aca="false">IF(COUNTIF($A$2:A681,A681)&gt;1,"DUP","")</f>
        <v/>
      </c>
      <c r="Q681" s="0" t="str">
        <f aca="false">IF(O681="","",IF(O681&gt;240,"Y","N"))</f>
        <v>N</v>
      </c>
    </row>
    <row r="682" customFormat="false" ht="15" hidden="false" customHeight="false" outlineLevel="0" collapsed="false">
      <c r="A682" s="0" t="s">
        <v>5809</v>
      </c>
      <c r="B682" s="0" t="s">
        <v>4921</v>
      </c>
      <c r="C682" s="0" t="s">
        <v>926</v>
      </c>
      <c r="D682" s="31" t="n">
        <v>31548</v>
      </c>
      <c r="E682" s="31" t="n">
        <v>45698</v>
      </c>
      <c r="F682" s="32" t="s">
        <v>5810</v>
      </c>
      <c r="G682" s="0" t="n">
        <v>4</v>
      </c>
      <c r="H682" s="32" t="s">
        <v>5557</v>
      </c>
      <c r="I682" s="32" t="s">
        <v>5811</v>
      </c>
      <c r="J682" s="32" t="s">
        <v>3763</v>
      </c>
      <c r="K682" s="32" t="s">
        <v>2081</v>
      </c>
      <c r="L682" s="0" t="n">
        <v>211</v>
      </c>
      <c r="M682" s="32" t="s">
        <v>4409</v>
      </c>
      <c r="N682" s="32" t="s">
        <v>3751</v>
      </c>
      <c r="O682" s="32" t="n">
        <f aca="false">IF(I682="","",ROUND(MOD(TIMEVALUE(I682)-TIMEVALUE(F682),1)*1440,0))</f>
        <v>211</v>
      </c>
      <c r="P682" s="0" t="str">
        <f aca="false">IF(COUNTIF($A$2:A682,A682)&gt;1,"DUP","")</f>
        <v/>
      </c>
      <c r="Q682" s="0" t="str">
        <f aca="false">IF(O682="","",IF(O682&gt;240,"Y","N"))</f>
        <v>N</v>
      </c>
    </row>
    <row r="683" customFormat="false" ht="15" hidden="false" customHeight="false" outlineLevel="0" collapsed="false">
      <c r="A683" s="0" t="s">
        <v>5812</v>
      </c>
      <c r="B683" s="0" t="s">
        <v>4724</v>
      </c>
      <c r="C683" s="0" t="s">
        <v>878</v>
      </c>
      <c r="D683" s="31" t="n">
        <v>23709</v>
      </c>
      <c r="E683" s="31" t="n">
        <v>45666</v>
      </c>
      <c r="F683" s="32" t="s">
        <v>5456</v>
      </c>
      <c r="G683" s="0" t="n">
        <v>4</v>
      </c>
      <c r="H683" s="32" t="s">
        <v>5813</v>
      </c>
      <c r="I683" s="32" t="s">
        <v>4642</v>
      </c>
      <c r="J683" s="32" t="s">
        <v>3763</v>
      </c>
      <c r="K683" s="32" t="s">
        <v>2081</v>
      </c>
      <c r="L683" s="0" t="n">
        <v>88</v>
      </c>
      <c r="M683" s="32" t="s">
        <v>4781</v>
      </c>
      <c r="N683" s="32" t="s">
        <v>3751</v>
      </c>
      <c r="O683" s="32" t="n">
        <f aca="false">IF(I683="","",ROUND(MOD(TIMEVALUE(I683)-TIMEVALUE(F683),1)*1440,0))</f>
        <v>88</v>
      </c>
      <c r="P683" s="0" t="str">
        <f aca="false">IF(COUNTIF($A$2:A683,A683)&gt;1,"DUP","")</f>
        <v/>
      </c>
      <c r="Q683" s="0" t="str">
        <f aca="false">IF(O683="","",IF(O683&gt;240,"Y","N"))</f>
        <v>N</v>
      </c>
    </row>
    <row r="684" customFormat="false" ht="15" hidden="false" customHeight="false" outlineLevel="0" collapsed="false">
      <c r="A684" s="0" t="s">
        <v>5814</v>
      </c>
      <c r="B684" s="0" t="s">
        <v>3829</v>
      </c>
      <c r="C684" s="0" t="s">
        <v>1398</v>
      </c>
      <c r="D684" s="31" t="n">
        <v>34945</v>
      </c>
      <c r="E684" s="31" t="n">
        <v>45706</v>
      </c>
      <c r="F684" s="32" t="s">
        <v>5815</v>
      </c>
      <c r="G684" s="0" t="n">
        <v>5</v>
      </c>
      <c r="H684" s="32" t="s">
        <v>5667</v>
      </c>
      <c r="I684" s="32" t="s">
        <v>3963</v>
      </c>
      <c r="J684" s="32" t="s">
        <v>3763</v>
      </c>
      <c r="K684" s="32" t="s">
        <v>2081</v>
      </c>
      <c r="L684" s="0" t="n">
        <v>188</v>
      </c>
      <c r="M684" s="32" t="s">
        <v>4219</v>
      </c>
      <c r="N684" s="32" t="s">
        <v>3751</v>
      </c>
      <c r="O684" s="32" t="n">
        <f aca="false">IF(I684="","",ROUND(MOD(TIMEVALUE(I684)-TIMEVALUE(F684),1)*1440,0))</f>
        <v>188</v>
      </c>
      <c r="P684" s="0" t="str">
        <f aca="false">IF(COUNTIF($A$2:A684,A684)&gt;1,"DUP","")</f>
        <v/>
      </c>
      <c r="Q684" s="0" t="str">
        <f aca="false">IF(O684="","",IF(O684&gt;240,"Y","N"))</f>
        <v>N</v>
      </c>
    </row>
    <row r="685" customFormat="false" ht="15" hidden="false" customHeight="false" outlineLevel="0" collapsed="false">
      <c r="A685" s="0" t="s">
        <v>5816</v>
      </c>
      <c r="B685" s="0" t="s">
        <v>4627</v>
      </c>
      <c r="C685" s="0" t="s">
        <v>837</v>
      </c>
      <c r="D685" s="31" t="n">
        <v>28513</v>
      </c>
      <c r="E685" s="31" t="n">
        <v>45639</v>
      </c>
      <c r="F685" s="32" t="s">
        <v>5817</v>
      </c>
      <c r="G685" s="0" t="n">
        <v>4</v>
      </c>
      <c r="H685" s="32" t="s">
        <v>4246</v>
      </c>
      <c r="I685" s="32" t="s">
        <v>4774</v>
      </c>
      <c r="J685" s="32" t="s">
        <v>3763</v>
      </c>
      <c r="K685" s="32" t="s">
        <v>2081</v>
      </c>
      <c r="L685" s="0" t="n">
        <v>50</v>
      </c>
      <c r="M685" s="32" t="s">
        <v>4031</v>
      </c>
      <c r="N685" s="32" t="s">
        <v>3751</v>
      </c>
      <c r="O685" s="32" t="n">
        <f aca="false">IF(I685="","",ROUND(MOD(TIMEVALUE(I685)-TIMEVALUE(F685),1)*1440,0))</f>
        <v>50</v>
      </c>
      <c r="P685" s="0" t="str">
        <f aca="false">IF(COUNTIF($A$2:A685,A685)&gt;1,"DUP","")</f>
        <v/>
      </c>
      <c r="Q685" s="0" t="str">
        <f aca="false">IF(O685="","",IF(O685&gt;240,"Y","N"))</f>
        <v>N</v>
      </c>
    </row>
    <row r="686" customFormat="false" ht="15" hidden="false" customHeight="false" outlineLevel="0" collapsed="false">
      <c r="A686" s="0" t="s">
        <v>5818</v>
      </c>
      <c r="B686" s="0" t="s">
        <v>3759</v>
      </c>
      <c r="C686" s="0" t="s">
        <v>958</v>
      </c>
      <c r="D686" s="31" t="n">
        <v>16309</v>
      </c>
      <c r="E686" s="31" t="n">
        <v>45702</v>
      </c>
      <c r="F686" s="32" t="s">
        <v>5695</v>
      </c>
      <c r="G686" s="0" t="n">
        <v>3</v>
      </c>
      <c r="H686" s="32" t="s">
        <v>4951</v>
      </c>
      <c r="I686" s="32" t="s">
        <v>5640</v>
      </c>
      <c r="J686" s="32" t="s">
        <v>3749</v>
      </c>
      <c r="K686" s="32" t="s">
        <v>2081</v>
      </c>
      <c r="L686" s="0" t="n">
        <v>82</v>
      </c>
      <c r="M686" s="32" t="s">
        <v>4267</v>
      </c>
      <c r="N686" s="32" t="s">
        <v>3751</v>
      </c>
      <c r="O686" s="32" t="n">
        <f aca="false">IF(I686="","",ROUND(MOD(TIMEVALUE(I686)-TIMEVALUE(F686),1)*1440,0))</f>
        <v>82</v>
      </c>
      <c r="P686" s="0" t="str">
        <f aca="false">IF(COUNTIF($A$2:A686,A686)&gt;1,"DUP","")</f>
        <v/>
      </c>
      <c r="Q686" s="0" t="str">
        <f aca="false">IF(O686="","",IF(O686&gt;240,"Y","N"))</f>
        <v>N</v>
      </c>
    </row>
    <row r="687" customFormat="false" ht="15" hidden="false" customHeight="false" outlineLevel="0" collapsed="false">
      <c r="A687" s="0" t="s">
        <v>5819</v>
      </c>
      <c r="C687" s="0" t="s">
        <v>4053</v>
      </c>
      <c r="D687" s="31" t="n">
        <v>26212</v>
      </c>
      <c r="E687" s="31" t="n">
        <v>45674</v>
      </c>
      <c r="F687" s="32" t="s">
        <v>5820</v>
      </c>
      <c r="G687" s="0" t="n">
        <v>4</v>
      </c>
      <c r="H687" s="32" t="s">
        <v>5821</v>
      </c>
      <c r="I687" s="32" t="s">
        <v>5370</v>
      </c>
      <c r="J687" s="32" t="s">
        <v>3763</v>
      </c>
      <c r="K687" s="32" t="s">
        <v>2106</v>
      </c>
      <c r="L687" s="0" t="n">
        <v>397</v>
      </c>
      <c r="M687" s="32" t="s">
        <v>4409</v>
      </c>
      <c r="N687" s="32" t="s">
        <v>3751</v>
      </c>
      <c r="O687" s="32" t="n">
        <f aca="false">IF(I687="","",ROUND(MOD(TIMEVALUE(I687)-TIMEVALUE(F687),1)*1440,0))</f>
        <v>397</v>
      </c>
      <c r="P687" s="0" t="str">
        <f aca="false">IF(COUNTIF($A$2:A687,A687)&gt;1,"DUP","")</f>
        <v/>
      </c>
      <c r="Q687" s="0" t="str">
        <f aca="false">IF(O687="","",IF(O687&gt;240,"Y","N"))</f>
        <v>Y</v>
      </c>
    </row>
    <row r="688" customFormat="false" ht="15" hidden="false" customHeight="false" outlineLevel="0" collapsed="false">
      <c r="A688" s="0" t="s">
        <v>5822</v>
      </c>
      <c r="B688" s="0" t="s">
        <v>4498</v>
      </c>
      <c r="C688" s="0" t="s">
        <v>914</v>
      </c>
      <c r="D688" s="31" t="n">
        <v>18400</v>
      </c>
      <c r="E688" s="31" t="n">
        <v>45722</v>
      </c>
      <c r="F688" s="32" t="s">
        <v>4408</v>
      </c>
      <c r="G688" s="0" t="n">
        <v>3</v>
      </c>
      <c r="H688" s="32" t="s">
        <v>5821</v>
      </c>
      <c r="I688" s="32" t="s">
        <v>5117</v>
      </c>
      <c r="J688" s="32" t="s">
        <v>3749</v>
      </c>
      <c r="K688" s="32" t="s">
        <v>2081</v>
      </c>
      <c r="L688" s="0" t="n">
        <v>150</v>
      </c>
      <c r="M688" s="32" t="s">
        <v>3877</v>
      </c>
      <c r="N688" s="32" t="s">
        <v>3751</v>
      </c>
      <c r="O688" s="32" t="n">
        <f aca="false">IF(I688="","",ROUND(MOD(TIMEVALUE(I688)-TIMEVALUE(F688),1)*1440,0))</f>
        <v>150</v>
      </c>
      <c r="P688" s="0" t="str">
        <f aca="false">IF(COUNTIF($A$2:A688,A688)&gt;1,"DUP","")</f>
        <v/>
      </c>
      <c r="Q688" s="0" t="str">
        <f aca="false">IF(O688="","",IF(O688&gt;240,"Y","N"))</f>
        <v>N</v>
      </c>
    </row>
    <row r="689" customFormat="false" ht="15" hidden="false" customHeight="false" outlineLevel="0" collapsed="false">
      <c r="A689" s="0" t="s">
        <v>5823</v>
      </c>
      <c r="B689" s="0" t="s">
        <v>5770</v>
      </c>
      <c r="C689" s="0" t="s">
        <v>1390</v>
      </c>
      <c r="D689" s="31" t="n">
        <v>29039</v>
      </c>
      <c r="E689" s="31" t="n">
        <v>45646</v>
      </c>
      <c r="F689" s="32" t="s">
        <v>4016</v>
      </c>
      <c r="G689" s="0" t="n">
        <v>3</v>
      </c>
      <c r="H689" s="32" t="s">
        <v>5421</v>
      </c>
      <c r="I689" s="32" t="s">
        <v>4459</v>
      </c>
      <c r="J689" s="32" t="s">
        <v>2307</v>
      </c>
      <c r="K689" s="32" t="s">
        <v>2081</v>
      </c>
      <c r="L689" s="0" t="n">
        <v>195</v>
      </c>
      <c r="M689" s="32" t="s">
        <v>4031</v>
      </c>
      <c r="N689" s="32" t="s">
        <v>3751</v>
      </c>
      <c r="O689" s="32" t="n">
        <f aca="false">IF(I689="","",ROUND(MOD(TIMEVALUE(I689)-TIMEVALUE(F689),1)*1440,0))</f>
        <v>195</v>
      </c>
      <c r="P689" s="0" t="str">
        <f aca="false">IF(COUNTIF($A$2:A689,A689)&gt;1,"DUP","")</f>
        <v/>
      </c>
      <c r="Q689" s="0" t="str">
        <f aca="false">IF(O689="","",IF(O689&gt;240,"Y","N"))</f>
        <v>N</v>
      </c>
    </row>
    <row r="690" customFormat="false" ht="15" hidden="false" customHeight="false" outlineLevel="0" collapsed="false">
      <c r="A690" s="0" t="s">
        <v>5824</v>
      </c>
      <c r="B690" s="0" t="s">
        <v>3948</v>
      </c>
      <c r="C690" s="0" t="s">
        <v>1410</v>
      </c>
      <c r="D690" s="31" t="n">
        <v>21238</v>
      </c>
      <c r="E690" s="31" t="n">
        <v>45585</v>
      </c>
      <c r="F690" s="32" t="s">
        <v>5055</v>
      </c>
      <c r="G690" s="0" t="n">
        <v>4</v>
      </c>
      <c r="H690" s="32" t="s">
        <v>4143</v>
      </c>
      <c r="I690" s="32" t="s">
        <v>4044</v>
      </c>
      <c r="J690" s="32" t="s">
        <v>3749</v>
      </c>
      <c r="K690" s="32" t="s">
        <v>2106</v>
      </c>
      <c r="L690" s="0" t="n">
        <v>441</v>
      </c>
      <c r="M690" s="32" t="s">
        <v>3827</v>
      </c>
      <c r="N690" s="32" t="s">
        <v>3751</v>
      </c>
      <c r="O690" s="32" t="n">
        <f aca="false">IF(I690="","",ROUND(MOD(TIMEVALUE(I690)-TIMEVALUE(F690),1)*1440,0))</f>
        <v>441</v>
      </c>
      <c r="P690" s="0" t="str">
        <f aca="false">IF(COUNTIF($A$2:A690,A690)&gt;1,"DUP","")</f>
        <v/>
      </c>
      <c r="Q690" s="0" t="str">
        <f aca="false">IF(O690="","",IF(O690&gt;240,"Y","N"))</f>
        <v>Y</v>
      </c>
    </row>
    <row r="691" customFormat="false" ht="15" hidden="false" customHeight="false" outlineLevel="0" collapsed="false">
      <c r="A691" s="0" t="s">
        <v>5825</v>
      </c>
      <c r="B691" s="0" t="s">
        <v>4924</v>
      </c>
      <c r="C691" s="0" t="s">
        <v>938</v>
      </c>
      <c r="D691" s="31" t="n">
        <v>26249</v>
      </c>
      <c r="E691" s="31" t="n">
        <v>45587</v>
      </c>
      <c r="F691" s="32" t="s">
        <v>4525</v>
      </c>
      <c r="G691" s="0" t="n">
        <v>5</v>
      </c>
      <c r="H691" s="32" t="s">
        <v>4661</v>
      </c>
      <c r="I691" s="32" t="s">
        <v>5826</v>
      </c>
      <c r="J691" s="32" t="s">
        <v>3763</v>
      </c>
      <c r="K691" s="32" t="s">
        <v>2081</v>
      </c>
      <c r="L691" s="0" t="n">
        <v>215</v>
      </c>
      <c r="M691" s="32" t="s">
        <v>3877</v>
      </c>
      <c r="N691" s="32" t="s">
        <v>3751</v>
      </c>
      <c r="O691" s="32" t="n">
        <f aca="false">IF(I691="","",ROUND(MOD(TIMEVALUE(I691)-TIMEVALUE(F691),1)*1440,0))</f>
        <v>215</v>
      </c>
      <c r="P691" s="0" t="str">
        <f aca="false">IF(COUNTIF($A$2:A691,A691)&gt;1,"DUP","")</f>
        <v/>
      </c>
      <c r="Q691" s="0" t="str">
        <f aca="false">IF(O691="","",IF(O691&gt;240,"Y","N"))</f>
        <v>N</v>
      </c>
    </row>
    <row r="692" customFormat="false" ht="15" hidden="false" customHeight="false" outlineLevel="0" collapsed="false">
      <c r="A692" s="0" t="s">
        <v>5827</v>
      </c>
      <c r="B692" s="0" t="s">
        <v>4322</v>
      </c>
      <c r="C692" s="0" t="s">
        <v>1025</v>
      </c>
      <c r="D692" s="31" t="n">
        <v>30664</v>
      </c>
      <c r="E692" s="31" t="n">
        <v>45649</v>
      </c>
      <c r="F692" s="32" t="s">
        <v>5828</v>
      </c>
      <c r="G692" s="0" t="n">
        <v>2</v>
      </c>
      <c r="H692" s="32" t="s">
        <v>5562</v>
      </c>
      <c r="I692" s="32" t="s">
        <v>4811</v>
      </c>
      <c r="J692" s="32" t="s">
        <v>3793</v>
      </c>
      <c r="K692" s="32" t="s">
        <v>2081</v>
      </c>
      <c r="L692" s="0" t="n">
        <v>156</v>
      </c>
      <c r="M692" s="32" t="s">
        <v>3776</v>
      </c>
      <c r="N692" s="32" t="s">
        <v>802</v>
      </c>
      <c r="O692" s="32" t="n">
        <f aca="false">IF(I692="","",ROUND(MOD(TIMEVALUE(I692)-TIMEVALUE(F692),1)*1440,0))</f>
        <v>156</v>
      </c>
      <c r="P692" s="0" t="str">
        <f aca="false">IF(COUNTIF($A$2:A692,A692)&gt;1,"DUP","")</f>
        <v/>
      </c>
      <c r="Q692" s="0" t="str">
        <f aca="false">IF(O692="","",IF(O692&gt;240,"Y","N"))</f>
        <v>N</v>
      </c>
    </row>
    <row r="693" customFormat="false" ht="15" hidden="false" customHeight="false" outlineLevel="0" collapsed="false">
      <c r="A693" s="0" t="s">
        <v>5829</v>
      </c>
      <c r="B693" s="0" t="s">
        <v>5120</v>
      </c>
      <c r="C693" s="0" t="s">
        <v>922</v>
      </c>
      <c r="D693" s="31" t="n">
        <v>31429</v>
      </c>
      <c r="E693" s="31" t="n">
        <v>45627</v>
      </c>
      <c r="F693" s="32" t="s">
        <v>3974</v>
      </c>
      <c r="G693" s="0" t="n">
        <v>1</v>
      </c>
      <c r="H693" s="32" t="s">
        <v>5652</v>
      </c>
      <c r="I693" s="32" t="s">
        <v>4520</v>
      </c>
      <c r="J693" s="32" t="s">
        <v>3793</v>
      </c>
      <c r="K693" s="32" t="s">
        <v>2081</v>
      </c>
      <c r="L693" s="0" t="n">
        <v>223</v>
      </c>
      <c r="M693" s="32" t="s">
        <v>3776</v>
      </c>
      <c r="N693" s="32" t="s">
        <v>776</v>
      </c>
      <c r="O693" s="32" t="n">
        <f aca="false">IF(I693="","",ROUND(MOD(TIMEVALUE(I693)-TIMEVALUE(F693),1)*1440,0))</f>
        <v>223</v>
      </c>
      <c r="P693" s="0" t="str">
        <f aca="false">IF(COUNTIF($A$2:A693,A693)&gt;1,"DUP","")</f>
        <v/>
      </c>
      <c r="Q693" s="0" t="str">
        <f aca="false">IF(O693="","",IF(O693&gt;240,"Y","N"))</f>
        <v>N</v>
      </c>
    </row>
    <row r="694" customFormat="false" ht="15" hidden="false" customHeight="false" outlineLevel="0" collapsed="false">
      <c r="A694" s="0" t="s">
        <v>5830</v>
      </c>
      <c r="B694" s="0" t="s">
        <v>3868</v>
      </c>
      <c r="C694" s="0" t="s">
        <v>977</v>
      </c>
      <c r="D694" s="31" t="n">
        <v>33096</v>
      </c>
      <c r="E694" s="31" t="n">
        <v>45657</v>
      </c>
      <c r="F694" s="32" t="s">
        <v>4481</v>
      </c>
      <c r="G694" s="0" t="n">
        <v>4</v>
      </c>
      <c r="H694" s="32" t="s">
        <v>3901</v>
      </c>
      <c r="I694" s="32" t="s">
        <v>3746</v>
      </c>
      <c r="J694" s="32" t="s">
        <v>3749</v>
      </c>
      <c r="K694" s="32" t="s">
        <v>2081</v>
      </c>
      <c r="L694" s="0" t="n">
        <v>234</v>
      </c>
      <c r="M694" s="32" t="s">
        <v>4219</v>
      </c>
      <c r="N694" s="32" t="s">
        <v>3751</v>
      </c>
      <c r="O694" s="32" t="n">
        <f aca="false">IF(I694="","",ROUND(MOD(TIMEVALUE(I694)-TIMEVALUE(F694),1)*1440,0))</f>
        <v>234</v>
      </c>
      <c r="P694" s="0" t="str">
        <f aca="false">IF(COUNTIF($A$2:A694,A694)&gt;1,"DUP","")</f>
        <v/>
      </c>
      <c r="Q694" s="0" t="str">
        <f aca="false">IF(O694="","",IF(O694&gt;240,"Y","N"))</f>
        <v>N</v>
      </c>
    </row>
    <row r="695" customFormat="false" ht="15" hidden="false" customHeight="false" outlineLevel="0" collapsed="false">
      <c r="A695" s="0" t="s">
        <v>5831</v>
      </c>
      <c r="B695" s="0" t="s">
        <v>3834</v>
      </c>
      <c r="C695" s="0" t="s">
        <v>809</v>
      </c>
      <c r="D695" s="31" t="n">
        <v>22442</v>
      </c>
      <c r="E695" s="31" t="n">
        <v>45595</v>
      </c>
      <c r="F695" s="32" t="s">
        <v>4956</v>
      </c>
      <c r="G695" s="0" t="n">
        <v>3</v>
      </c>
      <c r="H695" s="32" t="s">
        <v>4730</v>
      </c>
      <c r="I695" s="32" t="s">
        <v>5832</v>
      </c>
      <c r="J695" s="32" t="s">
        <v>3763</v>
      </c>
      <c r="K695" s="32" t="s">
        <v>2106</v>
      </c>
      <c r="L695" s="0" t="n">
        <v>271</v>
      </c>
      <c r="M695" s="32" t="s">
        <v>3877</v>
      </c>
      <c r="N695" s="32" t="s">
        <v>3751</v>
      </c>
      <c r="O695" s="32" t="n">
        <f aca="false">IF(I695="","",ROUND(MOD(TIMEVALUE(I695)-TIMEVALUE(F695),1)*1440,0))</f>
        <v>271</v>
      </c>
      <c r="P695" s="0" t="str">
        <f aca="false">IF(COUNTIF($A$2:A695,A695)&gt;1,"DUP","")</f>
        <v/>
      </c>
      <c r="Q695" s="0" t="str">
        <f aca="false">IF(O695="","",IF(O695&gt;240,"Y","N"))</f>
        <v>Y</v>
      </c>
    </row>
    <row r="696" customFormat="false" ht="15" hidden="false" customHeight="false" outlineLevel="0" collapsed="false">
      <c r="A696" s="0" t="s">
        <v>5833</v>
      </c>
      <c r="B696" s="0" t="s">
        <v>4229</v>
      </c>
      <c r="C696" s="0" t="s">
        <v>946</v>
      </c>
      <c r="D696" s="31" t="n">
        <v>14831</v>
      </c>
      <c r="E696" s="31" t="n">
        <v>45714</v>
      </c>
      <c r="F696" s="32" t="s">
        <v>3913</v>
      </c>
      <c r="G696" s="0" t="n">
        <v>3</v>
      </c>
      <c r="H696" s="32" t="s">
        <v>5834</v>
      </c>
      <c r="I696" s="32" t="s">
        <v>4664</v>
      </c>
      <c r="J696" s="32" t="s">
        <v>3749</v>
      </c>
      <c r="K696" s="32" t="s">
        <v>2081</v>
      </c>
      <c r="L696" s="0" t="n">
        <v>152</v>
      </c>
      <c r="M696" s="32" t="s">
        <v>3799</v>
      </c>
      <c r="N696" s="32" t="s">
        <v>3751</v>
      </c>
      <c r="O696" s="32" t="n">
        <f aca="false">IF(I696="","",ROUND(MOD(TIMEVALUE(I696)-TIMEVALUE(F696),1)*1440,0))</f>
        <v>152</v>
      </c>
      <c r="P696" s="0" t="str">
        <f aca="false">IF(COUNTIF($A$2:A696,A696)&gt;1,"DUP","")</f>
        <v/>
      </c>
      <c r="Q696" s="0" t="str">
        <f aca="false">IF(O696="","",IF(O696&gt;240,"Y","N"))</f>
        <v>N</v>
      </c>
    </row>
    <row r="697" customFormat="false" ht="15" hidden="false" customHeight="false" outlineLevel="0" collapsed="false">
      <c r="A697" s="0" t="s">
        <v>5835</v>
      </c>
      <c r="B697" s="0" t="s">
        <v>4179</v>
      </c>
      <c r="C697" s="0" t="s">
        <v>950</v>
      </c>
      <c r="D697" s="31" t="n">
        <v>32129</v>
      </c>
      <c r="E697" s="31" t="n">
        <v>45692</v>
      </c>
      <c r="F697" s="32" t="s">
        <v>4251</v>
      </c>
      <c r="G697" s="0" t="n">
        <v>3</v>
      </c>
      <c r="H697" s="32" t="s">
        <v>4307</v>
      </c>
      <c r="I697" s="32" t="s">
        <v>4614</v>
      </c>
      <c r="J697" s="32" t="s">
        <v>3749</v>
      </c>
      <c r="K697" s="32" t="s">
        <v>2081</v>
      </c>
      <c r="L697" s="0" t="n">
        <v>195</v>
      </c>
      <c r="M697" s="32" t="s">
        <v>4582</v>
      </c>
      <c r="N697" s="32" t="s">
        <v>3751</v>
      </c>
      <c r="O697" s="32" t="n">
        <f aca="false">IF(I697="","",ROUND(MOD(TIMEVALUE(I697)-TIMEVALUE(F697),1)*1440,0))</f>
        <v>195</v>
      </c>
      <c r="P697" s="0" t="str">
        <f aca="false">IF(COUNTIF($A$2:A697,A697)&gt;1,"DUP","")</f>
        <v/>
      </c>
      <c r="Q697" s="0" t="str">
        <f aca="false">IF(O697="","",IF(O697&gt;240,"Y","N"))</f>
        <v>N</v>
      </c>
    </row>
    <row r="698" customFormat="false" ht="15" hidden="false" customHeight="false" outlineLevel="0" collapsed="false">
      <c r="A698" s="0" t="s">
        <v>5836</v>
      </c>
      <c r="B698" s="0" t="s">
        <v>4515</v>
      </c>
      <c r="C698" s="0" t="s">
        <v>1009</v>
      </c>
      <c r="D698" s="31" t="n">
        <v>28545</v>
      </c>
      <c r="E698" s="31" t="n">
        <v>45645</v>
      </c>
      <c r="F698" s="32" t="s">
        <v>5811</v>
      </c>
      <c r="G698" s="0" t="n">
        <v>5</v>
      </c>
      <c r="H698" s="32" t="s">
        <v>5837</v>
      </c>
      <c r="I698" s="32" t="s">
        <v>4800</v>
      </c>
      <c r="J698" s="32" t="s">
        <v>3749</v>
      </c>
      <c r="K698" s="32" t="s">
        <v>2106</v>
      </c>
      <c r="L698" s="0" t="n">
        <v>464</v>
      </c>
      <c r="M698" s="32" t="s">
        <v>4114</v>
      </c>
      <c r="N698" s="32" t="s">
        <v>3751</v>
      </c>
      <c r="O698" s="32" t="n">
        <f aca="false">IF(I698="","",ROUND(MOD(TIMEVALUE(I698)-TIMEVALUE(F698),1)*1440,0))</f>
        <v>464</v>
      </c>
      <c r="P698" s="0" t="str">
        <f aca="false">IF(COUNTIF($A$2:A698,A698)&gt;1,"DUP","")</f>
        <v/>
      </c>
      <c r="Q698" s="0" t="str">
        <f aca="false">IF(O698="","",IF(O698&gt;240,"Y","N"))</f>
        <v>Y</v>
      </c>
    </row>
    <row r="699" customFormat="false" ht="15" hidden="false" customHeight="false" outlineLevel="0" collapsed="false">
      <c r="A699" s="0" t="s">
        <v>5838</v>
      </c>
      <c r="B699" s="0" t="s">
        <v>4336</v>
      </c>
      <c r="C699" s="0" t="s">
        <v>870</v>
      </c>
      <c r="D699" s="31" t="n">
        <v>25057</v>
      </c>
      <c r="E699" s="31" t="n">
        <v>45647</v>
      </c>
      <c r="F699" s="32" t="s">
        <v>5839</v>
      </c>
      <c r="G699" s="0" t="n">
        <v>5</v>
      </c>
      <c r="H699" s="32" t="s">
        <v>3864</v>
      </c>
      <c r="I699" s="32" t="s">
        <v>5840</v>
      </c>
      <c r="J699" s="32" t="s">
        <v>2307</v>
      </c>
      <c r="K699" s="32" t="s">
        <v>2081</v>
      </c>
      <c r="L699" s="0" t="n">
        <v>215</v>
      </c>
      <c r="M699" s="32" t="s">
        <v>3787</v>
      </c>
      <c r="N699" s="32" t="s">
        <v>3751</v>
      </c>
      <c r="O699" s="32" t="n">
        <f aca="false">IF(I699="","",ROUND(MOD(TIMEVALUE(I699)-TIMEVALUE(F699),1)*1440,0))</f>
        <v>215</v>
      </c>
      <c r="P699" s="0" t="str">
        <f aca="false">IF(COUNTIF($A$2:A699,A699)&gt;1,"DUP","")</f>
        <v/>
      </c>
      <c r="Q699" s="0" t="str">
        <f aca="false">IF(O699="","",IF(O699&gt;240,"Y","N"))</f>
        <v>N</v>
      </c>
    </row>
    <row r="700" customFormat="false" ht="15" hidden="false" customHeight="false" outlineLevel="0" collapsed="false">
      <c r="A700" s="0" t="s">
        <v>5841</v>
      </c>
      <c r="B700" s="0" t="s">
        <v>5344</v>
      </c>
      <c r="C700" s="0" t="s">
        <v>970</v>
      </c>
      <c r="D700" s="31" t="n">
        <v>38085</v>
      </c>
      <c r="E700" s="31" t="n">
        <v>45618</v>
      </c>
      <c r="F700" s="32" t="s">
        <v>5805</v>
      </c>
      <c r="G700" s="0" t="n">
        <v>3</v>
      </c>
      <c r="H700" s="32" t="s">
        <v>3859</v>
      </c>
      <c r="I700" s="32" t="s">
        <v>4589</v>
      </c>
      <c r="J700" s="32" t="s">
        <v>3749</v>
      </c>
      <c r="K700" s="32" t="s">
        <v>2081</v>
      </c>
      <c r="L700" s="0" t="n">
        <v>191</v>
      </c>
      <c r="M700" s="32" t="s">
        <v>4267</v>
      </c>
      <c r="N700" s="32" t="s">
        <v>3751</v>
      </c>
      <c r="O700" s="32" t="n">
        <f aca="false">IF(I700="","",ROUND(MOD(TIMEVALUE(I700)-TIMEVALUE(F700),1)*1440,0))</f>
        <v>191</v>
      </c>
      <c r="P700" s="0" t="str">
        <f aca="false">IF(COUNTIF($A$2:A700,A700)&gt;1,"DUP","")</f>
        <v/>
      </c>
      <c r="Q700" s="0" t="str">
        <f aca="false">IF(O700="","",IF(O700&gt;240,"Y","N"))</f>
        <v>N</v>
      </c>
    </row>
    <row r="701" customFormat="false" ht="15" hidden="false" customHeight="false" outlineLevel="0" collapsed="false">
      <c r="A701" s="0" t="s">
        <v>5842</v>
      </c>
      <c r="B701" s="0" t="s">
        <v>5843</v>
      </c>
      <c r="C701" s="0" t="s">
        <v>1013</v>
      </c>
      <c r="D701" s="31" t="n">
        <v>18228</v>
      </c>
      <c r="E701" s="31" t="n">
        <v>45710</v>
      </c>
      <c r="F701" s="32" t="s">
        <v>4354</v>
      </c>
      <c r="G701" s="0" t="n">
        <v>3</v>
      </c>
      <c r="H701" s="32" t="s">
        <v>5844</v>
      </c>
      <c r="I701" s="32" t="s">
        <v>5845</v>
      </c>
      <c r="J701" s="32" t="s">
        <v>3793</v>
      </c>
      <c r="K701" s="32" t="s">
        <v>2081</v>
      </c>
      <c r="L701" s="0" t="n">
        <v>144</v>
      </c>
      <c r="M701" s="32" t="s">
        <v>4285</v>
      </c>
      <c r="N701" s="32" t="s">
        <v>826</v>
      </c>
      <c r="O701" s="32" t="n">
        <f aca="false">IF(I701="","",ROUND(MOD(TIMEVALUE(I701)-TIMEVALUE(F701),1)*1440,0))</f>
        <v>144</v>
      </c>
      <c r="P701" s="0" t="str">
        <f aca="false">IF(COUNTIF($A$2:A701,A701)&gt;1,"DUP","")</f>
        <v/>
      </c>
      <c r="Q701" s="0" t="str">
        <f aca="false">IF(O701="","",IF(O701&gt;240,"Y","N"))</f>
        <v>N</v>
      </c>
    </row>
    <row r="702" customFormat="false" ht="15" hidden="false" customHeight="false" outlineLevel="0" collapsed="false">
      <c r="A702" s="0" t="s">
        <v>5846</v>
      </c>
      <c r="B702" s="0" t="s">
        <v>3932</v>
      </c>
      <c r="C702" s="0" t="s">
        <v>2206</v>
      </c>
      <c r="D702" s="31" t="n">
        <v>13583</v>
      </c>
      <c r="E702" s="31" t="n">
        <v>45590</v>
      </c>
      <c r="F702" s="32" t="s">
        <v>4658</v>
      </c>
      <c r="G702" s="0" t="n">
        <v>4</v>
      </c>
      <c r="H702" s="32" t="s">
        <v>4152</v>
      </c>
      <c r="I702" s="32" t="s">
        <v>5847</v>
      </c>
      <c r="J702" s="32" t="s">
        <v>3749</v>
      </c>
      <c r="K702" s="32" t="s">
        <v>2081</v>
      </c>
      <c r="L702" s="0" t="n">
        <v>215</v>
      </c>
      <c r="M702" s="32" t="s">
        <v>3993</v>
      </c>
      <c r="N702" s="32" t="s">
        <v>3751</v>
      </c>
      <c r="O702" s="32" t="n">
        <f aca="false">IF(I702="","",ROUND(MOD(TIMEVALUE(I702)-TIMEVALUE(F702),1)*1440,0))</f>
        <v>215</v>
      </c>
      <c r="P702" s="0" t="str">
        <f aca="false">IF(COUNTIF($A$2:A702,A702)&gt;1,"DUP","")</f>
        <v/>
      </c>
      <c r="Q702" s="0" t="str">
        <f aca="false">IF(O702="","",IF(O702&gt;240,"Y","N"))</f>
        <v>N</v>
      </c>
    </row>
    <row r="703" customFormat="false" ht="15" hidden="false" customHeight="false" outlineLevel="0" collapsed="false">
      <c r="A703" s="0" t="s">
        <v>5848</v>
      </c>
      <c r="B703" s="0" t="s">
        <v>4783</v>
      </c>
      <c r="C703" s="0" t="s">
        <v>962</v>
      </c>
      <c r="D703" s="31" t="n">
        <v>24772</v>
      </c>
      <c r="E703" s="31" t="n">
        <v>45697</v>
      </c>
      <c r="F703" s="32" t="s">
        <v>5849</v>
      </c>
      <c r="G703" s="0" t="n">
        <v>4</v>
      </c>
      <c r="H703" s="32" t="s">
        <v>3837</v>
      </c>
      <c r="I703" s="32" t="s">
        <v>4658</v>
      </c>
      <c r="J703" s="32" t="s">
        <v>2307</v>
      </c>
      <c r="K703" s="32" t="s">
        <v>2081</v>
      </c>
      <c r="L703" s="0" t="n">
        <v>75</v>
      </c>
      <c r="M703" s="32" t="s">
        <v>3787</v>
      </c>
      <c r="N703" s="32" t="s">
        <v>3751</v>
      </c>
      <c r="O703" s="32" t="n">
        <f aca="false">IF(I703="","",ROUND(MOD(TIMEVALUE(I703)-TIMEVALUE(F703),1)*1440,0))</f>
        <v>75</v>
      </c>
      <c r="P703" s="0" t="str">
        <f aca="false">IF(COUNTIF($A$2:A703,A703)&gt;1,"DUP","")</f>
        <v/>
      </c>
      <c r="Q703" s="0" t="str">
        <f aca="false">IF(O703="","",IF(O703&gt;240,"Y","N"))</f>
        <v>N</v>
      </c>
    </row>
    <row r="704" customFormat="false" ht="15" hidden="false" customHeight="false" outlineLevel="0" collapsed="false">
      <c r="A704" s="0" t="s">
        <v>5850</v>
      </c>
      <c r="C704" s="0" t="s">
        <v>938</v>
      </c>
      <c r="D704" s="31" t="n">
        <v>25830</v>
      </c>
      <c r="E704" s="31" t="n">
        <v>45579</v>
      </c>
      <c r="F704" s="32" t="s">
        <v>5851</v>
      </c>
      <c r="G704" s="0" t="n">
        <v>4</v>
      </c>
      <c r="H704" s="32" t="s">
        <v>5143</v>
      </c>
      <c r="I704" s="32" t="s">
        <v>5090</v>
      </c>
      <c r="J704" s="32" t="s">
        <v>3793</v>
      </c>
      <c r="K704" s="32" t="s">
        <v>2081</v>
      </c>
      <c r="L704" s="0" t="n">
        <v>139</v>
      </c>
      <c r="M704" s="32" t="s">
        <v>3925</v>
      </c>
      <c r="N704" s="32" t="s">
        <v>785</v>
      </c>
      <c r="O704" s="32" t="n">
        <f aca="false">IF(I704="","",ROUND(MOD(TIMEVALUE(I704)-TIMEVALUE(F704),1)*1440,0))</f>
        <v>139</v>
      </c>
      <c r="P704" s="0" t="str">
        <f aca="false">IF(COUNTIF($A$2:A704,A704)&gt;1,"DUP","")</f>
        <v/>
      </c>
      <c r="Q704" s="0" t="str">
        <f aca="false">IF(O704="","",IF(O704&gt;240,"Y","N"))</f>
        <v>N</v>
      </c>
    </row>
    <row r="705" customFormat="false" ht="15" hidden="false" customHeight="false" outlineLevel="0" collapsed="false">
      <c r="A705" s="0" t="s">
        <v>5852</v>
      </c>
      <c r="B705" s="0" t="s">
        <v>3954</v>
      </c>
      <c r="C705" s="0" t="s">
        <v>878</v>
      </c>
      <c r="D705" s="31" t="n">
        <v>38001</v>
      </c>
      <c r="E705" s="31" t="n">
        <v>45646</v>
      </c>
      <c r="F705" s="32" t="s">
        <v>4908</v>
      </c>
      <c r="G705" s="0" t="n">
        <v>4</v>
      </c>
      <c r="H705" s="32" t="s">
        <v>4160</v>
      </c>
      <c r="I705" s="32" t="s">
        <v>5853</v>
      </c>
      <c r="J705" s="32" t="s">
        <v>3749</v>
      </c>
      <c r="K705" s="32" t="s">
        <v>2106</v>
      </c>
      <c r="L705" s="0" t="n">
        <v>312</v>
      </c>
      <c r="M705" s="32" t="s">
        <v>3975</v>
      </c>
      <c r="N705" s="32" t="s">
        <v>3751</v>
      </c>
      <c r="O705" s="32" t="n">
        <f aca="false">IF(I705="","",ROUND(MOD(TIMEVALUE(I705)-TIMEVALUE(F705),1)*1440,0))</f>
        <v>312</v>
      </c>
      <c r="P705" s="0" t="str">
        <f aca="false">IF(COUNTIF($A$2:A705,A705)&gt;1,"DUP","")</f>
        <v/>
      </c>
      <c r="Q705" s="0" t="str">
        <f aca="false">IF(O705="","",IF(O705&gt;240,"Y","N"))</f>
        <v>Y</v>
      </c>
    </row>
    <row r="706" customFormat="false" ht="15" hidden="false" customHeight="false" outlineLevel="0" collapsed="false">
      <c r="A706" s="0" t="s">
        <v>5854</v>
      </c>
      <c r="B706" s="0" t="s">
        <v>5677</v>
      </c>
      <c r="C706" s="0" t="s">
        <v>1402</v>
      </c>
      <c r="D706" s="31" t="n">
        <v>17048</v>
      </c>
      <c r="E706" s="31" t="n">
        <v>45638</v>
      </c>
      <c r="F706" s="32" t="s">
        <v>5855</v>
      </c>
      <c r="G706" s="0" t="n">
        <v>4</v>
      </c>
      <c r="H706" s="32" t="s">
        <v>5856</v>
      </c>
      <c r="I706" s="32" t="s">
        <v>5328</v>
      </c>
      <c r="J706" s="32" t="s">
        <v>3749</v>
      </c>
      <c r="K706" s="32" t="s">
        <v>2081</v>
      </c>
      <c r="L706" s="0" t="n">
        <v>183</v>
      </c>
      <c r="M706" s="32" t="s">
        <v>4409</v>
      </c>
      <c r="N706" s="32" t="s">
        <v>3751</v>
      </c>
      <c r="O706" s="32" t="n">
        <f aca="false">IF(I706="","",ROUND(MOD(TIMEVALUE(I706)-TIMEVALUE(F706),1)*1440,0))</f>
        <v>183</v>
      </c>
      <c r="P706" s="0" t="str">
        <f aca="false">IF(COUNTIF($A$2:A706,A706)&gt;1,"DUP","")</f>
        <v/>
      </c>
      <c r="Q706" s="0" t="str">
        <f aca="false">IF(O706="","",IF(O706&gt;240,"Y","N"))</f>
        <v>N</v>
      </c>
    </row>
    <row r="707" customFormat="false" ht="15" hidden="false" customHeight="false" outlineLevel="0" collapsed="false">
      <c r="A707" s="0" t="s">
        <v>5857</v>
      </c>
      <c r="B707" s="0" t="s">
        <v>5858</v>
      </c>
      <c r="C707" s="0" t="s">
        <v>849</v>
      </c>
      <c r="D707" s="31" t="n">
        <v>39193</v>
      </c>
      <c r="E707" s="31" t="n">
        <v>45613</v>
      </c>
      <c r="F707" s="32" t="s">
        <v>5562</v>
      </c>
      <c r="G707" s="0" t="n">
        <v>5</v>
      </c>
      <c r="H707" s="32" t="s">
        <v>5840</v>
      </c>
      <c r="I707" s="32" t="s">
        <v>4346</v>
      </c>
      <c r="J707" s="32" t="s">
        <v>3749</v>
      </c>
      <c r="K707" s="32" t="s">
        <v>2081</v>
      </c>
      <c r="L707" s="0" t="n">
        <v>30</v>
      </c>
      <c r="M707" s="32" t="s">
        <v>3787</v>
      </c>
      <c r="N707" s="32" t="s">
        <v>3751</v>
      </c>
      <c r="O707" s="32" t="n">
        <f aca="false">IF(I707="","",ROUND(MOD(TIMEVALUE(I707)-TIMEVALUE(F707),1)*1440,0))</f>
        <v>30</v>
      </c>
      <c r="P707" s="0" t="str">
        <f aca="false">IF(COUNTIF($A$2:A707,A707)&gt;1,"DUP","")</f>
        <v/>
      </c>
      <c r="Q707" s="0" t="str">
        <f aca="false">IF(O707="","",IF(O707&gt;240,"Y","N"))</f>
        <v>N</v>
      </c>
    </row>
    <row r="708" customFormat="false" ht="15" hidden="false" customHeight="false" outlineLevel="0" collapsed="false">
      <c r="A708" s="0" t="s">
        <v>5859</v>
      </c>
      <c r="B708" s="0" t="s">
        <v>3904</v>
      </c>
      <c r="C708" s="0" t="s">
        <v>989</v>
      </c>
      <c r="D708" s="31" t="n">
        <v>38937</v>
      </c>
      <c r="E708" s="31" t="n">
        <v>45691</v>
      </c>
      <c r="F708" s="32" t="s">
        <v>4050</v>
      </c>
      <c r="G708" s="0" t="n">
        <v>3</v>
      </c>
      <c r="H708" s="32" t="s">
        <v>3747</v>
      </c>
      <c r="I708" s="32" t="s">
        <v>5860</v>
      </c>
      <c r="J708" s="32" t="s">
        <v>3749</v>
      </c>
      <c r="K708" s="32" t="s">
        <v>2081</v>
      </c>
      <c r="L708" s="0" t="n">
        <v>206</v>
      </c>
      <c r="M708" s="32" t="s">
        <v>3877</v>
      </c>
      <c r="N708" s="32" t="s">
        <v>3751</v>
      </c>
      <c r="O708" s="32" t="n">
        <f aca="false">IF(I708="","",ROUND(MOD(TIMEVALUE(I708)-TIMEVALUE(F708),1)*1440,0))</f>
        <v>206</v>
      </c>
      <c r="P708" s="0" t="str">
        <f aca="false">IF(COUNTIF($A$2:A708,A708)&gt;1,"DUP","")</f>
        <v/>
      </c>
      <c r="Q708" s="0" t="str">
        <f aca="false">IF(O708="","",IF(O708&gt;240,"Y","N"))</f>
        <v>N</v>
      </c>
    </row>
    <row r="709" customFormat="false" ht="15" hidden="false" customHeight="false" outlineLevel="0" collapsed="false">
      <c r="A709" s="0" t="s">
        <v>5861</v>
      </c>
      <c r="B709" s="0" t="s">
        <v>5862</v>
      </c>
      <c r="C709" s="0" t="s">
        <v>841</v>
      </c>
      <c r="D709" s="31" t="n">
        <v>31629</v>
      </c>
      <c r="E709" s="31" t="n">
        <v>45734</v>
      </c>
      <c r="F709" s="32" t="s">
        <v>4989</v>
      </c>
      <c r="G709" s="0" t="n">
        <v>3</v>
      </c>
      <c r="H709" s="32" t="s">
        <v>4686</v>
      </c>
      <c r="I709" s="32" t="s">
        <v>5863</v>
      </c>
      <c r="J709" s="32" t="s">
        <v>3749</v>
      </c>
      <c r="K709" s="32" t="s">
        <v>2081</v>
      </c>
      <c r="L709" s="0" t="n">
        <v>219</v>
      </c>
      <c r="M709" s="32" t="s">
        <v>4122</v>
      </c>
      <c r="N709" s="32" t="s">
        <v>3751</v>
      </c>
      <c r="O709" s="32" t="n">
        <f aca="false">IF(I709="","",ROUND(MOD(TIMEVALUE(I709)-TIMEVALUE(F709),1)*1440,0))</f>
        <v>219</v>
      </c>
      <c r="P709" s="0" t="str">
        <f aca="false">IF(COUNTIF($A$2:A709,A709)&gt;1,"DUP","")</f>
        <v/>
      </c>
      <c r="Q709" s="0" t="str">
        <f aca="false">IF(O709="","",IF(O709&gt;240,"Y","N"))</f>
        <v>N</v>
      </c>
    </row>
    <row r="710" customFormat="false" ht="15" hidden="false" customHeight="false" outlineLevel="0" collapsed="false">
      <c r="A710" s="0" t="s">
        <v>5864</v>
      </c>
      <c r="B710" s="0" t="s">
        <v>5865</v>
      </c>
      <c r="C710" s="0" t="s">
        <v>2206</v>
      </c>
      <c r="D710" s="31" t="n">
        <v>38810</v>
      </c>
      <c r="E710" s="31" t="n">
        <v>45654</v>
      </c>
      <c r="F710" s="32" t="s">
        <v>3918</v>
      </c>
      <c r="G710" s="0" t="n">
        <v>2</v>
      </c>
      <c r="H710" s="32" t="s">
        <v>5866</v>
      </c>
      <c r="I710" s="32" t="s">
        <v>4651</v>
      </c>
      <c r="J710" s="32" t="s">
        <v>3749</v>
      </c>
      <c r="K710" s="32" t="s">
        <v>2081</v>
      </c>
      <c r="L710" s="0" t="n">
        <v>131</v>
      </c>
      <c r="M710" s="32" t="s">
        <v>3849</v>
      </c>
      <c r="N710" s="32" t="s">
        <v>1455</v>
      </c>
      <c r="O710" s="32" t="n">
        <f aca="false">IF(I710="","",ROUND(MOD(TIMEVALUE(I710)-TIMEVALUE(F710),1)*1440,0))</f>
        <v>131</v>
      </c>
      <c r="P710" s="0" t="str">
        <f aca="false">IF(COUNTIF($A$2:A710,A710)&gt;1,"DUP","")</f>
        <v/>
      </c>
      <c r="Q710" s="0" t="str">
        <f aca="false">IF(O710="","",IF(O710&gt;240,"Y","N"))</f>
        <v>N</v>
      </c>
    </row>
    <row r="711" customFormat="false" ht="15" hidden="false" customHeight="false" outlineLevel="0" collapsed="false">
      <c r="A711" s="0" t="s">
        <v>5867</v>
      </c>
      <c r="B711" s="0" t="s">
        <v>5868</v>
      </c>
      <c r="C711" s="0" t="s">
        <v>993</v>
      </c>
      <c r="D711" s="31" t="n">
        <v>13131</v>
      </c>
      <c r="E711" s="31" t="n">
        <v>45657</v>
      </c>
      <c r="F711" s="32" t="s">
        <v>4084</v>
      </c>
      <c r="G711" s="0" t="n">
        <v>5</v>
      </c>
      <c r="H711" s="32" t="s">
        <v>3836</v>
      </c>
      <c r="I711" s="32" t="s">
        <v>5185</v>
      </c>
      <c r="J711" s="32" t="s">
        <v>2307</v>
      </c>
      <c r="K711" s="32" t="s">
        <v>2106</v>
      </c>
      <c r="L711" s="0" t="n">
        <v>557</v>
      </c>
      <c r="M711" s="32" t="s">
        <v>3782</v>
      </c>
      <c r="N711" s="32" t="s">
        <v>3751</v>
      </c>
      <c r="O711" s="32" t="n">
        <f aca="false">IF(I711="","",ROUND(MOD(TIMEVALUE(I711)-TIMEVALUE(F711),1)*1440,0))</f>
        <v>557</v>
      </c>
      <c r="P711" s="0" t="str">
        <f aca="false">IF(COUNTIF($A$2:A711,A711)&gt;1,"DUP","")</f>
        <v/>
      </c>
      <c r="Q711" s="0" t="str">
        <f aca="false">IF(O711="","",IF(O711&gt;240,"Y","N"))</f>
        <v>Y</v>
      </c>
    </row>
    <row r="712" customFormat="false" ht="15" hidden="false" customHeight="false" outlineLevel="0" collapsed="false">
      <c r="A712" s="0" t="s">
        <v>5869</v>
      </c>
      <c r="B712" s="0" t="s">
        <v>5482</v>
      </c>
      <c r="C712" s="0" t="s">
        <v>765</v>
      </c>
      <c r="D712" s="31" t="n">
        <v>28894</v>
      </c>
      <c r="E712" s="31" t="n">
        <v>45702</v>
      </c>
      <c r="F712" s="32" t="s">
        <v>3820</v>
      </c>
      <c r="G712" s="0" t="n">
        <v>4</v>
      </c>
      <c r="H712" s="32" t="s">
        <v>4594</v>
      </c>
      <c r="I712" s="32" t="s">
        <v>4215</v>
      </c>
      <c r="J712" s="32" t="s">
        <v>3749</v>
      </c>
      <c r="K712" s="32" t="s">
        <v>2106</v>
      </c>
      <c r="L712" s="0" t="n">
        <v>344</v>
      </c>
      <c r="M712" s="32" t="s">
        <v>4122</v>
      </c>
      <c r="N712" s="32" t="s">
        <v>3751</v>
      </c>
      <c r="O712" s="32" t="n">
        <f aca="false">IF(I712="","",ROUND(MOD(TIMEVALUE(I712)-TIMEVALUE(F712),1)*1440,0))</f>
        <v>344</v>
      </c>
      <c r="P712" s="0" t="str">
        <f aca="false">IF(COUNTIF($A$2:A712,A712)&gt;1,"DUP","")</f>
        <v/>
      </c>
      <c r="Q712" s="0" t="str">
        <f aca="false">IF(O712="","",IF(O712&gt;240,"Y","N"))</f>
        <v>Y</v>
      </c>
    </row>
    <row r="713" customFormat="false" ht="15" hidden="false" customHeight="false" outlineLevel="0" collapsed="false">
      <c r="A713" s="0" t="s">
        <v>5870</v>
      </c>
      <c r="C713" s="0" t="s">
        <v>1410</v>
      </c>
      <c r="D713" s="31" t="n">
        <v>28455</v>
      </c>
      <c r="E713" s="31" t="n">
        <v>45658</v>
      </c>
      <c r="F713" s="32" t="s">
        <v>4294</v>
      </c>
      <c r="G713" s="0" t="n">
        <v>4</v>
      </c>
      <c r="H713" s="32" t="s">
        <v>5075</v>
      </c>
      <c r="I713" s="32" t="s">
        <v>5871</v>
      </c>
      <c r="J713" s="32" t="s">
        <v>3749</v>
      </c>
      <c r="K713" s="32" t="s">
        <v>2081</v>
      </c>
      <c r="L713" s="0" t="n">
        <v>134</v>
      </c>
      <c r="M713" s="32" t="s">
        <v>4295</v>
      </c>
      <c r="N713" s="32" t="s">
        <v>3751</v>
      </c>
      <c r="O713" s="32" t="n">
        <f aca="false">IF(I713="","",ROUND(MOD(TIMEVALUE(I713)-TIMEVALUE(F713),1)*1440,0))</f>
        <v>134</v>
      </c>
      <c r="P713" s="0" t="str">
        <f aca="false">IF(COUNTIF($A$2:A713,A713)&gt;1,"DUP","")</f>
        <v/>
      </c>
      <c r="Q713" s="0" t="str">
        <f aca="false">IF(O713="","",IF(O713&gt;240,"Y","N"))</f>
        <v>N</v>
      </c>
    </row>
    <row r="714" customFormat="false" ht="15" hidden="false" customHeight="false" outlineLevel="0" collapsed="false">
      <c r="A714" s="0" t="s">
        <v>5872</v>
      </c>
      <c r="C714" s="0" t="s">
        <v>1009</v>
      </c>
      <c r="D714" s="31" t="n">
        <v>36287</v>
      </c>
      <c r="E714" s="31" t="n">
        <v>45697</v>
      </c>
      <c r="F714" s="32" t="s">
        <v>5040</v>
      </c>
      <c r="G714" s="0" t="n">
        <v>4</v>
      </c>
      <c r="H714" s="32" t="s">
        <v>4890</v>
      </c>
      <c r="I714" s="32" t="s">
        <v>5873</v>
      </c>
      <c r="J714" s="32" t="s">
        <v>3749</v>
      </c>
      <c r="K714" s="32" t="s">
        <v>2081</v>
      </c>
      <c r="L714" s="0" t="n">
        <v>187</v>
      </c>
      <c r="M714" s="32" t="s">
        <v>3946</v>
      </c>
      <c r="N714" s="32" t="s">
        <v>3751</v>
      </c>
      <c r="O714" s="32" t="n">
        <f aca="false">IF(I714="","",ROUND(MOD(TIMEVALUE(I714)-TIMEVALUE(F714),1)*1440,0))</f>
        <v>187</v>
      </c>
      <c r="P714" s="0" t="str">
        <f aca="false">IF(COUNTIF($A$2:A714,A714)&gt;1,"DUP","")</f>
        <v/>
      </c>
      <c r="Q714" s="0" t="str">
        <f aca="false">IF(O714="","",IF(O714&gt;240,"Y","N"))</f>
        <v>N</v>
      </c>
    </row>
    <row r="715" customFormat="false" ht="15" hidden="false" customHeight="false" outlineLevel="0" collapsed="false">
      <c r="A715" s="0" t="s">
        <v>5874</v>
      </c>
      <c r="B715" s="0" t="s">
        <v>4174</v>
      </c>
      <c r="C715" s="0" t="s">
        <v>914</v>
      </c>
      <c r="D715" s="31" t="n">
        <v>14505</v>
      </c>
      <c r="E715" s="31" t="n">
        <v>45646</v>
      </c>
      <c r="F715" s="32" t="s">
        <v>5593</v>
      </c>
      <c r="G715" s="0" t="n">
        <v>4</v>
      </c>
      <c r="H715" s="32" t="s">
        <v>3884</v>
      </c>
      <c r="I715" s="32" t="s">
        <v>5875</v>
      </c>
      <c r="J715" s="32" t="s">
        <v>3763</v>
      </c>
      <c r="K715" s="32" t="s">
        <v>2081</v>
      </c>
      <c r="L715" s="0" t="n">
        <v>202</v>
      </c>
      <c r="M715" s="32" t="s">
        <v>3925</v>
      </c>
      <c r="N715" s="32" t="s">
        <v>3751</v>
      </c>
      <c r="O715" s="32" t="n">
        <f aca="false">IF(I715="","",ROUND(MOD(TIMEVALUE(I715)-TIMEVALUE(F715),1)*1440,0))</f>
        <v>202</v>
      </c>
      <c r="P715" s="0" t="str">
        <f aca="false">IF(COUNTIF($A$2:A715,A715)&gt;1,"DUP","")</f>
        <v/>
      </c>
      <c r="Q715" s="0" t="str">
        <f aca="false">IF(O715="","",IF(O715&gt;240,"Y","N"))</f>
        <v>N</v>
      </c>
    </row>
    <row r="716" customFormat="false" ht="15" hidden="false" customHeight="false" outlineLevel="0" collapsed="false">
      <c r="A716" s="0" t="s">
        <v>5876</v>
      </c>
      <c r="B716" s="0" t="s">
        <v>4169</v>
      </c>
      <c r="C716" s="0" t="s">
        <v>757</v>
      </c>
      <c r="D716" s="31" t="n">
        <v>30603</v>
      </c>
      <c r="E716" s="31" t="n">
        <v>45685</v>
      </c>
      <c r="F716" s="32" t="s">
        <v>5877</v>
      </c>
      <c r="G716" s="0" t="n">
        <v>3</v>
      </c>
      <c r="H716" s="32" t="s">
        <v>4011</v>
      </c>
      <c r="I716" s="32" t="s">
        <v>5034</v>
      </c>
      <c r="J716" s="32" t="s">
        <v>3763</v>
      </c>
      <c r="K716" s="32" t="s">
        <v>2081</v>
      </c>
      <c r="L716" s="0" t="n">
        <v>94</v>
      </c>
      <c r="M716" s="32" t="s">
        <v>4165</v>
      </c>
      <c r="N716" s="32" t="s">
        <v>3751</v>
      </c>
      <c r="O716" s="32" t="n">
        <f aca="false">IF(I716="","",ROUND(MOD(TIMEVALUE(I716)-TIMEVALUE(F716),1)*1440,0))</f>
        <v>94</v>
      </c>
      <c r="P716" s="0" t="str">
        <f aca="false">IF(COUNTIF($A$2:A716,A716)&gt;1,"DUP","")</f>
        <v/>
      </c>
      <c r="Q716" s="0" t="str">
        <f aca="false">IF(O716="","",IF(O716&gt;240,"Y","N"))</f>
        <v>N</v>
      </c>
    </row>
    <row r="717" customFormat="false" ht="15" hidden="false" customHeight="false" outlineLevel="0" collapsed="false">
      <c r="A717" s="0" t="s">
        <v>5878</v>
      </c>
      <c r="B717" s="0" t="s">
        <v>3778</v>
      </c>
      <c r="C717" s="0" t="s">
        <v>1398</v>
      </c>
      <c r="D717" s="31" t="n">
        <v>36651</v>
      </c>
      <c r="E717" s="31" t="n">
        <v>45586</v>
      </c>
      <c r="F717" s="32" t="s">
        <v>5201</v>
      </c>
      <c r="G717" s="0" t="n">
        <v>3</v>
      </c>
      <c r="H717" s="32" t="s">
        <v>4971</v>
      </c>
      <c r="I717" s="32" t="s">
        <v>4740</v>
      </c>
      <c r="J717" s="32" t="s">
        <v>2307</v>
      </c>
      <c r="K717" s="32" t="s">
        <v>2106</v>
      </c>
      <c r="L717" s="0" t="n">
        <v>506</v>
      </c>
      <c r="M717" s="32" t="s">
        <v>3799</v>
      </c>
      <c r="N717" s="32" t="s">
        <v>3751</v>
      </c>
      <c r="O717" s="32" t="n">
        <f aca="false">IF(I717="","",ROUND(MOD(TIMEVALUE(I717)-TIMEVALUE(F717),1)*1440,0))</f>
        <v>506</v>
      </c>
      <c r="P717" s="0" t="str">
        <f aca="false">IF(COUNTIF($A$2:A717,A717)&gt;1,"DUP","")</f>
        <v/>
      </c>
      <c r="Q717" s="0" t="str">
        <f aca="false">IF(O717="","",IF(O717&gt;240,"Y","N"))</f>
        <v>Y</v>
      </c>
    </row>
    <row r="718" customFormat="false" ht="15" hidden="false" customHeight="false" outlineLevel="0" collapsed="false">
      <c r="A718" s="0" t="s">
        <v>5879</v>
      </c>
      <c r="B718" s="0" t="s">
        <v>4934</v>
      </c>
      <c r="C718" s="0" t="s">
        <v>2206</v>
      </c>
      <c r="D718" s="31" t="n">
        <v>30148</v>
      </c>
      <c r="E718" s="31" t="n">
        <v>45700</v>
      </c>
      <c r="F718" s="32" t="s">
        <v>3965</v>
      </c>
      <c r="G718" s="0" t="n">
        <v>4</v>
      </c>
      <c r="H718" s="32" t="s">
        <v>5429</v>
      </c>
      <c r="I718" s="32" t="s">
        <v>4985</v>
      </c>
      <c r="J718" s="32" t="s">
        <v>2307</v>
      </c>
      <c r="K718" s="32" t="s">
        <v>2081</v>
      </c>
      <c r="L718" s="0" t="n">
        <v>204</v>
      </c>
      <c r="M718" s="32" t="s">
        <v>3764</v>
      </c>
      <c r="N718" s="32" t="s">
        <v>3751</v>
      </c>
      <c r="O718" s="32" t="n">
        <f aca="false">IF(I718="","",ROUND(MOD(TIMEVALUE(I718)-TIMEVALUE(F718),1)*1440,0))</f>
        <v>204</v>
      </c>
      <c r="P718" s="0" t="str">
        <f aca="false">IF(COUNTIF($A$2:A718,A718)&gt;1,"DUP","")</f>
        <v/>
      </c>
      <c r="Q718" s="0" t="str">
        <f aca="false">IF(O718="","",IF(O718&gt;240,"Y","N"))</f>
        <v>N</v>
      </c>
    </row>
    <row r="719" customFormat="false" ht="15" hidden="false" customHeight="false" outlineLevel="0" collapsed="false">
      <c r="A719" s="0" t="s">
        <v>5880</v>
      </c>
      <c r="B719" s="0" t="s">
        <v>5072</v>
      </c>
      <c r="C719" s="0" t="s">
        <v>2178</v>
      </c>
      <c r="D719" s="31" t="n">
        <v>26353</v>
      </c>
      <c r="E719" s="31" t="n">
        <v>45620</v>
      </c>
      <c r="F719" s="32" t="s">
        <v>5333</v>
      </c>
      <c r="G719" s="0" t="n">
        <v>3</v>
      </c>
      <c r="H719" s="32" t="s">
        <v>4608</v>
      </c>
      <c r="I719" s="32" t="s">
        <v>4279</v>
      </c>
      <c r="J719" s="32" t="s">
        <v>3763</v>
      </c>
      <c r="K719" s="32" t="s">
        <v>2081</v>
      </c>
      <c r="L719" s="0" t="n">
        <v>149</v>
      </c>
      <c r="M719" s="32" t="s">
        <v>4047</v>
      </c>
      <c r="N719" s="32" t="s">
        <v>3751</v>
      </c>
      <c r="O719" s="32" t="n">
        <f aca="false">IF(I719="","",ROUND(MOD(TIMEVALUE(I719)-TIMEVALUE(F719),1)*1440,0))</f>
        <v>149</v>
      </c>
      <c r="P719" s="0" t="str">
        <f aca="false">IF(COUNTIF($A$2:A719,A719)&gt;1,"DUP","")</f>
        <v/>
      </c>
      <c r="Q719" s="0" t="str">
        <f aca="false">IF(O719="","",IF(O719&gt;240,"Y","N"))</f>
        <v>N</v>
      </c>
    </row>
    <row r="720" customFormat="false" ht="15" hidden="false" customHeight="false" outlineLevel="0" collapsed="false">
      <c r="A720" s="0" t="s">
        <v>5881</v>
      </c>
      <c r="B720" s="0" t="s">
        <v>4436</v>
      </c>
      <c r="C720" s="0" t="s">
        <v>934</v>
      </c>
      <c r="D720" s="31" t="n">
        <v>14563</v>
      </c>
      <c r="E720" s="31" t="n">
        <v>45734</v>
      </c>
      <c r="F720" s="32" t="s">
        <v>5628</v>
      </c>
      <c r="G720" s="0" t="n">
        <v>3</v>
      </c>
      <c r="H720" s="32" t="s">
        <v>4614</v>
      </c>
      <c r="I720" s="32" t="s">
        <v>5882</v>
      </c>
      <c r="J720" s="32" t="s">
        <v>3749</v>
      </c>
      <c r="K720" s="32" t="s">
        <v>2081</v>
      </c>
      <c r="L720" s="0" t="n">
        <v>181</v>
      </c>
      <c r="M720" s="32" t="s">
        <v>3782</v>
      </c>
      <c r="N720" s="32" t="s">
        <v>3751</v>
      </c>
      <c r="O720" s="32" t="n">
        <f aca="false">IF(I720="","",ROUND(MOD(TIMEVALUE(I720)-TIMEVALUE(F720),1)*1440,0))</f>
        <v>181</v>
      </c>
      <c r="P720" s="0" t="str">
        <f aca="false">IF(COUNTIF($A$2:A720,A720)&gt;1,"DUP","")</f>
        <v/>
      </c>
      <c r="Q720" s="0" t="str">
        <f aca="false">IF(O720="","",IF(O720&gt;240,"Y","N"))</f>
        <v>N</v>
      </c>
    </row>
    <row r="721" customFormat="false" ht="15" hidden="false" customHeight="false" outlineLevel="0" collapsed="false">
      <c r="A721" s="0" t="s">
        <v>5883</v>
      </c>
      <c r="B721" s="0" t="s">
        <v>5884</v>
      </c>
      <c r="C721" s="0" t="s">
        <v>2148</v>
      </c>
      <c r="D721" s="31" t="n">
        <v>26545</v>
      </c>
      <c r="E721" s="31" t="n">
        <v>45734</v>
      </c>
      <c r="F721" s="32" t="s">
        <v>5462</v>
      </c>
      <c r="G721" s="0" t="n">
        <v>3</v>
      </c>
      <c r="H721" s="32" t="s">
        <v>5070</v>
      </c>
      <c r="I721" s="32" t="s">
        <v>4580</v>
      </c>
      <c r="J721" s="32" t="s">
        <v>3793</v>
      </c>
      <c r="K721" s="32" t="s">
        <v>2081</v>
      </c>
      <c r="L721" s="0" t="n">
        <v>55</v>
      </c>
      <c r="M721" s="32" t="s">
        <v>3750</v>
      </c>
      <c r="N721" s="32" t="s">
        <v>802</v>
      </c>
      <c r="O721" s="32" t="n">
        <f aca="false">IF(I721="","",ROUND(MOD(TIMEVALUE(I721)-TIMEVALUE(F721),1)*1440,0))</f>
        <v>55</v>
      </c>
      <c r="P721" s="0" t="str">
        <f aca="false">IF(COUNTIF($A$2:A721,A721)&gt;1,"DUP","")</f>
        <v/>
      </c>
      <c r="Q721" s="0" t="str">
        <f aca="false">IF(O721="","",IF(O721&gt;240,"Y","N"))</f>
        <v>N</v>
      </c>
    </row>
    <row r="722" customFormat="false" ht="15" hidden="false" customHeight="false" outlineLevel="0" collapsed="false">
      <c r="A722" s="0" t="s">
        <v>5885</v>
      </c>
      <c r="B722" s="0" t="s">
        <v>4715</v>
      </c>
      <c r="C722" s="0" t="s">
        <v>930</v>
      </c>
      <c r="D722" s="31" t="n">
        <v>24953</v>
      </c>
      <c r="E722" s="31" t="n">
        <v>45733</v>
      </c>
      <c r="F722" s="32" t="s">
        <v>4254</v>
      </c>
      <c r="G722" s="0" t="n">
        <v>3</v>
      </c>
      <c r="H722" s="32" t="s">
        <v>3890</v>
      </c>
      <c r="J722" s="32" t="s">
        <v>2307</v>
      </c>
      <c r="M722" s="32" t="s">
        <v>3871</v>
      </c>
      <c r="N722" s="32" t="s">
        <v>3751</v>
      </c>
      <c r="O722" s="0" t="str">
        <f aca="false">IF(I722="","",ROUND(MOD(TIMEVALUE(I722)-TIMEVALUE(F722),1)*1440,0))</f>
        <v/>
      </c>
      <c r="P722" s="0" t="str">
        <f aca="false">IF(COUNTIF($A$2:A722,A722)&gt;1,"DUP","")</f>
        <v/>
      </c>
      <c r="Q722" s="0" t="str">
        <f aca="false">IF(O722="","",IF(O722&gt;240,"Y","N"))</f>
        <v/>
      </c>
    </row>
    <row r="723" customFormat="false" ht="15" hidden="false" customHeight="false" outlineLevel="0" collapsed="false">
      <c r="A723" s="0" t="s">
        <v>5886</v>
      </c>
      <c r="B723" s="0" t="s">
        <v>4727</v>
      </c>
      <c r="C723" s="0" t="s">
        <v>882</v>
      </c>
      <c r="D723" s="31" t="n">
        <v>26304</v>
      </c>
      <c r="E723" s="31" t="n">
        <v>45634</v>
      </c>
      <c r="F723" s="32" t="s">
        <v>5887</v>
      </c>
      <c r="G723" s="0" t="n">
        <v>3</v>
      </c>
      <c r="H723" s="32" t="s">
        <v>4374</v>
      </c>
      <c r="I723" s="32" t="s">
        <v>5888</v>
      </c>
      <c r="J723" s="32" t="s">
        <v>3749</v>
      </c>
      <c r="K723" s="32" t="s">
        <v>2081</v>
      </c>
      <c r="L723" s="0" t="n">
        <v>81</v>
      </c>
      <c r="M723" s="32" t="s">
        <v>3815</v>
      </c>
      <c r="N723" s="32" t="s">
        <v>3751</v>
      </c>
      <c r="O723" s="32" t="n">
        <f aca="false">IF(I723="","",ROUND(MOD(TIMEVALUE(I723)-TIMEVALUE(F723),1)*1440,0))</f>
        <v>81</v>
      </c>
      <c r="P723" s="0" t="str">
        <f aca="false">IF(COUNTIF($A$2:A723,A723)&gt;1,"DUP","")</f>
        <v/>
      </c>
      <c r="Q723" s="0" t="str">
        <f aca="false">IF(O723="","",IF(O723&gt;240,"Y","N"))</f>
        <v>N</v>
      </c>
    </row>
    <row r="724" customFormat="false" ht="15" hidden="false" customHeight="false" outlineLevel="0" collapsed="false">
      <c r="A724" s="0" t="s">
        <v>5889</v>
      </c>
      <c r="B724" s="0" t="s">
        <v>4174</v>
      </c>
      <c r="C724" s="0" t="s">
        <v>890</v>
      </c>
      <c r="D724" s="31" t="n">
        <v>29016</v>
      </c>
      <c r="E724" s="31" t="n">
        <v>45679</v>
      </c>
      <c r="F724" s="32" t="s">
        <v>5890</v>
      </c>
      <c r="G724" s="0" t="n">
        <v>3</v>
      </c>
      <c r="H724" s="32" t="s">
        <v>5465</v>
      </c>
      <c r="I724" s="32" t="s">
        <v>5201</v>
      </c>
      <c r="J724" s="32" t="s">
        <v>3749</v>
      </c>
      <c r="K724" s="32" t="s">
        <v>2081</v>
      </c>
      <c r="L724" s="0" t="n">
        <v>80</v>
      </c>
      <c r="M724" s="32" t="s">
        <v>3770</v>
      </c>
      <c r="N724" s="32" t="s">
        <v>3751</v>
      </c>
      <c r="O724" s="32" t="n">
        <f aca="false">IF(I724="","",ROUND(MOD(TIMEVALUE(I724)-TIMEVALUE(F724),1)*1440,0))</f>
        <v>80</v>
      </c>
      <c r="P724" s="0" t="str">
        <f aca="false">IF(COUNTIF($A$2:A724,A724)&gt;1,"DUP","")</f>
        <v/>
      </c>
      <c r="Q724" s="0" t="str">
        <f aca="false">IF(O724="","",IF(O724&gt;240,"Y","N"))</f>
        <v>N</v>
      </c>
    </row>
    <row r="725" customFormat="false" ht="15" hidden="false" customHeight="false" outlineLevel="0" collapsed="false">
      <c r="A725" s="0" t="s">
        <v>5891</v>
      </c>
      <c r="B725" s="0" t="s">
        <v>4087</v>
      </c>
      <c r="C725" s="0" t="s">
        <v>922</v>
      </c>
      <c r="D725" s="31" t="n">
        <v>25058</v>
      </c>
      <c r="E725" s="31" t="n">
        <v>45684</v>
      </c>
      <c r="F725" s="32" t="s">
        <v>5892</v>
      </c>
      <c r="G725" s="0" t="n">
        <v>3</v>
      </c>
      <c r="H725" s="32" t="s">
        <v>4802</v>
      </c>
      <c r="I725" s="32" t="s">
        <v>5893</v>
      </c>
      <c r="J725" s="32" t="s">
        <v>7</v>
      </c>
      <c r="K725" s="32" t="s">
        <v>2081</v>
      </c>
      <c r="L725" s="0" t="n">
        <v>224</v>
      </c>
      <c r="M725" s="32" t="s">
        <v>3946</v>
      </c>
      <c r="N725" s="32" t="s">
        <v>3751</v>
      </c>
      <c r="O725" s="32" t="n">
        <f aca="false">IF(I725="","",ROUND(MOD(TIMEVALUE(I725)-TIMEVALUE(F725),1)*1440,0))</f>
        <v>224</v>
      </c>
      <c r="P725" s="0" t="str">
        <f aca="false">IF(COUNTIF($A$2:A725,A725)&gt;1,"DUP","")</f>
        <v/>
      </c>
      <c r="Q725" s="0" t="str">
        <f aca="false">IF(O725="","",IF(O725&gt;240,"Y","N"))</f>
        <v>N</v>
      </c>
    </row>
    <row r="726" customFormat="false" ht="15" hidden="false" customHeight="false" outlineLevel="0" collapsed="false">
      <c r="A726" s="0" t="s">
        <v>5894</v>
      </c>
      <c r="B726" s="0" t="s">
        <v>5101</v>
      </c>
      <c r="C726" s="0" t="s">
        <v>1005</v>
      </c>
      <c r="D726" s="31" t="n">
        <v>21472</v>
      </c>
      <c r="E726" s="31" t="n">
        <v>45642</v>
      </c>
      <c r="F726" s="32" t="s">
        <v>4420</v>
      </c>
      <c r="G726" s="0" t="n">
        <v>4</v>
      </c>
      <c r="H726" s="32" t="s">
        <v>3820</v>
      </c>
      <c r="I726" s="32" t="s">
        <v>5895</v>
      </c>
      <c r="J726" s="32" t="s">
        <v>2307</v>
      </c>
      <c r="K726" s="32" t="s">
        <v>2106</v>
      </c>
      <c r="L726" s="0" t="n">
        <v>517</v>
      </c>
      <c r="M726" s="32" t="s">
        <v>3849</v>
      </c>
      <c r="N726" s="32" t="s">
        <v>3751</v>
      </c>
      <c r="O726" s="32" t="n">
        <f aca="false">IF(I726="","",ROUND(MOD(TIMEVALUE(I726)-TIMEVALUE(F726),1)*1440,0))</f>
        <v>517</v>
      </c>
      <c r="P726" s="0" t="str">
        <f aca="false">IF(COUNTIF($A$2:A726,A726)&gt;1,"DUP","")</f>
        <v/>
      </c>
      <c r="Q726" s="0" t="str">
        <f aca="false">IF(O726="","",IF(O726&gt;240,"Y","N"))</f>
        <v>Y</v>
      </c>
    </row>
    <row r="727" customFormat="false" ht="15" hidden="false" customHeight="false" outlineLevel="0" collapsed="false">
      <c r="A727" s="0" t="s">
        <v>5896</v>
      </c>
      <c r="B727" s="0" t="s">
        <v>5897</v>
      </c>
      <c r="C727" s="0" t="s">
        <v>845</v>
      </c>
      <c r="D727" s="31" t="n">
        <v>13376</v>
      </c>
      <c r="E727" s="31" t="n">
        <v>45634</v>
      </c>
      <c r="F727" s="32" t="s">
        <v>4888</v>
      </c>
      <c r="G727" s="0" t="n">
        <v>3</v>
      </c>
      <c r="H727" s="32" t="s">
        <v>5898</v>
      </c>
      <c r="I727" s="32" t="s">
        <v>5899</v>
      </c>
      <c r="J727" s="32" t="s">
        <v>3763</v>
      </c>
      <c r="K727" s="32" t="s">
        <v>2081</v>
      </c>
      <c r="L727" s="0" t="n">
        <v>149</v>
      </c>
      <c r="M727" s="32" t="s">
        <v>3877</v>
      </c>
      <c r="N727" s="32" t="s">
        <v>3751</v>
      </c>
      <c r="O727" s="32" t="n">
        <f aca="false">IF(I727="","",ROUND(MOD(TIMEVALUE(I727)-TIMEVALUE(F727),1)*1440,0))</f>
        <v>149</v>
      </c>
      <c r="P727" s="0" t="str">
        <f aca="false">IF(COUNTIF($A$2:A727,A727)&gt;1,"DUP","")</f>
        <v/>
      </c>
      <c r="Q727" s="0" t="str">
        <f aca="false">IF(O727="","",IF(O727&gt;240,"Y","N"))</f>
        <v>N</v>
      </c>
    </row>
    <row r="728" customFormat="false" ht="15" hidden="false" customHeight="false" outlineLevel="0" collapsed="false">
      <c r="A728" s="0" t="s">
        <v>5900</v>
      </c>
      <c r="B728" s="0" t="s">
        <v>4783</v>
      </c>
      <c r="C728" s="0" t="s">
        <v>985</v>
      </c>
      <c r="D728" s="31" t="n">
        <v>17139</v>
      </c>
      <c r="E728" s="31" t="n">
        <v>45651</v>
      </c>
      <c r="F728" s="32" t="s">
        <v>4947</v>
      </c>
      <c r="G728" s="0" t="n">
        <v>3</v>
      </c>
      <c r="H728" s="32" t="s">
        <v>3959</v>
      </c>
      <c r="I728" s="32" t="s">
        <v>4446</v>
      </c>
      <c r="J728" s="32" t="s">
        <v>3749</v>
      </c>
      <c r="K728" s="32" t="s">
        <v>2081</v>
      </c>
      <c r="L728" s="0" t="n">
        <v>219</v>
      </c>
      <c r="M728" s="32" t="s">
        <v>3882</v>
      </c>
      <c r="N728" s="32" t="s">
        <v>3751</v>
      </c>
      <c r="O728" s="32" t="n">
        <f aca="false">IF(I728="","",ROUND(MOD(TIMEVALUE(I728)-TIMEVALUE(F728),1)*1440,0))</f>
        <v>219</v>
      </c>
      <c r="P728" s="0" t="str">
        <f aca="false">IF(COUNTIF($A$2:A728,A728)&gt;1,"DUP","")</f>
        <v/>
      </c>
      <c r="Q728" s="0" t="str">
        <f aca="false">IF(O728="","",IF(O728&gt;240,"Y","N"))</f>
        <v>N</v>
      </c>
    </row>
    <row r="729" customFormat="false" ht="15" hidden="false" customHeight="false" outlineLevel="0" collapsed="false">
      <c r="A729" s="0" t="s">
        <v>5901</v>
      </c>
      <c r="B729" s="0" t="s">
        <v>5902</v>
      </c>
      <c r="C729" s="0" t="s">
        <v>989</v>
      </c>
      <c r="D729" s="31" t="n">
        <v>29557</v>
      </c>
      <c r="E729" s="31" t="n">
        <v>45581</v>
      </c>
      <c r="F729" s="32" t="s">
        <v>4765</v>
      </c>
      <c r="G729" s="0" t="n">
        <v>5</v>
      </c>
      <c r="H729" s="32" t="s">
        <v>4716</v>
      </c>
      <c r="I729" s="32" t="s">
        <v>5470</v>
      </c>
      <c r="J729" s="32" t="s">
        <v>3749</v>
      </c>
      <c r="K729" s="32" t="s">
        <v>2081</v>
      </c>
      <c r="L729" s="0" t="n">
        <v>47</v>
      </c>
      <c r="M729" s="32" t="s">
        <v>3799</v>
      </c>
      <c r="N729" s="32" t="s">
        <v>3751</v>
      </c>
      <c r="O729" s="32" t="n">
        <f aca="false">IF(I729="","",ROUND(MOD(TIMEVALUE(I729)-TIMEVALUE(F729),1)*1440,0))</f>
        <v>47</v>
      </c>
      <c r="P729" s="0" t="str">
        <f aca="false">IF(COUNTIF($A$2:A729,A729)&gt;1,"DUP","")</f>
        <v/>
      </c>
      <c r="Q729" s="0" t="str">
        <f aca="false">IF(O729="","",IF(O729&gt;240,"Y","N"))</f>
        <v>N</v>
      </c>
    </row>
    <row r="730" customFormat="false" ht="15" hidden="false" customHeight="false" outlineLevel="0" collapsed="false">
      <c r="A730" s="0" t="s">
        <v>5903</v>
      </c>
      <c r="B730" s="0" t="s">
        <v>5607</v>
      </c>
      <c r="C730" s="0" t="s">
        <v>1021</v>
      </c>
      <c r="D730" s="31" t="n">
        <v>17932</v>
      </c>
      <c r="E730" s="31" t="n">
        <v>45658</v>
      </c>
      <c r="F730" s="32" t="s">
        <v>4159</v>
      </c>
      <c r="G730" s="0" t="n">
        <v>5</v>
      </c>
      <c r="H730" s="32" t="s">
        <v>5602</v>
      </c>
      <c r="I730" s="32" t="s">
        <v>4432</v>
      </c>
      <c r="J730" s="32" t="s">
        <v>3763</v>
      </c>
      <c r="K730" s="32" t="s">
        <v>2081</v>
      </c>
      <c r="L730" s="0" t="n">
        <v>120</v>
      </c>
      <c r="M730" s="32" t="s">
        <v>3925</v>
      </c>
      <c r="N730" s="32" t="s">
        <v>3751</v>
      </c>
      <c r="O730" s="32" t="n">
        <f aca="false">IF(I730="","",ROUND(MOD(TIMEVALUE(I730)-TIMEVALUE(F730),1)*1440,0))</f>
        <v>120</v>
      </c>
      <c r="P730" s="0" t="str">
        <f aca="false">IF(COUNTIF($A$2:A730,A730)&gt;1,"DUP","")</f>
        <v/>
      </c>
      <c r="Q730" s="0" t="str">
        <f aca="false">IF(O730="","",IF(O730&gt;240,"Y","N"))</f>
        <v>N</v>
      </c>
    </row>
    <row r="731" customFormat="false" ht="15" hidden="false" customHeight="false" outlineLevel="0" collapsed="false">
      <c r="A731" s="0" t="s">
        <v>5904</v>
      </c>
      <c r="B731" s="0" t="s">
        <v>4200</v>
      </c>
      <c r="C731" s="0" t="s">
        <v>784</v>
      </c>
      <c r="D731" s="31" t="n">
        <v>26668</v>
      </c>
      <c r="E731" s="31" t="n">
        <v>45605</v>
      </c>
      <c r="F731" s="32" t="s">
        <v>4401</v>
      </c>
      <c r="G731" s="0" t="n">
        <v>5</v>
      </c>
      <c r="H731" s="32" t="s">
        <v>4971</v>
      </c>
      <c r="I731" s="32" t="s">
        <v>4153</v>
      </c>
      <c r="J731" s="32" t="s">
        <v>2307</v>
      </c>
      <c r="K731" s="32" t="s">
        <v>2081</v>
      </c>
      <c r="L731" s="0" t="n">
        <v>226</v>
      </c>
      <c r="M731" s="32" t="s">
        <v>3787</v>
      </c>
      <c r="N731" s="32" t="s">
        <v>3751</v>
      </c>
      <c r="O731" s="32" t="n">
        <f aca="false">IF(I731="","",ROUND(MOD(TIMEVALUE(I731)-TIMEVALUE(F731),1)*1440,0))</f>
        <v>226</v>
      </c>
      <c r="P731" s="0" t="str">
        <f aca="false">IF(COUNTIF($A$2:A731,A731)&gt;1,"DUP","")</f>
        <v/>
      </c>
      <c r="Q731" s="0" t="str">
        <f aca="false">IF(O731="","",IF(O731&gt;240,"Y","N"))</f>
        <v>N</v>
      </c>
    </row>
    <row r="732" customFormat="false" ht="15" hidden="false" customHeight="false" outlineLevel="0" collapsed="false">
      <c r="A732" s="0" t="s">
        <v>5905</v>
      </c>
      <c r="B732" s="0" t="s">
        <v>4773</v>
      </c>
      <c r="C732" s="0" t="s">
        <v>2148</v>
      </c>
      <c r="D732" s="31" t="n">
        <v>30472</v>
      </c>
      <c r="E732" s="31" t="n">
        <v>45720</v>
      </c>
      <c r="F732" s="32" t="s">
        <v>5906</v>
      </c>
      <c r="G732" s="0" t="n">
        <v>3</v>
      </c>
      <c r="H732" s="32" t="s">
        <v>4163</v>
      </c>
      <c r="I732" s="32" t="s">
        <v>5907</v>
      </c>
      <c r="J732" s="32" t="s">
        <v>3749</v>
      </c>
      <c r="K732" s="32" t="s">
        <v>2081</v>
      </c>
      <c r="L732" s="0" t="n">
        <v>206</v>
      </c>
      <c r="M732" s="32" t="s">
        <v>3966</v>
      </c>
      <c r="N732" s="32" t="s">
        <v>3751</v>
      </c>
      <c r="O732" s="32" t="n">
        <f aca="false">IF(I732="","",ROUND(MOD(TIMEVALUE(I732)-TIMEVALUE(F732),1)*1440,0))</f>
        <v>206</v>
      </c>
      <c r="P732" s="0" t="str">
        <f aca="false">IF(COUNTIF($A$2:A732,A732)&gt;1,"DUP","")</f>
        <v/>
      </c>
      <c r="Q732" s="0" t="str">
        <f aca="false">IF(O732="","",IF(O732&gt;240,"Y","N"))</f>
        <v>N</v>
      </c>
    </row>
    <row r="733" customFormat="false" ht="15" hidden="false" customHeight="false" outlineLevel="0" collapsed="false">
      <c r="A733" s="0" t="s">
        <v>5908</v>
      </c>
      <c r="B733" s="0" t="s">
        <v>5909</v>
      </c>
      <c r="C733" s="0" t="s">
        <v>1001</v>
      </c>
      <c r="D733" s="31" t="n">
        <v>20740</v>
      </c>
      <c r="E733" s="31" t="n">
        <v>45653</v>
      </c>
      <c r="F733" s="32" t="s">
        <v>4544</v>
      </c>
      <c r="G733" s="0" t="n">
        <v>4</v>
      </c>
      <c r="H733" s="32" t="s">
        <v>3892</v>
      </c>
      <c r="I733" s="32" t="s">
        <v>5068</v>
      </c>
      <c r="J733" s="32" t="s">
        <v>3749</v>
      </c>
      <c r="K733" s="32" t="s">
        <v>2106</v>
      </c>
      <c r="L733" s="0" t="n">
        <v>547</v>
      </c>
      <c r="M733" s="32" t="s">
        <v>3993</v>
      </c>
      <c r="N733" s="32" t="s">
        <v>3751</v>
      </c>
      <c r="O733" s="32" t="n">
        <f aca="false">IF(I733="","",ROUND(MOD(TIMEVALUE(I733)-TIMEVALUE(F733),1)*1440,0))</f>
        <v>547</v>
      </c>
      <c r="P733" s="0" t="str">
        <f aca="false">IF(COUNTIF($A$2:A733,A733)&gt;1,"DUP","")</f>
        <v/>
      </c>
      <c r="Q733" s="0" t="str">
        <f aca="false">IF(O733="","",IF(O733&gt;240,"Y","N"))</f>
        <v>Y</v>
      </c>
    </row>
    <row r="734" customFormat="false" ht="15" hidden="false" customHeight="false" outlineLevel="0" collapsed="false">
      <c r="A734" s="0" t="s">
        <v>5910</v>
      </c>
      <c r="B734" s="0" t="s">
        <v>4214</v>
      </c>
      <c r="C734" s="0" t="s">
        <v>1001</v>
      </c>
      <c r="D734" s="31" t="n">
        <v>25062</v>
      </c>
      <c r="E734" s="31" t="n">
        <v>45626</v>
      </c>
      <c r="F734" s="32" t="s">
        <v>5785</v>
      </c>
      <c r="G734" s="0" t="n">
        <v>4</v>
      </c>
      <c r="H734" s="32" t="s">
        <v>5528</v>
      </c>
      <c r="I734" s="32" t="s">
        <v>4555</v>
      </c>
      <c r="J734" s="32" t="s">
        <v>3749</v>
      </c>
      <c r="K734" s="32" t="s">
        <v>2081</v>
      </c>
      <c r="L734" s="0" t="n">
        <v>74</v>
      </c>
      <c r="M734" s="32" t="s">
        <v>4037</v>
      </c>
      <c r="N734" s="32" t="s">
        <v>3751</v>
      </c>
      <c r="O734" s="32" t="n">
        <f aca="false">IF(I734="","",ROUND(MOD(TIMEVALUE(I734)-TIMEVALUE(F734),1)*1440,0))</f>
        <v>74</v>
      </c>
      <c r="P734" s="0" t="str">
        <f aca="false">IF(COUNTIF($A$2:A734,A734)&gt;1,"DUP","")</f>
        <v/>
      </c>
      <c r="Q734" s="0" t="str">
        <f aca="false">IF(O734="","",IF(O734&gt;240,"Y","N"))</f>
        <v>N</v>
      </c>
    </row>
    <row r="735" customFormat="false" ht="15" hidden="false" customHeight="false" outlineLevel="0" collapsed="false">
      <c r="A735" s="0" t="s">
        <v>5911</v>
      </c>
      <c r="C735" s="0" t="s">
        <v>1013</v>
      </c>
      <c r="D735" s="31" t="n">
        <v>23370</v>
      </c>
      <c r="E735" s="31" t="n">
        <v>45629</v>
      </c>
      <c r="F735" s="32" t="s">
        <v>3798</v>
      </c>
      <c r="G735" s="0" t="n">
        <v>2</v>
      </c>
      <c r="H735" s="32" t="s">
        <v>4814</v>
      </c>
      <c r="I735" s="32" t="s">
        <v>4786</v>
      </c>
      <c r="J735" s="32" t="s">
        <v>3749</v>
      </c>
      <c r="K735" s="32" t="s">
        <v>2081</v>
      </c>
      <c r="L735" s="0" t="n">
        <v>220</v>
      </c>
      <c r="M735" s="32" t="s">
        <v>4219</v>
      </c>
      <c r="N735" s="32" t="s">
        <v>3751</v>
      </c>
      <c r="O735" s="32" t="n">
        <f aca="false">IF(I735="","",ROUND(MOD(TIMEVALUE(I735)-TIMEVALUE(F735),1)*1440,0))</f>
        <v>220</v>
      </c>
      <c r="P735" s="0" t="str">
        <f aca="false">IF(COUNTIF($A$2:A735,A735)&gt;1,"DUP","")</f>
        <v/>
      </c>
      <c r="Q735" s="0" t="str">
        <f aca="false">IF(O735="","",IF(O735&gt;240,"Y","N"))</f>
        <v>N</v>
      </c>
    </row>
    <row r="736" customFormat="false" ht="15" hidden="false" customHeight="false" outlineLevel="0" collapsed="false">
      <c r="A736" s="0" t="s">
        <v>5912</v>
      </c>
      <c r="B736" s="0" t="s">
        <v>3912</v>
      </c>
      <c r="C736" s="0" t="s">
        <v>1017</v>
      </c>
      <c r="D736" s="31" t="n">
        <v>16669</v>
      </c>
      <c r="E736" s="31" t="n">
        <v>45614</v>
      </c>
      <c r="F736" s="32" t="s">
        <v>4937</v>
      </c>
      <c r="G736" s="0" t="n">
        <v>4</v>
      </c>
      <c r="I736" s="32" t="s">
        <v>5913</v>
      </c>
      <c r="J736" s="32" t="s">
        <v>3749</v>
      </c>
      <c r="K736" s="32" t="s">
        <v>2081</v>
      </c>
      <c r="L736" s="0" t="n">
        <v>162</v>
      </c>
      <c r="M736" s="32" t="s">
        <v>3866</v>
      </c>
      <c r="N736" s="32" t="s">
        <v>3751</v>
      </c>
      <c r="O736" s="32" t="n">
        <f aca="false">IF(I736="","",ROUND(MOD(TIMEVALUE(I736)-TIMEVALUE(F736),1)*1440,0))</f>
        <v>162</v>
      </c>
      <c r="P736" s="0" t="str">
        <f aca="false">IF(COUNTIF($A$2:A736,A736)&gt;1,"DUP","")</f>
        <v/>
      </c>
      <c r="Q736" s="0" t="str">
        <f aca="false">IF(O736="","",IF(O736&gt;240,"Y","N"))</f>
        <v>N</v>
      </c>
    </row>
    <row r="737" customFormat="false" ht="15" hidden="false" customHeight="false" outlineLevel="0" collapsed="false">
      <c r="A737" s="0" t="s">
        <v>5914</v>
      </c>
      <c r="B737" s="0" t="s">
        <v>5677</v>
      </c>
      <c r="C737" s="0" t="s">
        <v>938</v>
      </c>
      <c r="D737" s="31" t="n">
        <v>28329</v>
      </c>
      <c r="E737" s="31" t="n">
        <v>45715</v>
      </c>
      <c r="F737" s="32" t="s">
        <v>5915</v>
      </c>
      <c r="G737" s="0" t="n">
        <v>3</v>
      </c>
      <c r="H737" s="32" t="s">
        <v>5090</v>
      </c>
      <c r="I737" s="32" t="s">
        <v>4092</v>
      </c>
      <c r="J737" s="32" t="s">
        <v>7</v>
      </c>
      <c r="K737" s="32" t="s">
        <v>2106</v>
      </c>
      <c r="L737" s="0" t="n">
        <v>512</v>
      </c>
      <c r="M737" s="32" t="s">
        <v>4037</v>
      </c>
      <c r="N737" s="32" t="s">
        <v>3751</v>
      </c>
      <c r="O737" s="32" t="n">
        <f aca="false">IF(I737="","",ROUND(MOD(TIMEVALUE(I737)-TIMEVALUE(F737),1)*1440,0))</f>
        <v>512</v>
      </c>
      <c r="P737" s="0" t="str">
        <f aca="false">IF(COUNTIF($A$2:A737,A737)&gt;1,"DUP","")</f>
        <v/>
      </c>
      <c r="Q737" s="0" t="str">
        <f aca="false">IF(O737="","",IF(O737&gt;240,"Y","N"))</f>
        <v>Y</v>
      </c>
    </row>
    <row r="738" customFormat="false" ht="15" hidden="false" customHeight="false" outlineLevel="0" collapsed="false">
      <c r="A738" s="0" t="s">
        <v>5916</v>
      </c>
      <c r="B738" s="0" t="s">
        <v>4102</v>
      </c>
      <c r="C738" s="0" t="s">
        <v>862</v>
      </c>
      <c r="D738" s="31" t="n">
        <v>30857</v>
      </c>
      <c r="E738" s="31" t="n">
        <v>45643</v>
      </c>
      <c r="F738" s="32" t="s">
        <v>5314</v>
      </c>
      <c r="G738" s="0" t="n">
        <v>4</v>
      </c>
      <c r="H738" s="32" t="s">
        <v>5598</v>
      </c>
      <c r="I738" s="32" t="s">
        <v>5113</v>
      </c>
      <c r="J738" s="32" t="s">
        <v>3749</v>
      </c>
      <c r="K738" s="32" t="s">
        <v>2081</v>
      </c>
      <c r="L738" s="0" t="n">
        <v>103</v>
      </c>
      <c r="M738" s="32" t="s">
        <v>3882</v>
      </c>
      <c r="N738" s="32" t="s">
        <v>3751</v>
      </c>
      <c r="O738" s="32" t="n">
        <f aca="false">IF(I738="","",ROUND(MOD(TIMEVALUE(I738)-TIMEVALUE(F738),1)*1440,0))</f>
        <v>103</v>
      </c>
      <c r="P738" s="0" t="str">
        <f aca="false">IF(COUNTIF($A$2:A738,A738)&gt;1,"DUP","")</f>
        <v/>
      </c>
      <c r="Q738" s="0" t="str">
        <f aca="false">IF(O738="","",IF(O738&gt;240,"Y","N"))</f>
        <v>N</v>
      </c>
    </row>
    <row r="739" customFormat="false" ht="15" hidden="false" customHeight="false" outlineLevel="0" collapsed="false">
      <c r="A739" s="0" t="s">
        <v>5917</v>
      </c>
      <c r="B739" s="0" t="s">
        <v>4018</v>
      </c>
      <c r="C739" s="0" t="s">
        <v>866</v>
      </c>
      <c r="D739" s="31" t="n">
        <v>28952</v>
      </c>
      <c r="E739" s="31" t="n">
        <v>45582</v>
      </c>
      <c r="F739" s="32" t="s">
        <v>5111</v>
      </c>
      <c r="G739" s="0" t="n">
        <v>3</v>
      </c>
      <c r="H739" s="32" t="s">
        <v>4383</v>
      </c>
      <c r="I739" s="32" t="s">
        <v>3957</v>
      </c>
      <c r="J739" s="32" t="s">
        <v>2307</v>
      </c>
      <c r="K739" s="32" t="s">
        <v>2081</v>
      </c>
      <c r="L739" s="0" t="n">
        <v>93</v>
      </c>
      <c r="M739" s="32" t="s">
        <v>4582</v>
      </c>
      <c r="N739" s="32" t="s">
        <v>3751</v>
      </c>
      <c r="O739" s="32" t="n">
        <f aca="false">IF(I739="","",ROUND(MOD(TIMEVALUE(I739)-TIMEVALUE(F739),1)*1440,0))</f>
        <v>93</v>
      </c>
      <c r="P739" s="0" t="str">
        <f aca="false">IF(COUNTIF($A$2:A739,A739)&gt;1,"DUP","")</f>
        <v/>
      </c>
      <c r="Q739" s="0" t="str">
        <f aca="false">IF(O739="","",IF(O739&gt;240,"Y","N"))</f>
        <v>N</v>
      </c>
    </row>
    <row r="740" customFormat="false" ht="15" hidden="false" customHeight="false" outlineLevel="0" collapsed="false">
      <c r="A740" s="0" t="s">
        <v>5918</v>
      </c>
      <c r="B740" s="0" t="s">
        <v>4062</v>
      </c>
      <c r="C740" s="0" t="s">
        <v>1021</v>
      </c>
      <c r="D740" s="31" t="n">
        <v>21351</v>
      </c>
      <c r="E740" s="31" t="n">
        <v>45718</v>
      </c>
      <c r="F740" s="32" t="s">
        <v>5817</v>
      </c>
      <c r="G740" s="0" t="n">
        <v>5</v>
      </c>
      <c r="H740" s="32" t="s">
        <v>5853</v>
      </c>
      <c r="I740" s="32" t="s">
        <v>5037</v>
      </c>
      <c r="J740" s="32" t="s">
        <v>2307</v>
      </c>
      <c r="K740" s="32" t="s">
        <v>2081</v>
      </c>
      <c r="L740" s="0" t="n">
        <v>105</v>
      </c>
      <c r="M740" s="32" t="s">
        <v>3750</v>
      </c>
      <c r="N740" s="32" t="s">
        <v>3751</v>
      </c>
      <c r="O740" s="32" t="n">
        <f aca="false">IF(I740="","",ROUND(MOD(TIMEVALUE(I740)-TIMEVALUE(F740),1)*1440,0))</f>
        <v>105</v>
      </c>
      <c r="P740" s="0" t="str">
        <f aca="false">IF(COUNTIF($A$2:A740,A740)&gt;1,"DUP","")</f>
        <v/>
      </c>
      <c r="Q740" s="0" t="str">
        <f aca="false">IF(O740="","",IF(O740&gt;240,"Y","N"))</f>
        <v>N</v>
      </c>
    </row>
    <row r="741" customFormat="false" ht="15" hidden="false" customHeight="false" outlineLevel="0" collapsed="false">
      <c r="A741" s="0" t="s">
        <v>5919</v>
      </c>
      <c r="B741" s="0" t="s">
        <v>4188</v>
      </c>
      <c r="C741" s="0" t="s">
        <v>792</v>
      </c>
      <c r="D741" s="31" t="n">
        <v>30295</v>
      </c>
      <c r="E741" s="31" t="n">
        <v>45711</v>
      </c>
      <c r="F741" s="32" t="s">
        <v>5666</v>
      </c>
      <c r="G741" s="0" t="n">
        <v>4</v>
      </c>
      <c r="H741" s="32" t="s">
        <v>5029</v>
      </c>
      <c r="I741" s="32" t="s">
        <v>4544</v>
      </c>
      <c r="J741" s="32" t="s">
        <v>3749</v>
      </c>
      <c r="K741" s="32" t="s">
        <v>2081</v>
      </c>
      <c r="L741" s="0" t="n">
        <v>50</v>
      </c>
      <c r="M741" s="32" t="s">
        <v>3882</v>
      </c>
      <c r="N741" s="32" t="s">
        <v>3751</v>
      </c>
      <c r="O741" s="32" t="n">
        <f aca="false">IF(I741="","",ROUND(MOD(TIMEVALUE(I741)-TIMEVALUE(F741),1)*1440,0))</f>
        <v>50</v>
      </c>
      <c r="P741" s="0" t="str">
        <f aca="false">IF(COUNTIF($A$2:A741,A741)&gt;1,"DUP","")</f>
        <v/>
      </c>
      <c r="Q741" s="0" t="str">
        <f aca="false">IF(O741="","",IF(O741&gt;240,"Y","N"))</f>
        <v>N</v>
      </c>
    </row>
    <row r="742" customFormat="false" ht="15" hidden="false" customHeight="false" outlineLevel="0" collapsed="false">
      <c r="A742" s="0" t="s">
        <v>5920</v>
      </c>
      <c r="B742" s="0" t="s">
        <v>4365</v>
      </c>
      <c r="C742" s="0" t="s">
        <v>950</v>
      </c>
      <c r="D742" s="31" t="n">
        <v>36244</v>
      </c>
      <c r="E742" s="31" t="n">
        <v>45663</v>
      </c>
      <c r="F742" s="32" t="s">
        <v>4434</v>
      </c>
      <c r="G742" s="0" t="n">
        <v>3</v>
      </c>
      <c r="H742" s="32" t="s">
        <v>4339</v>
      </c>
      <c r="I742" s="32" t="s">
        <v>5921</v>
      </c>
      <c r="J742" s="32" t="s">
        <v>2307</v>
      </c>
      <c r="K742" s="32" t="s">
        <v>2081</v>
      </c>
      <c r="L742" s="0" t="n">
        <v>233</v>
      </c>
      <c r="M742" s="32" t="s">
        <v>3787</v>
      </c>
      <c r="N742" s="32" t="s">
        <v>3751</v>
      </c>
      <c r="O742" s="32" t="n">
        <f aca="false">IF(I742="","",ROUND(MOD(TIMEVALUE(I742)-TIMEVALUE(F742),1)*1440,0))</f>
        <v>233</v>
      </c>
      <c r="P742" s="0" t="str">
        <f aca="false">IF(COUNTIF($A$2:A742,A742)&gt;1,"DUP","")</f>
        <v/>
      </c>
      <c r="Q742" s="0" t="str">
        <f aca="false">IF(O742="","",IF(O742&gt;240,"Y","N"))</f>
        <v>N</v>
      </c>
    </row>
    <row r="743" customFormat="false" ht="15" hidden="false" customHeight="false" outlineLevel="0" collapsed="false">
      <c r="A743" s="0" t="s">
        <v>5922</v>
      </c>
      <c r="B743" s="0" t="s">
        <v>5043</v>
      </c>
      <c r="C743" s="0" t="s">
        <v>1410</v>
      </c>
      <c r="D743" s="31" t="n">
        <v>21689</v>
      </c>
      <c r="E743" s="31" t="n">
        <v>45667</v>
      </c>
      <c r="F743" s="32" t="s">
        <v>5719</v>
      </c>
      <c r="G743" s="0" t="n">
        <v>3</v>
      </c>
      <c r="H743" s="32" t="s">
        <v>5923</v>
      </c>
      <c r="I743" s="32" t="s">
        <v>5105</v>
      </c>
      <c r="J743" s="32" t="s">
        <v>3749</v>
      </c>
      <c r="K743" s="32" t="s">
        <v>2081</v>
      </c>
      <c r="L743" s="0" t="n">
        <v>189</v>
      </c>
      <c r="M743" s="32" t="s">
        <v>4149</v>
      </c>
      <c r="N743" s="32" t="s">
        <v>3751</v>
      </c>
      <c r="O743" s="32" t="n">
        <f aca="false">IF(I743="","",ROUND(MOD(TIMEVALUE(I743)-TIMEVALUE(F743),1)*1440,0))</f>
        <v>189</v>
      </c>
      <c r="P743" s="0" t="str">
        <f aca="false">IF(COUNTIF($A$2:A743,A743)&gt;1,"DUP","")</f>
        <v/>
      </c>
      <c r="Q743" s="0" t="str">
        <f aca="false">IF(O743="","",IF(O743&gt;240,"Y","N"))</f>
        <v>N</v>
      </c>
    </row>
    <row r="744" customFormat="false" ht="15" hidden="false" customHeight="false" outlineLevel="0" collapsed="false">
      <c r="A744" s="0" t="s">
        <v>5924</v>
      </c>
      <c r="B744" s="0" t="s">
        <v>3899</v>
      </c>
      <c r="C744" s="0" t="s">
        <v>981</v>
      </c>
      <c r="D744" s="31" t="n">
        <v>37974</v>
      </c>
      <c r="E744" s="31" t="n">
        <v>45703</v>
      </c>
      <c r="F744" s="32" t="s">
        <v>5503</v>
      </c>
      <c r="G744" s="0" t="n">
        <v>4</v>
      </c>
      <c r="I744" s="32" t="s">
        <v>5925</v>
      </c>
      <c r="J744" s="32" t="s">
        <v>3763</v>
      </c>
      <c r="K744" s="32" t="s">
        <v>2081</v>
      </c>
      <c r="L744" s="0" t="n">
        <v>74</v>
      </c>
      <c r="M744" s="32" t="s">
        <v>4313</v>
      </c>
      <c r="N744" s="32" t="s">
        <v>3751</v>
      </c>
      <c r="O744" s="32" t="n">
        <f aca="false">IF(I744="","",ROUND(MOD(TIMEVALUE(I744)-TIMEVALUE(F744),1)*1440,0))</f>
        <v>74</v>
      </c>
      <c r="P744" s="0" t="str">
        <f aca="false">IF(COUNTIF($A$2:A744,A744)&gt;1,"DUP","")</f>
        <v/>
      </c>
      <c r="Q744" s="0" t="str">
        <f aca="false">IF(O744="","",IF(O744&gt;240,"Y","N"))</f>
        <v>N</v>
      </c>
    </row>
    <row r="745" customFormat="false" ht="15" hidden="false" customHeight="false" outlineLevel="0" collapsed="false">
      <c r="A745" s="0" t="s">
        <v>5926</v>
      </c>
      <c r="B745" s="0" t="s">
        <v>3806</v>
      </c>
      <c r="C745" s="0" t="s">
        <v>1009</v>
      </c>
      <c r="D745" s="31" t="n">
        <v>20350</v>
      </c>
      <c r="E745" s="31" t="n">
        <v>45610</v>
      </c>
      <c r="F745" s="32" t="s">
        <v>5111</v>
      </c>
      <c r="G745" s="0" t="n">
        <v>3</v>
      </c>
      <c r="I745" s="32" t="s">
        <v>4981</v>
      </c>
      <c r="J745" s="32" t="s">
        <v>3763</v>
      </c>
      <c r="K745" s="32" t="s">
        <v>2081</v>
      </c>
      <c r="L745" s="0" t="n">
        <v>36</v>
      </c>
      <c r="M745" s="32" t="s">
        <v>3815</v>
      </c>
      <c r="N745" s="32" t="s">
        <v>3751</v>
      </c>
      <c r="O745" s="32" t="n">
        <f aca="false">IF(I745="","",ROUND(MOD(TIMEVALUE(I745)-TIMEVALUE(F745),1)*1440,0))</f>
        <v>36</v>
      </c>
      <c r="P745" s="0" t="str">
        <f aca="false">IF(COUNTIF($A$2:A745,A745)&gt;1,"DUP","")</f>
        <v/>
      </c>
      <c r="Q745" s="0" t="str">
        <f aca="false">IF(O745="","",IF(O745&gt;240,"Y","N"))</f>
        <v>N</v>
      </c>
    </row>
    <row r="746" customFormat="false" ht="15" hidden="false" customHeight="false" outlineLevel="0" collapsed="false">
      <c r="A746" s="0" t="s">
        <v>5927</v>
      </c>
      <c r="B746" s="0" t="s">
        <v>4179</v>
      </c>
      <c r="C746" s="0" t="s">
        <v>902</v>
      </c>
      <c r="D746" s="31" t="n">
        <v>30339</v>
      </c>
      <c r="E746" s="31" t="n">
        <v>45607</v>
      </c>
      <c r="F746" s="32" t="s">
        <v>4434</v>
      </c>
      <c r="G746" s="0" t="n">
        <v>3</v>
      </c>
      <c r="H746" s="32" t="s">
        <v>5158</v>
      </c>
      <c r="I746" s="32" t="s">
        <v>3924</v>
      </c>
      <c r="J746" s="32" t="s">
        <v>2307</v>
      </c>
      <c r="K746" s="32" t="s">
        <v>2081</v>
      </c>
      <c r="L746" s="0" t="n">
        <v>157</v>
      </c>
      <c r="M746" s="32" t="s">
        <v>3770</v>
      </c>
      <c r="N746" s="32" t="s">
        <v>3751</v>
      </c>
      <c r="O746" s="32" t="n">
        <f aca="false">IF(I746="","",ROUND(MOD(TIMEVALUE(I746)-TIMEVALUE(F746),1)*1440,0))</f>
        <v>157</v>
      </c>
      <c r="P746" s="0" t="str">
        <f aca="false">IF(COUNTIF($A$2:A746,A746)&gt;1,"DUP","")</f>
        <v/>
      </c>
      <c r="Q746" s="0" t="str">
        <f aca="false">IF(O746="","",IF(O746&gt;240,"Y","N"))</f>
        <v>N</v>
      </c>
    </row>
    <row r="747" customFormat="false" ht="15" hidden="false" customHeight="false" outlineLevel="0" collapsed="false">
      <c r="A747" s="0" t="s">
        <v>5928</v>
      </c>
      <c r="B747" s="0" t="s">
        <v>4770</v>
      </c>
      <c r="C747" s="0" t="s">
        <v>1025</v>
      </c>
      <c r="D747" s="31" t="n">
        <v>27126</v>
      </c>
      <c r="E747" s="31" t="n">
        <v>45679</v>
      </c>
      <c r="F747" s="32" t="s">
        <v>5929</v>
      </c>
      <c r="G747" s="0" t="n">
        <v>5</v>
      </c>
      <c r="H747" s="32" t="s">
        <v>4646</v>
      </c>
      <c r="I747" s="32" t="s">
        <v>5496</v>
      </c>
      <c r="J747" s="32" t="s">
        <v>3763</v>
      </c>
      <c r="K747" s="32" t="s">
        <v>2081</v>
      </c>
      <c r="L747" s="0" t="n">
        <v>186</v>
      </c>
      <c r="M747" s="32" t="s">
        <v>4206</v>
      </c>
      <c r="N747" s="32" t="s">
        <v>3751</v>
      </c>
      <c r="O747" s="32" t="n">
        <f aca="false">IF(I747="","",ROUND(MOD(TIMEVALUE(I747)-TIMEVALUE(F747),1)*1440,0))</f>
        <v>186</v>
      </c>
      <c r="P747" s="0" t="str">
        <f aca="false">IF(COUNTIF($A$2:A747,A747)&gt;1,"DUP","")</f>
        <v/>
      </c>
      <c r="Q747" s="0" t="str">
        <f aca="false">IF(O747="","",IF(O747&gt;240,"Y","N"))</f>
        <v>N</v>
      </c>
    </row>
    <row r="748" customFormat="false" ht="15" hidden="false" customHeight="false" outlineLevel="0" collapsed="false">
      <c r="A748" s="0" t="s">
        <v>5930</v>
      </c>
      <c r="B748" s="0" t="s">
        <v>4091</v>
      </c>
      <c r="C748" s="0" t="s">
        <v>837</v>
      </c>
      <c r="D748" s="31" t="n">
        <v>25466</v>
      </c>
      <c r="E748" s="31" t="n">
        <v>45584</v>
      </c>
      <c r="F748" s="32" t="s">
        <v>3955</v>
      </c>
      <c r="G748" s="0" t="n">
        <v>3</v>
      </c>
      <c r="H748" s="32" t="s">
        <v>5931</v>
      </c>
      <c r="I748" s="32" t="s">
        <v>5932</v>
      </c>
      <c r="J748" s="32" t="s">
        <v>3749</v>
      </c>
      <c r="K748" s="32" t="s">
        <v>2081</v>
      </c>
      <c r="L748" s="0" t="n">
        <v>152</v>
      </c>
      <c r="M748" s="32" t="s">
        <v>3843</v>
      </c>
      <c r="N748" s="32" t="s">
        <v>3751</v>
      </c>
      <c r="O748" s="32" t="n">
        <f aca="false">IF(I748="","",ROUND(MOD(TIMEVALUE(I748)-TIMEVALUE(F748),1)*1440,0))</f>
        <v>152</v>
      </c>
      <c r="P748" s="0" t="str">
        <f aca="false">IF(COUNTIF($A$2:A748,A748)&gt;1,"DUP","")</f>
        <v/>
      </c>
      <c r="Q748" s="0" t="str">
        <f aca="false">IF(O748="","",IF(O748&gt;240,"Y","N"))</f>
        <v>N</v>
      </c>
    </row>
    <row r="749" customFormat="false" ht="15" hidden="false" customHeight="false" outlineLevel="0" collapsed="false">
      <c r="A749" s="0" t="s">
        <v>5933</v>
      </c>
      <c r="B749" s="0" t="s">
        <v>4188</v>
      </c>
      <c r="C749" s="0" t="s">
        <v>1017</v>
      </c>
      <c r="D749" s="31" t="n">
        <v>15975</v>
      </c>
      <c r="E749" s="31" t="n">
        <v>45577</v>
      </c>
      <c r="F749" s="32" t="s">
        <v>5278</v>
      </c>
      <c r="G749" s="0" t="n">
        <v>3</v>
      </c>
      <c r="H749" s="32" t="s">
        <v>5800</v>
      </c>
      <c r="I749" s="32" t="s">
        <v>5934</v>
      </c>
      <c r="J749" s="32" t="s">
        <v>3763</v>
      </c>
      <c r="K749" s="32" t="s">
        <v>2081</v>
      </c>
      <c r="L749" s="0" t="n">
        <v>167</v>
      </c>
      <c r="M749" s="32" t="s">
        <v>3952</v>
      </c>
      <c r="N749" s="32" t="s">
        <v>3751</v>
      </c>
      <c r="O749" s="32" t="n">
        <f aca="false">IF(I749="","",ROUND(MOD(TIMEVALUE(I749)-TIMEVALUE(F749),1)*1440,0))</f>
        <v>167</v>
      </c>
      <c r="P749" s="0" t="str">
        <f aca="false">IF(COUNTIF($A$2:A749,A749)&gt;1,"DUP","")</f>
        <v/>
      </c>
      <c r="Q749" s="0" t="str">
        <f aca="false">IF(O749="","",IF(O749&gt;240,"Y","N"))</f>
        <v>N</v>
      </c>
    </row>
    <row r="750" customFormat="false" ht="15" hidden="false" customHeight="false" outlineLevel="0" collapsed="false">
      <c r="A750" s="0" t="s">
        <v>5935</v>
      </c>
      <c r="B750" s="0" t="s">
        <v>4043</v>
      </c>
      <c r="C750" s="0" t="s">
        <v>962</v>
      </c>
      <c r="D750" s="31" t="n">
        <v>25998</v>
      </c>
      <c r="E750" s="31" t="n">
        <v>45689</v>
      </c>
      <c r="F750" s="32" t="s">
        <v>5936</v>
      </c>
      <c r="G750" s="0" t="n">
        <v>3</v>
      </c>
      <c r="H750" s="32" t="s">
        <v>5937</v>
      </c>
      <c r="I750" s="32" t="s">
        <v>4004</v>
      </c>
      <c r="J750" s="32" t="s">
        <v>3763</v>
      </c>
      <c r="L750" s="0" t="n">
        <v>-6</v>
      </c>
      <c r="M750" s="32" t="s">
        <v>3871</v>
      </c>
      <c r="N750" s="32" t="s">
        <v>3751</v>
      </c>
      <c r="O750" s="32" t="n">
        <f aca="false">IF(I750="","",ROUND(MOD(TIMEVALUE(I750)-TIMEVALUE(F750),1)*1440,0))</f>
        <v>215</v>
      </c>
      <c r="P750" s="0" t="str">
        <f aca="false">IF(COUNTIF($A$2:A750,A750)&gt;1,"DUP","")</f>
        <v/>
      </c>
      <c r="Q750" s="0" t="str">
        <f aca="false">IF(O750="","",IF(O750&gt;240,"Y","N"))</f>
        <v>N</v>
      </c>
    </row>
    <row r="751" customFormat="false" ht="15" hidden="false" customHeight="false" outlineLevel="0" collapsed="false">
      <c r="A751" s="0" t="s">
        <v>5938</v>
      </c>
      <c r="B751" s="0" t="s">
        <v>5098</v>
      </c>
      <c r="C751" s="0" t="s">
        <v>1025</v>
      </c>
      <c r="D751" s="31" t="n">
        <v>26038</v>
      </c>
      <c r="E751" s="31" t="n">
        <v>45731</v>
      </c>
      <c r="F751" s="32" t="s">
        <v>5826</v>
      </c>
      <c r="G751" s="0" t="n">
        <v>5</v>
      </c>
      <c r="H751" s="32" t="s">
        <v>5839</v>
      </c>
      <c r="I751" s="32" t="s">
        <v>4983</v>
      </c>
      <c r="J751" s="32" t="s">
        <v>2307</v>
      </c>
      <c r="K751" s="32" t="s">
        <v>2106</v>
      </c>
      <c r="L751" s="0" t="n">
        <v>564</v>
      </c>
      <c r="M751" s="32" t="s">
        <v>4114</v>
      </c>
      <c r="N751" s="32" t="s">
        <v>3751</v>
      </c>
      <c r="O751" s="32" t="n">
        <f aca="false">IF(I751="","",ROUND(MOD(TIMEVALUE(I751)-TIMEVALUE(F751),1)*1440,0))</f>
        <v>564</v>
      </c>
      <c r="P751" s="0" t="str">
        <f aca="false">IF(COUNTIF($A$2:A751,A751)&gt;1,"DUP","")</f>
        <v/>
      </c>
      <c r="Q751" s="0" t="str">
        <f aca="false">IF(O751="","",IF(O751&gt;240,"Y","N"))</f>
        <v>Y</v>
      </c>
    </row>
    <row r="752" customFormat="false" ht="15" hidden="false" customHeight="false" outlineLevel="0" collapsed="false">
      <c r="A752" s="0" t="s">
        <v>5939</v>
      </c>
      <c r="B752" s="0" t="s">
        <v>3759</v>
      </c>
      <c r="C752" s="0" t="s">
        <v>874</v>
      </c>
      <c r="D752" s="31" t="n">
        <v>28892</v>
      </c>
      <c r="E752" s="31" t="n">
        <v>45580</v>
      </c>
      <c r="F752" s="32" t="s">
        <v>5018</v>
      </c>
      <c r="G752" s="0" t="n">
        <v>4</v>
      </c>
      <c r="H752" s="32" t="s">
        <v>5940</v>
      </c>
      <c r="I752" s="32" t="s">
        <v>4217</v>
      </c>
      <c r="J752" s="32" t="s">
        <v>3749</v>
      </c>
      <c r="K752" s="32" t="s">
        <v>2081</v>
      </c>
      <c r="L752" s="0" t="n">
        <v>234</v>
      </c>
      <c r="M752" s="32" t="s">
        <v>4114</v>
      </c>
      <c r="N752" s="32" t="s">
        <v>3751</v>
      </c>
      <c r="O752" s="32" t="n">
        <f aca="false">IF(I752="","",ROUND(MOD(TIMEVALUE(I752)-TIMEVALUE(F752),1)*1440,0))</f>
        <v>234</v>
      </c>
      <c r="P752" s="0" t="str">
        <f aca="false">IF(COUNTIF($A$2:A752,A752)&gt;1,"DUP","")</f>
        <v/>
      </c>
      <c r="Q752" s="0" t="str">
        <f aca="false">IF(O752="","",IF(O752&gt;240,"Y","N"))</f>
        <v>N</v>
      </c>
    </row>
    <row r="753" customFormat="false" ht="15" hidden="false" customHeight="false" outlineLevel="0" collapsed="false">
      <c r="A753" s="0" t="s">
        <v>5941</v>
      </c>
      <c r="B753" s="0" t="s">
        <v>4297</v>
      </c>
      <c r="C753" s="0" t="s">
        <v>1402</v>
      </c>
      <c r="D753" s="31" t="n">
        <v>30321</v>
      </c>
      <c r="E753" s="31" t="n">
        <v>45615</v>
      </c>
      <c r="F753" s="32" t="s">
        <v>5468</v>
      </c>
      <c r="G753" s="0" t="n">
        <v>3</v>
      </c>
      <c r="H753" s="32" t="s">
        <v>5626</v>
      </c>
      <c r="I753" s="32" t="s">
        <v>5464</v>
      </c>
      <c r="J753" s="32" t="s">
        <v>3749</v>
      </c>
      <c r="K753" s="32" t="s">
        <v>2106</v>
      </c>
      <c r="L753" s="0" t="n">
        <v>301</v>
      </c>
      <c r="M753" s="32" t="s">
        <v>4141</v>
      </c>
      <c r="N753" s="32" t="s">
        <v>3751</v>
      </c>
      <c r="O753" s="32" t="n">
        <f aca="false">IF(I753="","",ROUND(MOD(TIMEVALUE(I753)-TIMEVALUE(F753),1)*1440,0))</f>
        <v>301</v>
      </c>
      <c r="P753" s="0" t="str">
        <f aca="false">IF(COUNTIF($A$2:A753,A753)&gt;1,"DUP","")</f>
        <v/>
      </c>
      <c r="Q753" s="0" t="str">
        <f aca="false">IF(O753="","",IF(O753&gt;240,"Y","N"))</f>
        <v>Y</v>
      </c>
    </row>
    <row r="754" customFormat="false" ht="15" hidden="false" customHeight="false" outlineLevel="0" collapsed="false">
      <c r="A754" s="0" t="s">
        <v>5942</v>
      </c>
      <c r="B754" s="0" t="s">
        <v>4138</v>
      </c>
      <c r="C754" s="0" t="s">
        <v>2178</v>
      </c>
      <c r="D754" s="31" t="n">
        <v>38300</v>
      </c>
      <c r="E754" s="31" t="n">
        <v>45574</v>
      </c>
      <c r="F754" s="32" t="s">
        <v>5179</v>
      </c>
      <c r="G754" s="0" t="n">
        <v>5</v>
      </c>
      <c r="H754" s="32" t="s">
        <v>4337</v>
      </c>
      <c r="I754" s="32" t="s">
        <v>4081</v>
      </c>
      <c r="J754" s="32" t="s">
        <v>3749</v>
      </c>
      <c r="K754" s="32" t="s">
        <v>2081</v>
      </c>
      <c r="L754" s="0" t="n">
        <v>225</v>
      </c>
      <c r="M754" s="32" t="s">
        <v>4206</v>
      </c>
      <c r="N754" s="32" t="s">
        <v>3751</v>
      </c>
      <c r="O754" s="32" t="n">
        <f aca="false">IF(I754="","",ROUND(MOD(TIMEVALUE(I754)-TIMEVALUE(F754),1)*1440,0))</f>
        <v>225</v>
      </c>
      <c r="P754" s="0" t="str">
        <f aca="false">IF(COUNTIF($A$2:A754,A754)&gt;1,"DUP","")</f>
        <v/>
      </c>
      <c r="Q754" s="0" t="str">
        <f aca="false">IF(O754="","",IF(O754&gt;240,"Y","N"))</f>
        <v>N</v>
      </c>
    </row>
    <row r="755" customFormat="false" ht="15" hidden="false" customHeight="false" outlineLevel="0" collapsed="false">
      <c r="A755" s="0" t="s">
        <v>5943</v>
      </c>
      <c r="B755" s="0" t="s">
        <v>5902</v>
      </c>
      <c r="C755" s="0" t="s">
        <v>1460</v>
      </c>
      <c r="D755" s="31" t="n">
        <v>28758</v>
      </c>
      <c r="E755" s="31" t="n">
        <v>45570</v>
      </c>
      <c r="F755" s="32" t="s">
        <v>5936</v>
      </c>
      <c r="G755" s="0" t="n">
        <v>3</v>
      </c>
      <c r="H755" s="32" t="s">
        <v>5230</v>
      </c>
      <c r="I755" s="32" t="s">
        <v>4911</v>
      </c>
      <c r="J755" s="32" t="s">
        <v>3749</v>
      </c>
      <c r="K755" s="32" t="s">
        <v>2081</v>
      </c>
      <c r="L755" s="0" t="n">
        <v>173</v>
      </c>
      <c r="M755" s="32" t="s">
        <v>3866</v>
      </c>
      <c r="N755" s="32" t="s">
        <v>3751</v>
      </c>
      <c r="O755" s="32" t="n">
        <f aca="false">IF(I755="","",ROUND(MOD(TIMEVALUE(I755)-TIMEVALUE(F755),1)*1440,0))</f>
        <v>173</v>
      </c>
      <c r="P755" s="0" t="str">
        <f aca="false">IF(COUNTIF($A$2:A755,A755)&gt;1,"DUP","")</f>
        <v/>
      </c>
      <c r="Q755" s="0" t="str">
        <f aca="false">IF(O755="","",IF(O755&gt;240,"Y","N"))</f>
        <v>N</v>
      </c>
    </row>
    <row r="756" customFormat="false" ht="15" hidden="false" customHeight="false" outlineLevel="0" collapsed="false">
      <c r="A756" s="0" t="s">
        <v>5944</v>
      </c>
      <c r="B756" s="0" t="s">
        <v>5902</v>
      </c>
      <c r="C756" s="0" t="s">
        <v>918</v>
      </c>
      <c r="D756" s="31" t="n">
        <v>25325</v>
      </c>
      <c r="E756" s="31" t="n">
        <v>45587</v>
      </c>
      <c r="F756" s="32" t="s">
        <v>4437</v>
      </c>
      <c r="G756" s="0" t="n">
        <v>4</v>
      </c>
      <c r="H756" s="32" t="s">
        <v>4127</v>
      </c>
      <c r="I756" s="32" t="s">
        <v>5162</v>
      </c>
      <c r="J756" s="32" t="s">
        <v>3749</v>
      </c>
      <c r="K756" s="32" t="s">
        <v>2106</v>
      </c>
      <c r="L756" s="0" t="n">
        <v>371</v>
      </c>
      <c r="M756" s="32" t="s">
        <v>3866</v>
      </c>
      <c r="N756" s="32" t="s">
        <v>3751</v>
      </c>
      <c r="O756" s="32" t="n">
        <f aca="false">IF(I756="","",ROUND(MOD(TIMEVALUE(I756)-TIMEVALUE(F756),1)*1440,0))</f>
        <v>371</v>
      </c>
      <c r="P756" s="0" t="str">
        <f aca="false">IF(COUNTIF($A$2:A756,A756)&gt;1,"DUP","")</f>
        <v/>
      </c>
      <c r="Q756" s="0" t="str">
        <f aca="false">IF(O756="","",IF(O756&gt;240,"Y","N"))</f>
        <v>Y</v>
      </c>
    </row>
    <row r="757" customFormat="false" ht="15" hidden="false" customHeight="false" outlineLevel="0" collapsed="false">
      <c r="A757" s="0" t="s">
        <v>5945</v>
      </c>
      <c r="B757" s="0" t="s">
        <v>4179</v>
      </c>
      <c r="C757" s="0" t="s">
        <v>817</v>
      </c>
      <c r="D757" s="31" t="n">
        <v>29015</v>
      </c>
      <c r="E757" s="31" t="n">
        <v>45624</v>
      </c>
      <c r="F757" s="32" t="s">
        <v>3982</v>
      </c>
      <c r="G757" s="0" t="n">
        <v>4</v>
      </c>
      <c r="H757" s="32" t="s">
        <v>5757</v>
      </c>
      <c r="I757" s="32" t="s">
        <v>5442</v>
      </c>
      <c r="J757" s="32" t="s">
        <v>3793</v>
      </c>
      <c r="K757" s="32" t="s">
        <v>2081</v>
      </c>
      <c r="L757" s="0" t="n">
        <v>91</v>
      </c>
      <c r="M757" s="32" t="s">
        <v>4255</v>
      </c>
      <c r="N757" s="32" t="s">
        <v>818</v>
      </c>
      <c r="O757" s="32" t="n">
        <f aca="false">IF(I757="","",ROUND(MOD(TIMEVALUE(I757)-TIMEVALUE(F757),1)*1440,0))</f>
        <v>91</v>
      </c>
      <c r="P757" s="0" t="str">
        <f aca="false">IF(COUNTIF($A$2:A757,A757)&gt;1,"DUP","")</f>
        <v/>
      </c>
      <c r="Q757" s="0" t="str">
        <f aca="false">IF(O757="","",IF(O757&gt;240,"Y","N"))</f>
        <v>N</v>
      </c>
    </row>
    <row r="758" customFormat="false" ht="15" hidden="false" customHeight="false" outlineLevel="0" collapsed="false">
      <c r="A758" s="0" t="s">
        <v>5946</v>
      </c>
      <c r="B758" s="0" t="s">
        <v>5008</v>
      </c>
      <c r="C758" s="0" t="s">
        <v>981</v>
      </c>
      <c r="D758" s="31" t="n">
        <v>22146</v>
      </c>
      <c r="E758" s="31" t="n">
        <v>45590</v>
      </c>
      <c r="F758" s="32" t="s">
        <v>4563</v>
      </c>
      <c r="G758" s="0" t="n">
        <v>3</v>
      </c>
      <c r="H758" s="32" t="s">
        <v>5947</v>
      </c>
      <c r="I758" s="32" t="s">
        <v>5811</v>
      </c>
      <c r="J758" s="32" t="s">
        <v>2307</v>
      </c>
      <c r="K758" s="32" t="s">
        <v>2106</v>
      </c>
      <c r="L758" s="0" t="n">
        <v>456</v>
      </c>
      <c r="M758" s="32" t="s">
        <v>4206</v>
      </c>
      <c r="N758" s="32" t="s">
        <v>3751</v>
      </c>
      <c r="O758" s="32" t="n">
        <f aca="false">IF(I758="","",ROUND(MOD(TIMEVALUE(I758)-TIMEVALUE(F758),1)*1440,0))</f>
        <v>456</v>
      </c>
      <c r="P758" s="0" t="str">
        <f aca="false">IF(COUNTIF($A$2:A758,A758)&gt;1,"DUP","")</f>
        <v/>
      </c>
      <c r="Q758" s="0" t="str">
        <f aca="false">IF(O758="","",IF(O758&gt;240,"Y","N"))</f>
        <v>Y</v>
      </c>
    </row>
    <row r="759" customFormat="false" ht="15" hidden="false" customHeight="false" outlineLevel="0" collapsed="false">
      <c r="A759" s="0" t="s">
        <v>5948</v>
      </c>
      <c r="B759" s="0" t="s">
        <v>4169</v>
      </c>
      <c r="C759" s="0" t="s">
        <v>894</v>
      </c>
      <c r="D759" s="31" t="n">
        <v>27054</v>
      </c>
      <c r="E759" s="31" t="n">
        <v>45736</v>
      </c>
      <c r="F759" s="32" t="s">
        <v>4590</v>
      </c>
      <c r="G759" s="0" t="n">
        <v>3</v>
      </c>
      <c r="H759" s="32" t="s">
        <v>5555</v>
      </c>
      <c r="I759" s="32" t="s">
        <v>5131</v>
      </c>
      <c r="J759" s="32" t="s">
        <v>2307</v>
      </c>
      <c r="K759" s="32" t="s">
        <v>2106</v>
      </c>
      <c r="L759" s="0" t="n">
        <v>485</v>
      </c>
      <c r="M759" s="32" t="s">
        <v>4073</v>
      </c>
      <c r="N759" s="32" t="s">
        <v>3751</v>
      </c>
      <c r="O759" s="32" t="n">
        <f aca="false">IF(I759="","",ROUND(MOD(TIMEVALUE(I759)-TIMEVALUE(F759),1)*1440,0))</f>
        <v>485</v>
      </c>
      <c r="P759" s="0" t="str">
        <f aca="false">IF(COUNTIF($A$2:A759,A759)&gt;1,"DUP","")</f>
        <v/>
      </c>
      <c r="Q759" s="0" t="str">
        <f aca="false">IF(O759="","",IF(O759&gt;240,"Y","N"))</f>
        <v>Y</v>
      </c>
    </row>
    <row r="760" customFormat="false" ht="15" hidden="false" customHeight="false" outlineLevel="0" collapsed="false">
      <c r="A760" s="0" t="s">
        <v>5949</v>
      </c>
      <c r="C760" s="0" t="s">
        <v>1460</v>
      </c>
      <c r="D760" s="31" t="n">
        <v>39248</v>
      </c>
      <c r="E760" s="31" t="n">
        <v>45662</v>
      </c>
      <c r="F760" s="32" t="s">
        <v>5950</v>
      </c>
      <c r="G760" s="0" t="n">
        <v>5</v>
      </c>
      <c r="H760" s="32" t="s">
        <v>5068</v>
      </c>
      <c r="I760" s="32" t="s">
        <v>4145</v>
      </c>
      <c r="J760" s="32" t="s">
        <v>3793</v>
      </c>
      <c r="K760" s="32" t="s">
        <v>2106</v>
      </c>
      <c r="L760" s="0" t="n">
        <v>308</v>
      </c>
      <c r="M760" s="32" t="s">
        <v>3815</v>
      </c>
      <c r="N760" s="32" t="s">
        <v>766</v>
      </c>
      <c r="O760" s="32" t="n">
        <f aca="false">IF(I760="","",ROUND(MOD(TIMEVALUE(I760)-TIMEVALUE(F760),1)*1440,0))</f>
        <v>308</v>
      </c>
      <c r="P760" s="0" t="str">
        <f aca="false">IF(COUNTIF($A$2:A760,A760)&gt;1,"DUP","")</f>
        <v/>
      </c>
      <c r="Q760" s="0" t="str">
        <f aca="false">IF(O760="","",IF(O760&gt;240,"Y","N"))</f>
        <v>Y</v>
      </c>
    </row>
    <row r="761" customFormat="false" ht="15" hidden="false" customHeight="false" outlineLevel="0" collapsed="false">
      <c r="A761" s="0" t="s">
        <v>5951</v>
      </c>
      <c r="B761" s="0" t="s">
        <v>5373</v>
      </c>
      <c r="C761" s="0" t="s">
        <v>910</v>
      </c>
      <c r="D761" s="31" t="n">
        <v>36485</v>
      </c>
      <c r="E761" s="31" t="n">
        <v>45592</v>
      </c>
      <c r="F761" s="32" t="s">
        <v>5336</v>
      </c>
      <c r="G761" s="0" t="n">
        <v>4</v>
      </c>
      <c r="H761" s="32" t="s">
        <v>4661</v>
      </c>
      <c r="I761" s="32" t="s">
        <v>4067</v>
      </c>
      <c r="J761" s="32" t="s">
        <v>3749</v>
      </c>
      <c r="K761" s="32" t="s">
        <v>2106</v>
      </c>
      <c r="L761" s="0" t="n">
        <v>461</v>
      </c>
      <c r="M761" s="32" t="s">
        <v>3855</v>
      </c>
      <c r="N761" s="32" t="s">
        <v>3751</v>
      </c>
      <c r="O761" s="32" t="n">
        <f aca="false">IF(I761="","",ROUND(MOD(TIMEVALUE(I761)-TIMEVALUE(F761),1)*1440,0))</f>
        <v>461</v>
      </c>
      <c r="P761" s="0" t="str">
        <f aca="false">IF(COUNTIF($A$2:A761,A761)&gt;1,"DUP","")</f>
        <v/>
      </c>
      <c r="Q761" s="0" t="str">
        <f aca="false">IF(O761="","",IF(O761&gt;240,"Y","N"))</f>
        <v>Y</v>
      </c>
    </row>
    <row r="762" customFormat="false" ht="15" hidden="false" customHeight="false" outlineLevel="0" collapsed="false">
      <c r="A762" s="0" t="s">
        <v>5952</v>
      </c>
      <c r="B762" s="0" t="s">
        <v>5953</v>
      </c>
      <c r="C762" s="0" t="s">
        <v>1017</v>
      </c>
      <c r="D762" s="31" t="n">
        <v>27846</v>
      </c>
      <c r="E762" s="31" t="n">
        <v>45606</v>
      </c>
      <c r="F762" s="32" t="s">
        <v>4623</v>
      </c>
      <c r="G762" s="0" t="n">
        <v>3</v>
      </c>
      <c r="H762" s="32" t="s">
        <v>5954</v>
      </c>
      <c r="I762" s="32" t="s">
        <v>5955</v>
      </c>
      <c r="J762" s="32" t="s">
        <v>3749</v>
      </c>
      <c r="K762" s="32" t="s">
        <v>2081</v>
      </c>
      <c r="L762" s="0" t="n">
        <v>167</v>
      </c>
      <c r="M762" s="32" t="s">
        <v>3925</v>
      </c>
      <c r="N762" s="32" t="s">
        <v>3751</v>
      </c>
      <c r="O762" s="32" t="n">
        <f aca="false">IF(I762="","",ROUND(MOD(TIMEVALUE(I762)-TIMEVALUE(F762),1)*1440,0))</f>
        <v>167</v>
      </c>
      <c r="P762" s="0" t="str">
        <f aca="false">IF(COUNTIF($A$2:A762,A762)&gt;1,"DUP","")</f>
        <v/>
      </c>
      <c r="Q762" s="0" t="str">
        <f aca="false">IF(O762="","",IF(O762&gt;240,"Y","N"))</f>
        <v>N</v>
      </c>
    </row>
    <row r="763" customFormat="false" ht="15" hidden="false" customHeight="false" outlineLevel="0" collapsed="false">
      <c r="A763" s="0" t="s">
        <v>5956</v>
      </c>
      <c r="C763" s="0" t="s">
        <v>890</v>
      </c>
      <c r="D763" s="31" t="n">
        <v>14437</v>
      </c>
      <c r="E763" s="31" t="n">
        <v>45728</v>
      </c>
      <c r="F763" s="32" t="s">
        <v>5957</v>
      </c>
      <c r="G763" s="0" t="n">
        <v>4</v>
      </c>
      <c r="H763" s="32" t="s">
        <v>4650</v>
      </c>
      <c r="I763" s="32" t="s">
        <v>4639</v>
      </c>
      <c r="J763" s="32" t="s">
        <v>2307</v>
      </c>
      <c r="K763" s="32" t="s">
        <v>2081</v>
      </c>
      <c r="L763" s="0" t="n">
        <v>217</v>
      </c>
      <c r="M763" s="32" t="s">
        <v>3821</v>
      </c>
      <c r="N763" s="32" t="s">
        <v>3751</v>
      </c>
      <c r="O763" s="32" t="n">
        <f aca="false">IF(I763="","",ROUND(MOD(TIMEVALUE(I763)-TIMEVALUE(F763),1)*1440,0))</f>
        <v>217</v>
      </c>
      <c r="P763" s="0" t="str">
        <f aca="false">IF(COUNTIF($A$2:A763,A763)&gt;1,"DUP","")</f>
        <v/>
      </c>
      <c r="Q763" s="0" t="str">
        <f aca="false">IF(O763="","",IF(O763&gt;240,"Y","N"))</f>
        <v>N</v>
      </c>
    </row>
    <row r="764" customFormat="false" ht="15" hidden="false" customHeight="false" outlineLevel="0" collapsed="false">
      <c r="A764" s="0" t="s">
        <v>5958</v>
      </c>
      <c r="B764" s="0" t="s">
        <v>5959</v>
      </c>
      <c r="C764" s="0" t="s">
        <v>874</v>
      </c>
      <c r="D764" s="31" t="n">
        <v>17263</v>
      </c>
      <c r="E764" s="31" t="n">
        <v>45645</v>
      </c>
      <c r="F764" s="32" t="s">
        <v>4186</v>
      </c>
      <c r="G764" s="0" t="n">
        <v>2</v>
      </c>
      <c r="H764" s="32" t="s">
        <v>4096</v>
      </c>
      <c r="I764" s="32" t="s">
        <v>5046</v>
      </c>
      <c r="J764" s="32" t="s">
        <v>3763</v>
      </c>
      <c r="K764" s="32" t="s">
        <v>2081</v>
      </c>
      <c r="L764" s="0" t="n">
        <v>165</v>
      </c>
      <c r="M764" s="32" t="s">
        <v>3821</v>
      </c>
      <c r="N764" s="32" t="s">
        <v>3751</v>
      </c>
      <c r="O764" s="32" t="n">
        <f aca="false">IF(I764="","",ROUND(MOD(TIMEVALUE(I764)-TIMEVALUE(F764),1)*1440,0))</f>
        <v>165</v>
      </c>
      <c r="P764" s="0" t="str">
        <f aca="false">IF(COUNTIF($A$2:A764,A764)&gt;1,"DUP","")</f>
        <v/>
      </c>
      <c r="Q764" s="0" t="str">
        <f aca="false">IF(O764="","",IF(O764&gt;240,"Y","N"))</f>
        <v>N</v>
      </c>
    </row>
    <row r="765" customFormat="false" ht="15" hidden="false" customHeight="false" outlineLevel="0" collapsed="false">
      <c r="A765" s="0" t="s">
        <v>5960</v>
      </c>
      <c r="B765" s="0" t="s">
        <v>3745</v>
      </c>
      <c r="C765" s="0" t="s">
        <v>2225</v>
      </c>
      <c r="D765" s="31" t="n">
        <v>24760</v>
      </c>
      <c r="E765" s="31" t="n">
        <v>45603</v>
      </c>
      <c r="F765" s="32" t="s">
        <v>3987</v>
      </c>
      <c r="G765" s="0" t="n">
        <v>3</v>
      </c>
      <c r="H765" s="32" t="s">
        <v>5961</v>
      </c>
      <c r="I765" s="32" t="s">
        <v>3924</v>
      </c>
      <c r="J765" s="32" t="s">
        <v>3749</v>
      </c>
      <c r="K765" s="32" t="s">
        <v>2081</v>
      </c>
      <c r="L765" s="0" t="n">
        <v>233</v>
      </c>
      <c r="M765" s="32" t="s">
        <v>3946</v>
      </c>
      <c r="N765" s="32" t="s">
        <v>3751</v>
      </c>
      <c r="O765" s="32" t="n">
        <f aca="false">IF(I765="","",ROUND(MOD(TIMEVALUE(I765)-TIMEVALUE(F765),1)*1440,0))</f>
        <v>233</v>
      </c>
      <c r="P765" s="0" t="str">
        <f aca="false">IF(COUNTIF($A$2:A765,A765)&gt;1,"DUP","")</f>
        <v/>
      </c>
      <c r="Q765" s="0" t="str">
        <f aca="false">IF(O765="","",IF(O765&gt;240,"Y","N"))</f>
        <v>N</v>
      </c>
    </row>
    <row r="766" customFormat="false" ht="15" hidden="false" customHeight="false" outlineLevel="0" collapsed="false">
      <c r="A766" s="0" t="s">
        <v>5962</v>
      </c>
      <c r="B766" s="0" t="s">
        <v>5963</v>
      </c>
      <c r="C766" s="0" t="s">
        <v>886</v>
      </c>
      <c r="D766" s="31" t="n">
        <v>29562</v>
      </c>
      <c r="E766" s="31" t="n">
        <v>45609</v>
      </c>
      <c r="F766" s="32" t="s">
        <v>5118</v>
      </c>
      <c r="G766" s="0" t="n">
        <v>4</v>
      </c>
      <c r="H766" s="32" t="s">
        <v>4424</v>
      </c>
      <c r="I766" s="32" t="s">
        <v>3831</v>
      </c>
      <c r="J766" s="32" t="s">
        <v>3763</v>
      </c>
      <c r="K766" s="32" t="s">
        <v>2081</v>
      </c>
      <c r="L766" s="0" t="n">
        <v>160</v>
      </c>
      <c r="M766" s="32" t="s">
        <v>3782</v>
      </c>
      <c r="N766" s="32" t="s">
        <v>3751</v>
      </c>
      <c r="O766" s="32" t="n">
        <f aca="false">IF(I766="","",ROUND(MOD(TIMEVALUE(I766)-TIMEVALUE(F766),1)*1440,0))</f>
        <v>160</v>
      </c>
      <c r="P766" s="0" t="str">
        <f aca="false">IF(COUNTIF($A$2:A766,A766)&gt;1,"DUP","")</f>
        <v/>
      </c>
      <c r="Q766" s="0" t="str">
        <f aca="false">IF(O766="","",IF(O766&gt;240,"Y","N"))</f>
        <v>N</v>
      </c>
    </row>
    <row r="767" customFormat="false" ht="15" hidden="false" customHeight="false" outlineLevel="0" collapsed="false">
      <c r="A767" s="0" t="s">
        <v>5964</v>
      </c>
      <c r="B767" s="0" t="s">
        <v>4188</v>
      </c>
      <c r="C767" s="0" t="s">
        <v>1393</v>
      </c>
      <c r="D767" s="31" t="n">
        <v>25595</v>
      </c>
      <c r="E767" s="31" t="n">
        <v>45669</v>
      </c>
      <c r="F767" s="32" t="s">
        <v>4580</v>
      </c>
      <c r="G767" s="0" t="n">
        <v>3</v>
      </c>
      <c r="H767" s="32" t="s">
        <v>4709</v>
      </c>
      <c r="I767" s="32" t="s">
        <v>5811</v>
      </c>
      <c r="J767" s="32" t="s">
        <v>3749</v>
      </c>
      <c r="K767" s="32" t="s">
        <v>2081</v>
      </c>
      <c r="L767" s="0" t="n">
        <v>164</v>
      </c>
      <c r="M767" s="32" t="s">
        <v>3764</v>
      </c>
      <c r="N767" s="32" t="s">
        <v>3751</v>
      </c>
      <c r="O767" s="32" t="n">
        <f aca="false">IF(I767="","",ROUND(MOD(TIMEVALUE(I767)-TIMEVALUE(F767),1)*1440,0))</f>
        <v>164</v>
      </c>
      <c r="P767" s="0" t="str">
        <f aca="false">IF(COUNTIF($A$2:A767,A767)&gt;1,"DUP","")</f>
        <v/>
      </c>
      <c r="Q767" s="0" t="str">
        <f aca="false">IF(O767="","",IF(O767&gt;240,"Y","N"))</f>
        <v>N</v>
      </c>
    </row>
    <row r="768" customFormat="false" ht="15" hidden="false" customHeight="false" outlineLevel="0" collapsed="false">
      <c r="A768" s="0" t="s">
        <v>5965</v>
      </c>
      <c r="C768" s="0" t="s">
        <v>966</v>
      </c>
      <c r="D768" s="31" t="n">
        <v>14746</v>
      </c>
      <c r="E768" s="31" t="n">
        <v>45689</v>
      </c>
      <c r="F768" s="32" t="s">
        <v>5828</v>
      </c>
      <c r="G768" s="0" t="n">
        <v>5</v>
      </c>
      <c r="H768" s="32" t="s">
        <v>4743</v>
      </c>
      <c r="I768" s="32" t="s">
        <v>5719</v>
      </c>
      <c r="J768" s="32" t="s">
        <v>3749</v>
      </c>
      <c r="K768" s="32" t="s">
        <v>2106</v>
      </c>
      <c r="L768" s="0" t="n">
        <v>306</v>
      </c>
      <c r="M768" s="32" t="s">
        <v>4206</v>
      </c>
      <c r="N768" s="32" t="s">
        <v>3751</v>
      </c>
      <c r="O768" s="32" t="n">
        <f aca="false">IF(I768="","",ROUND(MOD(TIMEVALUE(I768)-TIMEVALUE(F768),1)*1440,0))</f>
        <v>306</v>
      </c>
      <c r="P768" s="0" t="str">
        <f aca="false">IF(COUNTIF($A$2:A768,A768)&gt;1,"DUP","")</f>
        <v/>
      </c>
      <c r="Q768" s="0" t="str">
        <f aca="false">IF(O768="","",IF(O768&gt;240,"Y","N"))</f>
        <v>Y</v>
      </c>
    </row>
    <row r="769" customFormat="false" ht="15" hidden="false" customHeight="false" outlineLevel="0" collapsed="false">
      <c r="A769" s="0" t="s">
        <v>5966</v>
      </c>
      <c r="B769" s="0" t="s">
        <v>4277</v>
      </c>
      <c r="C769" s="0" t="s">
        <v>1414</v>
      </c>
      <c r="D769" s="31" t="n">
        <v>25180</v>
      </c>
      <c r="E769" s="31" t="n">
        <v>45677</v>
      </c>
      <c r="F769" s="32" t="s">
        <v>5080</v>
      </c>
      <c r="G769" s="0" t="n">
        <v>2</v>
      </c>
      <c r="H769" s="32" t="s">
        <v>5967</v>
      </c>
      <c r="I769" s="32" t="s">
        <v>3807</v>
      </c>
      <c r="J769" s="32" t="s">
        <v>2307</v>
      </c>
      <c r="K769" s="32" t="s">
        <v>2081</v>
      </c>
      <c r="L769" s="0" t="n">
        <v>162</v>
      </c>
      <c r="M769" s="32" t="s">
        <v>3866</v>
      </c>
      <c r="N769" s="32" t="s">
        <v>3751</v>
      </c>
      <c r="O769" s="32" t="n">
        <f aca="false">IF(I769="","",ROUND(MOD(TIMEVALUE(I769)-TIMEVALUE(F769),1)*1440,0))</f>
        <v>162</v>
      </c>
      <c r="P769" s="0" t="str">
        <f aca="false">IF(COUNTIF($A$2:A769,A769)&gt;1,"DUP","")</f>
        <v/>
      </c>
      <c r="Q769" s="0" t="str">
        <f aca="false">IF(O769="","",IF(O769&gt;240,"Y","N"))</f>
        <v>N</v>
      </c>
    </row>
    <row r="770" customFormat="false" ht="15" hidden="false" customHeight="false" outlineLevel="0" collapsed="false">
      <c r="A770" s="0" t="s">
        <v>5968</v>
      </c>
      <c r="B770" s="0" t="s">
        <v>5718</v>
      </c>
      <c r="C770" s="0" t="s">
        <v>817</v>
      </c>
      <c r="D770" s="31" t="n">
        <v>32645</v>
      </c>
      <c r="E770" s="31" t="n">
        <v>45581</v>
      </c>
      <c r="F770" s="32" t="s">
        <v>4266</v>
      </c>
      <c r="G770" s="0" t="n">
        <v>4</v>
      </c>
      <c r="H770" s="32" t="s">
        <v>4284</v>
      </c>
      <c r="I770" s="32" t="s">
        <v>4288</v>
      </c>
      <c r="J770" s="32" t="s">
        <v>2307</v>
      </c>
      <c r="K770" s="32" t="s">
        <v>2081</v>
      </c>
      <c r="L770" s="0" t="n">
        <v>212</v>
      </c>
      <c r="M770" s="32" t="s">
        <v>3827</v>
      </c>
      <c r="N770" s="32" t="s">
        <v>3751</v>
      </c>
      <c r="O770" s="32" t="n">
        <f aca="false">IF(I770="","",ROUND(MOD(TIMEVALUE(I770)-TIMEVALUE(F770),1)*1440,0))</f>
        <v>212</v>
      </c>
      <c r="P770" s="0" t="str">
        <f aca="false">IF(COUNTIF($A$2:A770,A770)&gt;1,"DUP","")</f>
        <v/>
      </c>
      <c r="Q770" s="0" t="str">
        <f aca="false">IF(O770="","",IF(O770&gt;240,"Y","N"))</f>
        <v>N</v>
      </c>
    </row>
    <row r="771" customFormat="false" ht="15" hidden="false" customHeight="false" outlineLevel="0" collapsed="false">
      <c r="A771" s="0" t="s">
        <v>5969</v>
      </c>
      <c r="B771" s="0" t="s">
        <v>5380</v>
      </c>
      <c r="C771" s="0" t="s">
        <v>746</v>
      </c>
      <c r="D771" s="31" t="n">
        <v>33415</v>
      </c>
      <c r="E771" s="31" t="n">
        <v>45584</v>
      </c>
      <c r="F771" s="32" t="s">
        <v>5200</v>
      </c>
      <c r="G771" s="0" t="n">
        <v>4</v>
      </c>
      <c r="H771" s="32" t="s">
        <v>4454</v>
      </c>
      <c r="I771" s="32" t="s">
        <v>4990</v>
      </c>
      <c r="J771" s="32" t="s">
        <v>3749</v>
      </c>
      <c r="K771" s="32" t="s">
        <v>2081</v>
      </c>
      <c r="L771" s="0" t="n">
        <v>103</v>
      </c>
      <c r="M771" s="32" t="s">
        <v>4582</v>
      </c>
      <c r="N771" s="32" t="s">
        <v>1455</v>
      </c>
      <c r="O771" s="32" t="n">
        <f aca="false">IF(I771="","",ROUND(MOD(TIMEVALUE(I771)-TIMEVALUE(F771),1)*1440,0))</f>
        <v>103</v>
      </c>
      <c r="P771" s="0" t="str">
        <f aca="false">IF(COUNTIF($A$2:A771,A771)&gt;1,"DUP","")</f>
        <v/>
      </c>
      <c r="Q771" s="0" t="str">
        <f aca="false">IF(O771="","",IF(O771&gt;240,"Y","N"))</f>
        <v>N</v>
      </c>
    </row>
    <row r="772" customFormat="false" ht="15" hidden="false" customHeight="false" outlineLevel="0" collapsed="false">
      <c r="A772" s="0" t="s">
        <v>5970</v>
      </c>
      <c r="C772" s="0" t="s">
        <v>874</v>
      </c>
      <c r="D772" s="31" t="n">
        <v>16153</v>
      </c>
      <c r="E772" s="31" t="n">
        <v>45722</v>
      </c>
      <c r="F772" s="32" t="s">
        <v>5810</v>
      </c>
      <c r="G772" s="0" t="n">
        <v>1</v>
      </c>
      <c r="H772" s="32" t="s">
        <v>4861</v>
      </c>
      <c r="I772" s="32" t="s">
        <v>5971</v>
      </c>
      <c r="J772" s="32" t="s">
        <v>3749</v>
      </c>
      <c r="K772" s="32" t="s">
        <v>2106</v>
      </c>
      <c r="L772" s="0" t="n">
        <v>294</v>
      </c>
      <c r="M772" s="32" t="s">
        <v>3877</v>
      </c>
      <c r="N772" s="32" t="s">
        <v>3751</v>
      </c>
      <c r="O772" s="32" t="n">
        <f aca="false">IF(I772="","",ROUND(MOD(TIMEVALUE(I772)-TIMEVALUE(F772),1)*1440,0))</f>
        <v>294</v>
      </c>
      <c r="P772" s="0" t="str">
        <f aca="false">IF(COUNTIF($A$2:A772,A772)&gt;1,"DUP","")</f>
        <v/>
      </c>
      <c r="Q772" s="0" t="str">
        <f aca="false">IF(O772="","",IF(O772&gt;240,"Y","N"))</f>
        <v>Y</v>
      </c>
    </row>
    <row r="773" customFormat="false" ht="15" hidden="false" customHeight="false" outlineLevel="0" collapsed="false">
      <c r="A773" s="0" t="s">
        <v>5972</v>
      </c>
      <c r="B773" s="0" t="s">
        <v>4724</v>
      </c>
      <c r="C773" s="0" t="s">
        <v>2148</v>
      </c>
      <c r="D773" s="31" t="n">
        <v>24934</v>
      </c>
      <c r="E773" s="31" t="n">
        <v>45630</v>
      </c>
      <c r="F773" s="32" t="s">
        <v>3780</v>
      </c>
      <c r="G773" s="0" t="n">
        <v>2</v>
      </c>
      <c r="H773" s="32" t="s">
        <v>5509</v>
      </c>
      <c r="I773" s="32" t="s">
        <v>5973</v>
      </c>
      <c r="J773" s="32" t="s">
        <v>7</v>
      </c>
      <c r="K773" s="32" t="s">
        <v>2081</v>
      </c>
      <c r="L773" s="0" t="n">
        <v>157</v>
      </c>
      <c r="M773" s="32" t="s">
        <v>4267</v>
      </c>
      <c r="N773" s="32" t="s">
        <v>3751</v>
      </c>
      <c r="O773" s="32" t="n">
        <f aca="false">IF(I773="","",ROUND(MOD(TIMEVALUE(I773)-TIMEVALUE(F773),1)*1440,0))</f>
        <v>157</v>
      </c>
      <c r="P773" s="0" t="str">
        <f aca="false">IF(COUNTIF($A$2:A773,A773)&gt;1,"DUP","")</f>
        <v/>
      </c>
      <c r="Q773" s="0" t="str">
        <f aca="false">IF(O773="","",IF(O773&gt;240,"Y","N"))</f>
        <v>N</v>
      </c>
    </row>
    <row r="774" customFormat="false" ht="15" hidden="false" customHeight="false" outlineLevel="0" collapsed="false">
      <c r="A774" s="0" t="s">
        <v>5974</v>
      </c>
      <c r="B774" s="0" t="s">
        <v>5327</v>
      </c>
      <c r="C774" s="0" t="s">
        <v>942</v>
      </c>
      <c r="D774" s="31" t="n">
        <v>30664</v>
      </c>
      <c r="E774" s="31" t="n">
        <v>45645</v>
      </c>
      <c r="F774" s="32" t="s">
        <v>4574</v>
      </c>
      <c r="G774" s="0" t="n">
        <v>3</v>
      </c>
      <c r="H774" s="32" t="s">
        <v>5508</v>
      </c>
      <c r="I774" s="32" t="s">
        <v>4828</v>
      </c>
      <c r="J774" s="32" t="s">
        <v>3749</v>
      </c>
      <c r="K774" s="32" t="s">
        <v>2081</v>
      </c>
      <c r="L774" s="0" t="n">
        <v>121</v>
      </c>
      <c r="M774" s="32" t="s">
        <v>3776</v>
      </c>
      <c r="N774" s="32" t="s">
        <v>3751</v>
      </c>
      <c r="O774" s="32" t="n">
        <f aca="false">IF(I774="","",ROUND(MOD(TIMEVALUE(I774)-TIMEVALUE(F774),1)*1440,0))</f>
        <v>121</v>
      </c>
      <c r="P774" s="0" t="str">
        <f aca="false">IF(COUNTIF($A$2:A774,A774)&gt;1,"DUP","")</f>
        <v/>
      </c>
      <c r="Q774" s="0" t="str">
        <f aca="false">IF(O774="","",IF(O774&gt;240,"Y","N"))</f>
        <v>N</v>
      </c>
    </row>
    <row r="775" customFormat="false" ht="15" hidden="false" customHeight="false" outlineLevel="0" collapsed="false">
      <c r="A775" s="0" t="s">
        <v>5975</v>
      </c>
      <c r="C775" s="0" t="s">
        <v>930</v>
      </c>
      <c r="D775" s="31" t="n">
        <v>33932</v>
      </c>
      <c r="E775" s="31" t="n">
        <v>45649</v>
      </c>
      <c r="F775" s="32" t="s">
        <v>4118</v>
      </c>
      <c r="G775" s="0" t="n">
        <v>4</v>
      </c>
      <c r="H775" s="32" t="s">
        <v>5976</v>
      </c>
      <c r="I775" s="32" t="s">
        <v>4254</v>
      </c>
      <c r="J775" s="32" t="s">
        <v>3749</v>
      </c>
      <c r="K775" s="32" t="s">
        <v>2081</v>
      </c>
      <c r="L775" s="0" t="n">
        <v>226</v>
      </c>
      <c r="M775" s="32" t="s">
        <v>4285</v>
      </c>
      <c r="N775" s="32" t="s">
        <v>3751</v>
      </c>
      <c r="O775" s="32" t="n">
        <f aca="false">IF(I775="","",ROUND(MOD(TIMEVALUE(I775)-TIMEVALUE(F775),1)*1440,0))</f>
        <v>226</v>
      </c>
      <c r="P775" s="0" t="str">
        <f aca="false">IF(COUNTIF($A$2:A775,A775)&gt;1,"DUP","")</f>
        <v/>
      </c>
      <c r="Q775" s="0" t="str">
        <f aca="false">IF(O775="","",IF(O775&gt;240,"Y","N"))</f>
        <v>N</v>
      </c>
    </row>
    <row r="776" customFormat="false" ht="15" hidden="false" customHeight="false" outlineLevel="0" collapsed="false">
      <c r="A776" s="0" t="s">
        <v>5977</v>
      </c>
      <c r="B776" s="0" t="s">
        <v>5978</v>
      </c>
      <c r="C776" s="0" t="s">
        <v>1398</v>
      </c>
      <c r="D776" s="31" t="n">
        <v>38255</v>
      </c>
      <c r="E776" s="31" t="n">
        <v>45682</v>
      </c>
      <c r="F776" s="32" t="s">
        <v>5808</v>
      </c>
      <c r="G776" s="0" t="n">
        <v>4</v>
      </c>
      <c r="H776" s="32" t="s">
        <v>3860</v>
      </c>
      <c r="I776" s="32" t="s">
        <v>4420</v>
      </c>
      <c r="J776" s="32" t="s">
        <v>2307</v>
      </c>
      <c r="K776" s="32" t="s">
        <v>2081</v>
      </c>
      <c r="L776" s="0" t="n">
        <v>190</v>
      </c>
      <c r="M776" s="32" t="s">
        <v>4060</v>
      </c>
      <c r="N776" s="32" t="s">
        <v>3751</v>
      </c>
      <c r="O776" s="32" t="n">
        <f aca="false">IF(I776="","",ROUND(MOD(TIMEVALUE(I776)-TIMEVALUE(F776),1)*1440,0))</f>
        <v>190</v>
      </c>
      <c r="P776" s="0" t="str">
        <f aca="false">IF(COUNTIF($A$2:A776,A776)&gt;1,"DUP","")</f>
        <v/>
      </c>
      <c r="Q776" s="0" t="str">
        <f aca="false">IF(O776="","",IF(O776&gt;240,"Y","N"))</f>
        <v>N</v>
      </c>
    </row>
    <row r="777" customFormat="false" ht="15" hidden="false" customHeight="false" outlineLevel="0" collapsed="false">
      <c r="A777" s="0" t="s">
        <v>5979</v>
      </c>
      <c r="B777" s="0" t="s">
        <v>5477</v>
      </c>
      <c r="C777" s="0" t="s">
        <v>2206</v>
      </c>
      <c r="D777" s="31" t="n">
        <v>23075</v>
      </c>
      <c r="E777" s="31" t="n">
        <v>45716</v>
      </c>
      <c r="F777" s="32" t="s">
        <v>4015</v>
      </c>
      <c r="G777" s="0" t="n">
        <v>3</v>
      </c>
      <c r="H777" s="32" t="s">
        <v>3987</v>
      </c>
      <c r="I777" s="32" t="s">
        <v>4081</v>
      </c>
      <c r="J777" s="32" t="s">
        <v>3749</v>
      </c>
      <c r="K777" s="32" t="s">
        <v>2081</v>
      </c>
      <c r="L777" s="0" t="n">
        <v>232</v>
      </c>
      <c r="M777" s="32" t="s">
        <v>4037</v>
      </c>
      <c r="N777" s="32" t="s">
        <v>3751</v>
      </c>
      <c r="O777" s="32" t="n">
        <f aca="false">IF(I777="","",ROUND(MOD(TIMEVALUE(I777)-TIMEVALUE(F777),1)*1440,0))</f>
        <v>232</v>
      </c>
      <c r="P777" s="0" t="str">
        <f aca="false">IF(COUNTIF($A$2:A777,A777)&gt;1,"DUP","")</f>
        <v/>
      </c>
      <c r="Q777" s="0" t="str">
        <f aca="false">IF(O777="","",IF(O777&gt;240,"Y","N"))</f>
        <v>N</v>
      </c>
    </row>
    <row r="778" customFormat="false" ht="15" hidden="false" customHeight="false" outlineLevel="0" collapsed="false">
      <c r="A778" s="0" t="s">
        <v>5980</v>
      </c>
      <c r="C778" s="0" t="s">
        <v>845</v>
      </c>
      <c r="D778" s="31" t="n">
        <v>38419</v>
      </c>
      <c r="E778" s="31" t="n">
        <v>45695</v>
      </c>
      <c r="F778" s="32" t="s">
        <v>5981</v>
      </c>
      <c r="G778" s="0" t="n">
        <v>3</v>
      </c>
      <c r="H778" s="32" t="s">
        <v>5089</v>
      </c>
      <c r="I778" s="32" t="s">
        <v>4993</v>
      </c>
      <c r="J778" s="32" t="s">
        <v>7</v>
      </c>
      <c r="K778" s="32" t="s">
        <v>2081</v>
      </c>
      <c r="L778" s="0" t="n">
        <v>103</v>
      </c>
      <c r="M778" s="32" t="s">
        <v>4409</v>
      </c>
      <c r="N778" s="32" t="s">
        <v>3751</v>
      </c>
      <c r="O778" s="32" t="n">
        <f aca="false">IF(I778="","",ROUND(MOD(TIMEVALUE(I778)-TIMEVALUE(F778),1)*1440,0))</f>
        <v>103</v>
      </c>
      <c r="P778" s="0" t="str">
        <f aca="false">IF(COUNTIF($A$2:A778,A778)&gt;1,"DUP","")</f>
        <v/>
      </c>
      <c r="Q778" s="0" t="str">
        <f aca="false">IF(O778="","",IF(O778&gt;240,"Y","N"))</f>
        <v>N</v>
      </c>
    </row>
    <row r="779" customFormat="false" ht="15" hidden="false" customHeight="false" outlineLevel="0" collapsed="false">
      <c r="A779" s="0" t="s">
        <v>5982</v>
      </c>
      <c r="B779" s="0" t="s">
        <v>5011</v>
      </c>
      <c r="C779" s="0" t="s">
        <v>857</v>
      </c>
      <c r="D779" s="31" t="n">
        <v>25528</v>
      </c>
      <c r="E779" s="31" t="n">
        <v>45581</v>
      </c>
      <c r="F779" s="32" t="s">
        <v>3977</v>
      </c>
      <c r="G779" s="0" t="n">
        <v>4</v>
      </c>
      <c r="H779" s="32" t="s">
        <v>4469</v>
      </c>
      <c r="I779" s="32" t="s">
        <v>5567</v>
      </c>
      <c r="J779" s="32" t="s">
        <v>3749</v>
      </c>
      <c r="K779" s="32" t="s">
        <v>2081</v>
      </c>
      <c r="L779" s="0" t="n">
        <v>42</v>
      </c>
      <c r="M779" s="32" t="s">
        <v>4073</v>
      </c>
      <c r="N779" s="32" t="s">
        <v>3751</v>
      </c>
      <c r="O779" s="32" t="n">
        <f aca="false">IF(I779="","",ROUND(MOD(TIMEVALUE(I779)-TIMEVALUE(F779),1)*1440,0))</f>
        <v>42</v>
      </c>
      <c r="P779" s="0" t="str">
        <f aca="false">IF(COUNTIF($A$2:A779,A779)&gt;1,"DUP","")</f>
        <v/>
      </c>
      <c r="Q779" s="0" t="str">
        <f aca="false">IF(O779="","",IF(O779&gt;240,"Y","N"))</f>
        <v>N</v>
      </c>
    </row>
    <row r="780" customFormat="false" ht="15" hidden="false" customHeight="false" outlineLevel="0" collapsed="false">
      <c r="A780" s="0" t="s">
        <v>5983</v>
      </c>
      <c r="B780" s="0" t="s">
        <v>5559</v>
      </c>
      <c r="C780" s="0" t="s">
        <v>825</v>
      </c>
      <c r="D780" s="31" t="n">
        <v>38340</v>
      </c>
      <c r="E780" s="31" t="n">
        <v>45667</v>
      </c>
      <c r="F780" s="32" t="s">
        <v>5984</v>
      </c>
      <c r="G780" s="0" t="n">
        <v>4</v>
      </c>
      <c r="H780" s="32" t="s">
        <v>5550</v>
      </c>
      <c r="I780" s="32" t="s">
        <v>5985</v>
      </c>
      <c r="J780" s="32" t="s">
        <v>3749</v>
      </c>
      <c r="K780" s="32" t="s">
        <v>2081</v>
      </c>
      <c r="L780" s="0" t="n">
        <v>158</v>
      </c>
      <c r="M780" s="32" t="s">
        <v>4295</v>
      </c>
      <c r="N780" s="32" t="s">
        <v>3751</v>
      </c>
      <c r="O780" s="32" t="n">
        <f aca="false">IF(I780="","",ROUND(MOD(TIMEVALUE(I780)-TIMEVALUE(F780),1)*1440,0))</f>
        <v>158</v>
      </c>
      <c r="P780" s="0" t="str">
        <f aca="false">IF(COUNTIF($A$2:A780,A780)&gt;1,"DUP","")</f>
        <v/>
      </c>
      <c r="Q780" s="0" t="str">
        <f aca="false">IF(O780="","",IF(O780&gt;240,"Y","N"))</f>
        <v>N</v>
      </c>
    </row>
    <row r="781" customFormat="false" ht="15" hidden="false" customHeight="false" outlineLevel="0" collapsed="false">
      <c r="A781" s="0" t="s">
        <v>5986</v>
      </c>
      <c r="B781" s="0" t="s">
        <v>5327</v>
      </c>
      <c r="C781" s="0" t="s">
        <v>938</v>
      </c>
      <c r="D781" s="31" t="n">
        <v>23346</v>
      </c>
      <c r="E781" s="31" t="n">
        <v>45596</v>
      </c>
      <c r="F781" s="32" t="s">
        <v>805</v>
      </c>
      <c r="G781" s="0" t="n">
        <v>3</v>
      </c>
      <c r="H781" s="32" t="s">
        <v>5633</v>
      </c>
      <c r="I781" s="32" t="s">
        <v>4911</v>
      </c>
      <c r="J781" s="32" t="s">
        <v>3763</v>
      </c>
      <c r="K781" s="32" t="s">
        <v>2081</v>
      </c>
      <c r="L781" s="0" t="n">
        <v>77</v>
      </c>
      <c r="M781" s="32" t="s">
        <v>3966</v>
      </c>
      <c r="N781" s="32" t="s">
        <v>3751</v>
      </c>
      <c r="O781" s="32" t="n">
        <f aca="false">IF(I781="","",ROUND(MOD(TIMEVALUE(I781)-TIMEVALUE(F781),1)*1440,0))</f>
        <v>77</v>
      </c>
      <c r="P781" s="0" t="str">
        <f aca="false">IF(COUNTIF($A$2:A781,A781)&gt;1,"DUP","")</f>
        <v/>
      </c>
      <c r="Q781" s="0" t="str">
        <f aca="false">IF(O781="","",IF(O781&gt;240,"Y","N"))</f>
        <v>N</v>
      </c>
    </row>
    <row r="782" customFormat="false" ht="15" hidden="false" customHeight="false" outlineLevel="0" collapsed="false">
      <c r="A782" s="0" t="s">
        <v>5987</v>
      </c>
      <c r="B782" s="0" t="s">
        <v>5654</v>
      </c>
      <c r="C782" s="0" t="s">
        <v>4053</v>
      </c>
      <c r="D782" s="31" t="n">
        <v>29216</v>
      </c>
      <c r="E782" s="31" t="n">
        <v>45731</v>
      </c>
      <c r="F782" s="32" t="s">
        <v>4264</v>
      </c>
      <c r="G782" s="0" t="n">
        <v>4</v>
      </c>
      <c r="H782" s="32" t="s">
        <v>3784</v>
      </c>
      <c r="I782" s="32" t="s">
        <v>5614</v>
      </c>
      <c r="J782" s="32" t="s">
        <v>7</v>
      </c>
      <c r="K782" s="32" t="s">
        <v>2081</v>
      </c>
      <c r="L782" s="0" t="n">
        <v>165</v>
      </c>
      <c r="M782" s="32" t="s">
        <v>3902</v>
      </c>
      <c r="N782" s="32" t="s">
        <v>3751</v>
      </c>
      <c r="O782" s="32" t="n">
        <f aca="false">IF(I782="","",ROUND(MOD(TIMEVALUE(I782)-TIMEVALUE(F782),1)*1440,0))</f>
        <v>165</v>
      </c>
      <c r="P782" s="0" t="str">
        <f aca="false">IF(COUNTIF($A$2:A782,A782)&gt;1,"DUP","")</f>
        <v/>
      </c>
      <c r="Q782" s="0" t="str">
        <f aca="false">IF(O782="","",IF(O782&gt;240,"Y","N"))</f>
        <v>N</v>
      </c>
    </row>
    <row r="783" customFormat="false" ht="15" hidden="false" customHeight="false" outlineLevel="0" collapsed="false">
      <c r="A783" s="0" t="s">
        <v>5988</v>
      </c>
      <c r="B783" s="0" t="s">
        <v>5989</v>
      </c>
      <c r="C783" s="0" t="s">
        <v>4053</v>
      </c>
      <c r="D783" s="31" t="n">
        <v>26646</v>
      </c>
      <c r="E783" s="31" t="n">
        <v>45734</v>
      </c>
      <c r="F783" s="32" t="s">
        <v>5140</v>
      </c>
      <c r="G783" s="0" t="n">
        <v>3</v>
      </c>
      <c r="H783" s="32" t="s">
        <v>5832</v>
      </c>
      <c r="I783" s="32" t="s">
        <v>5887</v>
      </c>
      <c r="J783" s="32" t="s">
        <v>3749</v>
      </c>
      <c r="K783" s="32" t="s">
        <v>2081</v>
      </c>
      <c r="L783" s="0" t="n">
        <v>212</v>
      </c>
      <c r="M783" s="32" t="s">
        <v>4313</v>
      </c>
      <c r="N783" s="32" t="s">
        <v>3751</v>
      </c>
      <c r="O783" s="32" t="n">
        <f aca="false">IF(I783="","",ROUND(MOD(TIMEVALUE(I783)-TIMEVALUE(F783),1)*1440,0))</f>
        <v>212</v>
      </c>
      <c r="P783" s="0" t="str">
        <f aca="false">IF(COUNTIF($A$2:A783,A783)&gt;1,"DUP","")</f>
        <v/>
      </c>
      <c r="Q783" s="0" t="str">
        <f aca="false">IF(O783="","",IF(O783&gt;240,"Y","N"))</f>
        <v>N</v>
      </c>
    </row>
    <row r="784" customFormat="false" ht="15" hidden="false" customHeight="false" outlineLevel="0" collapsed="false">
      <c r="A784" s="0" t="s">
        <v>5990</v>
      </c>
      <c r="B784" s="0" t="s">
        <v>3954</v>
      </c>
      <c r="C784" s="0" t="s">
        <v>886</v>
      </c>
      <c r="D784" s="31" t="n">
        <v>26720</v>
      </c>
      <c r="E784" s="31" t="n">
        <v>45607</v>
      </c>
      <c r="F784" s="32" t="s">
        <v>4817</v>
      </c>
      <c r="G784" s="0" t="n">
        <v>4</v>
      </c>
      <c r="H784" s="32" t="s">
        <v>4438</v>
      </c>
      <c r="I784" s="32" t="s">
        <v>5991</v>
      </c>
      <c r="J784" s="32" t="s">
        <v>3793</v>
      </c>
      <c r="K784" s="32" t="s">
        <v>2081</v>
      </c>
      <c r="L784" s="0" t="n">
        <v>36</v>
      </c>
      <c r="M784" s="32" t="s">
        <v>3866</v>
      </c>
      <c r="N784" s="32" t="s">
        <v>766</v>
      </c>
      <c r="O784" s="32" t="n">
        <f aca="false">IF(I784="","",ROUND(MOD(TIMEVALUE(I784)-TIMEVALUE(F784),1)*1440,0))</f>
        <v>36</v>
      </c>
      <c r="P784" s="0" t="str">
        <f aca="false">IF(COUNTIF($A$2:A784,A784)&gt;1,"DUP","")</f>
        <v/>
      </c>
      <c r="Q784" s="0" t="str">
        <f aca="false">IF(O784="","",IF(O784&gt;240,"Y","N"))</f>
        <v>N</v>
      </c>
    </row>
    <row r="785" customFormat="false" ht="15" hidden="false" customHeight="false" outlineLevel="0" collapsed="false">
      <c r="A785" s="0" t="s">
        <v>5992</v>
      </c>
      <c r="B785" s="0" t="s">
        <v>3889</v>
      </c>
      <c r="C785" s="0" t="s">
        <v>837</v>
      </c>
      <c r="D785" s="31" t="n">
        <v>19781</v>
      </c>
      <c r="E785" s="31" t="n">
        <v>45570</v>
      </c>
      <c r="F785" s="32" t="s">
        <v>3891</v>
      </c>
      <c r="G785" s="0" t="n">
        <v>4</v>
      </c>
      <c r="H785" s="32" t="s">
        <v>4593</v>
      </c>
      <c r="I785" s="32" t="s">
        <v>5993</v>
      </c>
      <c r="J785" s="32" t="s">
        <v>2307</v>
      </c>
      <c r="K785" s="32" t="s">
        <v>2106</v>
      </c>
      <c r="L785" s="0" t="n">
        <v>542</v>
      </c>
      <c r="M785" s="32" t="s">
        <v>4114</v>
      </c>
      <c r="N785" s="32" t="s">
        <v>3751</v>
      </c>
      <c r="O785" s="32" t="n">
        <f aca="false">IF(I785="","",ROUND(MOD(TIMEVALUE(I785)-TIMEVALUE(F785),1)*1440,0))</f>
        <v>542</v>
      </c>
      <c r="P785" s="0" t="str">
        <f aca="false">IF(COUNTIF($A$2:A785,A785)&gt;1,"DUP","")</f>
        <v/>
      </c>
      <c r="Q785" s="0" t="str">
        <f aca="false">IF(O785="","",IF(O785&gt;240,"Y","N"))</f>
        <v>Y</v>
      </c>
    </row>
    <row r="786" customFormat="false" ht="15" hidden="false" customHeight="false" outlineLevel="0" collapsed="false">
      <c r="A786" s="0" t="s">
        <v>5994</v>
      </c>
      <c r="B786" s="0" t="s">
        <v>5995</v>
      </c>
      <c r="C786" s="0" t="s">
        <v>757</v>
      </c>
      <c r="D786" s="31" t="n">
        <v>31981</v>
      </c>
      <c r="E786" s="31" t="n">
        <v>45728</v>
      </c>
      <c r="F786" s="32" t="s">
        <v>4569</v>
      </c>
      <c r="G786" s="0" t="n">
        <v>3</v>
      </c>
      <c r="H786" s="32" t="s">
        <v>5996</v>
      </c>
      <c r="I786" s="32" t="s">
        <v>4576</v>
      </c>
      <c r="J786" s="32" t="s">
        <v>3749</v>
      </c>
      <c r="K786" s="32" t="s">
        <v>2081</v>
      </c>
      <c r="L786" s="0" t="n">
        <v>92</v>
      </c>
      <c r="M786" s="32" t="s">
        <v>4031</v>
      </c>
      <c r="N786" s="32" t="s">
        <v>3751</v>
      </c>
      <c r="O786" s="32" t="n">
        <f aca="false">IF(I786="","",ROUND(MOD(TIMEVALUE(I786)-TIMEVALUE(F786),1)*1440,0))</f>
        <v>92</v>
      </c>
      <c r="P786" s="0" t="str">
        <f aca="false">IF(COUNTIF($A$2:A786,A786)&gt;1,"DUP","")</f>
        <v/>
      </c>
      <c r="Q786" s="0" t="str">
        <f aca="false">IF(O786="","",IF(O786&gt;240,"Y","N"))</f>
        <v>N</v>
      </c>
    </row>
    <row r="787" customFormat="false" ht="15" hidden="false" customHeight="false" outlineLevel="0" collapsed="false">
      <c r="A787" s="0" t="s">
        <v>5997</v>
      </c>
      <c r="B787" s="0" t="s">
        <v>5688</v>
      </c>
      <c r="C787" s="0" t="s">
        <v>1453</v>
      </c>
      <c r="D787" s="31" t="n">
        <v>36665</v>
      </c>
      <c r="E787" s="31" t="n">
        <v>45649</v>
      </c>
      <c r="F787" s="32" t="s">
        <v>5998</v>
      </c>
      <c r="G787" s="0" t="n">
        <v>5</v>
      </c>
      <c r="H787" s="32" t="s">
        <v>4329</v>
      </c>
      <c r="I787" s="32" t="s">
        <v>5999</v>
      </c>
      <c r="J787" s="32" t="s">
        <v>3763</v>
      </c>
      <c r="K787" s="32" t="s">
        <v>2081</v>
      </c>
      <c r="L787" s="0" t="n">
        <v>45</v>
      </c>
      <c r="M787" s="32" t="s">
        <v>3782</v>
      </c>
      <c r="N787" s="32" t="s">
        <v>3751</v>
      </c>
      <c r="O787" s="32" t="n">
        <f aca="false">IF(I787="","",ROUND(MOD(TIMEVALUE(I787)-TIMEVALUE(F787),1)*1440,0))</f>
        <v>45</v>
      </c>
      <c r="P787" s="0" t="str">
        <f aca="false">IF(COUNTIF($A$2:A787,A787)&gt;1,"DUP","")</f>
        <v/>
      </c>
      <c r="Q787" s="0" t="str">
        <f aca="false">IF(O787="","",IF(O787&gt;240,"Y","N"))</f>
        <v>N</v>
      </c>
    </row>
    <row r="788" customFormat="false" ht="15" hidden="false" customHeight="false" outlineLevel="0" collapsed="false">
      <c r="A788" s="0" t="s">
        <v>6000</v>
      </c>
      <c r="B788" s="0" t="s">
        <v>5377</v>
      </c>
      <c r="C788" s="0" t="s">
        <v>906</v>
      </c>
      <c r="D788" s="31" t="n">
        <v>17572</v>
      </c>
      <c r="E788" s="31" t="n">
        <v>45686</v>
      </c>
      <c r="F788" s="32" t="s">
        <v>6001</v>
      </c>
      <c r="G788" s="0" t="n">
        <v>2</v>
      </c>
      <c r="H788" s="32" t="s">
        <v>4766</v>
      </c>
      <c r="I788" s="32" t="s">
        <v>4521</v>
      </c>
      <c r="J788" s="32" t="s">
        <v>3793</v>
      </c>
      <c r="K788" s="32" t="s">
        <v>2081</v>
      </c>
      <c r="L788" s="0" t="n">
        <v>229</v>
      </c>
      <c r="M788" s="32" t="s">
        <v>4582</v>
      </c>
      <c r="N788" s="32" t="s">
        <v>758</v>
      </c>
      <c r="O788" s="32" t="n">
        <f aca="false">IF(I788="","",ROUND(MOD(TIMEVALUE(I788)-TIMEVALUE(F788),1)*1440,0))</f>
        <v>229</v>
      </c>
      <c r="P788" s="0" t="str">
        <f aca="false">IF(COUNTIF($A$2:A788,A788)&gt;1,"DUP","")</f>
        <v/>
      </c>
      <c r="Q788" s="0" t="str">
        <f aca="false">IF(O788="","",IF(O788&gt;240,"Y","N"))</f>
        <v>N</v>
      </c>
    </row>
    <row r="789" customFormat="false" ht="15" hidden="false" customHeight="false" outlineLevel="0" collapsed="false">
      <c r="A789" s="0" t="s">
        <v>6002</v>
      </c>
      <c r="B789" s="0" t="s">
        <v>5365</v>
      </c>
      <c r="C789" s="0" t="s">
        <v>825</v>
      </c>
      <c r="D789" s="31" t="n">
        <v>37817</v>
      </c>
      <c r="E789" s="31" t="n">
        <v>45605</v>
      </c>
      <c r="F789" s="32" t="s">
        <v>5286</v>
      </c>
      <c r="G789" s="0" t="n">
        <v>3</v>
      </c>
      <c r="H789" s="32" t="s">
        <v>4637</v>
      </c>
      <c r="I789" s="32" t="s">
        <v>4713</v>
      </c>
      <c r="J789" s="32" t="s">
        <v>3749</v>
      </c>
      <c r="K789" s="32" t="s">
        <v>2081</v>
      </c>
      <c r="L789" s="0" t="n">
        <v>70</v>
      </c>
      <c r="M789" s="32" t="s">
        <v>3757</v>
      </c>
      <c r="N789" s="32" t="s">
        <v>3751</v>
      </c>
      <c r="O789" s="32" t="n">
        <f aca="false">IF(I789="","",ROUND(MOD(TIMEVALUE(I789)-TIMEVALUE(F789),1)*1440,0))</f>
        <v>70</v>
      </c>
      <c r="P789" s="0" t="str">
        <f aca="false">IF(COUNTIF($A$2:A789,A789)&gt;1,"DUP","")</f>
        <v/>
      </c>
      <c r="Q789" s="0" t="str">
        <f aca="false">IF(O789="","",IF(O789&gt;240,"Y","N"))</f>
        <v>N</v>
      </c>
    </row>
    <row r="790" customFormat="false" ht="15" hidden="false" customHeight="false" outlineLevel="0" collapsed="false">
      <c r="A790" s="0" t="s">
        <v>6003</v>
      </c>
      <c r="B790" s="0" t="s">
        <v>6004</v>
      </c>
      <c r="C790" s="0" t="s">
        <v>1005</v>
      </c>
      <c r="D790" s="31" t="n">
        <v>26655</v>
      </c>
      <c r="E790" s="31" t="n">
        <v>45661</v>
      </c>
      <c r="F790" s="32" t="s">
        <v>4156</v>
      </c>
      <c r="G790" s="0" t="n">
        <v>3</v>
      </c>
      <c r="H790" s="32" t="s">
        <v>5184</v>
      </c>
      <c r="I790" s="32" t="s">
        <v>3840</v>
      </c>
      <c r="J790" s="32" t="s">
        <v>3749</v>
      </c>
      <c r="K790" s="32" t="s">
        <v>2081</v>
      </c>
      <c r="L790" s="0" t="n">
        <v>194</v>
      </c>
      <c r="M790" s="32" t="s">
        <v>3993</v>
      </c>
      <c r="N790" s="32" t="s">
        <v>3751</v>
      </c>
      <c r="O790" s="32" t="n">
        <f aca="false">IF(I790="","",ROUND(MOD(TIMEVALUE(I790)-TIMEVALUE(F790),1)*1440,0))</f>
        <v>194</v>
      </c>
      <c r="P790" s="0" t="str">
        <f aca="false">IF(COUNTIF($A$2:A790,A790)&gt;1,"DUP","")</f>
        <v/>
      </c>
      <c r="Q790" s="0" t="str">
        <f aca="false">IF(O790="","",IF(O790&gt;240,"Y","N"))</f>
        <v>N</v>
      </c>
    </row>
    <row r="791" customFormat="false" ht="15" hidden="false" customHeight="false" outlineLevel="0" collapsed="false">
      <c r="A791" s="0" t="s">
        <v>6005</v>
      </c>
      <c r="B791" s="0" t="s">
        <v>4062</v>
      </c>
      <c r="C791" s="0" t="s">
        <v>757</v>
      </c>
      <c r="D791" s="31" t="n">
        <v>25305</v>
      </c>
      <c r="E791" s="31" t="n">
        <v>45705</v>
      </c>
      <c r="F791" s="32" t="s">
        <v>5723</v>
      </c>
      <c r="G791" s="0" t="n">
        <v>5</v>
      </c>
      <c r="H791" s="32" t="s">
        <v>4360</v>
      </c>
      <c r="I791" s="32" t="s">
        <v>5632</v>
      </c>
      <c r="J791" s="32" t="s">
        <v>3763</v>
      </c>
      <c r="K791" s="32" t="s">
        <v>2081</v>
      </c>
      <c r="L791" s="0" t="n">
        <v>90</v>
      </c>
      <c r="M791" s="32" t="s">
        <v>4295</v>
      </c>
      <c r="N791" s="32" t="s">
        <v>3751</v>
      </c>
      <c r="O791" s="32" t="n">
        <f aca="false">IF(I791="","",ROUND(MOD(TIMEVALUE(I791)-TIMEVALUE(F791),1)*1440,0))</f>
        <v>90</v>
      </c>
      <c r="P791" s="0" t="str">
        <f aca="false">IF(COUNTIF($A$2:A791,A791)&gt;1,"DUP","")</f>
        <v/>
      </c>
      <c r="Q791" s="0" t="str">
        <f aca="false">IF(O791="","",IF(O791&gt;240,"Y","N"))</f>
        <v>N</v>
      </c>
    </row>
    <row r="792" customFormat="false" ht="15" hidden="false" customHeight="false" outlineLevel="0" collapsed="false">
      <c r="A792" s="0" t="s">
        <v>6006</v>
      </c>
      <c r="B792" s="0" t="s">
        <v>5607</v>
      </c>
      <c r="C792" s="0" t="s">
        <v>2148</v>
      </c>
      <c r="D792" s="31" t="n">
        <v>22565</v>
      </c>
      <c r="E792" s="31" t="n">
        <v>45735</v>
      </c>
      <c r="F792" s="32" t="s">
        <v>4172</v>
      </c>
      <c r="G792" s="0" t="n">
        <v>4</v>
      </c>
      <c r="H792" s="32" t="s">
        <v>5193</v>
      </c>
      <c r="I792" s="32" t="s">
        <v>5084</v>
      </c>
      <c r="J792" s="32" t="s">
        <v>3749</v>
      </c>
      <c r="K792" s="32" t="s">
        <v>2081</v>
      </c>
      <c r="L792" s="0" t="n">
        <v>215</v>
      </c>
      <c r="M792" s="32" t="s">
        <v>4060</v>
      </c>
      <c r="N792" s="32" t="s">
        <v>3751</v>
      </c>
      <c r="O792" s="32" t="n">
        <f aca="false">IF(I792="","",ROUND(MOD(TIMEVALUE(I792)-TIMEVALUE(F792),1)*1440,0))</f>
        <v>215</v>
      </c>
      <c r="P792" s="0" t="str">
        <f aca="false">IF(COUNTIF($A$2:A792,A792)&gt;1,"DUP","")</f>
        <v/>
      </c>
      <c r="Q792" s="0" t="str">
        <f aca="false">IF(O792="","",IF(O792&gt;240,"Y","N"))</f>
        <v>N</v>
      </c>
    </row>
    <row r="793" customFormat="false" ht="15" hidden="false" customHeight="false" outlineLevel="0" collapsed="false">
      <c r="A793" s="0" t="s">
        <v>6007</v>
      </c>
      <c r="B793" s="0" t="s">
        <v>5098</v>
      </c>
      <c r="C793" s="0" t="s">
        <v>809</v>
      </c>
      <c r="D793" s="31" t="n">
        <v>37084</v>
      </c>
      <c r="E793" s="31" t="n">
        <v>45694</v>
      </c>
      <c r="F793" s="32" t="s">
        <v>5175</v>
      </c>
      <c r="G793" s="0" t="n">
        <v>0</v>
      </c>
      <c r="H793" s="32" t="s">
        <v>4622</v>
      </c>
      <c r="I793" s="32" t="s">
        <v>5241</v>
      </c>
      <c r="J793" s="32" t="s">
        <v>2307</v>
      </c>
      <c r="K793" s="32" t="s">
        <v>2081</v>
      </c>
      <c r="L793" s="0" t="n">
        <v>221</v>
      </c>
      <c r="M793" s="32" t="s">
        <v>3866</v>
      </c>
      <c r="N793" s="32" t="s">
        <v>3751</v>
      </c>
      <c r="O793" s="32" t="n">
        <f aca="false">IF(I793="","",ROUND(MOD(TIMEVALUE(I793)-TIMEVALUE(F793),1)*1440,0))</f>
        <v>221</v>
      </c>
      <c r="P793" s="0" t="str">
        <f aca="false">IF(COUNTIF($A$2:A793,A793)&gt;1,"DUP","")</f>
        <v/>
      </c>
      <c r="Q793" s="0" t="str">
        <f aca="false">IF(O793="","",IF(O793&gt;240,"Y","N"))</f>
        <v>N</v>
      </c>
    </row>
    <row r="794" customFormat="false" ht="15" hidden="false" customHeight="false" outlineLevel="0" collapsed="false">
      <c r="A794" s="0" t="s">
        <v>6008</v>
      </c>
      <c r="B794" s="0" t="s">
        <v>5283</v>
      </c>
      <c r="C794" s="0" t="s">
        <v>870</v>
      </c>
      <c r="D794" s="31" t="n">
        <v>36761</v>
      </c>
      <c r="E794" s="31" t="n">
        <v>45608</v>
      </c>
      <c r="F794" s="32" t="s">
        <v>5185</v>
      </c>
      <c r="G794" s="0" t="n">
        <v>4</v>
      </c>
      <c r="H794" s="32" t="s">
        <v>5336</v>
      </c>
      <c r="I794" s="32" t="s">
        <v>4634</v>
      </c>
      <c r="J794" s="32" t="s">
        <v>2307</v>
      </c>
      <c r="K794" s="32" t="s">
        <v>2081</v>
      </c>
      <c r="L794" s="0" t="n">
        <v>107</v>
      </c>
      <c r="M794" s="32" t="s">
        <v>3877</v>
      </c>
      <c r="N794" s="32" t="s">
        <v>3751</v>
      </c>
      <c r="O794" s="32" t="n">
        <f aca="false">IF(I794="","",ROUND(MOD(TIMEVALUE(I794)-TIMEVALUE(F794),1)*1440,0))</f>
        <v>107</v>
      </c>
      <c r="P794" s="0" t="str">
        <f aca="false">IF(COUNTIF($A$2:A794,A794)&gt;1,"DUP","")</f>
        <v/>
      </c>
      <c r="Q794" s="0" t="str">
        <f aca="false">IF(O794="","",IF(O794&gt;240,"Y","N"))</f>
        <v>N</v>
      </c>
    </row>
    <row r="795" customFormat="false" ht="15" hidden="false" customHeight="false" outlineLevel="0" collapsed="false">
      <c r="A795" s="0" t="s">
        <v>6009</v>
      </c>
      <c r="B795" s="0" t="s">
        <v>4761</v>
      </c>
      <c r="C795" s="0" t="s">
        <v>958</v>
      </c>
      <c r="D795" s="31" t="n">
        <v>35116</v>
      </c>
      <c r="E795" s="31" t="n">
        <v>45567</v>
      </c>
      <c r="F795" s="32" t="s">
        <v>5106</v>
      </c>
      <c r="G795" s="0" t="n">
        <v>3</v>
      </c>
      <c r="H795" s="32" t="s">
        <v>5049</v>
      </c>
      <c r="I795" s="32" t="s">
        <v>5093</v>
      </c>
      <c r="J795" s="32" t="s">
        <v>3793</v>
      </c>
      <c r="K795" s="32" t="s">
        <v>2081</v>
      </c>
      <c r="L795" s="0" t="n">
        <v>82</v>
      </c>
      <c r="M795" s="32" t="s">
        <v>3866</v>
      </c>
      <c r="N795" s="32" t="s">
        <v>826</v>
      </c>
      <c r="O795" s="32" t="n">
        <f aca="false">IF(I795="","",ROUND(MOD(TIMEVALUE(I795)-TIMEVALUE(F795),1)*1440,0))</f>
        <v>82</v>
      </c>
      <c r="P795" s="0" t="str">
        <f aca="false">IF(COUNTIF($A$2:A795,A795)&gt;1,"DUP","")</f>
        <v/>
      </c>
      <c r="Q795" s="0" t="str">
        <f aca="false">IF(O795="","",IF(O795&gt;240,"Y","N"))</f>
        <v>N</v>
      </c>
    </row>
    <row r="796" customFormat="false" ht="15" hidden="false" customHeight="false" outlineLevel="0" collapsed="false">
      <c r="A796" s="0" t="s">
        <v>6010</v>
      </c>
      <c r="B796" s="0" t="s">
        <v>5763</v>
      </c>
      <c r="C796" s="0" t="s">
        <v>1025</v>
      </c>
      <c r="D796" s="31" t="n">
        <v>17234</v>
      </c>
      <c r="E796" s="31" t="n">
        <v>45630</v>
      </c>
      <c r="F796" s="32" t="s">
        <v>6011</v>
      </c>
      <c r="G796" s="0" t="n">
        <v>4</v>
      </c>
      <c r="H796" s="32" t="s">
        <v>4221</v>
      </c>
      <c r="I796" s="32" t="s">
        <v>3890</v>
      </c>
      <c r="J796" s="32" t="s">
        <v>3749</v>
      </c>
      <c r="K796" s="32" t="s">
        <v>2081</v>
      </c>
      <c r="L796" s="0" t="n">
        <v>102</v>
      </c>
      <c r="M796" s="32" t="s">
        <v>4206</v>
      </c>
      <c r="N796" s="32" t="s">
        <v>3751</v>
      </c>
      <c r="O796" s="32" t="n">
        <f aca="false">IF(I796="","",ROUND(MOD(TIMEVALUE(I796)-TIMEVALUE(F796),1)*1440,0))</f>
        <v>102</v>
      </c>
      <c r="P796" s="0" t="str">
        <f aca="false">IF(COUNTIF($A$2:A796,A796)&gt;1,"DUP","")</f>
        <v/>
      </c>
      <c r="Q796" s="0" t="str">
        <f aca="false">IF(O796="","",IF(O796&gt;240,"Y","N"))</f>
        <v>N</v>
      </c>
    </row>
    <row r="797" customFormat="false" ht="15" hidden="false" customHeight="false" outlineLevel="0" collapsed="false">
      <c r="A797" s="0" t="s">
        <v>6012</v>
      </c>
      <c r="B797" s="0" t="s">
        <v>4027</v>
      </c>
      <c r="C797" s="0" t="s">
        <v>918</v>
      </c>
      <c r="D797" s="31" t="n">
        <v>38744</v>
      </c>
      <c r="E797" s="31" t="n">
        <v>45613</v>
      </c>
      <c r="F797" s="32" t="s">
        <v>4080</v>
      </c>
      <c r="G797" s="0" t="n">
        <v>5</v>
      </c>
      <c r="H797" s="32" t="s">
        <v>6013</v>
      </c>
      <c r="I797" s="32" t="s">
        <v>5596</v>
      </c>
      <c r="J797" s="32" t="s">
        <v>3793</v>
      </c>
      <c r="K797" s="32" t="s">
        <v>2081</v>
      </c>
      <c r="L797" s="0" t="n">
        <v>133</v>
      </c>
      <c r="M797" s="32" t="s">
        <v>3855</v>
      </c>
      <c r="N797" s="32" t="s">
        <v>802</v>
      </c>
      <c r="O797" s="32" t="n">
        <f aca="false">IF(I797="","",ROUND(MOD(TIMEVALUE(I797)-TIMEVALUE(F797),1)*1440,0))</f>
        <v>133</v>
      </c>
      <c r="P797" s="0" t="str">
        <f aca="false">IF(COUNTIF($A$2:A797,A797)&gt;1,"DUP","")</f>
        <v/>
      </c>
      <c r="Q797" s="0" t="str">
        <f aca="false">IF(O797="","",IF(O797&gt;240,"Y","N"))</f>
        <v>N</v>
      </c>
    </row>
    <row r="798" customFormat="false" ht="15" hidden="false" customHeight="false" outlineLevel="0" collapsed="false">
      <c r="A798" s="0" t="s">
        <v>6014</v>
      </c>
      <c r="B798" s="0" t="s">
        <v>5682</v>
      </c>
      <c r="C798" s="0" t="s">
        <v>910</v>
      </c>
      <c r="D798" s="31" t="n">
        <v>23037</v>
      </c>
      <c r="E798" s="31" t="n">
        <v>45572</v>
      </c>
      <c r="F798" s="32" t="s">
        <v>6015</v>
      </c>
      <c r="G798" s="0" t="n">
        <v>3</v>
      </c>
      <c r="H798" s="32" t="s">
        <v>5353</v>
      </c>
      <c r="I798" s="32" t="s">
        <v>4345</v>
      </c>
      <c r="J798" s="32" t="s">
        <v>3749</v>
      </c>
      <c r="K798" s="32" t="s">
        <v>2081</v>
      </c>
      <c r="L798" s="0" t="n">
        <v>115</v>
      </c>
      <c r="M798" s="32" t="s">
        <v>4060</v>
      </c>
      <c r="N798" s="32" t="s">
        <v>3751</v>
      </c>
      <c r="O798" s="32" t="n">
        <f aca="false">IF(I798="","",ROUND(MOD(TIMEVALUE(I798)-TIMEVALUE(F798),1)*1440,0))</f>
        <v>115</v>
      </c>
      <c r="P798" s="0" t="str">
        <f aca="false">IF(COUNTIF($A$2:A798,A798)&gt;1,"DUP","")</f>
        <v/>
      </c>
      <c r="Q798" s="0" t="str">
        <f aca="false">IF(O798="","",IF(O798&gt;240,"Y","N"))</f>
        <v>N</v>
      </c>
    </row>
    <row r="799" customFormat="false" ht="15" hidden="false" customHeight="false" outlineLevel="0" collapsed="false">
      <c r="A799" s="0" t="s">
        <v>6016</v>
      </c>
      <c r="B799" s="0" t="s">
        <v>6017</v>
      </c>
      <c r="C799" s="0" t="s">
        <v>954</v>
      </c>
      <c r="D799" s="31" t="n">
        <v>16640</v>
      </c>
      <c r="E799" s="31" t="n">
        <v>45584</v>
      </c>
      <c r="F799" s="32" t="s">
        <v>3910</v>
      </c>
      <c r="G799" s="0" t="n">
        <v>3</v>
      </c>
      <c r="H799" s="32" t="s">
        <v>5027</v>
      </c>
      <c r="I799" s="32" t="s">
        <v>4862</v>
      </c>
      <c r="J799" s="32" t="s">
        <v>3793</v>
      </c>
      <c r="K799" s="32" t="s">
        <v>2081</v>
      </c>
      <c r="L799" s="0" t="n">
        <v>79</v>
      </c>
      <c r="M799" s="32" t="s">
        <v>4781</v>
      </c>
      <c r="N799" s="32" t="s">
        <v>810</v>
      </c>
      <c r="O799" s="32" t="n">
        <f aca="false">IF(I799="","",ROUND(MOD(TIMEVALUE(I799)-TIMEVALUE(F799),1)*1440,0))</f>
        <v>79</v>
      </c>
      <c r="P799" s="0" t="str">
        <f aca="false">IF(COUNTIF($A$2:A799,A799)&gt;1,"DUP","")</f>
        <v/>
      </c>
      <c r="Q799" s="0" t="str">
        <f aca="false">IF(O799="","",IF(O799&gt;240,"Y","N"))</f>
        <v>N</v>
      </c>
    </row>
    <row r="800" customFormat="false" ht="15" hidden="false" customHeight="false" outlineLevel="0" collapsed="false">
      <c r="A800" s="0" t="s">
        <v>6018</v>
      </c>
      <c r="C800" s="0" t="s">
        <v>1426</v>
      </c>
      <c r="D800" s="31" t="n">
        <v>13844</v>
      </c>
      <c r="E800" s="31" t="n">
        <v>45609</v>
      </c>
      <c r="F800" s="32" t="s">
        <v>4740</v>
      </c>
      <c r="G800" s="0" t="n">
        <v>4</v>
      </c>
      <c r="H800" s="32" t="s">
        <v>4132</v>
      </c>
      <c r="I800" s="32" t="s">
        <v>4956</v>
      </c>
      <c r="J800" s="32" t="s">
        <v>2307</v>
      </c>
      <c r="K800" s="32" t="s">
        <v>2081</v>
      </c>
      <c r="L800" s="0" t="n">
        <v>230</v>
      </c>
      <c r="M800" s="32" t="s">
        <v>4141</v>
      </c>
      <c r="N800" s="32" t="s">
        <v>3751</v>
      </c>
      <c r="O800" s="32" t="n">
        <f aca="false">IF(I800="","",ROUND(MOD(TIMEVALUE(I800)-TIMEVALUE(F800),1)*1440,0))</f>
        <v>230</v>
      </c>
      <c r="P800" s="0" t="str">
        <f aca="false">IF(COUNTIF($A$2:A800,A800)&gt;1,"DUP","")</f>
        <v/>
      </c>
      <c r="Q800" s="0" t="str">
        <f aca="false">IF(O800="","",IF(O800&gt;240,"Y","N"))</f>
        <v>N</v>
      </c>
    </row>
    <row r="801" customFormat="false" ht="15" hidden="false" customHeight="false" outlineLevel="0" collapsed="false">
      <c r="A801" s="0" t="s">
        <v>6019</v>
      </c>
      <c r="B801" s="0" t="s">
        <v>4070</v>
      </c>
      <c r="C801" s="0" t="s">
        <v>942</v>
      </c>
      <c r="D801" s="31" t="n">
        <v>29845</v>
      </c>
      <c r="E801" s="31" t="n">
        <v>45579</v>
      </c>
      <c r="F801" s="32" t="s">
        <v>4961</v>
      </c>
      <c r="G801" s="0" t="n">
        <v>3</v>
      </c>
      <c r="H801" s="32" t="s">
        <v>5548</v>
      </c>
      <c r="I801" s="32" t="s">
        <v>4164</v>
      </c>
      <c r="J801" s="32" t="s">
        <v>3749</v>
      </c>
      <c r="K801" s="32" t="s">
        <v>2106</v>
      </c>
      <c r="L801" s="0" t="n">
        <v>270</v>
      </c>
      <c r="M801" s="32" t="s">
        <v>4781</v>
      </c>
      <c r="N801" s="32" t="s">
        <v>3751</v>
      </c>
      <c r="O801" s="32" t="n">
        <f aca="false">IF(I801="","",ROUND(MOD(TIMEVALUE(I801)-TIMEVALUE(F801),1)*1440,0))</f>
        <v>270</v>
      </c>
      <c r="P801" s="0" t="str">
        <f aca="false">IF(COUNTIF($A$2:A801,A801)&gt;1,"DUP","")</f>
        <v/>
      </c>
      <c r="Q801" s="0" t="str">
        <f aca="false">IF(O801="","",IF(O801&gt;240,"Y","N"))</f>
        <v>Y</v>
      </c>
    </row>
    <row r="802" customFormat="false" ht="15" hidden="false" customHeight="false" outlineLevel="0" collapsed="false">
      <c r="A802" s="0" t="s">
        <v>6020</v>
      </c>
      <c r="B802" s="0" t="s">
        <v>5619</v>
      </c>
      <c r="C802" s="0" t="s">
        <v>833</v>
      </c>
      <c r="D802" s="31" t="n">
        <v>36909</v>
      </c>
      <c r="E802" s="31" t="n">
        <v>45612</v>
      </c>
      <c r="F802" s="32" t="s">
        <v>6021</v>
      </c>
      <c r="G802" s="0" t="n">
        <v>3</v>
      </c>
      <c r="H802" s="32" t="s">
        <v>5370</v>
      </c>
      <c r="I802" s="32" t="s">
        <v>6022</v>
      </c>
      <c r="J802" s="32" t="s">
        <v>3749</v>
      </c>
      <c r="K802" s="32" t="s">
        <v>2081</v>
      </c>
      <c r="L802" s="0" t="n">
        <v>68</v>
      </c>
      <c r="M802" s="32" t="s">
        <v>4122</v>
      </c>
      <c r="N802" s="32" t="s">
        <v>3751</v>
      </c>
      <c r="O802" s="32" t="n">
        <f aca="false">IF(I802="","",ROUND(MOD(TIMEVALUE(I802)-TIMEVALUE(F802),1)*1440,0))</f>
        <v>68</v>
      </c>
      <c r="P802" s="0" t="str">
        <f aca="false">IF(COUNTIF($A$2:A802,A802)&gt;1,"DUP","")</f>
        <v/>
      </c>
      <c r="Q802" s="0" t="str">
        <f aca="false">IF(O802="","",IF(O802&gt;240,"Y","N"))</f>
        <v>N</v>
      </c>
    </row>
    <row r="803" customFormat="false" ht="15" hidden="false" customHeight="false" outlineLevel="0" collapsed="false">
      <c r="A803" s="0" t="s">
        <v>6023</v>
      </c>
      <c r="B803" s="0" t="s">
        <v>4865</v>
      </c>
      <c r="C803" s="0" t="s">
        <v>2206</v>
      </c>
      <c r="D803" s="31" t="n">
        <v>34935</v>
      </c>
      <c r="E803" s="31" t="n">
        <v>45681</v>
      </c>
      <c r="F803" s="32" t="s">
        <v>5429</v>
      </c>
      <c r="G803" s="0" t="n">
        <v>3</v>
      </c>
      <c r="H803" s="32" t="s">
        <v>5694</v>
      </c>
      <c r="I803" s="32" t="s">
        <v>4117</v>
      </c>
      <c r="J803" s="32" t="s">
        <v>2307</v>
      </c>
      <c r="K803" s="32" t="s">
        <v>2081</v>
      </c>
      <c r="L803" s="0" t="n">
        <v>90</v>
      </c>
      <c r="M803" s="32" t="s">
        <v>4122</v>
      </c>
      <c r="N803" s="32" t="s">
        <v>3751</v>
      </c>
      <c r="O803" s="32" t="n">
        <f aca="false">IF(I803="","",ROUND(MOD(TIMEVALUE(I803)-TIMEVALUE(F803),1)*1440,0))</f>
        <v>90</v>
      </c>
      <c r="P803" s="0" t="str">
        <f aca="false">IF(COUNTIF($A$2:A803,A803)&gt;1,"DUP","")</f>
        <v/>
      </c>
      <c r="Q803" s="0" t="str">
        <f aca="false">IF(O803="","",IF(O803&gt;240,"Y","N"))</f>
        <v>N</v>
      </c>
    </row>
    <row r="804" customFormat="false" ht="15" hidden="false" customHeight="false" outlineLevel="0" collapsed="false">
      <c r="A804" s="0" t="s">
        <v>6024</v>
      </c>
      <c r="B804" s="0" t="s">
        <v>5116</v>
      </c>
      <c r="C804" s="0" t="s">
        <v>946</v>
      </c>
      <c r="D804" s="31" t="n">
        <v>22125</v>
      </c>
      <c r="E804" s="31" t="n">
        <v>45702</v>
      </c>
      <c r="F804" s="32" t="s">
        <v>5737</v>
      </c>
      <c r="G804" s="0" t="n">
        <v>3</v>
      </c>
      <c r="H804" s="32" t="s">
        <v>5034</v>
      </c>
      <c r="I804" s="32" t="s">
        <v>4620</v>
      </c>
      <c r="J804" s="32" t="s">
        <v>3763</v>
      </c>
      <c r="K804" s="32" t="s">
        <v>2081</v>
      </c>
      <c r="L804" s="0" t="n">
        <v>81</v>
      </c>
      <c r="M804" s="32" t="s">
        <v>3750</v>
      </c>
      <c r="N804" s="32" t="s">
        <v>3751</v>
      </c>
      <c r="O804" s="32" t="n">
        <f aca="false">IF(I804="","",ROUND(MOD(TIMEVALUE(I804)-TIMEVALUE(F804),1)*1440,0))</f>
        <v>81</v>
      </c>
      <c r="P804" s="0" t="str">
        <f aca="false">IF(COUNTIF($A$2:A804,A804)&gt;1,"DUP","")</f>
        <v/>
      </c>
      <c r="Q804" s="0" t="str">
        <f aca="false">IF(O804="","",IF(O804&gt;240,"Y","N"))</f>
        <v>N</v>
      </c>
    </row>
    <row r="805" customFormat="false" ht="15" hidden="false" customHeight="false" outlineLevel="0" collapsed="false">
      <c r="A805" s="0" t="s">
        <v>6025</v>
      </c>
      <c r="B805" s="0" t="s">
        <v>5902</v>
      </c>
      <c r="C805" s="0" t="s">
        <v>977</v>
      </c>
      <c r="D805" s="31" t="n">
        <v>19081</v>
      </c>
      <c r="E805" s="31" t="n">
        <v>45592</v>
      </c>
      <c r="F805" s="32" t="s">
        <v>4447</v>
      </c>
      <c r="G805" s="0" t="n">
        <v>4</v>
      </c>
      <c r="H805" s="32" t="s">
        <v>4278</v>
      </c>
      <c r="I805" s="32" t="s">
        <v>5131</v>
      </c>
      <c r="J805" s="32" t="s">
        <v>3749</v>
      </c>
      <c r="K805" s="32" t="s">
        <v>2081</v>
      </c>
      <c r="L805" s="0" t="n">
        <v>41</v>
      </c>
      <c r="M805" s="32" t="s">
        <v>3782</v>
      </c>
      <c r="N805" s="32" t="s">
        <v>3751</v>
      </c>
      <c r="O805" s="32" t="n">
        <f aca="false">IF(I805="","",ROUND(MOD(TIMEVALUE(I805)-TIMEVALUE(F805),1)*1440,0))</f>
        <v>41</v>
      </c>
      <c r="P805" s="0" t="str">
        <f aca="false">IF(COUNTIF($A$2:A805,A805)&gt;1,"DUP","")</f>
        <v/>
      </c>
      <c r="Q805" s="0" t="str">
        <f aca="false">IF(O805="","",IF(O805&gt;240,"Y","N"))</f>
        <v>N</v>
      </c>
    </row>
    <row r="806" customFormat="false" ht="15" hidden="false" customHeight="false" outlineLevel="0" collapsed="false">
      <c r="A806" s="0" t="s">
        <v>6026</v>
      </c>
      <c r="B806" s="0" t="s">
        <v>5156</v>
      </c>
      <c r="C806" s="0" t="s">
        <v>4053</v>
      </c>
      <c r="D806" s="31" t="n">
        <v>17542</v>
      </c>
      <c r="E806" s="31" t="n">
        <v>45656</v>
      </c>
      <c r="F806" s="32" t="s">
        <v>5398</v>
      </c>
      <c r="G806" s="0" t="n">
        <v>2</v>
      </c>
      <c r="H806" s="32" t="s">
        <v>5565</v>
      </c>
      <c r="I806" s="32" t="s">
        <v>5571</v>
      </c>
      <c r="J806" s="32" t="s">
        <v>2307</v>
      </c>
      <c r="K806" s="32" t="s">
        <v>2081</v>
      </c>
      <c r="L806" s="0" t="n">
        <v>185</v>
      </c>
      <c r="M806" s="32" t="s">
        <v>3966</v>
      </c>
      <c r="N806" s="32" t="s">
        <v>3751</v>
      </c>
      <c r="O806" s="32" t="n">
        <f aca="false">IF(I806="","",ROUND(MOD(TIMEVALUE(I806)-TIMEVALUE(F806),1)*1440,0))</f>
        <v>185</v>
      </c>
      <c r="P806" s="0" t="str">
        <f aca="false">IF(COUNTIF($A$2:A806,A806)&gt;1,"DUP","")</f>
        <v/>
      </c>
      <c r="Q806" s="0" t="str">
        <f aca="false">IF(O806="","",IF(O806&gt;240,"Y","N"))</f>
        <v>N</v>
      </c>
    </row>
    <row r="807" customFormat="false" ht="15" hidden="false" customHeight="false" outlineLevel="0" collapsed="false">
      <c r="A807" s="0" t="s">
        <v>6027</v>
      </c>
      <c r="B807" s="0" t="s">
        <v>3889</v>
      </c>
      <c r="C807" s="0" t="s">
        <v>1009</v>
      </c>
      <c r="D807" s="31" t="n">
        <v>37533</v>
      </c>
      <c r="E807" s="31" t="n">
        <v>45625</v>
      </c>
      <c r="F807" s="32" t="s">
        <v>5834</v>
      </c>
      <c r="G807" s="0" t="n">
        <v>4</v>
      </c>
      <c r="H807" s="32" t="s">
        <v>4446</v>
      </c>
      <c r="I807" s="32" t="s">
        <v>4805</v>
      </c>
      <c r="J807" s="32" t="s">
        <v>2307</v>
      </c>
      <c r="K807" s="32" t="s">
        <v>2081</v>
      </c>
      <c r="L807" s="0" t="n">
        <v>178</v>
      </c>
      <c r="M807" s="32" t="s">
        <v>3975</v>
      </c>
      <c r="N807" s="32" t="s">
        <v>3751</v>
      </c>
      <c r="O807" s="32" t="n">
        <f aca="false">IF(I807="","",ROUND(MOD(TIMEVALUE(I807)-TIMEVALUE(F807),1)*1440,0))</f>
        <v>178</v>
      </c>
      <c r="P807" s="0" t="str">
        <f aca="false">IF(COUNTIF($A$2:A807,A807)&gt;1,"DUP","")</f>
        <v/>
      </c>
      <c r="Q807" s="0" t="str">
        <f aca="false">IF(O807="","",IF(O807&gt;240,"Y","N"))</f>
        <v>N</v>
      </c>
    </row>
    <row r="808" customFormat="false" ht="15" hidden="false" customHeight="false" outlineLevel="0" collapsed="false">
      <c r="A808" s="0" t="s">
        <v>6028</v>
      </c>
      <c r="B808" s="0" t="s">
        <v>4049</v>
      </c>
      <c r="C808" s="0" t="s">
        <v>930</v>
      </c>
      <c r="D808" s="31" t="n">
        <v>28402</v>
      </c>
      <c r="E808" s="31" t="n">
        <v>45642</v>
      </c>
      <c r="F808" s="32" t="s">
        <v>5596</v>
      </c>
      <c r="G808" s="0" t="n">
        <v>4</v>
      </c>
      <c r="H808" s="32" t="s">
        <v>5764</v>
      </c>
      <c r="I808" s="32" t="s">
        <v>6029</v>
      </c>
      <c r="J808" s="32" t="s">
        <v>2307</v>
      </c>
      <c r="K808" s="32" t="s">
        <v>2081</v>
      </c>
      <c r="L808" s="0" t="n">
        <v>109</v>
      </c>
      <c r="M808" s="32" t="s">
        <v>3821</v>
      </c>
      <c r="N808" s="32" t="s">
        <v>3751</v>
      </c>
      <c r="O808" s="32" t="n">
        <f aca="false">IF(I808="","",ROUND(MOD(TIMEVALUE(I808)-TIMEVALUE(F808),1)*1440,0))</f>
        <v>109</v>
      </c>
      <c r="P808" s="0" t="str">
        <f aca="false">IF(COUNTIF($A$2:A808,A808)&gt;1,"DUP","")</f>
        <v/>
      </c>
      <c r="Q808" s="0" t="str">
        <f aca="false">IF(O808="","",IF(O808&gt;240,"Y","N"))</f>
        <v>N</v>
      </c>
    </row>
    <row r="809" customFormat="false" ht="15" hidden="false" customHeight="false" outlineLevel="0" collapsed="false">
      <c r="A809" s="0" t="s">
        <v>6030</v>
      </c>
      <c r="B809" s="0" t="s">
        <v>4831</v>
      </c>
      <c r="C809" s="0" t="s">
        <v>918</v>
      </c>
      <c r="D809" s="31" t="n">
        <v>34284</v>
      </c>
      <c r="E809" s="31" t="n">
        <v>45650</v>
      </c>
      <c r="F809" s="32" t="s">
        <v>4051</v>
      </c>
      <c r="G809" s="0" t="n">
        <v>3</v>
      </c>
      <c r="H809" s="32" t="s">
        <v>5389</v>
      </c>
      <c r="I809" s="32" t="s">
        <v>5465</v>
      </c>
      <c r="J809" s="32" t="s">
        <v>3793</v>
      </c>
      <c r="K809" s="32" t="s">
        <v>2081</v>
      </c>
      <c r="L809" s="0" t="n">
        <v>219</v>
      </c>
      <c r="M809" s="32" t="s">
        <v>4060</v>
      </c>
      <c r="N809" s="32" t="s">
        <v>826</v>
      </c>
      <c r="O809" s="32" t="n">
        <f aca="false">IF(I809="","",ROUND(MOD(TIMEVALUE(I809)-TIMEVALUE(F809),1)*1440,0))</f>
        <v>219</v>
      </c>
      <c r="P809" s="0" t="str">
        <f aca="false">IF(COUNTIF($A$2:A809,A809)&gt;1,"DUP","")</f>
        <v/>
      </c>
      <c r="Q809" s="0" t="str">
        <f aca="false">IF(O809="","",IF(O809&gt;240,"Y","N"))</f>
        <v>N</v>
      </c>
    </row>
    <row r="810" customFormat="false" ht="15" hidden="false" customHeight="false" outlineLevel="0" collapsed="false">
      <c r="A810" s="0" t="s">
        <v>6031</v>
      </c>
      <c r="B810" s="0" t="s">
        <v>5688</v>
      </c>
      <c r="C810" s="0" t="s">
        <v>981</v>
      </c>
      <c r="D810" s="31" t="n">
        <v>17931</v>
      </c>
      <c r="E810" s="31" t="n">
        <v>45570</v>
      </c>
      <c r="F810" s="32" t="s">
        <v>5418</v>
      </c>
      <c r="G810" s="0" t="n">
        <v>4</v>
      </c>
      <c r="H810" s="32" t="s">
        <v>4593</v>
      </c>
      <c r="I810" s="32" t="s">
        <v>4535</v>
      </c>
      <c r="J810" s="32" t="s">
        <v>3749</v>
      </c>
      <c r="K810" s="32" t="s">
        <v>2081</v>
      </c>
      <c r="L810" s="0" t="n">
        <v>77</v>
      </c>
      <c r="M810" s="32" t="s">
        <v>4409</v>
      </c>
      <c r="N810" s="32" t="s">
        <v>3751</v>
      </c>
      <c r="O810" s="32" t="n">
        <f aca="false">IF(I810="","",ROUND(MOD(TIMEVALUE(I810)-TIMEVALUE(F810),1)*1440,0))</f>
        <v>77</v>
      </c>
      <c r="P810" s="0" t="str">
        <f aca="false">IF(COUNTIF($A$2:A810,A810)&gt;1,"DUP","")</f>
        <v/>
      </c>
      <c r="Q810" s="0" t="str">
        <f aca="false">IF(O810="","",IF(O810&gt;240,"Y","N"))</f>
        <v>N</v>
      </c>
    </row>
    <row r="811" customFormat="false" ht="15" hidden="false" customHeight="false" outlineLevel="0" collapsed="false">
      <c r="A811" s="0" t="s">
        <v>6032</v>
      </c>
      <c r="B811" s="0" t="s">
        <v>5718</v>
      </c>
      <c r="C811" s="0" t="s">
        <v>914</v>
      </c>
      <c r="D811" s="31" t="n">
        <v>24239</v>
      </c>
      <c r="E811" s="31" t="n">
        <v>45644</v>
      </c>
      <c r="F811" s="32" t="s">
        <v>3897</v>
      </c>
      <c r="G811" s="0" t="n">
        <v>4</v>
      </c>
      <c r="H811" s="32" t="s">
        <v>5732</v>
      </c>
      <c r="I811" s="32" t="s">
        <v>5458</v>
      </c>
      <c r="J811" s="32" t="s">
        <v>3749</v>
      </c>
      <c r="K811" s="32" t="s">
        <v>2081</v>
      </c>
      <c r="L811" s="0" t="n">
        <v>31</v>
      </c>
      <c r="M811" s="32" t="s">
        <v>3925</v>
      </c>
      <c r="N811" s="32" t="s">
        <v>1455</v>
      </c>
      <c r="O811" s="32" t="n">
        <f aca="false">IF(I811="","",ROUND(MOD(TIMEVALUE(I811)-TIMEVALUE(F811),1)*1440,0))</f>
        <v>31</v>
      </c>
      <c r="P811" s="0" t="str">
        <f aca="false">IF(COUNTIF($A$2:A811,A811)&gt;1,"DUP","")</f>
        <v/>
      </c>
      <c r="Q811" s="0" t="str">
        <f aca="false">IF(O811="","",IF(O811&gt;240,"Y","N"))</f>
        <v>N</v>
      </c>
    </row>
    <row r="812" customFormat="false" ht="15" hidden="false" customHeight="false" outlineLevel="0" collapsed="false">
      <c r="A812" s="0" t="s">
        <v>6033</v>
      </c>
      <c r="B812" s="0" t="s">
        <v>3766</v>
      </c>
      <c r="C812" s="0" t="s">
        <v>874</v>
      </c>
      <c r="D812" s="31" t="n">
        <v>29165</v>
      </c>
      <c r="E812" s="31" t="n">
        <v>45602</v>
      </c>
      <c r="F812" s="32" t="s">
        <v>5328</v>
      </c>
      <c r="G812" s="0" t="n">
        <v>5</v>
      </c>
      <c r="H812" s="32" t="s">
        <v>6034</v>
      </c>
      <c r="I812" s="32" t="s">
        <v>4951</v>
      </c>
      <c r="J812" s="32" t="s">
        <v>3749</v>
      </c>
      <c r="K812" s="32" t="s">
        <v>2106</v>
      </c>
      <c r="L812" s="0" t="n">
        <v>311</v>
      </c>
      <c r="M812" s="32" t="s">
        <v>3866</v>
      </c>
      <c r="N812" s="32" t="s">
        <v>3751</v>
      </c>
      <c r="O812" s="32" t="n">
        <f aca="false">IF(I812="","",ROUND(MOD(TIMEVALUE(I812)-TIMEVALUE(F812),1)*1440,0))</f>
        <v>311</v>
      </c>
      <c r="P812" s="0" t="str">
        <f aca="false">IF(COUNTIF($A$2:A812,A812)&gt;1,"DUP","")</f>
        <v/>
      </c>
      <c r="Q812" s="0" t="str">
        <f aca="false">IF(O812="","",IF(O812&gt;240,"Y","N"))</f>
        <v>Y</v>
      </c>
    </row>
    <row r="813" customFormat="false" ht="15" hidden="false" customHeight="false" outlineLevel="0" collapsed="false">
      <c r="A813" s="0" t="s">
        <v>6035</v>
      </c>
      <c r="B813" s="0" t="s">
        <v>4365</v>
      </c>
      <c r="C813" s="0" t="s">
        <v>765</v>
      </c>
      <c r="D813" s="31" t="n">
        <v>17752</v>
      </c>
      <c r="E813" s="31" t="n">
        <v>45724</v>
      </c>
      <c r="F813" s="32" t="s">
        <v>3905</v>
      </c>
      <c r="G813" s="0" t="n">
        <v>3</v>
      </c>
      <c r="H813" s="32" t="s">
        <v>4899</v>
      </c>
      <c r="I813" s="32" t="s">
        <v>4450</v>
      </c>
      <c r="J813" s="32" t="s">
        <v>3749</v>
      </c>
      <c r="K813" s="32" t="s">
        <v>2081</v>
      </c>
      <c r="L813" s="0" t="n">
        <v>102</v>
      </c>
      <c r="M813" s="32" t="s">
        <v>3952</v>
      </c>
      <c r="N813" s="32" t="s">
        <v>3751</v>
      </c>
      <c r="O813" s="32" t="n">
        <f aca="false">IF(I813="","",ROUND(MOD(TIMEVALUE(I813)-TIMEVALUE(F813),1)*1440,0))</f>
        <v>102</v>
      </c>
      <c r="P813" s="0" t="str">
        <f aca="false">IF(COUNTIF($A$2:A813,A813)&gt;1,"DUP","")</f>
        <v/>
      </c>
      <c r="Q813" s="0" t="str">
        <f aca="false">IF(O813="","",IF(O813&gt;240,"Y","N"))</f>
        <v>N</v>
      </c>
    </row>
    <row r="814" customFormat="false" ht="15" hidden="false" customHeight="false" outlineLevel="0" collapsed="false">
      <c r="A814" s="0" t="s">
        <v>6036</v>
      </c>
      <c r="B814" s="0" t="s">
        <v>4880</v>
      </c>
      <c r="C814" s="0" t="s">
        <v>918</v>
      </c>
      <c r="D814" s="31" t="n">
        <v>39013</v>
      </c>
      <c r="E814" s="31" t="n">
        <v>45715</v>
      </c>
      <c r="F814" s="32" t="s">
        <v>4562</v>
      </c>
      <c r="G814" s="0" t="n">
        <v>3</v>
      </c>
      <c r="H814" s="32" t="s">
        <v>6029</v>
      </c>
      <c r="I814" s="32" t="s">
        <v>4914</v>
      </c>
      <c r="J814" s="32" t="s">
        <v>3763</v>
      </c>
      <c r="K814" s="32" t="s">
        <v>2081</v>
      </c>
      <c r="L814" s="0" t="n">
        <v>182</v>
      </c>
      <c r="M814" s="32" t="s">
        <v>4141</v>
      </c>
      <c r="N814" s="32" t="s">
        <v>3751</v>
      </c>
      <c r="O814" s="32" t="n">
        <f aca="false">IF(I814="","",ROUND(MOD(TIMEVALUE(I814)-TIMEVALUE(F814),1)*1440,0))</f>
        <v>182</v>
      </c>
      <c r="P814" s="0" t="str">
        <f aca="false">IF(COUNTIF($A$2:A814,A814)&gt;1,"DUP","")</f>
        <v/>
      </c>
      <c r="Q814" s="0" t="str">
        <f aca="false">IF(O814="","",IF(O814&gt;240,"Y","N"))</f>
        <v>N</v>
      </c>
    </row>
    <row r="815" customFormat="false" ht="15" hidden="false" customHeight="false" outlineLevel="0" collapsed="false">
      <c r="A815" s="0" t="s">
        <v>6037</v>
      </c>
      <c r="B815" s="0" t="s">
        <v>5782</v>
      </c>
      <c r="C815" s="0" t="s">
        <v>918</v>
      </c>
      <c r="D815" s="31" t="n">
        <v>24584</v>
      </c>
      <c r="E815" s="31" t="n">
        <v>45689</v>
      </c>
      <c r="F815" s="32" t="s">
        <v>4656</v>
      </c>
      <c r="G815" s="0" t="n">
        <v>5</v>
      </c>
      <c r="H815" s="32" t="s">
        <v>4288</v>
      </c>
      <c r="I815" s="32" t="s">
        <v>4850</v>
      </c>
      <c r="J815" s="32" t="s">
        <v>3749</v>
      </c>
      <c r="K815" s="32" t="s">
        <v>2081</v>
      </c>
      <c r="L815" s="0" t="n">
        <v>100</v>
      </c>
      <c r="M815" s="32" t="s">
        <v>3757</v>
      </c>
      <c r="N815" s="32" t="s">
        <v>3751</v>
      </c>
      <c r="O815" s="32" t="n">
        <f aca="false">IF(I815="","",ROUND(MOD(TIMEVALUE(I815)-TIMEVALUE(F815),1)*1440,0))</f>
        <v>100</v>
      </c>
      <c r="P815" s="0" t="str">
        <f aca="false">IF(COUNTIF($A$2:A815,A815)&gt;1,"DUP","")</f>
        <v/>
      </c>
      <c r="Q815" s="0" t="str">
        <f aca="false">IF(O815="","",IF(O815&gt;240,"Y","N"))</f>
        <v>N</v>
      </c>
    </row>
    <row r="816" customFormat="false" ht="15" hidden="false" customHeight="false" outlineLevel="0" collapsed="false">
      <c r="A816" s="0" t="s">
        <v>6038</v>
      </c>
      <c r="B816" s="0" t="s">
        <v>4798</v>
      </c>
      <c r="C816" s="0" t="s">
        <v>910</v>
      </c>
      <c r="D816" s="31" t="n">
        <v>14120</v>
      </c>
      <c r="E816" s="31" t="n">
        <v>45647</v>
      </c>
      <c r="F816" s="32" t="s">
        <v>5197</v>
      </c>
      <c r="G816" s="0" t="n">
        <v>4</v>
      </c>
      <c r="H816" s="32" t="s">
        <v>6039</v>
      </c>
      <c r="I816" s="32" t="s">
        <v>4246</v>
      </c>
      <c r="J816" s="32" t="s">
        <v>3763</v>
      </c>
      <c r="K816" s="32" t="s">
        <v>2081</v>
      </c>
      <c r="L816" s="0" t="n">
        <v>83</v>
      </c>
      <c r="M816" s="32" t="s">
        <v>3782</v>
      </c>
      <c r="N816" s="32" t="s">
        <v>3751</v>
      </c>
      <c r="O816" s="32" t="n">
        <f aca="false">IF(I816="","",ROUND(MOD(TIMEVALUE(I816)-TIMEVALUE(F816),1)*1440,0))</f>
        <v>83</v>
      </c>
      <c r="P816" s="0" t="str">
        <f aca="false">IF(COUNTIF($A$2:A816,A816)&gt;1,"DUP","")</f>
        <v/>
      </c>
      <c r="Q816" s="0" t="str">
        <f aca="false">IF(O816="","",IF(O816&gt;240,"Y","N"))</f>
        <v>N</v>
      </c>
    </row>
    <row r="817" customFormat="false" ht="15" hidden="false" customHeight="false" outlineLevel="0" collapsed="false">
      <c r="A817" s="0" t="s">
        <v>6040</v>
      </c>
      <c r="B817" s="0" t="s">
        <v>3904</v>
      </c>
      <c r="C817" s="0" t="s">
        <v>950</v>
      </c>
      <c r="D817" s="31" t="n">
        <v>30005</v>
      </c>
      <c r="E817" s="31" t="n">
        <v>45701</v>
      </c>
      <c r="F817" s="32" t="s">
        <v>4036</v>
      </c>
      <c r="G817" s="0" t="n">
        <v>4</v>
      </c>
      <c r="H817" s="32" t="s">
        <v>4540</v>
      </c>
      <c r="I817" s="32" t="s">
        <v>5565</v>
      </c>
      <c r="J817" s="32" t="s">
        <v>3749</v>
      </c>
      <c r="K817" s="32" t="s">
        <v>2081</v>
      </c>
      <c r="L817" s="0" t="n">
        <v>32</v>
      </c>
      <c r="M817" s="32" t="s">
        <v>4219</v>
      </c>
      <c r="N817" s="32" t="s">
        <v>3751</v>
      </c>
      <c r="O817" s="32" t="n">
        <f aca="false">IF(I817="","",ROUND(MOD(TIMEVALUE(I817)-TIMEVALUE(F817),1)*1440,0))</f>
        <v>32</v>
      </c>
      <c r="P817" s="0" t="str">
        <f aca="false">IF(COUNTIF($A$2:A817,A817)&gt;1,"DUP","")</f>
        <v/>
      </c>
      <c r="Q817" s="0" t="str">
        <f aca="false">IF(O817="","",IF(O817&gt;240,"Y","N"))</f>
        <v>N</v>
      </c>
    </row>
    <row r="818" customFormat="false" ht="15" hidden="false" customHeight="false" outlineLevel="0" collapsed="false">
      <c r="A818" s="0" t="s">
        <v>6041</v>
      </c>
      <c r="B818" s="0" t="s">
        <v>4169</v>
      </c>
      <c r="C818" s="0" t="s">
        <v>906</v>
      </c>
      <c r="D818" s="31" t="n">
        <v>34512</v>
      </c>
      <c r="E818" s="31" t="n">
        <v>45675</v>
      </c>
      <c r="F818" s="32" t="s">
        <v>6042</v>
      </c>
      <c r="G818" s="0" t="n">
        <v>4</v>
      </c>
      <c r="H818" s="32" t="s">
        <v>5421</v>
      </c>
      <c r="I818" s="32" t="s">
        <v>5803</v>
      </c>
      <c r="J818" s="32" t="s">
        <v>3749</v>
      </c>
      <c r="K818" s="32" t="s">
        <v>2081</v>
      </c>
      <c r="L818" s="0" t="n">
        <v>164</v>
      </c>
      <c r="M818" s="32" t="s">
        <v>4219</v>
      </c>
      <c r="N818" s="32" t="s">
        <v>3751</v>
      </c>
      <c r="O818" s="32" t="n">
        <f aca="false">IF(I818="","",ROUND(MOD(TIMEVALUE(I818)-TIMEVALUE(F818),1)*1440,0))</f>
        <v>164</v>
      </c>
      <c r="P818" s="0" t="str">
        <f aca="false">IF(COUNTIF($A$2:A818,A818)&gt;1,"DUP","")</f>
        <v/>
      </c>
      <c r="Q818" s="0" t="str">
        <f aca="false">IF(O818="","",IF(O818&gt;240,"Y","N"))</f>
        <v>N</v>
      </c>
    </row>
    <row r="819" customFormat="false" ht="15" hidden="false" customHeight="false" outlineLevel="0" collapsed="false">
      <c r="A819" s="0" t="s">
        <v>6043</v>
      </c>
      <c r="B819" s="0" t="s">
        <v>6044</v>
      </c>
      <c r="C819" s="0" t="s">
        <v>866</v>
      </c>
      <c r="D819" s="31" t="n">
        <v>32513</v>
      </c>
      <c r="E819" s="31" t="n">
        <v>45662</v>
      </c>
      <c r="F819" s="32" t="s">
        <v>5527</v>
      </c>
      <c r="G819" s="0" t="n">
        <v>4</v>
      </c>
      <c r="H819" s="32" t="s">
        <v>5242</v>
      </c>
      <c r="I819" s="32" t="s">
        <v>4396</v>
      </c>
      <c r="J819" s="32" t="s">
        <v>3749</v>
      </c>
      <c r="K819" s="32" t="s">
        <v>2106</v>
      </c>
      <c r="L819" s="0" t="n">
        <v>459</v>
      </c>
      <c r="M819" s="32" t="s">
        <v>3946</v>
      </c>
      <c r="N819" s="32" t="s">
        <v>3751</v>
      </c>
      <c r="O819" s="32" t="n">
        <f aca="false">IF(I819="","",ROUND(MOD(TIMEVALUE(I819)-TIMEVALUE(F819),1)*1440,0))</f>
        <v>459</v>
      </c>
      <c r="P819" s="0" t="str">
        <f aca="false">IF(COUNTIF($A$2:A819,A819)&gt;1,"DUP","")</f>
        <v/>
      </c>
      <c r="Q819" s="0" t="str">
        <f aca="false">IF(O819="","",IF(O819&gt;240,"Y","N"))</f>
        <v>Y</v>
      </c>
    </row>
    <row r="820" customFormat="false" ht="15" hidden="false" customHeight="false" outlineLevel="0" collapsed="false">
      <c r="A820" s="0" t="s">
        <v>6045</v>
      </c>
      <c r="B820" s="0" t="s">
        <v>4480</v>
      </c>
      <c r="C820" s="0" t="s">
        <v>942</v>
      </c>
      <c r="D820" s="31" t="n">
        <v>33082</v>
      </c>
      <c r="E820" s="31" t="n">
        <v>45640</v>
      </c>
      <c r="F820" s="32" t="s">
        <v>3907</v>
      </c>
      <c r="G820" s="0" t="n">
        <v>5</v>
      </c>
      <c r="H820" s="32" t="s">
        <v>5764</v>
      </c>
      <c r="I820" s="32" t="s">
        <v>4550</v>
      </c>
      <c r="J820" s="32" t="s">
        <v>3763</v>
      </c>
      <c r="K820" s="32" t="s">
        <v>2106</v>
      </c>
      <c r="L820" s="0" t="n">
        <v>460</v>
      </c>
      <c r="M820" s="32" t="s">
        <v>3849</v>
      </c>
      <c r="N820" s="32" t="s">
        <v>3751</v>
      </c>
      <c r="O820" s="32" t="n">
        <f aca="false">IF(I820="","",ROUND(MOD(TIMEVALUE(I820)-TIMEVALUE(F820),1)*1440,0))</f>
        <v>460</v>
      </c>
      <c r="P820" s="0" t="str">
        <f aca="false">IF(COUNTIF($A$2:A820,A820)&gt;1,"DUP","")</f>
        <v/>
      </c>
      <c r="Q820" s="0" t="str">
        <f aca="false">IF(O820="","",IF(O820&gt;240,"Y","N"))</f>
        <v>Y</v>
      </c>
    </row>
    <row r="821" customFormat="false" ht="15" hidden="false" customHeight="false" outlineLevel="0" collapsed="false">
      <c r="A821" s="0" t="s">
        <v>6046</v>
      </c>
      <c r="C821" s="0" t="s">
        <v>981</v>
      </c>
      <c r="D821" s="31" t="n">
        <v>29446</v>
      </c>
      <c r="E821" s="31" t="n">
        <v>45723</v>
      </c>
      <c r="F821" s="32" t="s">
        <v>4578</v>
      </c>
      <c r="G821" s="0" t="n">
        <v>5</v>
      </c>
      <c r="I821" s="32" t="s">
        <v>5735</v>
      </c>
      <c r="J821" s="32" t="s">
        <v>3749</v>
      </c>
      <c r="K821" s="32" t="s">
        <v>2081</v>
      </c>
      <c r="L821" s="0" t="n">
        <v>63</v>
      </c>
      <c r="M821" s="32" t="s">
        <v>4037</v>
      </c>
      <c r="N821" s="32" t="s">
        <v>3751</v>
      </c>
      <c r="O821" s="32" t="n">
        <f aca="false">IF(I821="","",ROUND(MOD(TIMEVALUE(I821)-TIMEVALUE(F821),1)*1440,0))</f>
        <v>63</v>
      </c>
      <c r="P821" s="0" t="str">
        <f aca="false">IF(COUNTIF($A$2:A821,A821)&gt;1,"DUP","")</f>
        <v/>
      </c>
      <c r="Q821" s="0" t="str">
        <f aca="false">IF(O821="","",IF(O821&gt;240,"Y","N"))</f>
        <v>N</v>
      </c>
    </row>
    <row r="822" customFormat="false" ht="15" hidden="false" customHeight="false" outlineLevel="0" collapsed="false">
      <c r="A822" s="0" t="s">
        <v>6047</v>
      </c>
      <c r="B822" s="0" t="s">
        <v>4834</v>
      </c>
      <c r="C822" s="0" t="s">
        <v>882</v>
      </c>
      <c r="D822" s="31" t="n">
        <v>34925</v>
      </c>
      <c r="E822" s="31" t="n">
        <v>45626</v>
      </c>
      <c r="F822" s="32" t="s">
        <v>3991</v>
      </c>
      <c r="G822" s="0" t="n">
        <v>5</v>
      </c>
      <c r="H822" s="32" t="s">
        <v>5040</v>
      </c>
      <c r="I822" s="32" t="s">
        <v>6048</v>
      </c>
      <c r="J822" s="32" t="s">
        <v>3763</v>
      </c>
      <c r="K822" s="32" t="s">
        <v>2081</v>
      </c>
      <c r="L822" s="0" t="n">
        <v>35</v>
      </c>
      <c r="M822" s="32" t="s">
        <v>3946</v>
      </c>
      <c r="N822" s="32" t="s">
        <v>3751</v>
      </c>
      <c r="O822" s="32" t="n">
        <f aca="false">IF(I822="","",ROUND(MOD(TIMEVALUE(I822)-TIMEVALUE(F822),1)*1440,0))</f>
        <v>35</v>
      </c>
      <c r="P822" s="0" t="str">
        <f aca="false">IF(COUNTIF($A$2:A822,A822)&gt;1,"DUP","")</f>
        <v/>
      </c>
      <c r="Q822" s="0" t="str">
        <f aca="false">IF(O822="","",IF(O822&gt;240,"Y","N"))</f>
        <v>N</v>
      </c>
    </row>
    <row r="823" customFormat="false" ht="15" hidden="false" customHeight="false" outlineLevel="0" collapsed="false">
      <c r="A823" s="0" t="s">
        <v>6049</v>
      </c>
      <c r="B823" s="0" t="s">
        <v>6050</v>
      </c>
      <c r="C823" s="0" t="s">
        <v>1410</v>
      </c>
      <c r="D823" s="31" t="n">
        <v>34631</v>
      </c>
      <c r="E823" s="31" t="n">
        <v>45621</v>
      </c>
      <c r="F823" s="32" t="s">
        <v>4779</v>
      </c>
      <c r="G823" s="0" t="n">
        <v>2</v>
      </c>
      <c r="H823" s="32" t="s">
        <v>6051</v>
      </c>
      <c r="I823" s="32" t="s">
        <v>5159</v>
      </c>
      <c r="J823" s="32" t="s">
        <v>3749</v>
      </c>
      <c r="K823" s="32" t="s">
        <v>2081</v>
      </c>
      <c r="L823" s="0" t="n">
        <v>123</v>
      </c>
      <c r="M823" s="32" t="s">
        <v>4060</v>
      </c>
      <c r="N823" s="32" t="s">
        <v>3751</v>
      </c>
      <c r="O823" s="32" t="n">
        <f aca="false">IF(I823="","",ROUND(MOD(TIMEVALUE(I823)-TIMEVALUE(F823),1)*1440,0))</f>
        <v>123</v>
      </c>
      <c r="P823" s="0" t="str">
        <f aca="false">IF(COUNTIF($A$2:A823,A823)&gt;1,"DUP","")</f>
        <v/>
      </c>
      <c r="Q823" s="0" t="str">
        <f aca="false">IF(O823="","",IF(O823&gt;240,"Y","N"))</f>
        <v>N</v>
      </c>
    </row>
    <row r="824" customFormat="false" ht="15" hidden="false" customHeight="false" outlineLevel="0" collapsed="false">
      <c r="A824" s="0" t="s">
        <v>6052</v>
      </c>
      <c r="B824" s="0" t="s">
        <v>4783</v>
      </c>
      <c r="C824" s="0" t="s">
        <v>1017</v>
      </c>
      <c r="D824" s="31" t="n">
        <v>35211</v>
      </c>
      <c r="E824" s="31" t="n">
        <v>45587</v>
      </c>
      <c r="F824" s="32" t="s">
        <v>4687</v>
      </c>
      <c r="G824" s="0" t="n">
        <v>3</v>
      </c>
      <c r="H824" s="32" t="s">
        <v>4904</v>
      </c>
      <c r="I824" s="32" t="s">
        <v>5401</v>
      </c>
      <c r="J824" s="32" t="s">
        <v>3793</v>
      </c>
      <c r="K824" s="32" t="s">
        <v>2081</v>
      </c>
      <c r="L824" s="0" t="n">
        <v>88</v>
      </c>
      <c r="M824" s="32" t="s">
        <v>4781</v>
      </c>
      <c r="N824" s="32" t="s">
        <v>766</v>
      </c>
      <c r="O824" s="32" t="n">
        <f aca="false">IF(I824="","",ROUND(MOD(TIMEVALUE(I824)-TIMEVALUE(F824),1)*1440,0))</f>
        <v>88</v>
      </c>
      <c r="P824" s="0" t="str">
        <f aca="false">IF(COUNTIF($A$2:A824,A824)&gt;1,"DUP","")</f>
        <v/>
      </c>
      <c r="Q824" s="0" t="str">
        <f aca="false">IF(O824="","",IF(O824&gt;240,"Y","N"))</f>
        <v>N</v>
      </c>
    </row>
    <row r="825" customFormat="false" ht="15" hidden="false" customHeight="false" outlineLevel="0" collapsed="false">
      <c r="A825" s="0" t="s">
        <v>6053</v>
      </c>
      <c r="C825" s="0" t="s">
        <v>1017</v>
      </c>
      <c r="D825" s="31" t="n">
        <v>37457</v>
      </c>
      <c r="E825" s="31" t="n">
        <v>45660</v>
      </c>
      <c r="F825" s="32" t="s">
        <v>4495</v>
      </c>
      <c r="G825" s="0" t="n">
        <v>3</v>
      </c>
      <c r="H825" s="32" t="s">
        <v>4067</v>
      </c>
      <c r="I825" s="32" t="s">
        <v>5414</v>
      </c>
      <c r="J825" s="32" t="s">
        <v>3749</v>
      </c>
      <c r="K825" s="32" t="s">
        <v>2081</v>
      </c>
      <c r="L825" s="0" t="n">
        <v>220</v>
      </c>
      <c r="M825" s="32" t="s">
        <v>4285</v>
      </c>
      <c r="N825" s="32" t="s">
        <v>3751</v>
      </c>
      <c r="O825" s="32" t="n">
        <f aca="false">IF(I825="","",ROUND(MOD(TIMEVALUE(I825)-TIMEVALUE(F825),1)*1440,0))</f>
        <v>220</v>
      </c>
      <c r="P825" s="0" t="str">
        <f aca="false">IF(COUNTIF($A$2:A825,A825)&gt;1,"DUP","")</f>
        <v/>
      </c>
      <c r="Q825" s="0" t="str">
        <f aca="false">IF(O825="","",IF(O825&gt;240,"Y","N"))</f>
        <v>N</v>
      </c>
    </row>
    <row r="826" customFormat="false" ht="15" hidden="false" customHeight="false" outlineLevel="0" collapsed="false">
      <c r="A826" s="0" t="s">
        <v>6054</v>
      </c>
      <c r="B826" s="0" t="s">
        <v>4277</v>
      </c>
      <c r="C826" s="0" t="s">
        <v>2178</v>
      </c>
      <c r="D826" s="31" t="n">
        <v>39190</v>
      </c>
      <c r="E826" s="31" t="n">
        <v>45576</v>
      </c>
      <c r="F826" s="32" t="s">
        <v>6055</v>
      </c>
      <c r="G826" s="0" t="n">
        <v>5</v>
      </c>
      <c r="H826" s="32" t="s">
        <v>5775</v>
      </c>
      <c r="I826" s="32" t="s">
        <v>5197</v>
      </c>
      <c r="J826" s="32" t="s">
        <v>3749</v>
      </c>
      <c r="K826" s="32" t="s">
        <v>2081</v>
      </c>
      <c r="L826" s="0" t="n">
        <v>87</v>
      </c>
      <c r="M826" s="32" t="s">
        <v>3902</v>
      </c>
      <c r="N826" s="32" t="s">
        <v>3751</v>
      </c>
      <c r="O826" s="32" t="n">
        <f aca="false">IF(I826="","",ROUND(MOD(TIMEVALUE(I826)-TIMEVALUE(F826),1)*1440,0))</f>
        <v>87</v>
      </c>
      <c r="P826" s="0" t="str">
        <f aca="false">IF(COUNTIF($A$2:A826,A826)&gt;1,"DUP","")</f>
        <v/>
      </c>
      <c r="Q826" s="0" t="str">
        <f aca="false">IF(O826="","",IF(O826&gt;240,"Y","N"))</f>
        <v>N</v>
      </c>
    </row>
    <row r="827" customFormat="false" ht="15" hidden="false" customHeight="false" outlineLevel="0" collapsed="false">
      <c r="A827" s="0" t="s">
        <v>6056</v>
      </c>
      <c r="B827" s="0" t="s">
        <v>4249</v>
      </c>
      <c r="C827" s="0" t="s">
        <v>914</v>
      </c>
      <c r="D827" s="31" t="n">
        <v>38899</v>
      </c>
      <c r="E827" s="31" t="n">
        <v>45651</v>
      </c>
      <c r="F827" s="32" t="s">
        <v>5019</v>
      </c>
      <c r="G827" s="0" t="n">
        <v>4</v>
      </c>
      <c r="H827" s="32" t="s">
        <v>6057</v>
      </c>
      <c r="I827" s="32" t="s">
        <v>4080</v>
      </c>
      <c r="J827" s="32" t="s">
        <v>2307</v>
      </c>
      <c r="K827" s="32" t="s">
        <v>2081</v>
      </c>
      <c r="L827" s="0" t="n">
        <v>226</v>
      </c>
      <c r="M827" s="32" t="s">
        <v>3827</v>
      </c>
      <c r="N827" s="32" t="s">
        <v>3751</v>
      </c>
      <c r="O827" s="32" t="n">
        <f aca="false">IF(I827="","",ROUND(MOD(TIMEVALUE(I827)-TIMEVALUE(F827),1)*1440,0))</f>
        <v>226</v>
      </c>
      <c r="P827" s="0" t="str">
        <f aca="false">IF(COUNTIF($A$2:A827,A827)&gt;1,"DUP","")</f>
        <v/>
      </c>
      <c r="Q827" s="0" t="str">
        <f aca="false">IF(O827="","",IF(O827&gt;240,"Y","N"))</f>
        <v>N</v>
      </c>
    </row>
    <row r="828" customFormat="false" ht="15" hidden="false" customHeight="false" outlineLevel="0" collapsed="false">
      <c r="A828" s="0" t="s">
        <v>6058</v>
      </c>
      <c r="B828" s="0" t="s">
        <v>3857</v>
      </c>
      <c r="C828" s="0" t="s">
        <v>841</v>
      </c>
      <c r="D828" s="31" t="n">
        <v>26712</v>
      </c>
      <c r="E828" s="31" t="n">
        <v>45702</v>
      </c>
      <c r="F828" s="32" t="s">
        <v>6059</v>
      </c>
      <c r="G828" s="0" t="n">
        <v>4</v>
      </c>
      <c r="H828" s="32" t="s">
        <v>5573</v>
      </c>
      <c r="I828" s="32" t="s">
        <v>3919</v>
      </c>
      <c r="J828" s="32" t="s">
        <v>3749</v>
      </c>
      <c r="K828" s="32" t="s">
        <v>2106</v>
      </c>
      <c r="L828" s="0" t="n">
        <v>283</v>
      </c>
      <c r="M828" s="32" t="s">
        <v>4219</v>
      </c>
      <c r="N828" s="32" t="s">
        <v>3751</v>
      </c>
      <c r="O828" s="32" t="n">
        <f aca="false">IF(I828="","",ROUND(MOD(TIMEVALUE(I828)-TIMEVALUE(F828),1)*1440,0))</f>
        <v>283</v>
      </c>
      <c r="P828" s="0" t="str">
        <f aca="false">IF(COUNTIF($A$2:A828,A828)&gt;1,"DUP","")</f>
        <v/>
      </c>
      <c r="Q828" s="0" t="str">
        <f aca="false">IF(O828="","",IF(O828&gt;240,"Y","N"))</f>
        <v>Y</v>
      </c>
    </row>
    <row r="829" customFormat="false" ht="15" hidden="false" customHeight="false" outlineLevel="0" collapsed="false">
      <c r="A829" s="0" t="s">
        <v>6060</v>
      </c>
      <c r="B829" s="0" t="s">
        <v>3759</v>
      </c>
      <c r="C829" s="0" t="s">
        <v>849</v>
      </c>
      <c r="D829" s="31" t="n">
        <v>13199</v>
      </c>
      <c r="E829" s="31" t="n">
        <v>45696</v>
      </c>
      <c r="F829" s="32" t="s">
        <v>5252</v>
      </c>
      <c r="G829" s="0" t="n">
        <v>2</v>
      </c>
      <c r="H829" s="32" t="s">
        <v>5251</v>
      </c>
      <c r="I829" s="32" t="s">
        <v>4446</v>
      </c>
      <c r="J829" s="32" t="s">
        <v>2307</v>
      </c>
      <c r="K829" s="32" t="s">
        <v>2081</v>
      </c>
      <c r="L829" s="0" t="n">
        <v>151</v>
      </c>
      <c r="M829" s="32" t="s">
        <v>4106</v>
      </c>
      <c r="N829" s="32" t="s">
        <v>3751</v>
      </c>
      <c r="O829" s="32" t="n">
        <f aca="false">IF(I829="","",ROUND(MOD(TIMEVALUE(I829)-TIMEVALUE(F829),1)*1440,0))</f>
        <v>151</v>
      </c>
      <c r="P829" s="0" t="str">
        <f aca="false">IF(COUNTIF($A$2:A829,A829)&gt;1,"DUP","")</f>
        <v/>
      </c>
      <c r="Q829" s="0" t="str">
        <f aca="false">IF(O829="","",IF(O829&gt;240,"Y","N"))</f>
        <v>N</v>
      </c>
    </row>
    <row r="830" customFormat="false" ht="15" hidden="false" customHeight="false" outlineLevel="0" collapsed="false">
      <c r="A830" s="0" t="s">
        <v>6061</v>
      </c>
      <c r="B830" s="0" t="s">
        <v>4336</v>
      </c>
      <c r="C830" s="0" t="s">
        <v>849</v>
      </c>
      <c r="D830" s="31" t="n">
        <v>16481</v>
      </c>
      <c r="E830" s="31" t="n">
        <v>45673</v>
      </c>
      <c r="F830" s="32" t="s">
        <v>4585</v>
      </c>
      <c r="G830" s="0" t="n">
        <v>4</v>
      </c>
      <c r="H830" s="32" t="s">
        <v>5583</v>
      </c>
      <c r="I830" s="32" t="s">
        <v>4875</v>
      </c>
      <c r="J830" s="32" t="s">
        <v>3793</v>
      </c>
      <c r="K830" s="32" t="s">
        <v>2081</v>
      </c>
      <c r="L830" s="0" t="n">
        <v>162</v>
      </c>
      <c r="M830" s="32" t="s">
        <v>4114</v>
      </c>
      <c r="N830" s="32" t="s">
        <v>802</v>
      </c>
      <c r="O830" s="32" t="n">
        <f aca="false">IF(I830="","",ROUND(MOD(TIMEVALUE(I830)-TIMEVALUE(F830),1)*1440,0))</f>
        <v>162</v>
      </c>
      <c r="P830" s="0" t="str">
        <f aca="false">IF(COUNTIF($A$2:A830,A830)&gt;1,"DUP","")</f>
        <v/>
      </c>
      <c r="Q830" s="0" t="str">
        <f aca="false">IF(O830="","",IF(O830&gt;240,"Y","N"))</f>
        <v>N</v>
      </c>
    </row>
    <row r="831" customFormat="false" ht="15" hidden="false" customHeight="false" outlineLevel="0" collapsed="false">
      <c r="A831" s="0" t="s">
        <v>6062</v>
      </c>
      <c r="B831" s="0" t="s">
        <v>4921</v>
      </c>
      <c r="C831" s="0" t="s">
        <v>857</v>
      </c>
      <c r="D831" s="31" t="n">
        <v>34373</v>
      </c>
      <c r="E831" s="31" t="n">
        <v>45716</v>
      </c>
      <c r="F831" s="32" t="s">
        <v>5694</v>
      </c>
      <c r="G831" s="0" t="n">
        <v>2</v>
      </c>
      <c r="H831" s="32" t="s">
        <v>5971</v>
      </c>
      <c r="I831" s="32" t="s">
        <v>5640</v>
      </c>
      <c r="J831" s="32" t="s">
        <v>3749</v>
      </c>
      <c r="K831" s="32" t="s">
        <v>2081</v>
      </c>
      <c r="L831" s="0" t="n">
        <v>91</v>
      </c>
      <c r="M831" s="32" t="s">
        <v>4781</v>
      </c>
      <c r="N831" s="32" t="s">
        <v>3751</v>
      </c>
      <c r="O831" s="32" t="n">
        <f aca="false">IF(I831="","",ROUND(MOD(TIMEVALUE(I831)-TIMEVALUE(F831),1)*1440,0))</f>
        <v>91</v>
      </c>
      <c r="P831" s="0" t="str">
        <f aca="false">IF(COUNTIF($A$2:A831,A831)&gt;1,"DUP","")</f>
        <v/>
      </c>
      <c r="Q831" s="0" t="str">
        <f aca="false">IF(O831="","",IF(O831&gt;240,"Y","N"))</f>
        <v>N</v>
      </c>
    </row>
    <row r="832" customFormat="false" ht="15" hidden="false" customHeight="false" outlineLevel="0" collapsed="false">
      <c r="A832" s="0" t="s">
        <v>6063</v>
      </c>
      <c r="B832" s="0" t="s">
        <v>5344</v>
      </c>
      <c r="C832" s="0" t="s">
        <v>882</v>
      </c>
      <c r="D832" s="31" t="n">
        <v>14308</v>
      </c>
      <c r="E832" s="31" t="n">
        <v>45662</v>
      </c>
      <c r="F832" s="32" t="s">
        <v>5102</v>
      </c>
      <c r="G832" s="0" t="n">
        <v>4</v>
      </c>
      <c r="H832" s="32" t="s">
        <v>4709</v>
      </c>
      <c r="I832" s="32" t="s">
        <v>6064</v>
      </c>
      <c r="J832" s="32" t="s">
        <v>3793</v>
      </c>
      <c r="K832" s="32" t="s">
        <v>2081</v>
      </c>
      <c r="L832" s="0" t="n">
        <v>201</v>
      </c>
      <c r="M832" s="32" t="s">
        <v>3946</v>
      </c>
      <c r="N832" s="32" t="s">
        <v>802</v>
      </c>
      <c r="O832" s="32" t="n">
        <f aca="false">IF(I832="","",ROUND(MOD(TIMEVALUE(I832)-TIMEVALUE(F832),1)*1440,0))</f>
        <v>201</v>
      </c>
      <c r="P832" s="0" t="str">
        <f aca="false">IF(COUNTIF($A$2:A832,A832)&gt;1,"DUP","")</f>
        <v/>
      </c>
      <c r="Q832" s="0" t="str">
        <f aca="false">IF(O832="","",IF(O832&gt;240,"Y","N"))</f>
        <v>N</v>
      </c>
    </row>
    <row r="833" customFormat="false" ht="15" hidden="false" customHeight="false" outlineLevel="0" collapsed="false">
      <c r="A833" s="0" t="s">
        <v>6065</v>
      </c>
      <c r="B833" s="0" t="s">
        <v>4924</v>
      </c>
      <c r="C833" s="0" t="s">
        <v>997</v>
      </c>
      <c r="D833" s="31" t="n">
        <v>38093</v>
      </c>
      <c r="E833" s="31" t="n">
        <v>45628</v>
      </c>
      <c r="F833" s="32" t="s">
        <v>5386</v>
      </c>
      <c r="G833" s="0" t="n">
        <v>4</v>
      </c>
      <c r="H833" s="32" t="s">
        <v>4869</v>
      </c>
      <c r="I833" s="32" t="s">
        <v>5553</v>
      </c>
      <c r="J833" s="32" t="s">
        <v>3749</v>
      </c>
      <c r="K833" s="32" t="s">
        <v>2106</v>
      </c>
      <c r="L833" s="0" t="n">
        <v>372</v>
      </c>
      <c r="M833" s="32" t="s">
        <v>3764</v>
      </c>
      <c r="N833" s="32" t="s">
        <v>3751</v>
      </c>
      <c r="O833" s="32" t="n">
        <f aca="false">IF(I833="","",ROUND(MOD(TIMEVALUE(I833)-TIMEVALUE(F833),1)*1440,0))</f>
        <v>372</v>
      </c>
      <c r="P833" s="0" t="str">
        <f aca="false">IF(COUNTIF($A$2:A833,A833)&gt;1,"DUP","")</f>
        <v/>
      </c>
      <c r="Q833" s="0" t="str">
        <f aca="false">IF(O833="","",IF(O833&gt;240,"Y","N"))</f>
        <v>Y</v>
      </c>
    </row>
    <row r="834" customFormat="false" ht="15" hidden="false" customHeight="false" outlineLevel="0" collapsed="false">
      <c r="A834" s="0" t="s">
        <v>6066</v>
      </c>
      <c r="B834" s="0" t="s">
        <v>4553</v>
      </c>
      <c r="C834" s="0" t="s">
        <v>2206</v>
      </c>
      <c r="D834" s="31" t="n">
        <v>25397</v>
      </c>
      <c r="E834" s="31" t="n">
        <v>45626</v>
      </c>
      <c r="F834" s="32" t="s">
        <v>6067</v>
      </c>
      <c r="G834" s="0" t="n">
        <v>5</v>
      </c>
      <c r="H834" s="32" t="s">
        <v>6068</v>
      </c>
      <c r="I834" s="32" t="s">
        <v>4434</v>
      </c>
      <c r="J834" s="32" t="s">
        <v>3749</v>
      </c>
      <c r="K834" s="32" t="s">
        <v>2081</v>
      </c>
      <c r="L834" s="0" t="n">
        <v>184</v>
      </c>
      <c r="M834" s="32" t="s">
        <v>4106</v>
      </c>
      <c r="N834" s="32" t="s">
        <v>3751</v>
      </c>
      <c r="O834" s="32" t="n">
        <f aca="false">IF(I834="","",ROUND(MOD(TIMEVALUE(I834)-TIMEVALUE(F834),1)*1440,0))</f>
        <v>184</v>
      </c>
      <c r="P834" s="0" t="str">
        <f aca="false">IF(COUNTIF($A$2:A834,A834)&gt;1,"DUP","")</f>
        <v/>
      </c>
      <c r="Q834" s="0" t="str">
        <f aca="false">IF(O834="","",IF(O834&gt;240,"Y","N"))</f>
        <v>N</v>
      </c>
    </row>
    <row r="835" customFormat="false" ht="15" hidden="false" customHeight="false" outlineLevel="0" collapsed="false">
      <c r="A835" s="0" t="s">
        <v>6069</v>
      </c>
      <c r="B835" s="0" t="s">
        <v>4070</v>
      </c>
      <c r="C835" s="0" t="s">
        <v>1419</v>
      </c>
      <c r="D835" s="31" t="n">
        <v>12999</v>
      </c>
      <c r="E835" s="31" t="n">
        <v>45669</v>
      </c>
      <c r="F835" s="32" t="s">
        <v>5475</v>
      </c>
      <c r="G835" s="0" t="n">
        <v>3</v>
      </c>
      <c r="H835" s="32" t="s">
        <v>5337</v>
      </c>
      <c r="I835" s="32" t="s">
        <v>4746</v>
      </c>
      <c r="J835" s="32" t="s">
        <v>3749</v>
      </c>
      <c r="K835" s="32" t="s">
        <v>2081</v>
      </c>
      <c r="L835" s="0" t="n">
        <v>175</v>
      </c>
      <c r="M835" s="32" t="s">
        <v>4219</v>
      </c>
      <c r="N835" s="32" t="s">
        <v>3751</v>
      </c>
      <c r="O835" s="32" t="n">
        <f aca="false">IF(I835="","",ROUND(MOD(TIMEVALUE(I835)-TIMEVALUE(F835),1)*1440,0))</f>
        <v>175</v>
      </c>
      <c r="P835" s="0" t="str">
        <f aca="false">IF(COUNTIF($A$2:A835,A835)&gt;1,"DUP","")</f>
        <v/>
      </c>
      <c r="Q835" s="0" t="str">
        <f aca="false">IF(O835="","",IF(O835&gt;240,"Y","N"))</f>
        <v>N</v>
      </c>
    </row>
    <row r="836" customFormat="false" ht="15" hidden="false" customHeight="false" outlineLevel="0" collapsed="false">
      <c r="A836" s="0" t="s">
        <v>6070</v>
      </c>
      <c r="B836" s="0" t="s">
        <v>4070</v>
      </c>
      <c r="C836" s="0" t="s">
        <v>934</v>
      </c>
      <c r="D836" s="31" t="n">
        <v>37306</v>
      </c>
      <c r="E836" s="31" t="n">
        <v>45665</v>
      </c>
      <c r="F836" s="32" t="s">
        <v>6071</v>
      </c>
      <c r="G836" s="0" t="n">
        <v>3</v>
      </c>
      <c r="H836" s="32" t="s">
        <v>4011</v>
      </c>
      <c r="I836" s="32" t="s">
        <v>6068</v>
      </c>
      <c r="J836" s="32" t="s">
        <v>2307</v>
      </c>
      <c r="K836" s="32" t="s">
        <v>2081</v>
      </c>
      <c r="L836" s="0" t="n">
        <v>108</v>
      </c>
      <c r="M836" s="32" t="s">
        <v>3887</v>
      </c>
      <c r="N836" s="32" t="s">
        <v>1455</v>
      </c>
      <c r="O836" s="32" t="n">
        <f aca="false">IF(I836="","",ROUND(MOD(TIMEVALUE(I836)-TIMEVALUE(F836),1)*1440,0))</f>
        <v>108</v>
      </c>
      <c r="P836" s="0" t="str">
        <f aca="false">IF(COUNTIF($A$2:A836,A836)&gt;1,"DUP","")</f>
        <v/>
      </c>
      <c r="Q836" s="0" t="str">
        <f aca="false">IF(O836="","",IF(O836&gt;240,"Y","N"))</f>
        <v>N</v>
      </c>
    </row>
    <row r="837" customFormat="false" ht="15" hidden="false" customHeight="false" outlineLevel="0" collapsed="false">
      <c r="A837" s="0" t="s">
        <v>6072</v>
      </c>
      <c r="B837" s="0" t="s">
        <v>4831</v>
      </c>
      <c r="C837" s="0" t="s">
        <v>985</v>
      </c>
      <c r="D837" s="31" t="n">
        <v>31587</v>
      </c>
      <c r="E837" s="31" t="n">
        <v>45640</v>
      </c>
      <c r="F837" s="32" t="s">
        <v>5256</v>
      </c>
      <c r="G837" s="0" t="n">
        <v>4</v>
      </c>
      <c r="H837" s="32" t="s">
        <v>5699</v>
      </c>
      <c r="I837" s="32" t="s">
        <v>5400</v>
      </c>
      <c r="J837" s="32" t="s">
        <v>3763</v>
      </c>
      <c r="K837" s="32" t="s">
        <v>2106</v>
      </c>
      <c r="L837" s="0" t="n">
        <v>253</v>
      </c>
      <c r="M837" s="32" t="s">
        <v>4313</v>
      </c>
      <c r="N837" s="32" t="s">
        <v>3751</v>
      </c>
      <c r="O837" s="32" t="n">
        <f aca="false">IF(I837="","",ROUND(MOD(TIMEVALUE(I837)-TIMEVALUE(F837),1)*1440,0))</f>
        <v>253</v>
      </c>
      <c r="P837" s="0" t="str">
        <f aca="false">IF(COUNTIF($A$2:A837,A837)&gt;1,"DUP","")</f>
        <v/>
      </c>
      <c r="Q837" s="0" t="str">
        <f aca="false">IF(O837="","",IF(O837&gt;240,"Y","N"))</f>
        <v>Y</v>
      </c>
    </row>
    <row r="838" customFormat="false" ht="15" hidden="false" customHeight="false" outlineLevel="0" collapsed="false">
      <c r="A838" s="0" t="s">
        <v>6073</v>
      </c>
      <c r="B838" s="0" t="s">
        <v>4694</v>
      </c>
      <c r="C838" s="0" t="s">
        <v>1005</v>
      </c>
      <c r="D838" s="31" t="n">
        <v>27465</v>
      </c>
      <c r="E838" s="31" t="n">
        <v>45640</v>
      </c>
      <c r="F838" s="32" t="s">
        <v>5206</v>
      </c>
      <c r="G838" s="0" t="n">
        <v>5</v>
      </c>
      <c r="H838" s="32" t="s">
        <v>5063</v>
      </c>
      <c r="I838" s="32" t="s">
        <v>4371</v>
      </c>
      <c r="J838" s="32" t="s">
        <v>3749</v>
      </c>
      <c r="K838" s="32" t="s">
        <v>2081</v>
      </c>
      <c r="L838" s="0" t="n">
        <v>204</v>
      </c>
      <c r="M838" s="32" t="s">
        <v>3750</v>
      </c>
      <c r="N838" s="32" t="s">
        <v>3751</v>
      </c>
      <c r="O838" s="32" t="n">
        <f aca="false">IF(I838="","",ROUND(MOD(TIMEVALUE(I838)-TIMEVALUE(F838),1)*1440,0))</f>
        <v>204</v>
      </c>
      <c r="P838" s="0" t="str">
        <f aca="false">IF(COUNTIF($A$2:A838,A838)&gt;1,"DUP","")</f>
        <v/>
      </c>
      <c r="Q838" s="0" t="str">
        <f aca="false">IF(O838="","",IF(O838&gt;240,"Y","N"))</f>
        <v>N</v>
      </c>
    </row>
    <row r="839" customFormat="false" ht="15" hidden="false" customHeight="false" outlineLevel="0" collapsed="false">
      <c r="A839" s="0" t="s">
        <v>6074</v>
      </c>
      <c r="B839" s="0" t="s">
        <v>4527</v>
      </c>
      <c r="C839" s="0" t="s">
        <v>989</v>
      </c>
      <c r="D839" s="31" t="n">
        <v>31560</v>
      </c>
      <c r="E839" s="31" t="n">
        <v>45611</v>
      </c>
      <c r="F839" s="32" t="s">
        <v>5569</v>
      </c>
      <c r="G839" s="0" t="n">
        <v>4</v>
      </c>
      <c r="I839" s="32" t="s">
        <v>4275</v>
      </c>
      <c r="J839" s="32" t="s">
        <v>3749</v>
      </c>
      <c r="K839" s="32" t="s">
        <v>2081</v>
      </c>
      <c r="L839" s="0" t="n">
        <v>229</v>
      </c>
      <c r="M839" s="32" t="s">
        <v>3887</v>
      </c>
      <c r="N839" s="32" t="s">
        <v>3751</v>
      </c>
      <c r="O839" s="32" t="n">
        <f aca="false">IF(I839="","",ROUND(MOD(TIMEVALUE(I839)-TIMEVALUE(F839),1)*1440,0))</f>
        <v>229</v>
      </c>
      <c r="P839" s="0" t="str">
        <f aca="false">IF(COUNTIF($A$2:A839,A839)&gt;1,"DUP","")</f>
        <v/>
      </c>
      <c r="Q839" s="0" t="str">
        <f aca="false">IF(O839="","",IF(O839&gt;240,"Y","N"))</f>
        <v>N</v>
      </c>
    </row>
    <row r="840" customFormat="false" ht="15" hidden="false" customHeight="false" outlineLevel="0" collapsed="false">
      <c r="A840" s="0" t="s">
        <v>6075</v>
      </c>
      <c r="B840" s="0" t="s">
        <v>5782</v>
      </c>
      <c r="C840" s="0" t="s">
        <v>1005</v>
      </c>
      <c r="D840" s="31" t="n">
        <v>32572</v>
      </c>
      <c r="E840" s="31" t="n">
        <v>45640</v>
      </c>
      <c r="F840" s="32" t="s">
        <v>4177</v>
      </c>
      <c r="G840" s="0" t="n">
        <v>3</v>
      </c>
      <c r="H840" s="32" t="s">
        <v>5278</v>
      </c>
      <c r="I840" s="32" t="s">
        <v>5126</v>
      </c>
      <c r="J840" s="32" t="s">
        <v>3749</v>
      </c>
      <c r="K840" s="32" t="s">
        <v>2081</v>
      </c>
      <c r="L840" s="0" t="n">
        <v>169</v>
      </c>
      <c r="M840" s="32" t="s">
        <v>4122</v>
      </c>
      <c r="N840" s="32" t="s">
        <v>3751</v>
      </c>
      <c r="O840" s="32" t="n">
        <f aca="false">IF(I840="","",ROUND(MOD(TIMEVALUE(I840)-TIMEVALUE(F840),1)*1440,0))</f>
        <v>169</v>
      </c>
      <c r="P840" s="0" t="str">
        <f aca="false">IF(COUNTIF($A$2:A840,A840)&gt;1,"DUP","")</f>
        <v/>
      </c>
      <c r="Q840" s="0" t="str">
        <f aca="false">IF(O840="","",IF(O840&gt;240,"Y","N"))</f>
        <v>N</v>
      </c>
    </row>
    <row r="841" customFormat="false" ht="15" hidden="false" customHeight="false" outlineLevel="0" collapsed="false">
      <c r="A841" s="0" t="s">
        <v>6076</v>
      </c>
      <c r="B841" s="0" t="s">
        <v>5101</v>
      </c>
      <c r="C841" s="0" t="s">
        <v>898</v>
      </c>
      <c r="D841" s="31" t="n">
        <v>30489</v>
      </c>
      <c r="E841" s="31" t="n">
        <v>45609</v>
      </c>
      <c r="F841" s="32" t="s">
        <v>4861</v>
      </c>
      <c r="G841" s="0" t="n">
        <v>4</v>
      </c>
      <c r="H841" s="32" t="s">
        <v>6077</v>
      </c>
      <c r="I841" s="32" t="s">
        <v>4664</v>
      </c>
      <c r="J841" s="32" t="s">
        <v>3763</v>
      </c>
      <c r="K841" s="32" t="s">
        <v>2081</v>
      </c>
      <c r="L841" s="0" t="n">
        <v>171</v>
      </c>
      <c r="M841" s="32" t="s">
        <v>4582</v>
      </c>
      <c r="N841" s="32" t="s">
        <v>3751</v>
      </c>
      <c r="O841" s="32" t="n">
        <f aca="false">IF(I841="","",ROUND(MOD(TIMEVALUE(I841)-TIMEVALUE(F841),1)*1440,0))</f>
        <v>171</v>
      </c>
      <c r="P841" s="0" t="str">
        <f aca="false">IF(COUNTIF($A$2:A841,A841)&gt;1,"DUP","")</f>
        <v/>
      </c>
      <c r="Q841" s="0" t="str">
        <f aca="false">IF(O841="","",IF(O841&gt;240,"Y","N"))</f>
        <v>N</v>
      </c>
    </row>
    <row r="842" customFormat="false" ht="15" hidden="false" customHeight="false" outlineLevel="0" collapsed="false">
      <c r="A842" s="0" t="s">
        <v>6078</v>
      </c>
      <c r="B842" s="0" t="s">
        <v>5511</v>
      </c>
      <c r="C842" s="0" t="s">
        <v>1005</v>
      </c>
      <c r="D842" s="31" t="n">
        <v>32459</v>
      </c>
      <c r="E842" s="31" t="n">
        <v>45592</v>
      </c>
      <c r="F842" s="32" t="s">
        <v>3933</v>
      </c>
      <c r="G842" s="0" t="n">
        <v>3</v>
      </c>
      <c r="H842" s="32" t="s">
        <v>3979</v>
      </c>
      <c r="I842" s="32" t="s">
        <v>4490</v>
      </c>
      <c r="J842" s="32" t="s">
        <v>3749</v>
      </c>
      <c r="K842" s="32" t="s">
        <v>2081</v>
      </c>
      <c r="L842" s="0" t="n">
        <v>233</v>
      </c>
      <c r="M842" s="32" t="s">
        <v>4255</v>
      </c>
      <c r="N842" s="32" t="s">
        <v>3751</v>
      </c>
      <c r="O842" s="32" t="n">
        <f aca="false">IF(I842="","",ROUND(MOD(TIMEVALUE(I842)-TIMEVALUE(F842),1)*1440,0))</f>
        <v>233</v>
      </c>
      <c r="P842" s="0" t="str">
        <f aca="false">IF(COUNTIF($A$2:A842,A842)&gt;1,"DUP","")</f>
        <v/>
      </c>
      <c r="Q842" s="0" t="str">
        <f aca="false">IF(O842="","",IF(O842&gt;240,"Y","N"))</f>
        <v>N</v>
      </c>
    </row>
    <row r="843" customFormat="false" ht="15" hidden="false" customHeight="false" outlineLevel="0" collapsed="false">
      <c r="A843" s="0" t="s">
        <v>6079</v>
      </c>
      <c r="B843" s="0" t="s">
        <v>4854</v>
      </c>
      <c r="C843" s="0" t="s">
        <v>930</v>
      </c>
      <c r="D843" s="31" t="n">
        <v>15862</v>
      </c>
      <c r="E843" s="31" t="n">
        <v>45686</v>
      </c>
      <c r="F843" s="32" t="s">
        <v>4968</v>
      </c>
      <c r="G843" s="0" t="n">
        <v>4</v>
      </c>
      <c r="H843" s="32" t="s">
        <v>5429</v>
      </c>
      <c r="I843" s="32" t="s">
        <v>4551</v>
      </c>
      <c r="J843" s="32" t="s">
        <v>2307</v>
      </c>
      <c r="K843" s="32" t="s">
        <v>2081</v>
      </c>
      <c r="L843" s="0" t="n">
        <v>67</v>
      </c>
      <c r="M843" s="32" t="s">
        <v>3866</v>
      </c>
      <c r="N843" s="32" t="s">
        <v>3751</v>
      </c>
      <c r="O843" s="32" t="n">
        <f aca="false">IF(I843="","",ROUND(MOD(TIMEVALUE(I843)-TIMEVALUE(F843),1)*1440,0))</f>
        <v>67</v>
      </c>
      <c r="P843" s="0" t="str">
        <f aca="false">IF(COUNTIF($A$2:A843,A843)&gt;1,"DUP","")</f>
        <v/>
      </c>
      <c r="Q843" s="0" t="str">
        <f aca="false">IF(O843="","",IF(O843&gt;240,"Y","N"))</f>
        <v>N</v>
      </c>
    </row>
    <row r="844" customFormat="false" ht="15" hidden="false" customHeight="false" outlineLevel="0" collapsed="false">
      <c r="A844" s="0" t="s">
        <v>6080</v>
      </c>
      <c r="C844" s="0" t="s">
        <v>1460</v>
      </c>
      <c r="D844" s="31" t="n">
        <v>13539</v>
      </c>
      <c r="E844" s="31" t="n">
        <v>45578</v>
      </c>
      <c r="F844" s="32" t="s">
        <v>3909</v>
      </c>
      <c r="G844" s="0" t="n">
        <v>3</v>
      </c>
      <c r="H844" s="32" t="s">
        <v>4346</v>
      </c>
      <c r="I844" s="32" t="s">
        <v>4278</v>
      </c>
      <c r="J844" s="32" t="s">
        <v>3749</v>
      </c>
      <c r="K844" s="32" t="s">
        <v>2106</v>
      </c>
      <c r="L844" s="0" t="n">
        <v>596</v>
      </c>
      <c r="M844" s="32" t="s">
        <v>3787</v>
      </c>
      <c r="N844" s="32" t="s">
        <v>3751</v>
      </c>
      <c r="O844" s="32" t="n">
        <f aca="false">IF(I844="","",ROUND(MOD(TIMEVALUE(I844)-TIMEVALUE(F844),1)*1440,0))</f>
        <v>596</v>
      </c>
      <c r="P844" s="0" t="str">
        <f aca="false">IF(COUNTIF($A$2:A844,A844)&gt;1,"DUP","")</f>
        <v/>
      </c>
      <c r="Q844" s="0" t="str">
        <f aca="false">IF(O844="","",IF(O844&gt;240,"Y","N"))</f>
        <v>Y</v>
      </c>
    </row>
    <row r="845" customFormat="false" ht="15" hidden="false" customHeight="false" outlineLevel="0" collapsed="false">
      <c r="A845" s="0" t="s">
        <v>6081</v>
      </c>
      <c r="B845" s="0" t="s">
        <v>5865</v>
      </c>
      <c r="C845" s="0" t="s">
        <v>2178</v>
      </c>
      <c r="D845" s="31" t="n">
        <v>27176</v>
      </c>
      <c r="E845" s="31" t="n">
        <v>45674</v>
      </c>
      <c r="F845" s="32" t="s">
        <v>6082</v>
      </c>
      <c r="G845" s="0" t="n">
        <v>4</v>
      </c>
      <c r="H845" s="32" t="s">
        <v>4881</v>
      </c>
      <c r="I845" s="32" t="s">
        <v>4127</v>
      </c>
      <c r="J845" s="32" t="s">
        <v>3763</v>
      </c>
      <c r="K845" s="32" t="s">
        <v>2081</v>
      </c>
      <c r="L845" s="0" t="n">
        <v>153</v>
      </c>
      <c r="M845" s="32" t="s">
        <v>4141</v>
      </c>
      <c r="N845" s="32" t="s">
        <v>3751</v>
      </c>
      <c r="O845" s="32" t="n">
        <f aca="false">IF(I845="","",ROUND(MOD(TIMEVALUE(I845)-TIMEVALUE(F845),1)*1440,0))</f>
        <v>153</v>
      </c>
      <c r="P845" s="0" t="str">
        <f aca="false">IF(COUNTIF($A$2:A845,A845)&gt;1,"DUP","")</f>
        <v/>
      </c>
      <c r="Q845" s="0" t="str">
        <f aca="false">IF(O845="","",IF(O845&gt;240,"Y","N"))</f>
        <v>N</v>
      </c>
    </row>
    <row r="846" customFormat="false" ht="15" hidden="false" customHeight="false" outlineLevel="0" collapsed="false">
      <c r="A846" s="0" t="s">
        <v>6083</v>
      </c>
      <c r="B846" s="0" t="s">
        <v>4273</v>
      </c>
      <c r="C846" s="0" t="s">
        <v>950</v>
      </c>
      <c r="D846" s="31" t="n">
        <v>37472</v>
      </c>
      <c r="E846" s="31" t="n">
        <v>45672</v>
      </c>
      <c r="F846" s="32" t="s">
        <v>6084</v>
      </c>
      <c r="G846" s="0" t="n">
        <v>3</v>
      </c>
      <c r="H846" s="32" t="s">
        <v>3832</v>
      </c>
      <c r="I846" s="32" t="s">
        <v>5562</v>
      </c>
      <c r="J846" s="32" t="s">
        <v>2307</v>
      </c>
      <c r="K846" s="32" t="s">
        <v>2081</v>
      </c>
      <c r="L846" s="0" t="n">
        <v>174</v>
      </c>
      <c r="M846" s="32" t="s">
        <v>3902</v>
      </c>
      <c r="N846" s="32" t="s">
        <v>3751</v>
      </c>
      <c r="O846" s="32" t="n">
        <f aca="false">IF(I846="","",ROUND(MOD(TIMEVALUE(I846)-TIMEVALUE(F846),1)*1440,0))</f>
        <v>174</v>
      </c>
      <c r="P846" s="0" t="str">
        <f aca="false">IF(COUNTIF($A$2:A846,A846)&gt;1,"DUP","")</f>
        <v/>
      </c>
      <c r="Q846" s="0" t="str">
        <f aca="false">IF(O846="","",IF(O846&gt;240,"Y","N"))</f>
        <v>N</v>
      </c>
    </row>
    <row r="847" customFormat="false" ht="15" hidden="false" customHeight="false" outlineLevel="0" collapsed="false">
      <c r="A847" s="0" t="s">
        <v>6085</v>
      </c>
      <c r="B847" s="0" t="s">
        <v>5575</v>
      </c>
      <c r="C847" s="0" t="s">
        <v>1419</v>
      </c>
      <c r="D847" s="31" t="n">
        <v>28019</v>
      </c>
      <c r="E847" s="31" t="n">
        <v>45733</v>
      </c>
      <c r="F847" s="32" t="s">
        <v>3907</v>
      </c>
      <c r="G847" s="0" t="n">
        <v>3</v>
      </c>
      <c r="H847" s="32" t="s">
        <v>6086</v>
      </c>
      <c r="I847" s="32" t="s">
        <v>4325</v>
      </c>
      <c r="J847" s="32" t="s">
        <v>3749</v>
      </c>
      <c r="K847" s="32" t="s">
        <v>2081</v>
      </c>
      <c r="L847" s="0" t="n">
        <v>195</v>
      </c>
      <c r="M847" s="32" t="s">
        <v>3750</v>
      </c>
      <c r="N847" s="32" t="s">
        <v>3751</v>
      </c>
      <c r="O847" s="32" t="n">
        <f aca="false">IF(I847="","",ROUND(MOD(TIMEVALUE(I847)-TIMEVALUE(F847),1)*1440,0))</f>
        <v>195</v>
      </c>
      <c r="P847" s="0" t="str">
        <f aca="false">IF(COUNTIF($A$2:A847,A847)&gt;1,"DUP","")</f>
        <v/>
      </c>
      <c r="Q847" s="0" t="str">
        <f aca="false">IF(O847="","",IF(O847&gt;240,"Y","N"))</f>
        <v>N</v>
      </c>
    </row>
    <row r="848" customFormat="false" ht="15" hidden="false" customHeight="false" outlineLevel="0" collapsed="false">
      <c r="A848" s="0" t="s">
        <v>6087</v>
      </c>
      <c r="B848" s="0" t="s">
        <v>5262</v>
      </c>
      <c r="C848" s="0" t="s">
        <v>938</v>
      </c>
      <c r="D848" s="31" t="n">
        <v>18935</v>
      </c>
      <c r="E848" s="31" t="n">
        <v>45617</v>
      </c>
      <c r="F848" s="32" t="s">
        <v>4751</v>
      </c>
      <c r="G848" s="0" t="n">
        <v>5</v>
      </c>
      <c r="H848" s="32" t="s">
        <v>4892</v>
      </c>
      <c r="I848" s="32" t="s">
        <v>4566</v>
      </c>
      <c r="J848" s="32" t="s">
        <v>3763</v>
      </c>
      <c r="K848" s="32" t="s">
        <v>2081</v>
      </c>
      <c r="L848" s="0" t="n">
        <v>82</v>
      </c>
      <c r="M848" s="32" t="s">
        <v>3993</v>
      </c>
      <c r="N848" s="32" t="s">
        <v>3751</v>
      </c>
      <c r="O848" s="32" t="n">
        <f aca="false">IF(I848="","",ROUND(MOD(TIMEVALUE(I848)-TIMEVALUE(F848),1)*1440,0))</f>
        <v>82</v>
      </c>
      <c r="P848" s="0" t="str">
        <f aca="false">IF(COUNTIF($A$2:A848,A848)&gt;1,"DUP","")</f>
        <v/>
      </c>
      <c r="Q848" s="0" t="str">
        <f aca="false">IF(O848="","",IF(O848&gt;240,"Y","N"))</f>
        <v>N</v>
      </c>
    </row>
    <row r="849" customFormat="false" ht="15" hidden="false" customHeight="false" outlineLevel="0" collapsed="false">
      <c r="A849" s="0" t="s">
        <v>6088</v>
      </c>
      <c r="B849" s="0" t="s">
        <v>5740</v>
      </c>
      <c r="C849" s="0" t="s">
        <v>857</v>
      </c>
      <c r="D849" s="31" t="n">
        <v>36312</v>
      </c>
      <c r="E849" s="31" t="n">
        <v>45660</v>
      </c>
      <c r="F849" s="32" t="s">
        <v>3779</v>
      </c>
      <c r="G849" s="0" t="n">
        <v>3</v>
      </c>
      <c r="H849" s="32" t="s">
        <v>3755</v>
      </c>
      <c r="I849" s="32" t="s">
        <v>4835</v>
      </c>
      <c r="J849" s="32" t="s">
        <v>3749</v>
      </c>
      <c r="K849" s="32" t="s">
        <v>2081</v>
      </c>
      <c r="L849" s="0" t="n">
        <v>136</v>
      </c>
      <c r="M849" s="32" t="s">
        <v>4106</v>
      </c>
      <c r="N849" s="32" t="s">
        <v>3751</v>
      </c>
      <c r="O849" s="32" t="n">
        <f aca="false">IF(I849="","",ROUND(MOD(TIMEVALUE(I849)-TIMEVALUE(F849),1)*1440,0))</f>
        <v>136</v>
      </c>
      <c r="P849" s="0" t="str">
        <f aca="false">IF(COUNTIF($A$2:A849,A849)&gt;1,"DUP","")</f>
        <v/>
      </c>
      <c r="Q849" s="0" t="str">
        <f aca="false">IF(O849="","",IF(O849&gt;240,"Y","N"))</f>
        <v>N</v>
      </c>
    </row>
    <row r="850" customFormat="false" ht="15" hidden="false" customHeight="false" outlineLevel="0" collapsed="false">
      <c r="A850" s="0" t="s">
        <v>6089</v>
      </c>
      <c r="B850" s="0" t="s">
        <v>4079</v>
      </c>
      <c r="C850" s="0" t="s">
        <v>833</v>
      </c>
      <c r="D850" s="31" t="n">
        <v>20379</v>
      </c>
      <c r="E850" s="31" t="n">
        <v>45584</v>
      </c>
      <c r="F850" s="32" t="s">
        <v>5362</v>
      </c>
      <c r="G850" s="0" t="n">
        <v>3</v>
      </c>
      <c r="H850" s="32" t="s">
        <v>6039</v>
      </c>
      <c r="I850" s="32" t="s">
        <v>3956</v>
      </c>
      <c r="J850" s="32" t="s">
        <v>3749</v>
      </c>
      <c r="K850" s="32" t="s">
        <v>2081</v>
      </c>
      <c r="L850" s="0" t="n">
        <v>48</v>
      </c>
      <c r="M850" s="32" t="s">
        <v>3877</v>
      </c>
      <c r="N850" s="32" t="s">
        <v>3751</v>
      </c>
      <c r="O850" s="32" t="n">
        <f aca="false">IF(I850="","",ROUND(MOD(TIMEVALUE(I850)-TIMEVALUE(F850),1)*1440,0))</f>
        <v>48</v>
      </c>
      <c r="P850" s="0" t="str">
        <f aca="false">IF(COUNTIF($A$2:A850,A850)&gt;1,"DUP","")</f>
        <v/>
      </c>
      <c r="Q850" s="0" t="str">
        <f aca="false">IF(O850="","",IF(O850&gt;240,"Y","N"))</f>
        <v>N</v>
      </c>
    </row>
    <row r="851" customFormat="false" ht="15" hidden="false" customHeight="false" outlineLevel="0" collapsed="false">
      <c r="A851" s="0" t="s">
        <v>6090</v>
      </c>
      <c r="B851" s="0" t="s">
        <v>4377</v>
      </c>
      <c r="C851" s="0" t="s">
        <v>966</v>
      </c>
      <c r="D851" s="31" t="n">
        <v>20042</v>
      </c>
      <c r="E851" s="31" t="n">
        <v>45583</v>
      </c>
      <c r="F851" s="32" t="s">
        <v>6091</v>
      </c>
      <c r="G851" s="0" t="n">
        <v>4</v>
      </c>
      <c r="H851" s="32" t="s">
        <v>5073</v>
      </c>
      <c r="I851" s="32" t="s">
        <v>4704</v>
      </c>
      <c r="J851" s="32" t="s">
        <v>3749</v>
      </c>
      <c r="K851" s="32" t="s">
        <v>2081</v>
      </c>
      <c r="L851" s="0" t="n">
        <v>40</v>
      </c>
      <c r="M851" s="32" t="s">
        <v>3882</v>
      </c>
      <c r="N851" s="32" t="s">
        <v>3751</v>
      </c>
      <c r="O851" s="32" t="n">
        <f aca="false">IF(I851="","",ROUND(MOD(TIMEVALUE(I851)-TIMEVALUE(F851),1)*1440,0))</f>
        <v>40</v>
      </c>
      <c r="P851" s="0" t="str">
        <f aca="false">IF(COUNTIF($A$2:A851,A851)&gt;1,"DUP","")</f>
        <v/>
      </c>
      <c r="Q851" s="0" t="str">
        <f aca="false">IF(O851="","",IF(O851&gt;240,"Y","N"))</f>
        <v>N</v>
      </c>
    </row>
    <row r="852" customFormat="false" ht="15" hidden="false" customHeight="false" outlineLevel="0" collapsed="false">
      <c r="A852" s="0" t="s">
        <v>6092</v>
      </c>
      <c r="B852" s="0" t="s">
        <v>5395</v>
      </c>
      <c r="C852" s="0" t="s">
        <v>958</v>
      </c>
      <c r="D852" s="31" t="n">
        <v>13168</v>
      </c>
      <c r="E852" s="31" t="n">
        <v>45605</v>
      </c>
      <c r="F852" s="32" t="s">
        <v>4861</v>
      </c>
      <c r="G852" s="0" t="n">
        <v>1</v>
      </c>
      <c r="H852" s="32" t="s">
        <v>3864</v>
      </c>
      <c r="I852" s="32" t="s">
        <v>4456</v>
      </c>
      <c r="J852" s="32" t="s">
        <v>3763</v>
      </c>
      <c r="K852" s="32" t="s">
        <v>2081</v>
      </c>
      <c r="L852" s="0" t="n">
        <v>146</v>
      </c>
      <c r="M852" s="32" t="s">
        <v>3946</v>
      </c>
      <c r="N852" s="32" t="s">
        <v>3751</v>
      </c>
      <c r="O852" s="32" t="n">
        <f aca="false">IF(I852="","",ROUND(MOD(TIMEVALUE(I852)-TIMEVALUE(F852),1)*1440,0))</f>
        <v>146</v>
      </c>
      <c r="P852" s="0" t="str">
        <f aca="false">IF(COUNTIF($A$2:A852,A852)&gt;1,"DUP","")</f>
        <v/>
      </c>
      <c r="Q852" s="0" t="str">
        <f aca="false">IF(O852="","",IF(O852&gt;240,"Y","N"))</f>
        <v>N</v>
      </c>
    </row>
    <row r="853" customFormat="false" ht="15" hidden="false" customHeight="false" outlineLevel="0" collapsed="false">
      <c r="A853" s="0" t="s">
        <v>6093</v>
      </c>
      <c r="C853" s="0" t="s">
        <v>970</v>
      </c>
      <c r="D853" s="31" t="n">
        <v>36060</v>
      </c>
      <c r="E853" s="31" t="n">
        <v>45660</v>
      </c>
      <c r="F853" s="32" t="s">
        <v>4181</v>
      </c>
      <c r="G853" s="0" t="n">
        <v>4</v>
      </c>
      <c r="H853" s="32" t="s">
        <v>5322</v>
      </c>
      <c r="I853" s="32" t="s">
        <v>6094</v>
      </c>
      <c r="J853" s="32" t="s">
        <v>2307</v>
      </c>
      <c r="K853" s="32" t="s">
        <v>2081</v>
      </c>
      <c r="L853" s="0" t="n">
        <v>159</v>
      </c>
      <c r="M853" s="32" t="s">
        <v>3750</v>
      </c>
      <c r="N853" s="32" t="s">
        <v>3751</v>
      </c>
      <c r="O853" s="32" t="n">
        <f aca="false">IF(I853="","",ROUND(MOD(TIMEVALUE(I853)-TIMEVALUE(F853),1)*1440,0))</f>
        <v>159</v>
      </c>
      <c r="P853" s="0" t="str">
        <f aca="false">IF(COUNTIF($A$2:A853,A853)&gt;1,"DUP","")</f>
        <v/>
      </c>
      <c r="Q853" s="0" t="str">
        <f aca="false">IF(O853="","",IF(O853&gt;240,"Y","N"))</f>
        <v>N</v>
      </c>
    </row>
    <row r="854" customFormat="false" ht="15" hidden="false" customHeight="false" outlineLevel="0" collapsed="false">
      <c r="A854" s="0" t="s">
        <v>6095</v>
      </c>
      <c r="B854" s="0" t="s">
        <v>4773</v>
      </c>
      <c r="C854" s="0" t="s">
        <v>1029</v>
      </c>
      <c r="D854" s="31" t="n">
        <v>14027</v>
      </c>
      <c r="E854" s="31" t="n">
        <v>45712</v>
      </c>
      <c r="F854" s="32" t="s">
        <v>5585</v>
      </c>
      <c r="G854" s="0" t="n">
        <v>3</v>
      </c>
      <c r="H854" s="32" t="s">
        <v>6096</v>
      </c>
      <c r="I854" s="32" t="s">
        <v>5302</v>
      </c>
      <c r="J854" s="32" t="s">
        <v>2307</v>
      </c>
      <c r="K854" s="32" t="s">
        <v>2081</v>
      </c>
      <c r="L854" s="0" t="n">
        <v>199</v>
      </c>
      <c r="M854" s="32" t="s">
        <v>4141</v>
      </c>
      <c r="N854" s="32" t="s">
        <v>3751</v>
      </c>
      <c r="O854" s="32" t="n">
        <f aca="false">IF(I854="","",ROUND(MOD(TIMEVALUE(I854)-TIMEVALUE(F854),1)*1440,0))</f>
        <v>199</v>
      </c>
      <c r="P854" s="0" t="str">
        <f aca="false">IF(COUNTIF($A$2:A854,A854)&gt;1,"DUP","")</f>
        <v/>
      </c>
      <c r="Q854" s="0" t="str">
        <f aca="false">IF(O854="","",IF(O854&gt;240,"Y","N"))</f>
        <v>N</v>
      </c>
    </row>
    <row r="855" customFormat="false" ht="15" hidden="false" customHeight="false" outlineLevel="0" collapsed="false">
      <c r="A855" s="0" t="s">
        <v>6097</v>
      </c>
      <c r="C855" s="0" t="s">
        <v>792</v>
      </c>
      <c r="D855" s="31" t="n">
        <v>22662</v>
      </c>
      <c r="E855" s="31" t="n">
        <v>45661</v>
      </c>
      <c r="F855" s="32" t="s">
        <v>3837</v>
      </c>
      <c r="G855" s="0" t="n">
        <v>4</v>
      </c>
      <c r="H855" s="32" t="s">
        <v>6098</v>
      </c>
      <c r="I855" s="32" t="s">
        <v>4722</v>
      </c>
      <c r="J855" s="32" t="s">
        <v>3749</v>
      </c>
      <c r="K855" s="32" t="s">
        <v>2106</v>
      </c>
      <c r="L855" s="0" t="n">
        <v>390</v>
      </c>
      <c r="M855" s="32" t="s">
        <v>4295</v>
      </c>
      <c r="N855" s="32" t="s">
        <v>3751</v>
      </c>
      <c r="O855" s="32" t="n">
        <f aca="false">IF(I855="","",ROUND(MOD(TIMEVALUE(I855)-TIMEVALUE(F855),1)*1440,0))</f>
        <v>390</v>
      </c>
      <c r="P855" s="0" t="str">
        <f aca="false">IF(COUNTIF($A$2:A855,A855)&gt;1,"DUP","")</f>
        <v/>
      </c>
      <c r="Q855" s="0" t="str">
        <f aca="false">IF(O855="","",IF(O855&gt;240,"Y","N"))</f>
        <v>Y</v>
      </c>
    </row>
    <row r="856" customFormat="false" ht="15" hidden="false" customHeight="false" outlineLevel="0" collapsed="false">
      <c r="A856" s="0" t="s">
        <v>6099</v>
      </c>
      <c r="B856" s="0" t="s">
        <v>5283</v>
      </c>
      <c r="C856" s="0" t="s">
        <v>775</v>
      </c>
      <c r="D856" s="31" t="n">
        <v>14561</v>
      </c>
      <c r="E856" s="31" t="n">
        <v>45600</v>
      </c>
      <c r="F856" s="32" t="s">
        <v>5602</v>
      </c>
      <c r="G856" s="0" t="n">
        <v>4</v>
      </c>
      <c r="H856" s="32" t="s">
        <v>4677</v>
      </c>
      <c r="I856" s="32" t="s">
        <v>4387</v>
      </c>
      <c r="J856" s="32" t="s">
        <v>3749</v>
      </c>
      <c r="K856" s="32" t="s">
        <v>2081</v>
      </c>
      <c r="L856" s="0" t="n">
        <v>100</v>
      </c>
      <c r="M856" s="32" t="s">
        <v>4114</v>
      </c>
      <c r="N856" s="32" t="s">
        <v>3751</v>
      </c>
      <c r="O856" s="32" t="n">
        <f aca="false">IF(I856="","",ROUND(MOD(TIMEVALUE(I856)-TIMEVALUE(F856),1)*1440,0))</f>
        <v>100</v>
      </c>
      <c r="P856" s="0" t="str">
        <f aca="false">IF(COUNTIF($A$2:A856,A856)&gt;1,"DUP","")</f>
        <v/>
      </c>
      <c r="Q856" s="0" t="str">
        <f aca="false">IF(O856="","",IF(O856&gt;240,"Y","N"))</f>
        <v>N</v>
      </c>
    </row>
    <row r="857" customFormat="false" ht="15" hidden="false" customHeight="false" outlineLevel="0" collapsed="false">
      <c r="A857" s="0" t="s">
        <v>6100</v>
      </c>
      <c r="B857" s="0" t="s">
        <v>4008</v>
      </c>
      <c r="C857" s="0" t="s">
        <v>1460</v>
      </c>
      <c r="D857" s="31" t="n">
        <v>32491</v>
      </c>
      <c r="E857" s="31" t="n">
        <v>45735</v>
      </c>
      <c r="F857" s="32" t="s">
        <v>5556</v>
      </c>
      <c r="G857" s="0" t="n">
        <v>5</v>
      </c>
      <c r="H857" s="32" t="s">
        <v>5257</v>
      </c>
      <c r="I857" s="32" t="s">
        <v>4547</v>
      </c>
      <c r="J857" s="32" t="s">
        <v>2307</v>
      </c>
      <c r="K857" s="32" t="s">
        <v>2081</v>
      </c>
      <c r="L857" s="0" t="n">
        <v>115</v>
      </c>
      <c r="M857" s="32" t="s">
        <v>3787</v>
      </c>
      <c r="N857" s="32" t="s">
        <v>3751</v>
      </c>
      <c r="O857" s="32" t="n">
        <f aca="false">IF(I857="","",ROUND(MOD(TIMEVALUE(I857)-TIMEVALUE(F857),1)*1440,0))</f>
        <v>115</v>
      </c>
      <c r="P857" s="0" t="str">
        <f aca="false">IF(COUNTIF($A$2:A857,A857)&gt;1,"DUP","")</f>
        <v/>
      </c>
      <c r="Q857" s="0" t="str">
        <f aca="false">IF(O857="","",IF(O857&gt;240,"Y","N"))</f>
        <v>N</v>
      </c>
    </row>
    <row r="858" customFormat="false" ht="15" hidden="false" customHeight="false" outlineLevel="0" collapsed="false">
      <c r="A858" s="0" t="s">
        <v>6101</v>
      </c>
      <c r="B858" s="0" t="s">
        <v>5392</v>
      </c>
      <c r="C858" s="0" t="s">
        <v>775</v>
      </c>
      <c r="D858" s="31" t="n">
        <v>25495</v>
      </c>
      <c r="E858" s="31" t="n">
        <v>45671</v>
      </c>
      <c r="F858" s="32" t="s">
        <v>6102</v>
      </c>
      <c r="G858" s="0" t="n">
        <v>4</v>
      </c>
      <c r="H858" s="32" t="s">
        <v>4512</v>
      </c>
      <c r="I858" s="32" t="s">
        <v>6103</v>
      </c>
      <c r="J858" s="32" t="s">
        <v>3749</v>
      </c>
      <c r="K858" s="32" t="s">
        <v>2081</v>
      </c>
      <c r="L858" s="0" t="n">
        <v>187</v>
      </c>
      <c r="M858" s="32" t="s">
        <v>4295</v>
      </c>
      <c r="N858" s="32" t="s">
        <v>3751</v>
      </c>
      <c r="O858" s="32" t="n">
        <f aca="false">IF(I858="","",ROUND(MOD(TIMEVALUE(I858)-TIMEVALUE(F858),1)*1440,0))</f>
        <v>187</v>
      </c>
      <c r="P858" s="0" t="str">
        <f aca="false">IF(COUNTIF($A$2:A858,A858)&gt;1,"DUP","")</f>
        <v/>
      </c>
      <c r="Q858" s="0" t="str">
        <f aca="false">IF(O858="","",IF(O858&gt;240,"Y","N"))</f>
        <v>N</v>
      </c>
    </row>
    <row r="859" customFormat="false" ht="15" hidden="false" customHeight="false" outlineLevel="0" collapsed="false">
      <c r="A859" s="0" t="s">
        <v>6104</v>
      </c>
      <c r="B859" s="0" t="s">
        <v>6105</v>
      </c>
      <c r="C859" s="0" t="s">
        <v>930</v>
      </c>
      <c r="D859" s="31" t="n">
        <v>18782</v>
      </c>
      <c r="E859" s="31" t="n">
        <v>45626</v>
      </c>
      <c r="F859" s="32" t="s">
        <v>3923</v>
      </c>
      <c r="G859" s="0" t="n">
        <v>2</v>
      </c>
      <c r="H859" s="32" t="s">
        <v>6106</v>
      </c>
      <c r="I859" s="32" t="s">
        <v>3910</v>
      </c>
      <c r="J859" s="32" t="s">
        <v>3749</v>
      </c>
      <c r="K859" s="32" t="s">
        <v>2081</v>
      </c>
      <c r="L859" s="0" t="n">
        <v>231</v>
      </c>
      <c r="M859" s="32" t="s">
        <v>4141</v>
      </c>
      <c r="N859" s="32" t="s">
        <v>3751</v>
      </c>
      <c r="O859" s="32" t="n">
        <f aca="false">IF(I859="","",ROUND(MOD(TIMEVALUE(I859)-TIMEVALUE(F859),1)*1440,0))</f>
        <v>231</v>
      </c>
      <c r="P859" s="0" t="str">
        <f aca="false">IF(COUNTIF($A$2:A859,A859)&gt;1,"DUP","")</f>
        <v/>
      </c>
      <c r="Q859" s="0" t="str">
        <f aca="false">IF(O859="","",IF(O859&gt;240,"Y","N"))</f>
        <v>N</v>
      </c>
    </row>
    <row r="860" customFormat="false" ht="15" hidden="false" customHeight="false" outlineLevel="0" collapsed="false">
      <c r="A860" s="0" t="s">
        <v>6107</v>
      </c>
      <c r="B860" s="0" t="s">
        <v>4129</v>
      </c>
      <c r="C860" s="0" t="s">
        <v>870</v>
      </c>
      <c r="D860" s="31" t="n">
        <v>34642</v>
      </c>
      <c r="E860" s="31" t="n">
        <v>45571</v>
      </c>
      <c r="F860" s="32" t="s">
        <v>5453</v>
      </c>
      <c r="G860" s="0" t="n">
        <v>5</v>
      </c>
      <c r="H860" s="32" t="s">
        <v>5319</v>
      </c>
      <c r="I860" s="32" t="s">
        <v>5029</v>
      </c>
      <c r="J860" s="32" t="s">
        <v>3749</v>
      </c>
      <c r="K860" s="32" t="s">
        <v>2081</v>
      </c>
      <c r="L860" s="0" t="n">
        <v>54</v>
      </c>
      <c r="M860" s="32" t="s">
        <v>3764</v>
      </c>
      <c r="N860" s="32" t="s">
        <v>3751</v>
      </c>
      <c r="O860" s="32" t="n">
        <f aca="false">IF(I860="","",ROUND(MOD(TIMEVALUE(I860)-TIMEVALUE(F860),1)*1440,0))</f>
        <v>54</v>
      </c>
      <c r="P860" s="0" t="str">
        <f aca="false">IF(COUNTIF($A$2:A860,A860)&gt;1,"DUP","")</f>
        <v/>
      </c>
      <c r="Q860" s="0" t="str">
        <f aca="false">IF(O860="","",IF(O860&gt;240,"Y","N"))</f>
        <v>N</v>
      </c>
    </row>
    <row r="861" customFormat="false" ht="15" hidden="false" customHeight="false" outlineLevel="0" collapsed="false">
      <c r="A861" s="0" t="s">
        <v>6108</v>
      </c>
      <c r="B861" s="0" t="s">
        <v>4039</v>
      </c>
      <c r="C861" s="0" t="s">
        <v>801</v>
      </c>
      <c r="D861" s="31" t="n">
        <v>26149</v>
      </c>
      <c r="E861" s="31" t="n">
        <v>45617</v>
      </c>
      <c r="F861" s="32" t="s">
        <v>5655</v>
      </c>
      <c r="G861" s="0" t="n">
        <v>3</v>
      </c>
      <c r="H861" s="32" t="s">
        <v>5766</v>
      </c>
      <c r="I861" s="32" t="s">
        <v>3756</v>
      </c>
      <c r="J861" s="32" t="s">
        <v>3749</v>
      </c>
      <c r="K861" s="32" t="s">
        <v>2081</v>
      </c>
      <c r="L861" s="0" t="n">
        <v>156</v>
      </c>
      <c r="M861" s="32" t="s">
        <v>3799</v>
      </c>
      <c r="N861" s="32" t="s">
        <v>3751</v>
      </c>
      <c r="O861" s="32" t="n">
        <f aca="false">IF(I861="","",ROUND(MOD(TIMEVALUE(I861)-TIMEVALUE(F861),1)*1440,0))</f>
        <v>156</v>
      </c>
      <c r="P861" s="0" t="str">
        <f aca="false">IF(COUNTIF($A$2:A861,A861)&gt;1,"DUP","")</f>
        <v/>
      </c>
      <c r="Q861" s="0" t="str">
        <f aca="false">IF(O861="","",IF(O861&gt;240,"Y","N"))</f>
        <v>N</v>
      </c>
    </row>
    <row r="862" customFormat="false" ht="15" hidden="false" customHeight="false" outlineLevel="0" collapsed="false">
      <c r="A862" s="0" t="s">
        <v>6109</v>
      </c>
      <c r="B862" s="0" t="s">
        <v>4377</v>
      </c>
      <c r="C862" s="0" t="s">
        <v>784</v>
      </c>
      <c r="D862" s="31" t="n">
        <v>30309</v>
      </c>
      <c r="E862" s="31" t="n">
        <v>45576</v>
      </c>
      <c r="F862" s="32" t="s">
        <v>4217</v>
      </c>
      <c r="G862" s="0" t="n">
        <v>4</v>
      </c>
      <c r="H862" s="32" t="s">
        <v>5367</v>
      </c>
      <c r="I862" s="32" t="s">
        <v>6110</v>
      </c>
      <c r="J862" s="32" t="s">
        <v>3749</v>
      </c>
      <c r="K862" s="32" t="s">
        <v>2081</v>
      </c>
      <c r="L862" s="0" t="n">
        <v>198</v>
      </c>
      <c r="M862" s="32" t="s">
        <v>3764</v>
      </c>
      <c r="N862" s="32" t="s">
        <v>3751</v>
      </c>
      <c r="O862" s="32" t="n">
        <f aca="false">IF(I862="","",ROUND(MOD(TIMEVALUE(I862)-TIMEVALUE(F862),1)*1440,0))</f>
        <v>198</v>
      </c>
      <c r="P862" s="0" t="str">
        <f aca="false">IF(COUNTIF($A$2:A862,A862)&gt;1,"DUP","")</f>
        <v/>
      </c>
      <c r="Q862" s="0" t="str">
        <f aca="false">IF(O862="","",IF(O862&gt;240,"Y","N"))</f>
        <v>N</v>
      </c>
    </row>
    <row r="863" customFormat="false" ht="15" hidden="false" customHeight="false" outlineLevel="0" collapsed="false">
      <c r="A863" s="0" t="s">
        <v>6111</v>
      </c>
      <c r="B863" s="0" t="s">
        <v>3999</v>
      </c>
      <c r="C863" s="0" t="s">
        <v>985</v>
      </c>
      <c r="D863" s="31" t="n">
        <v>30727</v>
      </c>
      <c r="E863" s="31" t="n">
        <v>45649</v>
      </c>
      <c r="F863" s="32" t="s">
        <v>3826</v>
      </c>
      <c r="G863" s="0" t="n">
        <v>5</v>
      </c>
      <c r="H863" s="32" t="s">
        <v>3865</v>
      </c>
      <c r="I863" s="32" t="s">
        <v>4744</v>
      </c>
      <c r="J863" s="32" t="s">
        <v>3749</v>
      </c>
      <c r="K863" s="32" t="s">
        <v>2106</v>
      </c>
      <c r="L863" s="0" t="n">
        <v>406</v>
      </c>
      <c r="M863" s="32" t="s">
        <v>3877</v>
      </c>
      <c r="N863" s="32" t="s">
        <v>3751</v>
      </c>
      <c r="O863" s="32" t="n">
        <f aca="false">IF(I863="","",ROUND(MOD(TIMEVALUE(I863)-TIMEVALUE(F863),1)*1440,0))</f>
        <v>406</v>
      </c>
      <c r="P863" s="0" t="str">
        <f aca="false">IF(COUNTIF($A$2:A863,A863)&gt;1,"DUP","")</f>
        <v/>
      </c>
      <c r="Q863" s="0" t="str">
        <f aca="false">IF(O863="","",IF(O863&gt;240,"Y","N"))</f>
        <v>Y</v>
      </c>
    </row>
    <row r="864" customFormat="false" ht="15" hidden="false" customHeight="false" outlineLevel="0" collapsed="false">
      <c r="A864" s="0" t="s">
        <v>6112</v>
      </c>
      <c r="B864" s="0" t="s">
        <v>4400</v>
      </c>
      <c r="C864" s="0" t="s">
        <v>1013</v>
      </c>
      <c r="D864" s="31" t="n">
        <v>28284</v>
      </c>
      <c r="E864" s="31" t="n">
        <v>45701</v>
      </c>
      <c r="F864" s="32" t="s">
        <v>4398</v>
      </c>
      <c r="G864" s="0" t="n">
        <v>4</v>
      </c>
      <c r="H864" s="32" t="s">
        <v>3992</v>
      </c>
      <c r="I864" s="32" t="s">
        <v>3802</v>
      </c>
      <c r="J864" s="32" t="s">
        <v>2307</v>
      </c>
      <c r="K864" s="32" t="s">
        <v>2081</v>
      </c>
      <c r="L864" s="0" t="n">
        <v>75</v>
      </c>
      <c r="M864" s="32" t="s">
        <v>4031</v>
      </c>
      <c r="N864" s="32" t="s">
        <v>3751</v>
      </c>
      <c r="O864" s="32" t="n">
        <f aca="false">IF(I864="","",ROUND(MOD(TIMEVALUE(I864)-TIMEVALUE(F864),1)*1440,0))</f>
        <v>75</v>
      </c>
      <c r="P864" s="0" t="str">
        <f aca="false">IF(COUNTIF($A$2:A864,A864)&gt;1,"DUP","")</f>
        <v/>
      </c>
      <c r="Q864" s="0" t="str">
        <f aca="false">IF(O864="","",IF(O864&gt;240,"Y","N"))</f>
        <v>N</v>
      </c>
    </row>
    <row r="865" customFormat="false" ht="15" hidden="false" customHeight="false" outlineLevel="0" collapsed="false">
      <c r="A865" s="0" t="s">
        <v>6113</v>
      </c>
      <c r="C865" s="0" t="s">
        <v>857</v>
      </c>
      <c r="D865" s="31" t="n">
        <v>16885</v>
      </c>
      <c r="E865" s="31" t="n">
        <v>45650</v>
      </c>
      <c r="F865" s="32" t="s">
        <v>5516</v>
      </c>
      <c r="G865" s="0" t="n">
        <v>4</v>
      </c>
      <c r="H865" s="32" t="s">
        <v>4181</v>
      </c>
      <c r="I865" s="32" t="s">
        <v>5573</v>
      </c>
      <c r="J865" s="32" t="s">
        <v>3749</v>
      </c>
      <c r="K865" s="32" t="s">
        <v>2081</v>
      </c>
      <c r="L865" s="0" t="n">
        <v>135</v>
      </c>
      <c r="M865" s="32" t="s">
        <v>3782</v>
      </c>
      <c r="N865" s="32" t="s">
        <v>3751</v>
      </c>
      <c r="O865" s="32" t="n">
        <f aca="false">IF(I865="","",ROUND(MOD(TIMEVALUE(I865)-TIMEVALUE(F865),1)*1440,0))</f>
        <v>135</v>
      </c>
      <c r="P865" s="0" t="str">
        <f aca="false">IF(COUNTIF($A$2:A865,A865)&gt;1,"DUP","")</f>
        <v/>
      </c>
      <c r="Q865" s="0" t="str">
        <f aca="false">IF(O865="","",IF(O865&gt;240,"Y","N"))</f>
        <v>N</v>
      </c>
    </row>
    <row r="866" customFormat="false" ht="15" hidden="false" customHeight="false" outlineLevel="0" collapsed="false">
      <c r="A866" s="0" t="s">
        <v>6114</v>
      </c>
      <c r="B866" s="0" t="s">
        <v>5259</v>
      </c>
      <c r="C866" s="0" t="s">
        <v>1025</v>
      </c>
      <c r="D866" s="31" t="n">
        <v>32252</v>
      </c>
      <c r="E866" s="31" t="n">
        <v>45571</v>
      </c>
      <c r="F866" s="32" t="s">
        <v>6115</v>
      </c>
      <c r="G866" s="0" t="n">
        <v>3</v>
      </c>
      <c r="H866" s="32" t="s">
        <v>5505</v>
      </c>
      <c r="I866" s="32" t="s">
        <v>4332</v>
      </c>
      <c r="J866" s="32" t="s">
        <v>2307</v>
      </c>
      <c r="K866" s="32" t="s">
        <v>2106</v>
      </c>
      <c r="L866" s="0" t="n">
        <v>261</v>
      </c>
      <c r="M866" s="32" t="s">
        <v>4165</v>
      </c>
      <c r="N866" s="32" t="s">
        <v>3751</v>
      </c>
      <c r="O866" s="32" t="n">
        <f aca="false">IF(I866="","",ROUND(MOD(TIMEVALUE(I866)-TIMEVALUE(F866),1)*1440,0))</f>
        <v>261</v>
      </c>
      <c r="P866" s="0" t="str">
        <f aca="false">IF(COUNTIF($A$2:A866,A866)&gt;1,"DUP","")</f>
        <v/>
      </c>
      <c r="Q866" s="0" t="str">
        <f aca="false">IF(O866="","",IF(O866&gt;240,"Y","N"))</f>
        <v>Y</v>
      </c>
    </row>
    <row r="867" customFormat="false" ht="15" hidden="false" customHeight="false" outlineLevel="0" collapsed="false">
      <c r="A867" s="0" t="s">
        <v>6116</v>
      </c>
      <c r="B867" s="0" t="s">
        <v>5740</v>
      </c>
      <c r="C867" s="0" t="s">
        <v>1013</v>
      </c>
      <c r="D867" s="31" t="n">
        <v>37175</v>
      </c>
      <c r="E867" s="31" t="n">
        <v>45709</v>
      </c>
      <c r="F867" s="32" t="s">
        <v>4440</v>
      </c>
      <c r="G867" s="0" t="n">
        <v>4</v>
      </c>
      <c r="H867" s="32" t="s">
        <v>6117</v>
      </c>
      <c r="I867" s="32" t="s">
        <v>5704</v>
      </c>
      <c r="J867" s="32" t="s">
        <v>3749</v>
      </c>
      <c r="K867" s="32" t="s">
        <v>2106</v>
      </c>
      <c r="L867" s="0" t="n">
        <v>356</v>
      </c>
      <c r="M867" s="32" t="s">
        <v>3975</v>
      </c>
      <c r="N867" s="32" t="s">
        <v>3751</v>
      </c>
      <c r="O867" s="32" t="n">
        <f aca="false">IF(I867="","",ROUND(MOD(TIMEVALUE(I867)-TIMEVALUE(F867),1)*1440,0))</f>
        <v>356</v>
      </c>
      <c r="P867" s="0" t="str">
        <f aca="false">IF(COUNTIF($A$2:A867,A867)&gt;1,"DUP","")</f>
        <v/>
      </c>
      <c r="Q867" s="0" t="str">
        <f aca="false">IF(O867="","",IF(O867&gt;240,"Y","N"))</f>
        <v>Y</v>
      </c>
    </row>
    <row r="868" customFormat="false" ht="15" hidden="false" customHeight="false" outlineLevel="0" collapsed="false">
      <c r="A868" s="0" t="s">
        <v>6118</v>
      </c>
      <c r="B868" s="0" t="s">
        <v>4341</v>
      </c>
      <c r="C868" s="0" t="s">
        <v>882</v>
      </c>
      <c r="D868" s="31" t="n">
        <v>34216</v>
      </c>
      <c r="E868" s="31" t="n">
        <v>45614</v>
      </c>
      <c r="F868" s="32" t="s">
        <v>4058</v>
      </c>
      <c r="G868" s="0" t="n">
        <v>5</v>
      </c>
      <c r="H868" s="32" t="s">
        <v>4184</v>
      </c>
      <c r="I868" s="32" t="s">
        <v>5971</v>
      </c>
      <c r="J868" s="32" t="s">
        <v>3763</v>
      </c>
      <c r="K868" s="32" t="s">
        <v>2081</v>
      </c>
      <c r="L868" s="0" t="n">
        <v>182</v>
      </c>
      <c r="M868" s="32" t="s">
        <v>4165</v>
      </c>
      <c r="N868" s="32" t="s">
        <v>3751</v>
      </c>
      <c r="O868" s="32" t="n">
        <f aca="false">IF(I868="","",ROUND(MOD(TIMEVALUE(I868)-TIMEVALUE(F868),1)*1440,0))</f>
        <v>182</v>
      </c>
      <c r="P868" s="0" t="str">
        <f aca="false">IF(COUNTIF($A$2:A868,A868)&gt;1,"DUP","")</f>
        <v/>
      </c>
      <c r="Q868" s="0" t="str">
        <f aca="false">IF(O868="","",IF(O868&gt;240,"Y","N"))</f>
        <v>N</v>
      </c>
    </row>
    <row r="869" customFormat="false" ht="15" hidden="false" customHeight="false" outlineLevel="0" collapsed="false">
      <c r="A869" s="0" t="s">
        <v>6119</v>
      </c>
      <c r="B869" s="0" t="s">
        <v>4365</v>
      </c>
      <c r="C869" s="0" t="s">
        <v>1419</v>
      </c>
      <c r="D869" s="31" t="n">
        <v>32921</v>
      </c>
      <c r="E869" s="31" t="n">
        <v>45703</v>
      </c>
      <c r="F869" s="32" t="s">
        <v>5213</v>
      </c>
      <c r="G869" s="0" t="n">
        <v>3</v>
      </c>
      <c r="H869" s="32" t="s">
        <v>4877</v>
      </c>
      <c r="I869" s="32" t="s">
        <v>6120</v>
      </c>
      <c r="J869" s="32" t="s">
        <v>3763</v>
      </c>
      <c r="K869" s="32" t="s">
        <v>2081</v>
      </c>
      <c r="L869" s="0" t="n">
        <v>107</v>
      </c>
      <c r="M869" s="32" t="s">
        <v>4219</v>
      </c>
      <c r="N869" s="32" t="s">
        <v>3751</v>
      </c>
      <c r="O869" s="32" t="n">
        <f aca="false">IF(I869="","",ROUND(MOD(TIMEVALUE(I869)-TIMEVALUE(F869),1)*1440,0))</f>
        <v>107</v>
      </c>
      <c r="P869" s="0" t="str">
        <f aca="false">IF(COUNTIF($A$2:A869,A869)&gt;1,"DUP","")</f>
        <v/>
      </c>
      <c r="Q869" s="0" t="str">
        <f aca="false">IF(O869="","",IF(O869&gt;240,"Y","N"))</f>
        <v>N</v>
      </c>
    </row>
    <row r="870" customFormat="false" ht="15" hidden="false" customHeight="false" outlineLevel="0" collapsed="false">
      <c r="A870" s="0" t="s">
        <v>6121</v>
      </c>
      <c r="B870" s="0" t="s">
        <v>4471</v>
      </c>
      <c r="C870" s="0" t="s">
        <v>918</v>
      </c>
      <c r="D870" s="31" t="n">
        <v>17282</v>
      </c>
      <c r="E870" s="31" t="n">
        <v>45578</v>
      </c>
      <c r="F870" s="32" t="s">
        <v>4490</v>
      </c>
      <c r="G870" s="0" t="n">
        <v>4</v>
      </c>
      <c r="H870" s="32" t="s">
        <v>6122</v>
      </c>
      <c r="I870" s="32" t="s">
        <v>5475</v>
      </c>
      <c r="J870" s="32" t="s">
        <v>3793</v>
      </c>
      <c r="K870" s="32" t="s">
        <v>2081</v>
      </c>
      <c r="L870" s="0" t="n">
        <v>137</v>
      </c>
      <c r="M870" s="32" t="s">
        <v>4285</v>
      </c>
      <c r="N870" s="32" t="s">
        <v>785</v>
      </c>
      <c r="O870" s="32" t="n">
        <f aca="false">IF(I870="","",ROUND(MOD(TIMEVALUE(I870)-TIMEVALUE(F870),1)*1440,0))</f>
        <v>137</v>
      </c>
      <c r="P870" s="0" t="str">
        <f aca="false">IF(COUNTIF($A$2:A870,A870)&gt;1,"DUP","")</f>
        <v/>
      </c>
      <c r="Q870" s="0" t="str">
        <f aca="false">IF(O870="","",IF(O870&gt;240,"Y","N"))</f>
        <v>N</v>
      </c>
    </row>
    <row r="871" customFormat="false" ht="15" hidden="false" customHeight="false" outlineLevel="0" collapsed="false">
      <c r="A871" s="0" t="s">
        <v>6123</v>
      </c>
      <c r="B871" s="0" t="s">
        <v>4091</v>
      </c>
      <c r="C871" s="0" t="s">
        <v>845</v>
      </c>
      <c r="D871" s="31" t="n">
        <v>18934</v>
      </c>
      <c r="E871" s="31" t="n">
        <v>45632</v>
      </c>
      <c r="F871" s="32" t="s">
        <v>4190</v>
      </c>
      <c r="G871" s="0" t="n">
        <v>5</v>
      </c>
      <c r="H871" s="32" t="s">
        <v>6124</v>
      </c>
      <c r="I871" s="32" t="s">
        <v>4678</v>
      </c>
      <c r="J871" s="32" t="s">
        <v>2307</v>
      </c>
      <c r="K871" s="32" t="s">
        <v>2081</v>
      </c>
      <c r="L871" s="0" t="n">
        <v>215</v>
      </c>
      <c r="M871" s="32" t="s">
        <v>4073</v>
      </c>
      <c r="N871" s="32" t="s">
        <v>3751</v>
      </c>
      <c r="O871" s="32" t="n">
        <f aca="false">IF(I871="","",ROUND(MOD(TIMEVALUE(I871)-TIMEVALUE(F871),1)*1440,0))</f>
        <v>215</v>
      </c>
      <c r="P871" s="0" t="str">
        <f aca="false">IF(COUNTIF($A$2:A871,A871)&gt;1,"DUP","")</f>
        <v/>
      </c>
      <c r="Q871" s="0" t="str">
        <f aca="false">IF(O871="","",IF(O871&gt;240,"Y","N"))</f>
        <v>N</v>
      </c>
    </row>
    <row r="872" customFormat="false" ht="15" hidden="false" customHeight="false" outlineLevel="0" collapsed="false">
      <c r="A872" s="0" t="s">
        <v>6125</v>
      </c>
      <c r="B872" s="0" t="s">
        <v>5267</v>
      </c>
      <c r="C872" s="0" t="s">
        <v>910</v>
      </c>
      <c r="D872" s="31" t="n">
        <v>18102</v>
      </c>
      <c r="E872" s="31" t="n">
        <v>45692</v>
      </c>
      <c r="F872" s="32" t="s">
        <v>4888</v>
      </c>
      <c r="G872" s="0" t="n">
        <v>3</v>
      </c>
      <c r="H872" s="32" t="s">
        <v>5637</v>
      </c>
      <c r="I872" s="32" t="s">
        <v>4103</v>
      </c>
      <c r="J872" s="32" t="s">
        <v>3763</v>
      </c>
      <c r="K872" s="32" t="s">
        <v>2081</v>
      </c>
      <c r="L872" s="0" t="n">
        <v>112</v>
      </c>
      <c r="M872" s="32" t="s">
        <v>3782</v>
      </c>
      <c r="N872" s="32" t="s">
        <v>3751</v>
      </c>
      <c r="O872" s="32" t="n">
        <f aca="false">IF(I872="","",ROUND(MOD(TIMEVALUE(I872)-TIMEVALUE(F872),1)*1440,0))</f>
        <v>112</v>
      </c>
      <c r="P872" s="0" t="str">
        <f aca="false">IF(COUNTIF($A$2:A872,A872)&gt;1,"DUP","")</f>
        <v/>
      </c>
      <c r="Q872" s="0" t="str">
        <f aca="false">IF(O872="","",IF(O872&gt;240,"Y","N"))</f>
        <v>N</v>
      </c>
    </row>
    <row r="873" customFormat="false" ht="15" hidden="false" customHeight="false" outlineLevel="0" collapsed="false">
      <c r="A873" s="0" t="s">
        <v>6126</v>
      </c>
      <c r="B873" s="0" t="s">
        <v>5482</v>
      </c>
      <c r="C873" s="0" t="s">
        <v>970</v>
      </c>
      <c r="D873" s="31" t="n">
        <v>27265</v>
      </c>
      <c r="E873" s="31" t="n">
        <v>45600</v>
      </c>
      <c r="F873" s="32" t="s">
        <v>4443</v>
      </c>
      <c r="G873" s="0" t="n">
        <v>3</v>
      </c>
      <c r="H873" s="32" t="s">
        <v>5241</v>
      </c>
      <c r="I873" s="32" t="s">
        <v>3802</v>
      </c>
      <c r="J873" s="32" t="s">
        <v>3763</v>
      </c>
      <c r="K873" s="32" t="s">
        <v>2106</v>
      </c>
      <c r="L873" s="0" t="n">
        <v>566</v>
      </c>
      <c r="M873" s="32" t="s">
        <v>3946</v>
      </c>
      <c r="N873" s="32" t="s">
        <v>3751</v>
      </c>
      <c r="O873" s="32" t="n">
        <f aca="false">IF(I873="","",ROUND(MOD(TIMEVALUE(I873)-TIMEVALUE(F873),1)*1440,0))</f>
        <v>566</v>
      </c>
      <c r="P873" s="0" t="str">
        <f aca="false">IF(COUNTIF($A$2:A873,A873)&gt;1,"DUP","")</f>
        <v/>
      </c>
      <c r="Q873" s="0" t="str">
        <f aca="false">IF(O873="","",IF(O873&gt;240,"Y","N"))</f>
        <v>Y</v>
      </c>
    </row>
    <row r="874" customFormat="false" ht="15" hidden="false" customHeight="false" outlineLevel="0" collapsed="false">
      <c r="A874" s="0" t="s">
        <v>6127</v>
      </c>
      <c r="C874" s="0" t="s">
        <v>1410</v>
      </c>
      <c r="D874" s="31" t="n">
        <v>25534</v>
      </c>
      <c r="E874" s="31" t="n">
        <v>45686</v>
      </c>
      <c r="F874" s="32" t="s">
        <v>5093</v>
      </c>
      <c r="G874" s="0" t="n">
        <v>3</v>
      </c>
      <c r="H874" s="32" t="s">
        <v>6128</v>
      </c>
      <c r="J874" s="32" t="s">
        <v>3749</v>
      </c>
      <c r="M874" s="32" t="s">
        <v>4313</v>
      </c>
      <c r="N874" s="32" t="s">
        <v>3751</v>
      </c>
      <c r="O874" s="0" t="str">
        <f aca="false">IF(I874="","",ROUND(MOD(TIMEVALUE(I874)-TIMEVALUE(F874),1)*1440,0))</f>
        <v/>
      </c>
      <c r="P874" s="0" t="str">
        <f aca="false">IF(COUNTIF($A$2:A874,A874)&gt;1,"DUP","")</f>
        <v/>
      </c>
      <c r="Q874" s="0" t="str">
        <f aca="false">IF(O874="","",IF(O874&gt;240,"Y","N"))</f>
        <v/>
      </c>
    </row>
    <row r="875" customFormat="false" ht="15" hidden="false" customHeight="false" outlineLevel="0" collapsed="false">
      <c r="A875" s="0" t="s">
        <v>6129</v>
      </c>
      <c r="B875" s="0" t="s">
        <v>4431</v>
      </c>
      <c r="C875" s="0" t="s">
        <v>809</v>
      </c>
      <c r="D875" s="31" t="n">
        <v>19654</v>
      </c>
      <c r="E875" s="31" t="n">
        <v>45583</v>
      </c>
      <c r="F875" s="32" t="s">
        <v>5576</v>
      </c>
      <c r="G875" s="0" t="n">
        <v>4</v>
      </c>
      <c r="H875" s="32" t="s">
        <v>5252</v>
      </c>
      <c r="I875" s="32" t="s">
        <v>3928</v>
      </c>
      <c r="J875" s="32" t="s">
        <v>3749</v>
      </c>
      <c r="K875" s="32" t="s">
        <v>2081</v>
      </c>
      <c r="L875" s="0" t="n">
        <v>135</v>
      </c>
      <c r="M875" s="32" t="s">
        <v>4165</v>
      </c>
      <c r="N875" s="32" t="s">
        <v>3751</v>
      </c>
      <c r="O875" s="32" t="n">
        <f aca="false">IF(I875="","",ROUND(MOD(TIMEVALUE(I875)-TIMEVALUE(F875),1)*1440,0))</f>
        <v>135</v>
      </c>
      <c r="P875" s="0" t="str">
        <f aca="false">IF(COUNTIF($A$2:A875,A875)&gt;1,"DUP","")</f>
        <v/>
      </c>
      <c r="Q875" s="0" t="str">
        <f aca="false">IF(O875="","",IF(O875&gt;240,"Y","N"))</f>
        <v>N</v>
      </c>
    </row>
    <row r="876" customFormat="false" ht="15" hidden="false" customHeight="false" outlineLevel="0" collapsed="false">
      <c r="A876" s="0" t="s">
        <v>6130</v>
      </c>
      <c r="C876" s="0" t="s">
        <v>862</v>
      </c>
      <c r="D876" s="31" t="n">
        <v>15603</v>
      </c>
      <c r="E876" s="31" t="n">
        <v>45717</v>
      </c>
      <c r="F876" s="32" t="s">
        <v>5602</v>
      </c>
      <c r="G876" s="0" t="n">
        <v>3</v>
      </c>
      <c r="H876" s="32" t="s">
        <v>4619</v>
      </c>
      <c r="I876" s="32" t="s">
        <v>4573</v>
      </c>
      <c r="J876" s="32" t="s">
        <v>3749</v>
      </c>
      <c r="K876" s="32" t="s">
        <v>2081</v>
      </c>
      <c r="L876" s="0" t="n">
        <v>123</v>
      </c>
      <c r="M876" s="32" t="s">
        <v>3787</v>
      </c>
      <c r="N876" s="32" t="s">
        <v>3751</v>
      </c>
      <c r="O876" s="32" t="n">
        <f aca="false">IF(I876="","",ROUND(MOD(TIMEVALUE(I876)-TIMEVALUE(F876),1)*1440,0))</f>
        <v>123</v>
      </c>
      <c r="P876" s="0" t="str">
        <f aca="false">IF(COUNTIF($A$2:A876,A876)&gt;1,"DUP","")</f>
        <v/>
      </c>
      <c r="Q876" s="0" t="str">
        <f aca="false">IF(O876="","",IF(O876&gt;240,"Y","N"))</f>
        <v>N</v>
      </c>
    </row>
    <row r="877" customFormat="false" ht="15" hidden="false" customHeight="false" outlineLevel="0" collapsed="false">
      <c r="A877" s="0" t="s">
        <v>6131</v>
      </c>
      <c r="B877" s="0" t="s">
        <v>5392</v>
      </c>
      <c r="C877" s="0" t="s">
        <v>918</v>
      </c>
      <c r="D877" s="31" t="n">
        <v>35739</v>
      </c>
      <c r="E877" s="31" t="n">
        <v>45655</v>
      </c>
      <c r="F877" s="32" t="s">
        <v>6132</v>
      </c>
      <c r="G877" s="0" t="n">
        <v>3</v>
      </c>
      <c r="H877" s="32" t="s">
        <v>6133</v>
      </c>
      <c r="I877" s="32" t="s">
        <v>6134</v>
      </c>
      <c r="J877" s="32" t="s">
        <v>3749</v>
      </c>
      <c r="K877" s="32" t="s">
        <v>2081</v>
      </c>
      <c r="L877" s="0" t="n">
        <v>157</v>
      </c>
      <c r="M877" s="32" t="s">
        <v>4141</v>
      </c>
      <c r="N877" s="32" t="s">
        <v>3751</v>
      </c>
      <c r="O877" s="32" t="n">
        <f aca="false">IF(I877="","",ROUND(MOD(TIMEVALUE(I877)-TIMEVALUE(F877),1)*1440,0))</f>
        <v>157</v>
      </c>
      <c r="P877" s="0" t="str">
        <f aca="false">IF(COUNTIF($A$2:A877,A877)&gt;1,"DUP","")</f>
        <v/>
      </c>
      <c r="Q877" s="0" t="str">
        <f aca="false">IF(O877="","",IF(O877&gt;240,"Y","N"))</f>
        <v>N</v>
      </c>
    </row>
    <row r="878" customFormat="false" ht="15" hidden="false" customHeight="false" outlineLevel="0" collapsed="false">
      <c r="A878" s="0" t="s">
        <v>6135</v>
      </c>
      <c r="B878" s="0" t="s">
        <v>4734</v>
      </c>
      <c r="C878" s="0" t="s">
        <v>1402</v>
      </c>
      <c r="D878" s="31" t="n">
        <v>13639</v>
      </c>
      <c r="E878" s="31" t="n">
        <v>45657</v>
      </c>
      <c r="F878" s="32" t="s">
        <v>6136</v>
      </c>
      <c r="G878" s="0" t="n">
        <v>3</v>
      </c>
      <c r="H878" s="32" t="s">
        <v>4881</v>
      </c>
      <c r="I878" s="32" t="s">
        <v>5063</v>
      </c>
      <c r="J878" s="32" t="s">
        <v>3749</v>
      </c>
      <c r="K878" s="32" t="s">
        <v>2081</v>
      </c>
      <c r="L878" s="0" t="n">
        <v>157</v>
      </c>
      <c r="M878" s="32" t="s">
        <v>3764</v>
      </c>
      <c r="N878" s="32" t="s">
        <v>3751</v>
      </c>
      <c r="O878" s="32" t="n">
        <f aca="false">IF(I878="","",ROUND(MOD(TIMEVALUE(I878)-TIMEVALUE(F878),1)*1440,0))</f>
        <v>157</v>
      </c>
      <c r="P878" s="0" t="str">
        <f aca="false">IF(COUNTIF($A$2:A878,A878)&gt;1,"DUP","")</f>
        <v/>
      </c>
      <c r="Q878" s="0" t="str">
        <f aca="false">IF(O878="","",IF(O878&gt;240,"Y","N"))</f>
        <v>N</v>
      </c>
    </row>
    <row r="879" customFormat="false" ht="15" hidden="false" customHeight="false" outlineLevel="0" collapsed="false">
      <c r="A879" s="0" t="s">
        <v>6137</v>
      </c>
      <c r="C879" s="0" t="s">
        <v>966</v>
      </c>
      <c r="D879" s="31" t="n">
        <v>24564</v>
      </c>
      <c r="E879" s="31" t="n">
        <v>45598</v>
      </c>
      <c r="F879" s="32" t="s">
        <v>3859</v>
      </c>
      <c r="G879" s="0" t="n">
        <v>4</v>
      </c>
      <c r="H879" s="32" t="s">
        <v>4937</v>
      </c>
      <c r="I879" s="32" t="s">
        <v>5169</v>
      </c>
      <c r="J879" s="32" t="s">
        <v>3749</v>
      </c>
      <c r="K879" s="32" t="s">
        <v>2081</v>
      </c>
      <c r="L879" s="0" t="n">
        <v>181</v>
      </c>
      <c r="M879" s="32" t="s">
        <v>4141</v>
      </c>
      <c r="N879" s="32" t="s">
        <v>3751</v>
      </c>
      <c r="O879" s="32" t="n">
        <f aca="false">IF(I879="","",ROUND(MOD(TIMEVALUE(I879)-TIMEVALUE(F879),1)*1440,0))</f>
        <v>181</v>
      </c>
      <c r="P879" s="0" t="str">
        <f aca="false">IF(COUNTIF($A$2:A879,A879)&gt;1,"DUP","")</f>
        <v/>
      </c>
      <c r="Q879" s="0" t="str">
        <f aca="false">IF(O879="","",IF(O879&gt;240,"Y","N"))</f>
        <v>N</v>
      </c>
    </row>
    <row r="880" customFormat="false" ht="15" hidden="false" customHeight="false" outlineLevel="0" collapsed="false">
      <c r="A880" s="0" t="s">
        <v>6138</v>
      </c>
      <c r="B880" s="0" t="s">
        <v>4770</v>
      </c>
      <c r="C880" s="0" t="s">
        <v>938</v>
      </c>
      <c r="D880" s="31" t="n">
        <v>21766</v>
      </c>
      <c r="E880" s="31" t="n">
        <v>45717</v>
      </c>
      <c r="F880" s="32" t="s">
        <v>5131</v>
      </c>
      <c r="G880" s="0" t="n">
        <v>2</v>
      </c>
      <c r="H880" s="32" t="s">
        <v>6139</v>
      </c>
      <c r="I880" s="32" t="s">
        <v>4987</v>
      </c>
      <c r="J880" s="32" t="s">
        <v>2307</v>
      </c>
      <c r="K880" s="32" t="s">
        <v>2081</v>
      </c>
      <c r="L880" s="0" t="n">
        <v>231</v>
      </c>
      <c r="M880" s="32" t="s">
        <v>4582</v>
      </c>
      <c r="N880" s="32" t="s">
        <v>3751</v>
      </c>
      <c r="O880" s="32" t="n">
        <f aca="false">IF(I880="","",ROUND(MOD(TIMEVALUE(I880)-TIMEVALUE(F880),1)*1440,0))</f>
        <v>231</v>
      </c>
      <c r="P880" s="0" t="str">
        <f aca="false">IF(COUNTIF($A$2:A880,A880)&gt;1,"DUP","")</f>
        <v/>
      </c>
      <c r="Q880" s="0" t="str">
        <f aca="false">IF(O880="","",IF(O880&gt;240,"Y","N"))</f>
        <v>N</v>
      </c>
    </row>
    <row r="881" customFormat="false" ht="15" hidden="false" customHeight="false" outlineLevel="0" collapsed="false">
      <c r="A881" s="0" t="s">
        <v>6140</v>
      </c>
      <c r="B881" s="0" t="s">
        <v>4894</v>
      </c>
      <c r="C881" s="0" t="s">
        <v>849</v>
      </c>
      <c r="D881" s="31" t="n">
        <v>21680</v>
      </c>
      <c r="E881" s="31" t="n">
        <v>45660</v>
      </c>
      <c r="F881" s="32" t="s">
        <v>5398</v>
      </c>
      <c r="G881" s="0" t="n">
        <v>4</v>
      </c>
      <c r="H881" s="32" t="s">
        <v>4637</v>
      </c>
      <c r="I881" s="32" t="s">
        <v>4856</v>
      </c>
      <c r="J881" s="32" t="s">
        <v>3793</v>
      </c>
      <c r="K881" s="32" t="s">
        <v>2081</v>
      </c>
      <c r="L881" s="0" t="n">
        <v>164</v>
      </c>
      <c r="M881" s="32" t="s">
        <v>3757</v>
      </c>
      <c r="N881" s="32" t="s">
        <v>766</v>
      </c>
      <c r="O881" s="32" t="n">
        <f aca="false">IF(I881="","",ROUND(MOD(TIMEVALUE(I881)-TIMEVALUE(F881),1)*1440,0))</f>
        <v>164</v>
      </c>
      <c r="P881" s="0" t="str">
        <f aca="false">IF(COUNTIF($A$2:A881,A881)&gt;1,"DUP","")</f>
        <v/>
      </c>
      <c r="Q881" s="0" t="str">
        <f aca="false">IF(O881="","",IF(O881&gt;240,"Y","N"))</f>
        <v>N</v>
      </c>
    </row>
    <row r="882" customFormat="false" ht="15" hidden="false" customHeight="false" outlineLevel="0" collapsed="false">
      <c r="A882" s="0" t="s">
        <v>6141</v>
      </c>
      <c r="B882" s="0" t="s">
        <v>5862</v>
      </c>
      <c r="C882" s="0" t="s">
        <v>809</v>
      </c>
      <c r="D882" s="31" t="n">
        <v>20737</v>
      </c>
      <c r="E882" s="31" t="n">
        <v>45689</v>
      </c>
      <c r="F882" s="32" t="s">
        <v>4215</v>
      </c>
      <c r="G882" s="0" t="n">
        <v>4</v>
      </c>
      <c r="H882" s="32" t="s">
        <v>5695</v>
      </c>
      <c r="I882" s="32" t="s">
        <v>5735</v>
      </c>
      <c r="J882" s="32" t="s">
        <v>3793</v>
      </c>
      <c r="K882" s="32" t="s">
        <v>2081</v>
      </c>
      <c r="L882" s="0" t="n">
        <v>203</v>
      </c>
      <c r="M882" s="32" t="s">
        <v>3993</v>
      </c>
      <c r="N882" s="32" t="s">
        <v>802</v>
      </c>
      <c r="O882" s="32" t="n">
        <f aca="false">IF(I882="","",ROUND(MOD(TIMEVALUE(I882)-TIMEVALUE(F882),1)*1440,0))</f>
        <v>203</v>
      </c>
      <c r="P882" s="0" t="str">
        <f aca="false">IF(COUNTIF($A$2:A882,A882)&gt;1,"DUP","")</f>
        <v/>
      </c>
      <c r="Q882" s="0" t="str">
        <f aca="false">IF(O882="","",IF(O882&gt;240,"Y","N"))</f>
        <v>N</v>
      </c>
    </row>
    <row r="883" customFormat="false" ht="15" hidden="false" customHeight="false" outlineLevel="0" collapsed="false">
      <c r="A883" s="0" t="s">
        <v>6142</v>
      </c>
      <c r="B883" s="0" t="s">
        <v>5909</v>
      </c>
      <c r="C883" s="0" t="s">
        <v>1402</v>
      </c>
      <c r="D883" s="31" t="n">
        <v>30240</v>
      </c>
      <c r="E883" s="31" t="n">
        <v>45639</v>
      </c>
      <c r="F883" s="32" t="s">
        <v>4185</v>
      </c>
      <c r="G883" s="0" t="n">
        <v>3</v>
      </c>
      <c r="H883" s="32" t="s">
        <v>3901</v>
      </c>
      <c r="I883" s="32" t="s">
        <v>6143</v>
      </c>
      <c r="J883" s="32" t="s">
        <v>3749</v>
      </c>
      <c r="K883" s="32" t="s">
        <v>2081</v>
      </c>
      <c r="L883" s="0" t="n">
        <v>231</v>
      </c>
      <c r="M883" s="32" t="s">
        <v>3770</v>
      </c>
      <c r="N883" s="32" t="s">
        <v>3751</v>
      </c>
      <c r="O883" s="32" t="n">
        <f aca="false">IF(I883="","",ROUND(MOD(TIMEVALUE(I883)-TIMEVALUE(F883),1)*1440,0))</f>
        <v>231</v>
      </c>
      <c r="P883" s="0" t="str">
        <f aca="false">IF(COUNTIF($A$2:A883,A883)&gt;1,"DUP","")</f>
        <v/>
      </c>
      <c r="Q883" s="0" t="str">
        <f aca="false">IF(O883="","",IF(O883&gt;240,"Y","N"))</f>
        <v>N</v>
      </c>
    </row>
    <row r="884" customFormat="false" ht="15" hidden="false" customHeight="false" outlineLevel="0" collapsed="false">
      <c r="A884" s="0" t="s">
        <v>6144</v>
      </c>
      <c r="B884" s="0" t="s">
        <v>5120</v>
      </c>
      <c r="C884" s="0" t="s">
        <v>817</v>
      </c>
      <c r="D884" s="31" t="n">
        <v>32790</v>
      </c>
      <c r="E884" s="31" t="n">
        <v>45576</v>
      </c>
      <c r="F884" s="32" t="s">
        <v>5478</v>
      </c>
      <c r="G884" s="0" t="n">
        <v>4</v>
      </c>
      <c r="H884" s="32" t="s">
        <v>4320</v>
      </c>
      <c r="I884" s="32" t="s">
        <v>4403</v>
      </c>
      <c r="J884" s="32" t="s">
        <v>3793</v>
      </c>
      <c r="K884" s="32" t="s">
        <v>2081</v>
      </c>
      <c r="L884" s="0" t="n">
        <v>53</v>
      </c>
      <c r="M884" s="32" t="s">
        <v>3866</v>
      </c>
      <c r="N884" s="32" t="s">
        <v>776</v>
      </c>
      <c r="O884" s="32" t="n">
        <f aca="false">IF(I884="","",ROUND(MOD(TIMEVALUE(I884)-TIMEVALUE(F884),1)*1440,0))</f>
        <v>53</v>
      </c>
      <c r="P884" s="0" t="str">
        <f aca="false">IF(COUNTIF($A$2:A884,A884)&gt;1,"DUP","")</f>
        <v/>
      </c>
      <c r="Q884" s="0" t="str">
        <f aca="false">IF(O884="","",IF(O884&gt;240,"Y","N"))</f>
        <v>N</v>
      </c>
    </row>
    <row r="885" customFormat="false" ht="15" hidden="false" customHeight="false" outlineLevel="0" collapsed="false">
      <c r="A885" s="0" t="s">
        <v>6145</v>
      </c>
      <c r="B885" s="0" t="s">
        <v>4365</v>
      </c>
      <c r="C885" s="0" t="s">
        <v>1001</v>
      </c>
      <c r="D885" s="31" t="n">
        <v>16581</v>
      </c>
      <c r="E885" s="31" t="n">
        <v>45573</v>
      </c>
      <c r="F885" s="32" t="s">
        <v>3842</v>
      </c>
      <c r="G885" s="0" t="n">
        <v>5</v>
      </c>
      <c r="H885" s="32" t="s">
        <v>4716</v>
      </c>
      <c r="J885" s="32" t="s">
        <v>3793</v>
      </c>
      <c r="M885" s="32" t="s">
        <v>4060</v>
      </c>
      <c r="N885" s="32" t="s">
        <v>758</v>
      </c>
      <c r="O885" s="0" t="str">
        <f aca="false">IF(I885="","",ROUND(MOD(TIMEVALUE(I885)-TIMEVALUE(F885),1)*1440,0))</f>
        <v/>
      </c>
      <c r="P885" s="0" t="str">
        <f aca="false">IF(COUNTIF($A$2:A885,A885)&gt;1,"DUP","")</f>
        <v/>
      </c>
      <c r="Q885" s="0" t="str">
        <f aca="false">IF(O885="","",IF(O885&gt;240,"Y","N"))</f>
        <v/>
      </c>
    </row>
    <row r="886" customFormat="false" ht="15" hidden="false" customHeight="false" outlineLevel="0" collapsed="false">
      <c r="A886" s="0" t="s">
        <v>6146</v>
      </c>
      <c r="B886" s="0" t="s">
        <v>3932</v>
      </c>
      <c r="C886" s="0" t="s">
        <v>926</v>
      </c>
      <c r="D886" s="31" t="n">
        <v>16205</v>
      </c>
      <c r="E886" s="31" t="n">
        <v>45701</v>
      </c>
      <c r="F886" s="32" t="s">
        <v>4212</v>
      </c>
      <c r="G886" s="0" t="n">
        <v>2</v>
      </c>
      <c r="H886" s="32" t="s">
        <v>3773</v>
      </c>
      <c r="I886" s="32" t="s">
        <v>6147</v>
      </c>
      <c r="J886" s="32" t="s">
        <v>2307</v>
      </c>
      <c r="K886" s="32" t="s">
        <v>2081</v>
      </c>
      <c r="L886" s="0" t="n">
        <v>166</v>
      </c>
      <c r="M886" s="32" t="s">
        <v>4037</v>
      </c>
      <c r="N886" s="32" t="s">
        <v>3751</v>
      </c>
      <c r="O886" s="32" t="n">
        <f aca="false">IF(I886="","",ROUND(MOD(TIMEVALUE(I886)-TIMEVALUE(F886),1)*1440,0))</f>
        <v>166</v>
      </c>
      <c r="P886" s="0" t="str">
        <f aca="false">IF(COUNTIF($A$2:A886,A886)&gt;1,"DUP","")</f>
        <v/>
      </c>
      <c r="Q886" s="0" t="str">
        <f aca="false">IF(O886="","",IF(O886&gt;240,"Y","N"))</f>
        <v>N</v>
      </c>
    </row>
    <row r="887" customFormat="false" ht="15" hidden="false" customHeight="false" outlineLevel="0" collapsed="false">
      <c r="A887" s="0" t="s">
        <v>6148</v>
      </c>
      <c r="B887" s="0" t="s">
        <v>3995</v>
      </c>
      <c r="C887" s="0" t="s">
        <v>918</v>
      </c>
      <c r="D887" s="31" t="n">
        <v>29145</v>
      </c>
      <c r="E887" s="31" t="n">
        <v>45572</v>
      </c>
      <c r="F887" s="32" t="s">
        <v>3974</v>
      </c>
      <c r="G887" s="0" t="n">
        <v>3</v>
      </c>
      <c r="H887" s="32" t="s">
        <v>6149</v>
      </c>
      <c r="J887" s="32" t="s">
        <v>3793</v>
      </c>
      <c r="M887" s="32" t="s">
        <v>4037</v>
      </c>
      <c r="N887" s="32" t="s">
        <v>747</v>
      </c>
      <c r="O887" s="0" t="str">
        <f aca="false">IF(I887="","",ROUND(MOD(TIMEVALUE(I887)-TIMEVALUE(F887),1)*1440,0))</f>
        <v/>
      </c>
      <c r="P887" s="0" t="str">
        <f aca="false">IF(COUNTIF($A$2:A887,A887)&gt;1,"DUP","")</f>
        <v/>
      </c>
      <c r="Q887" s="0" t="str">
        <f aca="false">IF(O887="","",IF(O887&gt;240,"Y","N"))</f>
        <v/>
      </c>
    </row>
    <row r="888" customFormat="false" ht="15" hidden="false" customHeight="false" outlineLevel="0" collapsed="false">
      <c r="A888" s="0" t="s">
        <v>6150</v>
      </c>
      <c r="B888" s="0" t="s">
        <v>4291</v>
      </c>
      <c r="C888" s="0" t="s">
        <v>1021</v>
      </c>
      <c r="D888" s="31" t="n">
        <v>30349</v>
      </c>
      <c r="E888" s="31" t="n">
        <v>45575</v>
      </c>
      <c r="F888" s="32" t="s">
        <v>5026</v>
      </c>
      <c r="G888" s="0" t="n">
        <v>3</v>
      </c>
      <c r="I888" s="32" t="s">
        <v>5398</v>
      </c>
      <c r="J888" s="32" t="s">
        <v>3749</v>
      </c>
      <c r="K888" s="32" t="s">
        <v>2081</v>
      </c>
      <c r="L888" s="0" t="n">
        <v>50</v>
      </c>
      <c r="M888" s="32" t="s">
        <v>4206</v>
      </c>
      <c r="N888" s="32" t="s">
        <v>3751</v>
      </c>
      <c r="O888" s="32" t="n">
        <f aca="false">IF(I888="","",ROUND(MOD(TIMEVALUE(I888)-TIMEVALUE(F888),1)*1440,0))</f>
        <v>50</v>
      </c>
      <c r="P888" s="0" t="str">
        <f aca="false">IF(COUNTIF($A$2:A888,A888)&gt;1,"DUP","")</f>
        <v/>
      </c>
      <c r="Q888" s="0" t="str">
        <f aca="false">IF(O888="","",IF(O888&gt;240,"Y","N"))</f>
        <v>N</v>
      </c>
    </row>
    <row r="889" customFormat="false" ht="15" hidden="false" customHeight="false" outlineLevel="0" collapsed="false">
      <c r="A889" s="0" t="s">
        <v>6151</v>
      </c>
      <c r="B889" s="0" t="s">
        <v>4129</v>
      </c>
      <c r="C889" s="0" t="s">
        <v>1013</v>
      </c>
      <c r="D889" s="31" t="n">
        <v>17365</v>
      </c>
      <c r="E889" s="31" t="n">
        <v>45600</v>
      </c>
      <c r="F889" s="32" t="s">
        <v>4025</v>
      </c>
      <c r="G889" s="0" t="n">
        <v>4</v>
      </c>
      <c r="H889" s="32" t="s">
        <v>4654</v>
      </c>
      <c r="I889" s="32" t="s">
        <v>5505</v>
      </c>
      <c r="J889" s="32" t="s">
        <v>3793</v>
      </c>
      <c r="K889" s="32" t="s">
        <v>2081</v>
      </c>
      <c r="L889" s="0" t="n">
        <v>45</v>
      </c>
      <c r="M889" s="32" t="s">
        <v>4060</v>
      </c>
      <c r="N889" s="32" t="s">
        <v>818</v>
      </c>
      <c r="O889" s="32" t="n">
        <f aca="false">IF(I889="","",ROUND(MOD(TIMEVALUE(I889)-TIMEVALUE(F889),1)*1440,0))</f>
        <v>45</v>
      </c>
      <c r="P889" s="0" t="str">
        <f aca="false">IF(COUNTIF($A$2:A889,A889)&gt;1,"DUP","")</f>
        <v/>
      </c>
      <c r="Q889" s="0" t="str">
        <f aca="false">IF(O889="","",IF(O889&gt;240,"Y","N"))</f>
        <v>N</v>
      </c>
    </row>
    <row r="890" customFormat="false" ht="15" hidden="false" customHeight="false" outlineLevel="0" collapsed="false">
      <c r="A890" s="0" t="s">
        <v>6152</v>
      </c>
      <c r="B890" s="0" t="s">
        <v>5365</v>
      </c>
      <c r="C890" s="0" t="s">
        <v>989</v>
      </c>
      <c r="D890" s="31" t="n">
        <v>22503</v>
      </c>
      <c r="E890" s="31" t="n">
        <v>45677</v>
      </c>
      <c r="F890" s="32" t="s">
        <v>4351</v>
      </c>
      <c r="G890" s="0" t="n">
        <v>4</v>
      </c>
      <c r="H890" s="32" t="s">
        <v>5610</v>
      </c>
      <c r="I890" s="32" t="s">
        <v>4877</v>
      </c>
      <c r="J890" s="32" t="s">
        <v>3793</v>
      </c>
      <c r="K890" s="32" t="s">
        <v>2081</v>
      </c>
      <c r="L890" s="0" t="n">
        <v>56</v>
      </c>
      <c r="M890" s="32" t="s">
        <v>3946</v>
      </c>
      <c r="N890" s="32" t="s">
        <v>766</v>
      </c>
      <c r="O890" s="32" t="n">
        <f aca="false">IF(I890="","",ROUND(MOD(TIMEVALUE(I890)-TIMEVALUE(F890),1)*1440,0))</f>
        <v>56</v>
      </c>
      <c r="P890" s="0" t="str">
        <f aca="false">IF(COUNTIF($A$2:A890,A890)&gt;1,"DUP","")</f>
        <v/>
      </c>
      <c r="Q890" s="0" t="str">
        <f aca="false">IF(O890="","",IF(O890&gt;240,"Y","N"))</f>
        <v>N</v>
      </c>
    </row>
    <row r="891" customFormat="false" ht="15" hidden="false" customHeight="false" outlineLevel="0" collapsed="false">
      <c r="A891" s="0" t="s">
        <v>6153</v>
      </c>
      <c r="B891" s="0" t="s">
        <v>4393</v>
      </c>
      <c r="C891" s="0" t="s">
        <v>1426</v>
      </c>
      <c r="D891" s="31" t="n">
        <v>19093</v>
      </c>
      <c r="E891" s="31" t="n">
        <v>45607</v>
      </c>
      <c r="F891" s="32" t="s">
        <v>5205</v>
      </c>
      <c r="G891" s="0" t="n">
        <v>3</v>
      </c>
      <c r="H891" s="32" t="s">
        <v>6154</v>
      </c>
      <c r="I891" s="32" t="s">
        <v>6155</v>
      </c>
      <c r="J891" s="32" t="s">
        <v>3749</v>
      </c>
      <c r="K891" s="32" t="s">
        <v>2081</v>
      </c>
      <c r="L891" s="0" t="n">
        <v>79</v>
      </c>
      <c r="M891" s="32" t="s">
        <v>3827</v>
      </c>
      <c r="N891" s="32" t="s">
        <v>3751</v>
      </c>
      <c r="O891" s="32" t="n">
        <f aca="false">IF(I891="","",ROUND(MOD(TIMEVALUE(I891)-TIMEVALUE(F891),1)*1440,0))</f>
        <v>79</v>
      </c>
      <c r="P891" s="0" t="str">
        <f aca="false">IF(COUNTIF($A$2:A891,A891)&gt;1,"DUP","")</f>
        <v/>
      </c>
      <c r="Q891" s="0" t="str">
        <f aca="false">IF(O891="","",IF(O891&gt;240,"Y","N"))</f>
        <v>N</v>
      </c>
    </row>
    <row r="892" customFormat="false" ht="15" hidden="false" customHeight="false" outlineLevel="0" collapsed="false">
      <c r="A892" s="0" t="s">
        <v>6156</v>
      </c>
      <c r="B892" s="0" t="s">
        <v>4200</v>
      </c>
      <c r="C892" s="0" t="s">
        <v>837</v>
      </c>
      <c r="D892" s="31" t="n">
        <v>13509</v>
      </c>
      <c r="E892" s="31" t="n">
        <v>45590</v>
      </c>
      <c r="F892" s="32" t="s">
        <v>4374</v>
      </c>
      <c r="G892" s="0" t="n">
        <v>3</v>
      </c>
      <c r="H892" s="32" t="s">
        <v>6157</v>
      </c>
      <c r="I892" s="32" t="s">
        <v>4170</v>
      </c>
      <c r="J892" s="32" t="s">
        <v>2307</v>
      </c>
      <c r="K892" s="32" t="s">
        <v>2081</v>
      </c>
      <c r="L892" s="0" t="n">
        <v>35</v>
      </c>
      <c r="M892" s="32" t="s">
        <v>4781</v>
      </c>
      <c r="N892" s="32" t="s">
        <v>3751</v>
      </c>
      <c r="O892" s="32" t="n">
        <f aca="false">IF(I892="","",ROUND(MOD(TIMEVALUE(I892)-TIMEVALUE(F892),1)*1440,0))</f>
        <v>35</v>
      </c>
      <c r="P892" s="0" t="str">
        <f aca="false">IF(COUNTIF($A$2:A892,A892)&gt;1,"DUP","")</f>
        <v/>
      </c>
      <c r="Q892" s="0" t="str">
        <f aca="false">IF(O892="","",IF(O892&gt;240,"Y","N"))</f>
        <v>N</v>
      </c>
    </row>
    <row r="893" customFormat="false" ht="15" hidden="false" customHeight="false" outlineLevel="0" collapsed="false">
      <c r="A893" s="0" t="s">
        <v>6158</v>
      </c>
      <c r="B893" s="0" t="s">
        <v>4783</v>
      </c>
      <c r="C893" s="0" t="s">
        <v>853</v>
      </c>
      <c r="D893" s="31" t="n">
        <v>16353</v>
      </c>
      <c r="E893" s="31" t="n">
        <v>45614</v>
      </c>
      <c r="F893" s="32" t="s">
        <v>4622</v>
      </c>
      <c r="G893" s="0" t="n">
        <v>3</v>
      </c>
      <c r="H893" s="32" t="s">
        <v>4421</v>
      </c>
      <c r="I893" s="32" t="s">
        <v>4598</v>
      </c>
      <c r="J893" s="32" t="s">
        <v>3749</v>
      </c>
      <c r="K893" s="32" t="s">
        <v>2081</v>
      </c>
      <c r="L893" s="0" t="n">
        <v>124</v>
      </c>
      <c r="M893" s="32" t="s">
        <v>4141</v>
      </c>
      <c r="N893" s="32" t="s">
        <v>3751</v>
      </c>
      <c r="O893" s="32" t="n">
        <f aca="false">IF(I893="","",ROUND(MOD(TIMEVALUE(I893)-TIMEVALUE(F893),1)*1440,0))</f>
        <v>124</v>
      </c>
      <c r="P893" s="0" t="str">
        <f aca="false">IF(COUNTIF($A$2:A893,A893)&gt;1,"DUP","")</f>
        <v/>
      </c>
      <c r="Q893" s="0" t="str">
        <f aca="false">IF(O893="","",IF(O893&gt;240,"Y","N"))</f>
        <v>N</v>
      </c>
    </row>
    <row r="894" customFormat="false" ht="15" hidden="false" customHeight="false" outlineLevel="0" collapsed="false">
      <c r="A894" s="0" t="s">
        <v>6159</v>
      </c>
      <c r="C894" s="0" t="s">
        <v>784</v>
      </c>
      <c r="D894" s="31" t="n">
        <v>31318</v>
      </c>
      <c r="E894" s="31" t="n">
        <v>45702</v>
      </c>
      <c r="F894" s="32" t="s">
        <v>4730</v>
      </c>
      <c r="G894" s="0" t="n">
        <v>5</v>
      </c>
      <c r="H894" s="32" t="s">
        <v>6160</v>
      </c>
      <c r="I894" s="32" t="s">
        <v>4083</v>
      </c>
      <c r="J894" s="32" t="s">
        <v>2307</v>
      </c>
      <c r="K894" s="32" t="s">
        <v>2081</v>
      </c>
      <c r="L894" s="0" t="n">
        <v>97</v>
      </c>
      <c r="M894" s="32" t="s">
        <v>3975</v>
      </c>
      <c r="N894" s="32" t="s">
        <v>3751</v>
      </c>
      <c r="O894" s="32" t="n">
        <f aca="false">IF(I894="","",ROUND(MOD(TIMEVALUE(I894)-TIMEVALUE(F894),1)*1440,0))</f>
        <v>97</v>
      </c>
      <c r="P894" s="0" t="str">
        <f aca="false">IF(COUNTIF($A$2:A894,A894)&gt;1,"DUP","")</f>
        <v/>
      </c>
      <c r="Q894" s="0" t="str">
        <f aca="false">IF(O894="","",IF(O894&gt;240,"Y","N"))</f>
        <v>N</v>
      </c>
    </row>
    <row r="895" customFormat="false" ht="15" hidden="false" customHeight="false" outlineLevel="0" collapsed="false">
      <c r="A895" s="0" t="s">
        <v>6161</v>
      </c>
      <c r="B895" s="0" t="s">
        <v>4701</v>
      </c>
      <c r="C895" s="0" t="s">
        <v>981</v>
      </c>
      <c r="D895" s="31" t="n">
        <v>32121</v>
      </c>
      <c r="E895" s="31" t="n">
        <v>45656</v>
      </c>
      <c r="F895" s="32" t="s">
        <v>4668</v>
      </c>
      <c r="G895" s="0" t="n">
        <v>3</v>
      </c>
      <c r="H895" s="32" t="s">
        <v>6162</v>
      </c>
      <c r="I895" s="32" t="s">
        <v>4428</v>
      </c>
      <c r="J895" s="32" t="s">
        <v>3749</v>
      </c>
      <c r="K895" s="32" t="s">
        <v>2106</v>
      </c>
      <c r="L895" s="0" t="n">
        <v>575</v>
      </c>
      <c r="M895" s="32" t="s">
        <v>3966</v>
      </c>
      <c r="N895" s="32" t="s">
        <v>3751</v>
      </c>
      <c r="O895" s="32" t="n">
        <f aca="false">IF(I895="","",ROUND(MOD(TIMEVALUE(I895)-TIMEVALUE(F895),1)*1440,0))</f>
        <v>575</v>
      </c>
      <c r="P895" s="0" t="str">
        <f aca="false">IF(COUNTIF($A$2:A895,A895)&gt;1,"DUP","")</f>
        <v/>
      </c>
      <c r="Q895" s="0" t="str">
        <f aca="false">IF(O895="","",IF(O895&gt;240,"Y","N"))</f>
        <v>Y</v>
      </c>
    </row>
    <row r="896" customFormat="false" ht="15" hidden="false" customHeight="false" outlineLevel="0" collapsed="false">
      <c r="A896" s="0" t="s">
        <v>6163</v>
      </c>
      <c r="B896" s="0" t="s">
        <v>3948</v>
      </c>
      <c r="C896" s="0" t="s">
        <v>985</v>
      </c>
      <c r="D896" s="31" t="n">
        <v>19793</v>
      </c>
      <c r="E896" s="31" t="n">
        <v>45737</v>
      </c>
      <c r="F896" s="32" t="s">
        <v>4347</v>
      </c>
      <c r="G896" s="0" t="n">
        <v>5</v>
      </c>
      <c r="H896" s="32" t="s">
        <v>6164</v>
      </c>
      <c r="I896" s="32" t="s">
        <v>5875</v>
      </c>
      <c r="J896" s="32" t="s">
        <v>3749</v>
      </c>
      <c r="K896" s="32" t="s">
        <v>2081</v>
      </c>
      <c r="L896" s="0" t="n">
        <v>98</v>
      </c>
      <c r="M896" s="32" t="s">
        <v>3966</v>
      </c>
      <c r="N896" s="32" t="s">
        <v>3751</v>
      </c>
      <c r="O896" s="32" t="n">
        <f aca="false">IF(I896="","",ROUND(MOD(TIMEVALUE(I896)-TIMEVALUE(F896),1)*1440,0))</f>
        <v>98</v>
      </c>
      <c r="P896" s="0" t="str">
        <f aca="false">IF(COUNTIF($A$2:A896,A896)&gt;1,"DUP","")</f>
        <v/>
      </c>
      <c r="Q896" s="0" t="str">
        <f aca="false">IF(O896="","",IF(O896&gt;240,"Y","N"))</f>
        <v>N</v>
      </c>
    </row>
    <row r="897" customFormat="false" ht="15" hidden="false" customHeight="false" outlineLevel="0" collapsed="false">
      <c r="A897" s="0" t="s">
        <v>6165</v>
      </c>
      <c r="B897" s="0" t="s">
        <v>5397</v>
      </c>
      <c r="C897" s="0" t="s">
        <v>922</v>
      </c>
      <c r="D897" s="31" t="n">
        <v>31359</v>
      </c>
      <c r="E897" s="31" t="n">
        <v>45688</v>
      </c>
      <c r="F897" s="32" t="s">
        <v>4712</v>
      </c>
      <c r="G897" s="0" t="n">
        <v>4</v>
      </c>
      <c r="H897" s="32" t="s">
        <v>4185</v>
      </c>
      <c r="I897" s="32" t="s">
        <v>4930</v>
      </c>
      <c r="J897" s="32" t="s">
        <v>3749</v>
      </c>
      <c r="K897" s="32" t="s">
        <v>2081</v>
      </c>
      <c r="L897" s="0" t="n">
        <v>77</v>
      </c>
      <c r="M897" s="32" t="s">
        <v>3966</v>
      </c>
      <c r="N897" s="32" t="s">
        <v>3751</v>
      </c>
      <c r="O897" s="32" t="n">
        <f aca="false">IF(I897="","",ROUND(MOD(TIMEVALUE(I897)-TIMEVALUE(F897),1)*1440,0))</f>
        <v>77</v>
      </c>
      <c r="P897" s="0" t="str">
        <f aca="false">IF(COUNTIF($A$2:A897,A897)&gt;1,"DUP","")</f>
        <v/>
      </c>
      <c r="Q897" s="0" t="str">
        <f aca="false">IF(O897="","",IF(O897&gt;240,"Y","N"))</f>
        <v>N</v>
      </c>
    </row>
    <row r="898" customFormat="false" ht="15" hidden="false" customHeight="false" outlineLevel="0" collapsed="false">
      <c r="A898" s="0" t="s">
        <v>6166</v>
      </c>
      <c r="C898" s="0" t="s">
        <v>898</v>
      </c>
      <c r="D898" s="31" t="n">
        <v>34284</v>
      </c>
      <c r="E898" s="31" t="n">
        <v>45578</v>
      </c>
      <c r="F898" s="32" t="s">
        <v>6167</v>
      </c>
      <c r="G898" s="0" t="n">
        <v>3</v>
      </c>
      <c r="H898" s="32" t="s">
        <v>5335</v>
      </c>
      <c r="I898" s="32" t="s">
        <v>5651</v>
      </c>
      <c r="J898" s="32" t="s">
        <v>3749</v>
      </c>
      <c r="K898" s="32" t="s">
        <v>2081</v>
      </c>
      <c r="L898" s="0" t="n">
        <v>182</v>
      </c>
      <c r="M898" s="32" t="s">
        <v>4165</v>
      </c>
      <c r="N898" s="32" t="s">
        <v>3751</v>
      </c>
      <c r="O898" s="32" t="n">
        <f aca="false">IF(I898="","",ROUND(MOD(TIMEVALUE(I898)-TIMEVALUE(F898),1)*1440,0))</f>
        <v>182</v>
      </c>
      <c r="P898" s="0" t="str">
        <f aca="false">IF(COUNTIF($A$2:A898,A898)&gt;1,"DUP","")</f>
        <v/>
      </c>
      <c r="Q898" s="0" t="str">
        <f aca="false">IF(O898="","",IF(O898&gt;240,"Y","N"))</f>
        <v>N</v>
      </c>
    </row>
    <row r="899" customFormat="false" ht="15" hidden="false" customHeight="false" outlineLevel="0" collapsed="false">
      <c r="A899" s="0" t="s">
        <v>6168</v>
      </c>
      <c r="B899" s="0" t="s">
        <v>3766</v>
      </c>
      <c r="C899" s="0" t="s">
        <v>962</v>
      </c>
      <c r="D899" s="31" t="n">
        <v>24813</v>
      </c>
      <c r="E899" s="31" t="n">
        <v>45728</v>
      </c>
      <c r="F899" s="32" t="s">
        <v>6169</v>
      </c>
      <c r="G899" s="0" t="n">
        <v>3</v>
      </c>
      <c r="H899" s="32" t="s">
        <v>5102</v>
      </c>
      <c r="I899" s="32" t="s">
        <v>4241</v>
      </c>
      <c r="J899" s="32" t="s">
        <v>3793</v>
      </c>
      <c r="K899" s="32" t="s">
        <v>2106</v>
      </c>
      <c r="L899" s="0" t="n">
        <v>433</v>
      </c>
      <c r="M899" s="32" t="s">
        <v>3946</v>
      </c>
      <c r="N899" s="32" t="s">
        <v>747</v>
      </c>
      <c r="O899" s="32" t="n">
        <f aca="false">IF(I899="","",ROUND(MOD(TIMEVALUE(I899)-TIMEVALUE(F899),1)*1440,0))</f>
        <v>433</v>
      </c>
      <c r="P899" s="0" t="str">
        <f aca="false">IF(COUNTIF($A$2:A899,A899)&gt;1,"DUP","")</f>
        <v/>
      </c>
      <c r="Q899" s="0" t="str">
        <f aca="false">IF(O899="","",IF(O899&gt;240,"Y","N"))</f>
        <v>Y</v>
      </c>
    </row>
    <row r="900" customFormat="false" ht="15" hidden="false" customHeight="false" outlineLevel="0" collapsed="false">
      <c r="A900" s="0" t="s">
        <v>6170</v>
      </c>
      <c r="B900" s="0" t="s">
        <v>4138</v>
      </c>
      <c r="C900" s="0" t="s">
        <v>886</v>
      </c>
      <c r="D900" s="31" t="n">
        <v>17050</v>
      </c>
      <c r="E900" s="31" t="n">
        <v>45591</v>
      </c>
      <c r="F900" s="32" t="s">
        <v>5347</v>
      </c>
      <c r="G900" s="0" t="n">
        <v>3</v>
      </c>
      <c r="H900" s="32" t="s">
        <v>4911</v>
      </c>
      <c r="I900" s="32" t="s">
        <v>5087</v>
      </c>
      <c r="J900" s="32" t="s">
        <v>3749</v>
      </c>
      <c r="K900" s="32" t="s">
        <v>2081</v>
      </c>
      <c r="L900" s="0" t="n">
        <v>125</v>
      </c>
      <c r="M900" s="32" t="s">
        <v>4206</v>
      </c>
      <c r="N900" s="32" t="s">
        <v>3751</v>
      </c>
      <c r="O900" s="32" t="n">
        <f aca="false">IF(I900="","",ROUND(MOD(TIMEVALUE(I900)-TIMEVALUE(F900),1)*1440,0))</f>
        <v>125</v>
      </c>
      <c r="P900" s="0" t="str">
        <f aca="false">IF(COUNTIF($A$2:A900,A900)&gt;1,"DUP","")</f>
        <v/>
      </c>
      <c r="Q900" s="0" t="str">
        <f aca="false">IF(O900="","",IF(O900&gt;240,"Y","N"))</f>
        <v>N</v>
      </c>
    </row>
    <row r="901" customFormat="false" ht="15" hidden="false" customHeight="false" outlineLevel="0" collapsed="false">
      <c r="A901" s="0" t="s">
        <v>6171</v>
      </c>
      <c r="B901" s="0" t="s">
        <v>4188</v>
      </c>
      <c r="C901" s="0" t="s">
        <v>2178</v>
      </c>
      <c r="D901" s="31" t="n">
        <v>24586</v>
      </c>
      <c r="E901" s="31" t="n">
        <v>45659</v>
      </c>
      <c r="F901" s="32" t="s">
        <v>6172</v>
      </c>
      <c r="G901" s="0" t="n">
        <v>4</v>
      </c>
      <c r="H901" s="32" t="s">
        <v>4702</v>
      </c>
      <c r="I901" s="32" t="s">
        <v>5887</v>
      </c>
      <c r="J901" s="32" t="s">
        <v>3763</v>
      </c>
      <c r="K901" s="32" t="s">
        <v>2081</v>
      </c>
      <c r="L901" s="0" t="n">
        <v>97</v>
      </c>
      <c r="M901" s="32" t="s">
        <v>3815</v>
      </c>
      <c r="N901" s="32" t="s">
        <v>3751</v>
      </c>
      <c r="O901" s="32" t="n">
        <f aca="false">IF(I901="","",ROUND(MOD(TIMEVALUE(I901)-TIMEVALUE(F901),1)*1440,0))</f>
        <v>97</v>
      </c>
      <c r="P901" s="0" t="str">
        <f aca="false">IF(COUNTIF($A$2:A901,A901)&gt;1,"DUP","")</f>
        <v/>
      </c>
      <c r="Q901" s="0" t="str">
        <f aca="false">IF(O901="","",IF(O901&gt;240,"Y","N"))</f>
        <v>N</v>
      </c>
    </row>
    <row r="902" customFormat="false" ht="15" hidden="false" customHeight="false" outlineLevel="0" collapsed="false">
      <c r="A902" s="0" t="s">
        <v>6173</v>
      </c>
      <c r="B902" s="0" t="s">
        <v>5277</v>
      </c>
      <c r="C902" s="0" t="s">
        <v>898</v>
      </c>
      <c r="D902" s="31" t="n">
        <v>37017</v>
      </c>
      <c r="E902" s="31" t="n">
        <v>45689</v>
      </c>
      <c r="F902" s="32" t="s">
        <v>6174</v>
      </c>
      <c r="G902" s="0" t="n">
        <v>4</v>
      </c>
      <c r="H902" s="32" t="s">
        <v>4530</v>
      </c>
      <c r="I902" s="32" t="s">
        <v>4644</v>
      </c>
      <c r="J902" s="32" t="s">
        <v>3749</v>
      </c>
      <c r="K902" s="32" t="s">
        <v>2081</v>
      </c>
      <c r="L902" s="0" t="n">
        <v>186</v>
      </c>
      <c r="M902" s="32" t="s">
        <v>3871</v>
      </c>
      <c r="N902" s="32" t="s">
        <v>3751</v>
      </c>
      <c r="O902" s="32" t="n">
        <f aca="false">IF(I902="","",ROUND(MOD(TIMEVALUE(I902)-TIMEVALUE(F902),1)*1440,0))</f>
        <v>186</v>
      </c>
      <c r="P902" s="0" t="str">
        <f aca="false">IF(COUNTIF($A$2:A902,A902)&gt;1,"DUP","")</f>
        <v/>
      </c>
      <c r="Q902" s="0" t="str">
        <f aca="false">IF(O902="","",IF(O902&gt;240,"Y","N"))</f>
        <v>N</v>
      </c>
    </row>
    <row r="903" customFormat="false" ht="15" hidden="false" customHeight="false" outlineLevel="0" collapsed="false">
      <c r="A903" s="0" t="s">
        <v>6175</v>
      </c>
      <c r="B903" s="0" t="s">
        <v>5963</v>
      </c>
      <c r="C903" s="0" t="s">
        <v>853</v>
      </c>
      <c r="D903" s="31" t="n">
        <v>33172</v>
      </c>
      <c r="E903" s="31" t="n">
        <v>45623</v>
      </c>
      <c r="F903" s="32" t="s">
        <v>4805</v>
      </c>
      <c r="G903" s="0" t="n">
        <v>5</v>
      </c>
      <c r="H903" s="32" t="s">
        <v>5106</v>
      </c>
      <c r="I903" s="32" t="s">
        <v>4605</v>
      </c>
      <c r="J903" s="32" t="s">
        <v>2307</v>
      </c>
      <c r="K903" s="32" t="s">
        <v>2106</v>
      </c>
      <c r="L903" s="0" t="n">
        <v>331</v>
      </c>
      <c r="M903" s="32" t="s">
        <v>4047</v>
      </c>
      <c r="N903" s="32" t="s">
        <v>3751</v>
      </c>
      <c r="O903" s="32" t="n">
        <f aca="false">IF(I903="","",ROUND(MOD(TIMEVALUE(I903)-TIMEVALUE(F903),1)*1440,0))</f>
        <v>331</v>
      </c>
      <c r="P903" s="0" t="str">
        <f aca="false">IF(COUNTIF($A$2:A903,A903)&gt;1,"DUP","")</f>
        <v/>
      </c>
      <c r="Q903" s="0" t="str">
        <f aca="false">IF(O903="","",IF(O903&gt;240,"Y","N"))</f>
        <v>Y</v>
      </c>
    </row>
    <row r="904" customFormat="false" ht="15" hidden="false" customHeight="false" outlineLevel="0" collapsed="false">
      <c r="A904" s="0" t="s">
        <v>6176</v>
      </c>
      <c r="C904" s="0" t="s">
        <v>993</v>
      </c>
      <c r="D904" s="31" t="n">
        <v>12952</v>
      </c>
      <c r="E904" s="31" t="n">
        <v>45712</v>
      </c>
      <c r="F904" s="32" t="s">
        <v>4059</v>
      </c>
      <c r="G904" s="0" t="n">
        <v>2</v>
      </c>
      <c r="H904" s="32" t="s">
        <v>5506</v>
      </c>
      <c r="I904" s="32" t="s">
        <v>5076</v>
      </c>
      <c r="J904" s="32" t="s">
        <v>3749</v>
      </c>
      <c r="K904" s="32" t="s">
        <v>2106</v>
      </c>
      <c r="L904" s="0" t="n">
        <v>454</v>
      </c>
      <c r="M904" s="32" t="s">
        <v>3787</v>
      </c>
      <c r="N904" s="32" t="s">
        <v>3751</v>
      </c>
      <c r="O904" s="32" t="n">
        <f aca="false">IF(I904="","",ROUND(MOD(TIMEVALUE(I904)-TIMEVALUE(F904),1)*1440,0))</f>
        <v>454</v>
      </c>
      <c r="P904" s="0" t="str">
        <f aca="false">IF(COUNTIF($A$2:A904,A904)&gt;1,"DUP","")</f>
        <v/>
      </c>
      <c r="Q904" s="0" t="str">
        <f aca="false">IF(O904="","",IF(O904&gt;240,"Y","N"))</f>
        <v>Y</v>
      </c>
    </row>
    <row r="905" customFormat="false" ht="15" hidden="false" customHeight="false" outlineLevel="0" collapsed="false">
      <c r="A905" s="0" t="s">
        <v>6177</v>
      </c>
      <c r="B905" s="0" t="s">
        <v>5643</v>
      </c>
      <c r="C905" s="0" t="s">
        <v>2225</v>
      </c>
      <c r="D905" s="31" t="n">
        <v>24920</v>
      </c>
      <c r="E905" s="31" t="n">
        <v>45566</v>
      </c>
      <c r="F905" s="32" t="s">
        <v>5651</v>
      </c>
      <c r="G905" s="0" t="n">
        <v>3</v>
      </c>
      <c r="H905" s="32" t="s">
        <v>4001</v>
      </c>
      <c r="I905" s="32" t="s">
        <v>6178</v>
      </c>
      <c r="J905" s="32" t="s">
        <v>2307</v>
      </c>
      <c r="K905" s="32" t="s">
        <v>2081</v>
      </c>
      <c r="L905" s="0" t="n">
        <v>179</v>
      </c>
      <c r="M905" s="32" t="s">
        <v>4037</v>
      </c>
      <c r="N905" s="32" t="s">
        <v>3751</v>
      </c>
      <c r="O905" s="32" t="n">
        <f aca="false">IF(I905="","",ROUND(MOD(TIMEVALUE(I905)-TIMEVALUE(F905),1)*1440,0))</f>
        <v>179</v>
      </c>
      <c r="P905" s="0" t="str">
        <f aca="false">IF(COUNTIF($A$2:A905,A905)&gt;1,"DUP","")</f>
        <v/>
      </c>
      <c r="Q905" s="0" t="str">
        <f aca="false">IF(O905="","",IF(O905&gt;240,"Y","N"))</f>
        <v>N</v>
      </c>
    </row>
    <row r="906" customFormat="false" ht="15" hidden="false" customHeight="false" outlineLevel="0" collapsed="false">
      <c r="A906" s="0" t="s">
        <v>6179</v>
      </c>
      <c r="B906" s="0" t="s">
        <v>3932</v>
      </c>
      <c r="C906" s="0" t="s">
        <v>962</v>
      </c>
      <c r="D906" s="31" t="n">
        <v>18707</v>
      </c>
      <c r="E906" s="31" t="n">
        <v>45732</v>
      </c>
      <c r="F906" s="32" t="s">
        <v>6117</v>
      </c>
      <c r="G906" s="0" t="n">
        <v>3</v>
      </c>
      <c r="H906" s="32" t="s">
        <v>4533</v>
      </c>
      <c r="I906" s="32" t="s">
        <v>4023</v>
      </c>
      <c r="J906" s="32" t="s">
        <v>3749</v>
      </c>
      <c r="K906" s="32" t="s">
        <v>2081</v>
      </c>
      <c r="L906" s="0" t="n">
        <v>221</v>
      </c>
      <c r="M906" s="32" t="s">
        <v>4149</v>
      </c>
      <c r="N906" s="32" t="s">
        <v>3751</v>
      </c>
      <c r="O906" s="32" t="n">
        <f aca="false">IF(I906="","",ROUND(MOD(TIMEVALUE(I906)-TIMEVALUE(F906),1)*1440,0))</f>
        <v>221</v>
      </c>
      <c r="P906" s="0" t="str">
        <f aca="false">IF(COUNTIF($A$2:A906,A906)&gt;1,"DUP","")</f>
        <v/>
      </c>
      <c r="Q906" s="0" t="str">
        <f aca="false">IF(O906="","",IF(O906&gt;240,"Y","N"))</f>
        <v>N</v>
      </c>
    </row>
    <row r="907" customFormat="false" ht="15" hidden="false" customHeight="false" outlineLevel="0" collapsed="false">
      <c r="A907" s="0" t="s">
        <v>6180</v>
      </c>
      <c r="B907" s="0" t="s">
        <v>5218</v>
      </c>
      <c r="C907" s="0" t="s">
        <v>1414</v>
      </c>
      <c r="D907" s="31" t="n">
        <v>17465</v>
      </c>
      <c r="E907" s="31" t="n">
        <v>45672</v>
      </c>
      <c r="F907" s="32" t="s">
        <v>6181</v>
      </c>
      <c r="G907" s="0" t="n">
        <v>5</v>
      </c>
      <c r="H907" s="32" t="s">
        <v>4551</v>
      </c>
      <c r="J907" s="32" t="s">
        <v>3749</v>
      </c>
      <c r="M907" s="32" t="s">
        <v>3925</v>
      </c>
      <c r="N907" s="32" t="s">
        <v>3751</v>
      </c>
      <c r="O907" s="0" t="str">
        <f aca="false">IF(I907="","",ROUND(MOD(TIMEVALUE(I907)-TIMEVALUE(F907),1)*1440,0))</f>
        <v/>
      </c>
      <c r="P907" s="0" t="str">
        <f aca="false">IF(COUNTIF($A$2:A907,A907)&gt;1,"DUP","")</f>
        <v/>
      </c>
      <c r="Q907" s="0" t="str">
        <f aca="false">IF(O907="","",IF(O907&gt;240,"Y","N"))</f>
        <v/>
      </c>
    </row>
    <row r="908" customFormat="false" ht="15" hidden="false" customHeight="false" outlineLevel="0" collapsed="false">
      <c r="A908" s="0" t="s">
        <v>6182</v>
      </c>
      <c r="B908" s="0" t="s">
        <v>5098</v>
      </c>
      <c r="C908" s="0" t="s">
        <v>902</v>
      </c>
      <c r="D908" s="31" t="n">
        <v>35326</v>
      </c>
      <c r="E908" s="31" t="n">
        <v>45677</v>
      </c>
      <c r="F908" s="32" t="s">
        <v>4559</v>
      </c>
      <c r="G908" s="0" t="n">
        <v>4</v>
      </c>
      <c r="H908" s="32" t="s">
        <v>4278</v>
      </c>
      <c r="I908" s="32" t="s">
        <v>5538</v>
      </c>
      <c r="J908" s="32" t="s">
        <v>3749</v>
      </c>
      <c r="K908" s="32" t="s">
        <v>2081</v>
      </c>
      <c r="L908" s="0" t="n">
        <v>234</v>
      </c>
      <c r="M908" s="32" t="s">
        <v>3757</v>
      </c>
      <c r="N908" s="32" t="s">
        <v>3751</v>
      </c>
      <c r="O908" s="32" t="n">
        <f aca="false">IF(I908="","",ROUND(MOD(TIMEVALUE(I908)-TIMEVALUE(F908),1)*1440,0))</f>
        <v>234</v>
      </c>
      <c r="P908" s="0" t="str">
        <f aca="false">IF(COUNTIF($A$2:A908,A908)&gt;1,"DUP","")</f>
        <v/>
      </c>
      <c r="Q908" s="0" t="str">
        <f aca="false">IF(O908="","",IF(O908&gt;240,"Y","N"))</f>
        <v>N</v>
      </c>
    </row>
    <row r="909" customFormat="false" ht="15" hidden="false" customHeight="false" outlineLevel="0" collapsed="false">
      <c r="A909" s="0" t="s">
        <v>6183</v>
      </c>
      <c r="B909" s="0" t="s">
        <v>4147</v>
      </c>
      <c r="C909" s="0" t="s">
        <v>866</v>
      </c>
      <c r="D909" s="31" t="n">
        <v>14269</v>
      </c>
      <c r="E909" s="31" t="n">
        <v>45641</v>
      </c>
      <c r="F909" s="32" t="s">
        <v>4172</v>
      </c>
      <c r="G909" s="0" t="n">
        <v>3</v>
      </c>
      <c r="H909" s="32" t="s">
        <v>4904</v>
      </c>
      <c r="I909" s="32" t="s">
        <v>6184</v>
      </c>
      <c r="J909" s="32" t="s">
        <v>3749</v>
      </c>
      <c r="K909" s="32" t="s">
        <v>2106</v>
      </c>
      <c r="L909" s="0" t="n">
        <v>553</v>
      </c>
      <c r="M909" s="32" t="s">
        <v>3871</v>
      </c>
      <c r="N909" s="32" t="s">
        <v>3751</v>
      </c>
      <c r="O909" s="32" t="n">
        <f aca="false">IF(I909="","",ROUND(MOD(TIMEVALUE(I909)-TIMEVALUE(F909),1)*1440,0))</f>
        <v>553</v>
      </c>
      <c r="P909" s="0" t="str">
        <f aca="false">IF(COUNTIF($A$2:A909,A909)&gt;1,"DUP","")</f>
        <v/>
      </c>
      <c r="Q909" s="0" t="str">
        <f aca="false">IF(O909="","",IF(O909&gt;240,"Y","N"))</f>
        <v>Y</v>
      </c>
    </row>
    <row r="910" customFormat="false" ht="15" hidden="false" customHeight="false" outlineLevel="0" collapsed="false">
      <c r="A910" s="0" t="s">
        <v>6185</v>
      </c>
      <c r="B910" s="0" t="s">
        <v>4625</v>
      </c>
      <c r="C910" s="0" t="s">
        <v>4053</v>
      </c>
      <c r="D910" s="31" t="n">
        <v>24323</v>
      </c>
      <c r="E910" s="31" t="n">
        <v>45597</v>
      </c>
      <c r="F910" s="32" t="s">
        <v>5570</v>
      </c>
      <c r="G910" s="0" t="n">
        <v>2</v>
      </c>
      <c r="H910" s="32" t="s">
        <v>6068</v>
      </c>
      <c r="I910" s="32" t="s">
        <v>3870</v>
      </c>
      <c r="J910" s="32" t="s">
        <v>3763</v>
      </c>
      <c r="K910" s="32" t="s">
        <v>2081</v>
      </c>
      <c r="L910" s="0" t="n">
        <v>64</v>
      </c>
      <c r="M910" s="32" t="s">
        <v>4106</v>
      </c>
      <c r="N910" s="32" t="s">
        <v>3751</v>
      </c>
      <c r="O910" s="32" t="n">
        <f aca="false">IF(I910="","",ROUND(MOD(TIMEVALUE(I910)-TIMEVALUE(F910),1)*1440,0))</f>
        <v>64</v>
      </c>
      <c r="P910" s="0" t="str">
        <f aca="false">IF(COUNTIF($A$2:A910,A910)&gt;1,"DUP","")</f>
        <v/>
      </c>
      <c r="Q910" s="0" t="str">
        <f aca="false">IF(O910="","",IF(O910&gt;240,"Y","N"))</f>
        <v>N</v>
      </c>
    </row>
    <row r="911" customFormat="false" ht="15" hidden="false" customHeight="false" outlineLevel="0" collapsed="false">
      <c r="A911" s="0" t="s">
        <v>6186</v>
      </c>
      <c r="B911" s="0" t="s">
        <v>6187</v>
      </c>
      <c r="C911" s="0" t="s">
        <v>817</v>
      </c>
      <c r="D911" s="31" t="n">
        <v>39303</v>
      </c>
      <c r="E911" s="31" t="n">
        <v>45716</v>
      </c>
      <c r="F911" s="32" t="s">
        <v>3909</v>
      </c>
      <c r="G911" s="0" t="n">
        <v>3</v>
      </c>
      <c r="H911" s="32" t="s">
        <v>3990</v>
      </c>
      <c r="I911" s="32" t="s">
        <v>5996</v>
      </c>
      <c r="J911" s="32" t="s">
        <v>3749</v>
      </c>
      <c r="K911" s="32" t="s">
        <v>2081</v>
      </c>
      <c r="L911" s="0" t="n">
        <v>215</v>
      </c>
      <c r="M911" s="32" t="s">
        <v>3966</v>
      </c>
      <c r="N911" s="32" t="s">
        <v>3751</v>
      </c>
      <c r="O911" s="32" t="n">
        <f aca="false">IF(I911="","",ROUND(MOD(TIMEVALUE(I911)-TIMEVALUE(F911),1)*1440,0))</f>
        <v>215</v>
      </c>
      <c r="P911" s="0" t="str">
        <f aca="false">IF(COUNTIF($A$2:A911,A911)&gt;1,"DUP","")</f>
        <v/>
      </c>
      <c r="Q911" s="0" t="str">
        <f aca="false">IF(O911="","",IF(O911&gt;240,"Y","N"))</f>
        <v>N</v>
      </c>
    </row>
    <row r="912" customFormat="false" ht="15" hidden="false" customHeight="false" outlineLevel="0" collapsed="false">
      <c r="A912" s="0" t="s">
        <v>6188</v>
      </c>
      <c r="B912" s="0" t="s">
        <v>4724</v>
      </c>
      <c r="C912" s="0" t="s">
        <v>857</v>
      </c>
      <c r="D912" s="31" t="n">
        <v>30464</v>
      </c>
      <c r="E912" s="31" t="n">
        <v>45688</v>
      </c>
      <c r="F912" s="32" t="s">
        <v>5892</v>
      </c>
      <c r="G912" s="0" t="n">
        <v>4</v>
      </c>
      <c r="H912" s="32" t="s">
        <v>4023</v>
      </c>
      <c r="I912" s="32" t="s">
        <v>6189</v>
      </c>
      <c r="J912" s="32" t="s">
        <v>3763</v>
      </c>
      <c r="K912" s="32" t="s">
        <v>2081</v>
      </c>
      <c r="L912" s="0" t="n">
        <v>226</v>
      </c>
      <c r="M912" s="32" t="s">
        <v>4313</v>
      </c>
      <c r="N912" s="32" t="s">
        <v>3751</v>
      </c>
      <c r="O912" s="32" t="n">
        <f aca="false">IF(I912="","",ROUND(MOD(TIMEVALUE(I912)-TIMEVALUE(F912),1)*1440,0))</f>
        <v>226</v>
      </c>
      <c r="P912" s="0" t="str">
        <f aca="false">IF(COUNTIF($A$2:A912,A912)&gt;1,"DUP","")</f>
        <v/>
      </c>
      <c r="Q912" s="0" t="str">
        <f aca="false">IF(O912="","",IF(O912&gt;240,"Y","N"))</f>
        <v>N</v>
      </c>
    </row>
    <row r="913" customFormat="false" ht="15" hidden="false" customHeight="false" outlineLevel="0" collapsed="false">
      <c r="A913" s="0" t="s">
        <v>6190</v>
      </c>
      <c r="B913" s="0" t="s">
        <v>4684</v>
      </c>
      <c r="C913" s="0" t="s">
        <v>1426</v>
      </c>
      <c r="D913" s="31" t="n">
        <v>37388</v>
      </c>
      <c r="E913" s="31" t="n">
        <v>45624</v>
      </c>
      <c r="F913" s="32" t="s">
        <v>5757</v>
      </c>
      <c r="G913" s="0" t="n">
        <v>4</v>
      </c>
      <c r="H913" s="32" t="s">
        <v>3836</v>
      </c>
      <c r="I913" s="32" t="s">
        <v>5860</v>
      </c>
      <c r="J913" s="32" t="s">
        <v>3749</v>
      </c>
      <c r="K913" s="32" t="s">
        <v>2106</v>
      </c>
      <c r="L913" s="0" t="n">
        <v>262</v>
      </c>
      <c r="M913" s="32" t="s">
        <v>3750</v>
      </c>
      <c r="N913" s="32" t="s">
        <v>3751</v>
      </c>
      <c r="O913" s="32" t="n">
        <f aca="false">IF(I913="","",ROUND(MOD(TIMEVALUE(I913)-TIMEVALUE(F913),1)*1440,0))</f>
        <v>262</v>
      </c>
      <c r="P913" s="0" t="str">
        <f aca="false">IF(COUNTIF($A$2:A913,A913)&gt;1,"DUP","")</f>
        <v/>
      </c>
      <c r="Q913" s="0" t="str">
        <f aca="false">IF(O913="","",IF(O913&gt;240,"Y","N"))</f>
        <v>Y</v>
      </c>
    </row>
    <row r="914" customFormat="false" ht="15" hidden="false" customHeight="false" outlineLevel="0" collapsed="false">
      <c r="A914" s="0" t="s">
        <v>6191</v>
      </c>
      <c r="B914" s="0" t="s">
        <v>4874</v>
      </c>
      <c r="C914" s="0" t="s">
        <v>1426</v>
      </c>
      <c r="D914" s="31" t="n">
        <v>13509</v>
      </c>
      <c r="E914" s="31" t="n">
        <v>45590</v>
      </c>
      <c r="F914" s="32" t="s">
        <v>5764</v>
      </c>
      <c r="G914" s="0" t="n">
        <v>4</v>
      </c>
      <c r="H914" s="32" t="s">
        <v>6192</v>
      </c>
      <c r="I914" s="32" t="s">
        <v>4029</v>
      </c>
      <c r="J914" s="32" t="s">
        <v>3749</v>
      </c>
      <c r="K914" s="32" t="s">
        <v>2081</v>
      </c>
      <c r="L914" s="0" t="n">
        <v>182</v>
      </c>
      <c r="M914" s="32" t="s">
        <v>4206</v>
      </c>
      <c r="N914" s="32" t="s">
        <v>3751</v>
      </c>
      <c r="O914" s="32" t="n">
        <f aca="false">IF(I914="","",ROUND(MOD(TIMEVALUE(I914)-TIMEVALUE(F914),1)*1440,0))</f>
        <v>182</v>
      </c>
      <c r="P914" s="0" t="str">
        <f aca="false">IF(COUNTIF($A$2:A914,A914)&gt;1,"DUP","")</f>
        <v/>
      </c>
      <c r="Q914" s="0" t="str">
        <f aca="false">IF(O914="","",IF(O914&gt;240,"Y","N"))</f>
        <v>N</v>
      </c>
    </row>
    <row r="915" customFormat="false" ht="15" hidden="false" customHeight="false" outlineLevel="0" collapsed="false">
      <c r="A915" s="0" t="s">
        <v>6193</v>
      </c>
      <c r="B915" s="0" t="s">
        <v>5482</v>
      </c>
      <c r="C915" s="0" t="s">
        <v>870</v>
      </c>
      <c r="D915" s="31" t="n">
        <v>22483</v>
      </c>
      <c r="E915" s="31" t="n">
        <v>45659</v>
      </c>
      <c r="F915" s="32" t="s">
        <v>5472</v>
      </c>
      <c r="G915" s="0" t="n">
        <v>3</v>
      </c>
      <c r="H915" s="32" t="s">
        <v>5640</v>
      </c>
      <c r="I915" s="32" t="s">
        <v>4298</v>
      </c>
      <c r="J915" s="32" t="s">
        <v>3749</v>
      </c>
      <c r="K915" s="32" t="s">
        <v>2081</v>
      </c>
      <c r="L915" s="0" t="n">
        <v>62</v>
      </c>
      <c r="M915" s="32" t="s">
        <v>4165</v>
      </c>
      <c r="N915" s="32" t="s">
        <v>3751</v>
      </c>
      <c r="O915" s="32" t="n">
        <f aca="false">IF(I915="","",ROUND(MOD(TIMEVALUE(I915)-TIMEVALUE(F915),1)*1440,0))</f>
        <v>62</v>
      </c>
      <c r="P915" s="0" t="str">
        <f aca="false">IF(COUNTIF($A$2:A915,A915)&gt;1,"DUP","")</f>
        <v/>
      </c>
      <c r="Q915" s="0" t="str">
        <f aca="false">IF(O915="","",IF(O915&gt;240,"Y","N"))</f>
        <v>N</v>
      </c>
    </row>
    <row r="916" customFormat="false" ht="15" hidden="false" customHeight="false" outlineLevel="0" collapsed="false">
      <c r="A916" s="0" t="s">
        <v>6194</v>
      </c>
      <c r="B916" s="0" t="s">
        <v>3801</v>
      </c>
      <c r="C916" s="0" t="s">
        <v>1390</v>
      </c>
      <c r="D916" s="31" t="n">
        <v>37176</v>
      </c>
      <c r="E916" s="31" t="n">
        <v>45682</v>
      </c>
      <c r="F916" s="32" t="s">
        <v>4885</v>
      </c>
      <c r="G916" s="0" t="n">
        <v>4</v>
      </c>
      <c r="H916" s="32" t="s">
        <v>6195</v>
      </c>
      <c r="I916" s="32" t="s">
        <v>6157</v>
      </c>
      <c r="J916" s="32" t="s">
        <v>3793</v>
      </c>
      <c r="K916" s="32" t="s">
        <v>2081</v>
      </c>
      <c r="L916" s="0" t="n">
        <v>238</v>
      </c>
      <c r="M916" s="32" t="s">
        <v>4037</v>
      </c>
      <c r="N916" s="32" t="s">
        <v>766</v>
      </c>
      <c r="O916" s="32" t="n">
        <f aca="false">IF(I916="","",ROUND(MOD(TIMEVALUE(I916)-TIMEVALUE(F916),1)*1440,0))</f>
        <v>238</v>
      </c>
      <c r="P916" s="0" t="str">
        <f aca="false">IF(COUNTIF($A$2:A916,A916)&gt;1,"DUP","")</f>
        <v/>
      </c>
      <c r="Q916" s="0" t="str">
        <f aca="false">IF(O916="","",IF(O916&gt;240,"Y","N"))</f>
        <v>N</v>
      </c>
    </row>
    <row r="917" customFormat="false" ht="15" hidden="false" customHeight="false" outlineLevel="0" collapsed="false">
      <c r="A917" s="0" t="s">
        <v>6196</v>
      </c>
      <c r="B917" s="0" t="s">
        <v>4353</v>
      </c>
      <c r="C917" s="0" t="s">
        <v>775</v>
      </c>
      <c r="D917" s="31" t="n">
        <v>19737</v>
      </c>
      <c r="E917" s="31" t="n">
        <v>45652</v>
      </c>
      <c r="F917" s="32" t="s">
        <v>3762</v>
      </c>
      <c r="G917" s="0" t="n">
        <v>5</v>
      </c>
      <c r="H917" s="32" t="s">
        <v>4283</v>
      </c>
      <c r="I917" s="32" t="s">
        <v>5985</v>
      </c>
      <c r="J917" s="32" t="s">
        <v>3793</v>
      </c>
      <c r="K917" s="32" t="s">
        <v>2081</v>
      </c>
      <c r="L917" s="0" t="n">
        <v>82</v>
      </c>
      <c r="M917" s="32" t="s">
        <v>3815</v>
      </c>
      <c r="N917" s="32" t="s">
        <v>785</v>
      </c>
      <c r="O917" s="32" t="n">
        <f aca="false">IF(I917="","",ROUND(MOD(TIMEVALUE(I917)-TIMEVALUE(F917),1)*1440,0))</f>
        <v>82</v>
      </c>
      <c r="P917" s="0" t="str">
        <f aca="false">IF(COUNTIF($A$2:A917,A917)&gt;1,"DUP","")</f>
        <v/>
      </c>
      <c r="Q917" s="0" t="str">
        <f aca="false">IF(O917="","",IF(O917&gt;240,"Y","N"))</f>
        <v>N</v>
      </c>
    </row>
    <row r="918" customFormat="false" ht="15" hidden="false" customHeight="false" outlineLevel="0" collapsed="false">
      <c r="A918" s="0" t="s">
        <v>6197</v>
      </c>
      <c r="B918" s="0" t="s">
        <v>4944</v>
      </c>
      <c r="C918" s="0" t="s">
        <v>1410</v>
      </c>
      <c r="D918" s="31" t="n">
        <v>24862</v>
      </c>
      <c r="E918" s="31" t="n">
        <v>45596</v>
      </c>
      <c r="F918" s="32" t="s">
        <v>5291</v>
      </c>
      <c r="G918" s="0" t="n">
        <v>3</v>
      </c>
      <c r="H918" s="32" t="s">
        <v>4652</v>
      </c>
      <c r="I918" s="32" t="s">
        <v>4501</v>
      </c>
      <c r="J918" s="32" t="s">
        <v>3749</v>
      </c>
      <c r="K918" s="32" t="s">
        <v>2081</v>
      </c>
      <c r="L918" s="0" t="n">
        <v>83</v>
      </c>
      <c r="M918" s="32" t="s">
        <v>4409</v>
      </c>
      <c r="N918" s="32" t="s">
        <v>3751</v>
      </c>
      <c r="O918" s="32" t="n">
        <f aca="false">IF(I918="","",ROUND(MOD(TIMEVALUE(I918)-TIMEVALUE(F918),1)*1440,0))</f>
        <v>83</v>
      </c>
      <c r="P918" s="0" t="str">
        <f aca="false">IF(COUNTIF($A$2:A918,A918)&gt;1,"DUP","")</f>
        <v/>
      </c>
      <c r="Q918" s="0" t="str">
        <f aca="false">IF(O918="","",IF(O918&gt;240,"Y","N"))</f>
        <v>N</v>
      </c>
    </row>
    <row r="919" customFormat="false" ht="15" hidden="false" customHeight="false" outlineLevel="0" collapsed="false">
      <c r="A919" s="0" t="s">
        <v>6198</v>
      </c>
      <c r="B919" s="0" t="s">
        <v>5868</v>
      </c>
      <c r="C919" s="0" t="s">
        <v>1390</v>
      </c>
      <c r="D919" s="31" t="n">
        <v>33141</v>
      </c>
      <c r="E919" s="31" t="n">
        <v>45687</v>
      </c>
      <c r="F919" s="32" t="s">
        <v>4998</v>
      </c>
      <c r="G919" s="0" t="n">
        <v>3</v>
      </c>
      <c r="H919" s="32" t="s">
        <v>5388</v>
      </c>
      <c r="I919" s="32" t="s">
        <v>6199</v>
      </c>
      <c r="J919" s="32" t="s">
        <v>3749</v>
      </c>
      <c r="K919" s="32" t="s">
        <v>2106</v>
      </c>
      <c r="L919" s="0" t="n">
        <v>364</v>
      </c>
      <c r="M919" s="32" t="s">
        <v>4141</v>
      </c>
      <c r="N919" s="32" t="s">
        <v>3751</v>
      </c>
      <c r="O919" s="32" t="n">
        <f aca="false">IF(I919="","",ROUND(MOD(TIMEVALUE(I919)-TIMEVALUE(F919),1)*1440,0))</f>
        <v>364</v>
      </c>
      <c r="P919" s="0" t="str">
        <f aca="false">IF(COUNTIF($A$2:A919,A919)&gt;1,"DUP","")</f>
        <v/>
      </c>
      <c r="Q919" s="0" t="str">
        <f aca="false">IF(O919="","",IF(O919&gt;240,"Y","N"))</f>
        <v>Y</v>
      </c>
    </row>
    <row r="920" customFormat="false" ht="15" hidden="false" customHeight="false" outlineLevel="0" collapsed="false">
      <c r="A920" s="0" t="s">
        <v>6200</v>
      </c>
      <c r="B920" s="0" t="s">
        <v>4224</v>
      </c>
      <c r="C920" s="0" t="s">
        <v>966</v>
      </c>
      <c r="D920" s="31" t="n">
        <v>29916</v>
      </c>
      <c r="E920" s="31" t="n">
        <v>45720</v>
      </c>
      <c r="F920" s="32" t="s">
        <v>6201</v>
      </c>
      <c r="G920" s="0" t="n">
        <v>3</v>
      </c>
      <c r="H920" s="32" t="s">
        <v>4066</v>
      </c>
      <c r="I920" s="32" t="s">
        <v>4594</v>
      </c>
      <c r="J920" s="32" t="s">
        <v>2307</v>
      </c>
      <c r="K920" s="32" t="s">
        <v>2081</v>
      </c>
      <c r="L920" s="0" t="n">
        <v>103</v>
      </c>
      <c r="M920" s="32" t="s">
        <v>4255</v>
      </c>
      <c r="N920" s="32" t="s">
        <v>3751</v>
      </c>
      <c r="O920" s="32" t="n">
        <f aca="false">IF(I920="","",ROUND(MOD(TIMEVALUE(I920)-TIMEVALUE(F920),1)*1440,0))</f>
        <v>103</v>
      </c>
      <c r="P920" s="0" t="str">
        <f aca="false">IF(COUNTIF($A$2:A920,A920)&gt;1,"DUP","")</f>
        <v/>
      </c>
      <c r="Q920" s="0" t="str">
        <f aca="false">IF(O920="","",IF(O920&gt;240,"Y","N"))</f>
        <v>N</v>
      </c>
    </row>
    <row r="921" customFormat="false" ht="15" hidden="false" customHeight="false" outlineLevel="0" collapsed="false">
      <c r="A921" s="0" t="s">
        <v>6202</v>
      </c>
      <c r="B921" s="0" t="s">
        <v>5417</v>
      </c>
      <c r="C921" s="0" t="s">
        <v>853</v>
      </c>
      <c r="D921" s="31" t="n">
        <v>25921</v>
      </c>
      <c r="E921" s="31" t="n">
        <v>45603</v>
      </c>
      <c r="F921" s="32" t="s">
        <v>5737</v>
      </c>
      <c r="G921" s="0" t="n">
        <v>4</v>
      </c>
      <c r="H921" s="32" t="s">
        <v>4755</v>
      </c>
      <c r="I921" s="32" t="s">
        <v>4461</v>
      </c>
      <c r="J921" s="32" t="s">
        <v>2307</v>
      </c>
      <c r="K921" s="32" t="s">
        <v>2081</v>
      </c>
      <c r="L921" s="0" t="n">
        <v>149</v>
      </c>
      <c r="M921" s="32" t="s">
        <v>4409</v>
      </c>
      <c r="N921" s="32" t="s">
        <v>3751</v>
      </c>
      <c r="O921" s="32" t="n">
        <f aca="false">IF(I921="","",ROUND(MOD(TIMEVALUE(I921)-TIMEVALUE(F921),1)*1440,0))</f>
        <v>149</v>
      </c>
      <c r="P921" s="0" t="str">
        <f aca="false">IF(COUNTIF($A$2:A921,A921)&gt;1,"DUP","")</f>
        <v/>
      </c>
      <c r="Q921" s="0" t="str">
        <f aca="false">IF(O921="","",IF(O921&gt;240,"Y","N"))</f>
        <v>N</v>
      </c>
    </row>
    <row r="922" customFormat="false" ht="15" hidden="false" customHeight="false" outlineLevel="0" collapsed="false">
      <c r="A922" s="0" t="s">
        <v>6203</v>
      </c>
      <c r="B922" s="0" t="s">
        <v>5188</v>
      </c>
      <c r="C922" s="0" t="s">
        <v>1021</v>
      </c>
      <c r="D922" s="31" t="n">
        <v>27414</v>
      </c>
      <c r="E922" s="31" t="n">
        <v>45630</v>
      </c>
      <c r="F922" s="32" t="s">
        <v>4298</v>
      </c>
      <c r="G922" s="0" t="n">
        <v>5</v>
      </c>
      <c r="H922" s="32" t="s">
        <v>5143</v>
      </c>
      <c r="I922" s="32" t="s">
        <v>6204</v>
      </c>
      <c r="J922" s="32" t="s">
        <v>3749</v>
      </c>
      <c r="K922" s="32" t="s">
        <v>2081</v>
      </c>
      <c r="L922" s="0" t="n">
        <v>58</v>
      </c>
      <c r="M922" s="32" t="s">
        <v>4149</v>
      </c>
      <c r="N922" s="32" t="s">
        <v>3751</v>
      </c>
      <c r="O922" s="32" t="n">
        <f aca="false">IF(I922="","",ROUND(MOD(TIMEVALUE(I922)-TIMEVALUE(F922),1)*1440,0))</f>
        <v>58</v>
      </c>
      <c r="P922" s="0" t="str">
        <f aca="false">IF(COUNTIF($A$2:A922,A922)&gt;1,"DUP","")</f>
        <v/>
      </c>
      <c r="Q922" s="0" t="str">
        <f aca="false">IF(O922="","",IF(O922&gt;240,"Y","N"))</f>
        <v>N</v>
      </c>
    </row>
    <row r="923" customFormat="false" ht="15" hidden="false" customHeight="false" outlineLevel="0" collapsed="false">
      <c r="A923" s="0" t="s">
        <v>6205</v>
      </c>
      <c r="B923" s="0" t="s">
        <v>5120</v>
      </c>
      <c r="C923" s="0" t="s">
        <v>930</v>
      </c>
      <c r="D923" s="31" t="n">
        <v>35042</v>
      </c>
      <c r="E923" s="31" t="n">
        <v>45707</v>
      </c>
      <c r="F923" s="32" t="s">
        <v>5404</v>
      </c>
      <c r="G923" s="0" t="n">
        <v>3</v>
      </c>
      <c r="H923" s="32" t="s">
        <v>4800</v>
      </c>
      <c r="I923" s="32" t="s">
        <v>5820</v>
      </c>
      <c r="J923" s="32" t="s">
        <v>3749</v>
      </c>
      <c r="K923" s="32" t="s">
        <v>2081</v>
      </c>
      <c r="L923" s="0" t="n">
        <v>190</v>
      </c>
      <c r="M923" s="32" t="s">
        <v>4060</v>
      </c>
      <c r="N923" s="32" t="s">
        <v>3751</v>
      </c>
      <c r="O923" s="32" t="n">
        <f aca="false">IF(I923="","",ROUND(MOD(TIMEVALUE(I923)-TIMEVALUE(F923),1)*1440,0))</f>
        <v>190</v>
      </c>
      <c r="P923" s="0" t="str">
        <f aca="false">IF(COUNTIF($A$2:A923,A923)&gt;1,"DUP","")</f>
        <v/>
      </c>
      <c r="Q923" s="0" t="str">
        <f aca="false">IF(O923="","",IF(O923&gt;240,"Y","N"))</f>
        <v>N</v>
      </c>
    </row>
    <row r="924" customFormat="false" ht="15" hidden="false" customHeight="false" outlineLevel="0" collapsed="false">
      <c r="A924" s="0" t="s">
        <v>6206</v>
      </c>
      <c r="B924" s="0" t="s">
        <v>4613</v>
      </c>
      <c r="C924" s="0" t="s">
        <v>1414</v>
      </c>
      <c r="D924" s="31" t="n">
        <v>30534</v>
      </c>
      <c r="E924" s="31" t="n">
        <v>45717</v>
      </c>
      <c r="F924" s="32" t="s">
        <v>4712</v>
      </c>
      <c r="G924" s="0" t="n">
        <v>4</v>
      </c>
      <c r="H924" s="32" t="s">
        <v>5971</v>
      </c>
      <c r="I924" s="32" t="s">
        <v>4457</v>
      </c>
      <c r="J924" s="32" t="s">
        <v>3763</v>
      </c>
      <c r="K924" s="32" t="s">
        <v>2081</v>
      </c>
      <c r="L924" s="0" t="n">
        <v>90</v>
      </c>
      <c r="M924" s="32" t="s">
        <v>3993</v>
      </c>
      <c r="N924" s="32" t="s">
        <v>3751</v>
      </c>
      <c r="O924" s="32" t="n">
        <f aca="false">IF(I924="","",ROUND(MOD(TIMEVALUE(I924)-TIMEVALUE(F924),1)*1440,0))</f>
        <v>90</v>
      </c>
      <c r="P924" s="0" t="str">
        <f aca="false">IF(COUNTIF($A$2:A924,A924)&gt;1,"DUP","")</f>
        <v/>
      </c>
      <c r="Q924" s="0" t="str">
        <f aca="false">IF(O924="","",IF(O924&gt;240,"Y","N"))</f>
        <v>N</v>
      </c>
    </row>
    <row r="925" customFormat="false" ht="15" hidden="false" customHeight="false" outlineLevel="0" collapsed="false">
      <c r="A925" s="0" t="s">
        <v>6207</v>
      </c>
      <c r="B925" s="0" t="s">
        <v>4809</v>
      </c>
      <c r="C925" s="0" t="s">
        <v>1021</v>
      </c>
      <c r="D925" s="31" t="n">
        <v>23795</v>
      </c>
      <c r="E925" s="31" t="n">
        <v>45724</v>
      </c>
      <c r="F925" s="32" t="s">
        <v>4440</v>
      </c>
      <c r="G925" s="0" t="n">
        <v>4</v>
      </c>
      <c r="H925" s="32" t="s">
        <v>6106</v>
      </c>
      <c r="I925" s="32" t="s">
        <v>5921</v>
      </c>
      <c r="J925" s="32" t="s">
        <v>3749</v>
      </c>
      <c r="K925" s="32" t="s">
        <v>2081</v>
      </c>
      <c r="L925" s="0" t="n">
        <v>229</v>
      </c>
      <c r="M925" s="32" t="s">
        <v>3882</v>
      </c>
      <c r="N925" s="32" t="s">
        <v>3751</v>
      </c>
      <c r="O925" s="32" t="n">
        <f aca="false">IF(I925="","",ROUND(MOD(TIMEVALUE(I925)-TIMEVALUE(F925),1)*1440,0))</f>
        <v>229</v>
      </c>
      <c r="P925" s="0" t="str">
        <f aca="false">IF(COUNTIF($A$2:A925,A925)&gt;1,"DUP","")</f>
        <v/>
      </c>
      <c r="Q925" s="0" t="str">
        <f aca="false">IF(O925="","",IF(O925&gt;240,"Y","N"))</f>
        <v>N</v>
      </c>
    </row>
    <row r="926" customFormat="false" ht="15" hidden="false" customHeight="false" outlineLevel="0" collapsed="false">
      <c r="A926" s="0" t="s">
        <v>6208</v>
      </c>
      <c r="B926" s="0" t="s">
        <v>4727</v>
      </c>
      <c r="C926" s="0" t="s">
        <v>775</v>
      </c>
      <c r="D926" s="31" t="n">
        <v>38173</v>
      </c>
      <c r="E926" s="31" t="n">
        <v>45666</v>
      </c>
      <c r="F926" s="32" t="s">
        <v>4009</v>
      </c>
      <c r="G926" s="0" t="n">
        <v>4</v>
      </c>
      <c r="H926" s="32" t="s">
        <v>6117</v>
      </c>
      <c r="I926" s="32" t="s">
        <v>4573</v>
      </c>
      <c r="J926" s="32" t="s">
        <v>3793</v>
      </c>
      <c r="K926" s="32" t="s">
        <v>2081</v>
      </c>
      <c r="L926" s="0" t="n">
        <v>128</v>
      </c>
      <c r="M926" s="32" t="s">
        <v>3902</v>
      </c>
      <c r="N926" s="32" t="s">
        <v>758</v>
      </c>
      <c r="O926" s="32" t="n">
        <f aca="false">IF(I926="","",ROUND(MOD(TIMEVALUE(I926)-TIMEVALUE(F926),1)*1440,0))</f>
        <v>128</v>
      </c>
      <c r="P926" s="0" t="str">
        <f aca="false">IF(COUNTIF($A$2:A926,A926)&gt;1,"DUP","")</f>
        <v/>
      </c>
      <c r="Q926" s="0" t="str">
        <f aca="false">IF(O926="","",IF(O926&gt;240,"Y","N"))</f>
        <v>N</v>
      </c>
    </row>
    <row r="927" customFormat="false" ht="15" hidden="false" customHeight="false" outlineLevel="0" collapsed="false">
      <c r="A927" s="0" t="s">
        <v>6209</v>
      </c>
      <c r="B927" s="0" t="s">
        <v>5218</v>
      </c>
      <c r="C927" s="0" t="s">
        <v>1021</v>
      </c>
      <c r="D927" s="31" t="n">
        <v>19599</v>
      </c>
      <c r="E927" s="31" t="n">
        <v>45641</v>
      </c>
      <c r="F927" s="32" t="s">
        <v>4132</v>
      </c>
      <c r="G927" s="0" t="n">
        <v>5</v>
      </c>
      <c r="H927" s="32" t="s">
        <v>4730</v>
      </c>
      <c r="I927" s="32" t="s">
        <v>3982</v>
      </c>
      <c r="J927" s="32" t="s">
        <v>3749</v>
      </c>
      <c r="K927" s="32" t="s">
        <v>2081</v>
      </c>
      <c r="L927" s="0" t="n">
        <v>230</v>
      </c>
      <c r="M927" s="32" t="s">
        <v>3827</v>
      </c>
      <c r="N927" s="32" t="s">
        <v>3751</v>
      </c>
      <c r="O927" s="32" t="n">
        <f aca="false">IF(I927="","",ROUND(MOD(TIMEVALUE(I927)-TIMEVALUE(F927),1)*1440,0))</f>
        <v>230</v>
      </c>
      <c r="P927" s="0" t="str">
        <f aca="false">IF(COUNTIF($A$2:A927,A927)&gt;1,"DUP","")</f>
        <v/>
      </c>
      <c r="Q927" s="0" t="str">
        <f aca="false">IF(O927="","",IF(O927&gt;240,"Y","N"))</f>
        <v>N</v>
      </c>
    </row>
    <row r="928" customFormat="false" ht="15" hidden="false" customHeight="false" outlineLevel="0" collapsed="false">
      <c r="A928" s="0" t="s">
        <v>6210</v>
      </c>
      <c r="B928" s="0" t="s">
        <v>4625</v>
      </c>
      <c r="C928" s="0" t="s">
        <v>894</v>
      </c>
      <c r="D928" s="31" t="n">
        <v>25710</v>
      </c>
      <c r="E928" s="31" t="n">
        <v>45587</v>
      </c>
      <c r="F928" s="32" t="s">
        <v>4474</v>
      </c>
      <c r="G928" s="0" t="n">
        <v>5</v>
      </c>
      <c r="H928" s="32" t="s">
        <v>5573</v>
      </c>
      <c r="I928" s="32" t="s">
        <v>4740</v>
      </c>
      <c r="J928" s="32" t="s">
        <v>3749</v>
      </c>
      <c r="K928" s="32" t="s">
        <v>2081</v>
      </c>
      <c r="L928" s="0" t="n">
        <v>130</v>
      </c>
      <c r="M928" s="32" t="s">
        <v>3794</v>
      </c>
      <c r="N928" s="32" t="s">
        <v>3751</v>
      </c>
      <c r="O928" s="32" t="n">
        <f aca="false">IF(I928="","",ROUND(MOD(TIMEVALUE(I928)-TIMEVALUE(F928),1)*1440,0))</f>
        <v>130</v>
      </c>
      <c r="P928" s="0" t="str">
        <f aca="false">IF(COUNTIF($A$2:A928,A928)&gt;1,"DUP","")</f>
        <v/>
      </c>
      <c r="Q928" s="0" t="str">
        <f aca="false">IF(O928="","",IF(O928&gt;240,"Y","N"))</f>
        <v>N</v>
      </c>
    </row>
    <row r="929" customFormat="false" ht="15" hidden="false" customHeight="false" outlineLevel="0" collapsed="false">
      <c r="A929" s="0" t="s">
        <v>6211</v>
      </c>
      <c r="B929" s="0" t="s">
        <v>4357</v>
      </c>
      <c r="C929" s="0" t="s">
        <v>946</v>
      </c>
      <c r="D929" s="31" t="n">
        <v>35177</v>
      </c>
      <c r="E929" s="31" t="n">
        <v>45648</v>
      </c>
      <c r="F929" s="32" t="s">
        <v>4143</v>
      </c>
      <c r="G929" s="0" t="n">
        <v>4</v>
      </c>
      <c r="H929" s="32" t="s">
        <v>4483</v>
      </c>
      <c r="I929" s="32" t="s">
        <v>5464</v>
      </c>
      <c r="J929" s="32" t="s">
        <v>3749</v>
      </c>
      <c r="K929" s="32" t="s">
        <v>2081</v>
      </c>
      <c r="L929" s="0" t="n">
        <v>225</v>
      </c>
      <c r="M929" s="32" t="s">
        <v>3764</v>
      </c>
      <c r="N929" s="32" t="s">
        <v>3751</v>
      </c>
      <c r="O929" s="32" t="n">
        <f aca="false">IF(I929="","",ROUND(MOD(TIMEVALUE(I929)-TIMEVALUE(F929),1)*1440,0))</f>
        <v>225</v>
      </c>
      <c r="P929" s="0" t="str">
        <f aca="false">IF(COUNTIF($A$2:A929,A929)&gt;1,"DUP","")</f>
        <v/>
      </c>
      <c r="Q929" s="0" t="str">
        <f aca="false">IF(O929="","",IF(O929&gt;240,"Y","N"))</f>
        <v>N</v>
      </c>
    </row>
    <row r="930" customFormat="false" ht="15" hidden="false" customHeight="false" outlineLevel="0" collapsed="false">
      <c r="A930" s="0" t="s">
        <v>6212</v>
      </c>
      <c r="B930" s="0" t="s">
        <v>3817</v>
      </c>
      <c r="C930" s="0" t="s">
        <v>857</v>
      </c>
      <c r="D930" s="31" t="n">
        <v>33773</v>
      </c>
      <c r="E930" s="31" t="n">
        <v>45668</v>
      </c>
      <c r="F930" s="32" t="s">
        <v>4041</v>
      </c>
      <c r="G930" s="0" t="n">
        <v>4</v>
      </c>
      <c r="H930" s="32" t="s">
        <v>3935</v>
      </c>
      <c r="J930" s="32" t="s">
        <v>3749</v>
      </c>
      <c r="M930" s="32" t="s">
        <v>4141</v>
      </c>
      <c r="N930" s="32" t="s">
        <v>3751</v>
      </c>
      <c r="O930" s="0" t="str">
        <f aca="false">IF(I930="","",ROUND(MOD(TIMEVALUE(I930)-TIMEVALUE(F930),1)*1440,0))</f>
        <v/>
      </c>
      <c r="P930" s="0" t="str">
        <f aca="false">IF(COUNTIF($A$2:A930,A930)&gt;1,"DUP","")</f>
        <v/>
      </c>
      <c r="Q930" s="0" t="str">
        <f aca="false">IF(O930="","",IF(O930&gt;240,"Y","N"))</f>
        <v/>
      </c>
    </row>
    <row r="931" customFormat="false" ht="15" hidden="false" customHeight="false" outlineLevel="0" collapsed="false">
      <c r="A931" s="0" t="s">
        <v>6213</v>
      </c>
      <c r="B931" s="0" t="s">
        <v>4809</v>
      </c>
      <c r="C931" s="0" t="s">
        <v>1017</v>
      </c>
      <c r="D931" s="31" t="n">
        <v>38727</v>
      </c>
      <c r="E931" s="31" t="n">
        <v>45608</v>
      </c>
      <c r="F931" s="32" t="s">
        <v>3933</v>
      </c>
      <c r="G931" s="0" t="n">
        <v>2</v>
      </c>
      <c r="H931" s="32" t="s">
        <v>5860</v>
      </c>
      <c r="I931" s="32" t="s">
        <v>5873</v>
      </c>
      <c r="J931" s="32" t="s">
        <v>3763</v>
      </c>
      <c r="K931" s="32" t="s">
        <v>2081</v>
      </c>
      <c r="L931" s="0" t="n">
        <v>45</v>
      </c>
      <c r="M931" s="32" t="s">
        <v>4285</v>
      </c>
      <c r="N931" s="32" t="s">
        <v>3751</v>
      </c>
      <c r="O931" s="32" t="n">
        <f aca="false">IF(I931="","",ROUND(MOD(TIMEVALUE(I931)-TIMEVALUE(F931),1)*1440,0))</f>
        <v>45</v>
      </c>
      <c r="P931" s="0" t="str">
        <f aca="false">IF(COUNTIF($A$2:A931,A931)&gt;1,"DUP","")</f>
        <v/>
      </c>
      <c r="Q931" s="0" t="str">
        <f aca="false">IF(O931="","",IF(O931&gt;240,"Y","N"))</f>
        <v>N</v>
      </c>
    </row>
    <row r="932" customFormat="false" ht="15" hidden="false" customHeight="false" outlineLevel="0" collapsed="false">
      <c r="A932" s="0" t="s">
        <v>6214</v>
      </c>
      <c r="B932" s="0" t="s">
        <v>4192</v>
      </c>
      <c r="C932" s="0" t="s">
        <v>866</v>
      </c>
      <c r="D932" s="31" t="n">
        <v>34214</v>
      </c>
      <c r="E932" s="31" t="n">
        <v>45573</v>
      </c>
      <c r="F932" s="32" t="s">
        <v>3930</v>
      </c>
      <c r="G932" s="0" t="n">
        <v>4</v>
      </c>
      <c r="H932" s="32" t="s">
        <v>4332</v>
      </c>
      <c r="I932" s="32" t="s">
        <v>4172</v>
      </c>
      <c r="J932" s="32" t="s">
        <v>3763</v>
      </c>
      <c r="K932" s="32" t="s">
        <v>2106</v>
      </c>
      <c r="L932" s="0" t="n">
        <v>417</v>
      </c>
      <c r="M932" s="32" t="s">
        <v>3887</v>
      </c>
      <c r="N932" s="32" t="s">
        <v>3751</v>
      </c>
      <c r="O932" s="32" t="n">
        <f aca="false">IF(I932="","",ROUND(MOD(TIMEVALUE(I932)-TIMEVALUE(F932),1)*1440,0))</f>
        <v>417</v>
      </c>
      <c r="P932" s="0" t="str">
        <f aca="false">IF(COUNTIF($A$2:A932,A932)&gt;1,"DUP","")</f>
        <v/>
      </c>
      <c r="Q932" s="0" t="str">
        <f aca="false">IF(O932="","",IF(O932&gt;240,"Y","N"))</f>
        <v>Y</v>
      </c>
    </row>
    <row r="933" customFormat="false" ht="15" hidden="false" customHeight="false" outlineLevel="0" collapsed="false">
      <c r="A933" s="0" t="s">
        <v>6215</v>
      </c>
      <c r="B933" s="0" t="s">
        <v>5518</v>
      </c>
      <c r="C933" s="0" t="s">
        <v>775</v>
      </c>
      <c r="D933" s="31" t="n">
        <v>22489</v>
      </c>
      <c r="E933" s="31" t="n">
        <v>45588</v>
      </c>
      <c r="F933" s="32" t="s">
        <v>6216</v>
      </c>
      <c r="G933" s="0" t="n">
        <v>4</v>
      </c>
      <c r="H933" s="32" t="s">
        <v>6172</v>
      </c>
      <c r="I933" s="32" t="s">
        <v>4085</v>
      </c>
      <c r="J933" s="32" t="s">
        <v>3793</v>
      </c>
      <c r="K933" s="32" t="s">
        <v>2081</v>
      </c>
      <c r="L933" s="0" t="n">
        <v>109</v>
      </c>
      <c r="M933" s="32" t="s">
        <v>4060</v>
      </c>
      <c r="N933" s="32" t="s">
        <v>810</v>
      </c>
      <c r="O933" s="32" t="n">
        <f aca="false">IF(I933="","",ROUND(MOD(TIMEVALUE(I933)-TIMEVALUE(F933),1)*1440,0))</f>
        <v>109</v>
      </c>
      <c r="P933" s="0" t="str">
        <f aca="false">IF(COUNTIF($A$2:A933,A933)&gt;1,"DUP","")</f>
        <v/>
      </c>
      <c r="Q933" s="0" t="str">
        <f aca="false">IF(O933="","",IF(O933&gt;240,"Y","N"))</f>
        <v>N</v>
      </c>
    </row>
    <row r="934" customFormat="false" ht="15" hidden="false" customHeight="false" outlineLevel="0" collapsed="false">
      <c r="A934" s="0" t="s">
        <v>6217</v>
      </c>
      <c r="B934" s="0" t="s">
        <v>5164</v>
      </c>
      <c r="C934" s="0" t="s">
        <v>977</v>
      </c>
      <c r="D934" s="31" t="n">
        <v>31676</v>
      </c>
      <c r="E934" s="31" t="n">
        <v>45654</v>
      </c>
      <c r="F934" s="32" t="s">
        <v>6218</v>
      </c>
      <c r="G934" s="0" t="n">
        <v>4</v>
      </c>
      <c r="H934" s="32" t="s">
        <v>4721</v>
      </c>
      <c r="I934" s="32" t="s">
        <v>4952</v>
      </c>
      <c r="J934" s="32" t="s">
        <v>3749</v>
      </c>
      <c r="K934" s="32" t="s">
        <v>2081</v>
      </c>
      <c r="L934" s="0" t="n">
        <v>85</v>
      </c>
      <c r="M934" s="32" t="s">
        <v>3776</v>
      </c>
      <c r="N934" s="32" t="s">
        <v>3751</v>
      </c>
      <c r="O934" s="32" t="n">
        <f aca="false">IF(I934="","",ROUND(MOD(TIMEVALUE(I934)-TIMEVALUE(F934),1)*1440,0))</f>
        <v>85</v>
      </c>
      <c r="P934" s="0" t="str">
        <f aca="false">IF(COUNTIF($A$2:A934,A934)&gt;1,"DUP","")</f>
        <v/>
      </c>
      <c r="Q934" s="0" t="str">
        <f aca="false">IF(O934="","",IF(O934&gt;240,"Y","N"))</f>
        <v>N</v>
      </c>
    </row>
    <row r="935" customFormat="false" ht="15" hidden="false" customHeight="false" outlineLevel="0" collapsed="false">
      <c r="A935" s="0" t="s">
        <v>6219</v>
      </c>
      <c r="B935" s="0" t="s">
        <v>4224</v>
      </c>
      <c r="C935" s="0" t="s">
        <v>1017</v>
      </c>
      <c r="D935" s="31" t="n">
        <v>34802</v>
      </c>
      <c r="E935" s="31" t="n">
        <v>45640</v>
      </c>
      <c r="F935" s="32" t="s">
        <v>6051</v>
      </c>
      <c r="G935" s="0" t="n">
        <v>5</v>
      </c>
      <c r="H935" s="32" t="s">
        <v>3917</v>
      </c>
      <c r="I935" s="32" t="s">
        <v>4389</v>
      </c>
      <c r="J935" s="32" t="s">
        <v>3749</v>
      </c>
      <c r="K935" s="32" t="s">
        <v>2081</v>
      </c>
      <c r="L935" s="0" t="n">
        <v>130</v>
      </c>
      <c r="M935" s="32" t="s">
        <v>3993</v>
      </c>
      <c r="N935" s="32" t="s">
        <v>3751</v>
      </c>
      <c r="O935" s="32" t="n">
        <f aca="false">IF(I935="","",ROUND(MOD(TIMEVALUE(I935)-TIMEVALUE(F935),1)*1440,0))</f>
        <v>130</v>
      </c>
      <c r="P935" s="0" t="str">
        <f aca="false">IF(COUNTIF($A$2:A935,A935)&gt;1,"DUP","")</f>
        <v/>
      </c>
      <c r="Q935" s="0" t="str">
        <f aca="false">IF(O935="","",IF(O935&gt;240,"Y","N"))</f>
        <v>N</v>
      </c>
    </row>
    <row r="936" customFormat="false" ht="15" hidden="false" customHeight="false" outlineLevel="0" collapsed="false">
      <c r="A936" s="0" t="s">
        <v>6220</v>
      </c>
      <c r="B936" s="0" t="s">
        <v>5518</v>
      </c>
      <c r="C936" s="0" t="s">
        <v>934</v>
      </c>
      <c r="D936" s="31" t="n">
        <v>31728</v>
      </c>
      <c r="E936" s="31" t="n">
        <v>45708</v>
      </c>
      <c r="F936" s="32" t="s">
        <v>5193</v>
      </c>
      <c r="G936" s="0" t="n">
        <v>2</v>
      </c>
      <c r="H936" s="32" t="s">
        <v>4403</v>
      </c>
      <c r="I936" s="32" t="s">
        <v>6221</v>
      </c>
      <c r="J936" s="32" t="s">
        <v>3763</v>
      </c>
      <c r="K936" s="32" t="s">
        <v>2081</v>
      </c>
      <c r="L936" s="0" t="n">
        <v>137</v>
      </c>
      <c r="M936" s="32" t="s">
        <v>4582</v>
      </c>
      <c r="N936" s="32" t="s">
        <v>3751</v>
      </c>
      <c r="O936" s="32" t="n">
        <f aca="false">IF(I936="","",ROUND(MOD(TIMEVALUE(I936)-TIMEVALUE(F936),1)*1440,0))</f>
        <v>137</v>
      </c>
      <c r="P936" s="0" t="str">
        <f aca="false">IF(COUNTIF($A$2:A936,A936)&gt;1,"DUP","")</f>
        <v/>
      </c>
      <c r="Q936" s="0" t="str">
        <f aca="false">IF(O936="","",IF(O936&gt;240,"Y","N"))</f>
        <v>N</v>
      </c>
    </row>
    <row r="937" customFormat="false" ht="15" hidden="false" customHeight="false" outlineLevel="0" collapsed="false">
      <c r="A937" s="0" t="s">
        <v>6222</v>
      </c>
      <c r="C937" s="0" t="s">
        <v>2148</v>
      </c>
      <c r="D937" s="31" t="n">
        <v>14430</v>
      </c>
      <c r="E937" s="31" t="n">
        <v>45736</v>
      </c>
      <c r="F937" s="32" t="s">
        <v>4698</v>
      </c>
      <c r="G937" s="0" t="n">
        <v>3</v>
      </c>
      <c r="H937" s="32" t="s">
        <v>4406</v>
      </c>
      <c r="I937" s="32" t="s">
        <v>5434</v>
      </c>
      <c r="J937" s="32" t="s">
        <v>3749</v>
      </c>
      <c r="K937" s="32" t="s">
        <v>2081</v>
      </c>
      <c r="L937" s="0" t="n">
        <v>45</v>
      </c>
      <c r="M937" s="32" t="s">
        <v>3882</v>
      </c>
      <c r="N937" s="32" t="s">
        <v>3751</v>
      </c>
      <c r="O937" s="32" t="n">
        <f aca="false">IF(I937="","",ROUND(MOD(TIMEVALUE(I937)-TIMEVALUE(F937),1)*1440,0))</f>
        <v>45</v>
      </c>
      <c r="P937" s="0" t="str">
        <f aca="false">IF(COUNTIF($A$2:A937,A937)&gt;1,"DUP","")</f>
        <v/>
      </c>
      <c r="Q937" s="0" t="str">
        <f aca="false">IF(O937="","",IF(O937&gt;240,"Y","N"))</f>
        <v>N</v>
      </c>
    </row>
    <row r="938" customFormat="false" ht="15" hidden="false" customHeight="false" outlineLevel="0" collapsed="false">
      <c r="A938" s="0" t="s">
        <v>6223</v>
      </c>
      <c r="B938" s="0" t="s">
        <v>4701</v>
      </c>
      <c r="C938" s="0" t="s">
        <v>853</v>
      </c>
      <c r="D938" s="31" t="n">
        <v>22135</v>
      </c>
      <c r="E938" s="31" t="n">
        <v>45614</v>
      </c>
      <c r="F938" s="32" t="s">
        <v>3960</v>
      </c>
      <c r="G938" s="0" t="n">
        <v>5</v>
      </c>
      <c r="H938" s="32" t="s">
        <v>5279</v>
      </c>
      <c r="I938" s="32" t="s">
        <v>4611</v>
      </c>
      <c r="J938" s="32" t="s">
        <v>3749</v>
      </c>
      <c r="K938" s="32" t="s">
        <v>2081</v>
      </c>
      <c r="L938" s="0" t="n">
        <v>156</v>
      </c>
      <c r="M938" s="32" t="s">
        <v>4313</v>
      </c>
      <c r="N938" s="32" t="s">
        <v>3751</v>
      </c>
      <c r="O938" s="32" t="n">
        <f aca="false">IF(I938="","",ROUND(MOD(TIMEVALUE(I938)-TIMEVALUE(F938),1)*1440,0))</f>
        <v>156</v>
      </c>
      <c r="P938" s="0" t="str">
        <f aca="false">IF(COUNTIF($A$2:A938,A938)&gt;1,"DUP","")</f>
        <v/>
      </c>
      <c r="Q938" s="0" t="str">
        <f aca="false">IF(O938="","",IF(O938&gt;240,"Y","N"))</f>
        <v>N</v>
      </c>
    </row>
    <row r="939" customFormat="false" ht="15" hidden="false" customHeight="false" outlineLevel="0" collapsed="false">
      <c r="A939" s="0" t="s">
        <v>6224</v>
      </c>
      <c r="B939" s="0" t="s">
        <v>6225</v>
      </c>
      <c r="C939" s="0" t="s">
        <v>1009</v>
      </c>
      <c r="D939" s="31" t="n">
        <v>31124</v>
      </c>
      <c r="E939" s="31" t="n">
        <v>45671</v>
      </c>
      <c r="F939" s="32" t="s">
        <v>4687</v>
      </c>
      <c r="G939" s="0" t="n">
        <v>2</v>
      </c>
      <c r="H939" s="32" t="s">
        <v>5478</v>
      </c>
      <c r="I939" s="32" t="s">
        <v>6226</v>
      </c>
      <c r="J939" s="32" t="s">
        <v>3749</v>
      </c>
      <c r="K939" s="32" t="s">
        <v>2081</v>
      </c>
      <c r="L939" s="0" t="n">
        <v>117</v>
      </c>
      <c r="M939" s="32" t="s">
        <v>3782</v>
      </c>
      <c r="N939" s="32" t="s">
        <v>3751</v>
      </c>
      <c r="O939" s="32" t="n">
        <f aca="false">IF(I939="","",ROUND(MOD(TIMEVALUE(I939)-TIMEVALUE(F939),1)*1440,0))</f>
        <v>117</v>
      </c>
      <c r="P939" s="0" t="str">
        <f aca="false">IF(COUNTIF($A$2:A939,A939)&gt;1,"DUP","")</f>
        <v/>
      </c>
      <c r="Q939" s="0" t="str">
        <f aca="false">IF(O939="","",IF(O939&gt;240,"Y","N"))</f>
        <v>N</v>
      </c>
    </row>
    <row r="940" customFormat="false" ht="15" hidden="false" customHeight="false" outlineLevel="0" collapsed="false">
      <c r="A940" s="0" t="s">
        <v>6227</v>
      </c>
      <c r="B940" s="0" t="s">
        <v>4116</v>
      </c>
      <c r="C940" s="0" t="s">
        <v>849</v>
      </c>
      <c r="D940" s="31" t="n">
        <v>36705</v>
      </c>
      <c r="E940" s="31" t="n">
        <v>45599</v>
      </c>
      <c r="F940" s="32" t="s">
        <v>3905</v>
      </c>
      <c r="G940" s="0" t="n">
        <v>3</v>
      </c>
      <c r="H940" s="32" t="s">
        <v>5523</v>
      </c>
      <c r="I940" s="32" t="s">
        <v>4565</v>
      </c>
      <c r="J940" s="32" t="s">
        <v>3749</v>
      </c>
      <c r="K940" s="32" t="s">
        <v>2081</v>
      </c>
      <c r="L940" s="0" t="n">
        <v>108</v>
      </c>
      <c r="M940" s="32" t="s">
        <v>4060</v>
      </c>
      <c r="N940" s="32" t="s">
        <v>3751</v>
      </c>
      <c r="O940" s="32" t="n">
        <f aca="false">IF(I940="","",ROUND(MOD(TIMEVALUE(I940)-TIMEVALUE(F940),1)*1440,0))</f>
        <v>108</v>
      </c>
      <c r="P940" s="0" t="str">
        <f aca="false">IF(COUNTIF($A$2:A940,A940)&gt;1,"DUP","")</f>
        <v/>
      </c>
      <c r="Q940" s="0" t="str">
        <f aca="false">IF(O940="","",IF(O940&gt;240,"Y","N"))</f>
        <v>N</v>
      </c>
    </row>
    <row r="941" customFormat="false" ht="15" hidden="false" customHeight="false" outlineLevel="0" collapsed="false">
      <c r="A941" s="0" t="s">
        <v>6228</v>
      </c>
      <c r="C941" s="0" t="s">
        <v>809</v>
      </c>
      <c r="D941" s="31" t="n">
        <v>25968</v>
      </c>
      <c r="E941" s="31" t="n">
        <v>45716</v>
      </c>
      <c r="F941" s="32" t="s">
        <v>5967</v>
      </c>
      <c r="G941" s="0" t="n">
        <v>4</v>
      </c>
      <c r="H941" s="32" t="s">
        <v>6029</v>
      </c>
      <c r="I941" s="32" t="s">
        <v>6229</v>
      </c>
      <c r="J941" s="32" t="s">
        <v>3793</v>
      </c>
      <c r="K941" s="32" t="s">
        <v>2106</v>
      </c>
      <c r="L941" s="0" t="n">
        <v>474</v>
      </c>
      <c r="M941" s="32" t="s">
        <v>4060</v>
      </c>
      <c r="N941" s="32" t="s">
        <v>826</v>
      </c>
      <c r="O941" s="32" t="n">
        <f aca="false">IF(I941="","",ROUND(MOD(TIMEVALUE(I941)-TIMEVALUE(F941),1)*1440,0))</f>
        <v>474</v>
      </c>
      <c r="P941" s="0" t="str">
        <f aca="false">IF(COUNTIF($A$2:A941,A941)&gt;1,"DUP","")</f>
        <v/>
      </c>
      <c r="Q941" s="0" t="str">
        <f aca="false">IF(O941="","",IF(O941&gt;240,"Y","N"))</f>
        <v>Y</v>
      </c>
    </row>
    <row r="942" customFormat="false" ht="15" hidden="false" customHeight="false" outlineLevel="0" collapsed="false">
      <c r="A942" s="0" t="s">
        <v>6230</v>
      </c>
      <c r="B942" s="0" t="s">
        <v>4625</v>
      </c>
      <c r="C942" s="0" t="s">
        <v>1414</v>
      </c>
      <c r="D942" s="31" t="n">
        <v>15807</v>
      </c>
      <c r="E942" s="31" t="n">
        <v>45735</v>
      </c>
      <c r="F942" s="32" t="s">
        <v>6231</v>
      </c>
      <c r="G942" s="0" t="n">
        <v>5</v>
      </c>
      <c r="H942" s="32" t="s">
        <v>5655</v>
      </c>
      <c r="I942" s="32" t="s">
        <v>4735</v>
      </c>
      <c r="J942" s="32" t="s">
        <v>3749</v>
      </c>
      <c r="K942" s="32" t="s">
        <v>2081</v>
      </c>
      <c r="L942" s="0" t="n">
        <v>125</v>
      </c>
      <c r="M942" s="32" t="s">
        <v>3925</v>
      </c>
      <c r="N942" s="32" t="s">
        <v>3751</v>
      </c>
      <c r="O942" s="32" t="n">
        <f aca="false">IF(I942="","",ROUND(MOD(TIMEVALUE(I942)-TIMEVALUE(F942),1)*1440,0))</f>
        <v>125</v>
      </c>
      <c r="P942" s="0" t="str">
        <f aca="false">IF(COUNTIF($A$2:A942,A942)&gt;1,"DUP","")</f>
        <v/>
      </c>
      <c r="Q942" s="0" t="str">
        <f aca="false">IF(O942="","",IF(O942&gt;240,"Y","N"))</f>
        <v>N</v>
      </c>
    </row>
    <row r="943" customFormat="false" ht="15" hidden="false" customHeight="false" outlineLevel="0" collapsed="false">
      <c r="A943" s="0" t="s">
        <v>6232</v>
      </c>
      <c r="B943" s="0" t="s">
        <v>4395</v>
      </c>
      <c r="C943" s="0" t="s">
        <v>862</v>
      </c>
      <c r="D943" s="31" t="n">
        <v>37480</v>
      </c>
      <c r="E943" s="31" t="n">
        <v>45703</v>
      </c>
      <c r="F943" s="32" t="s">
        <v>4088</v>
      </c>
      <c r="G943" s="0" t="n">
        <v>5</v>
      </c>
      <c r="H943" s="32" t="s">
        <v>5626</v>
      </c>
      <c r="I943" s="32" t="s">
        <v>5491</v>
      </c>
      <c r="J943" s="32" t="s">
        <v>3793</v>
      </c>
      <c r="K943" s="32" t="s">
        <v>2081</v>
      </c>
      <c r="L943" s="0" t="n">
        <v>173</v>
      </c>
      <c r="M943" s="32" t="s">
        <v>3764</v>
      </c>
      <c r="N943" s="32" t="s">
        <v>747</v>
      </c>
      <c r="O943" s="32" t="n">
        <f aca="false">IF(I943="","",ROUND(MOD(TIMEVALUE(I943)-TIMEVALUE(F943),1)*1440,0))</f>
        <v>173</v>
      </c>
      <c r="P943" s="0" t="str">
        <f aca="false">IF(COUNTIF($A$2:A943,A943)&gt;1,"DUP","")</f>
        <v/>
      </c>
      <c r="Q943" s="0" t="str">
        <f aca="false">IF(O943="","",IF(O943&gt;240,"Y","N"))</f>
        <v>N</v>
      </c>
    </row>
    <row r="944" customFormat="false" ht="15" hidden="false" customHeight="false" outlineLevel="0" collapsed="false">
      <c r="A944" s="0" t="s">
        <v>6233</v>
      </c>
      <c r="B944" s="0" t="s">
        <v>4992</v>
      </c>
      <c r="C944" s="0" t="s">
        <v>1029</v>
      </c>
      <c r="D944" s="31" t="n">
        <v>19884</v>
      </c>
      <c r="E944" s="31" t="n">
        <v>45732</v>
      </c>
      <c r="F944" s="32" t="s">
        <v>4024</v>
      </c>
      <c r="G944" s="0" t="n">
        <v>4</v>
      </c>
      <c r="H944" s="32" t="s">
        <v>4983</v>
      </c>
      <c r="I944" s="32" t="s">
        <v>4088</v>
      </c>
      <c r="J944" s="32" t="s">
        <v>3749</v>
      </c>
      <c r="K944" s="32" t="s">
        <v>2081</v>
      </c>
      <c r="L944" s="0" t="n">
        <v>150</v>
      </c>
      <c r="M944" s="32" t="s">
        <v>3902</v>
      </c>
      <c r="N944" s="32" t="s">
        <v>3751</v>
      </c>
      <c r="O944" s="32" t="n">
        <f aca="false">IF(I944="","",ROUND(MOD(TIMEVALUE(I944)-TIMEVALUE(F944),1)*1440,0))</f>
        <v>150</v>
      </c>
      <c r="P944" s="0" t="str">
        <f aca="false">IF(COUNTIF($A$2:A944,A944)&gt;1,"DUP","")</f>
        <v/>
      </c>
      <c r="Q944" s="0" t="str">
        <f aca="false">IF(O944="","",IF(O944&gt;240,"Y","N"))</f>
        <v>N</v>
      </c>
    </row>
    <row r="945" customFormat="false" ht="15" hidden="false" customHeight="false" outlineLevel="0" collapsed="false">
      <c r="A945" s="0" t="s">
        <v>6234</v>
      </c>
      <c r="C945" s="0" t="s">
        <v>841</v>
      </c>
      <c r="D945" s="31" t="n">
        <v>16393</v>
      </c>
      <c r="E945" s="31" t="n">
        <v>45649</v>
      </c>
      <c r="F945" s="32" t="s">
        <v>6235</v>
      </c>
      <c r="G945" s="0" t="n">
        <v>4</v>
      </c>
      <c r="H945" s="32" t="s">
        <v>5678</v>
      </c>
      <c r="I945" s="32" t="s">
        <v>4148</v>
      </c>
      <c r="J945" s="32" t="s">
        <v>3749</v>
      </c>
      <c r="K945" s="32" t="s">
        <v>2081</v>
      </c>
      <c r="L945" s="0" t="n">
        <v>32</v>
      </c>
      <c r="M945" s="32" t="s">
        <v>4122</v>
      </c>
      <c r="N945" s="32" t="s">
        <v>3751</v>
      </c>
      <c r="O945" s="32" t="n">
        <f aca="false">IF(I945="","",ROUND(MOD(TIMEVALUE(I945)-TIMEVALUE(F945),1)*1440,0))</f>
        <v>32</v>
      </c>
      <c r="P945" s="0" t="str">
        <f aca="false">IF(COUNTIF($A$2:A945,A945)&gt;1,"DUP","")</f>
        <v/>
      </c>
      <c r="Q945" s="0" t="str">
        <f aca="false">IF(O945="","",IF(O945&gt;240,"Y","N"))</f>
        <v>N</v>
      </c>
    </row>
    <row r="946" customFormat="false" ht="15" hidden="false" customHeight="false" outlineLevel="0" collapsed="false">
      <c r="A946" s="0" t="s">
        <v>6236</v>
      </c>
      <c r="B946" s="0" t="s">
        <v>3857</v>
      </c>
      <c r="C946" s="0" t="s">
        <v>918</v>
      </c>
      <c r="D946" s="31" t="n">
        <v>34222</v>
      </c>
      <c r="E946" s="31" t="n">
        <v>45731</v>
      </c>
      <c r="F946" s="32" t="s">
        <v>4024</v>
      </c>
      <c r="G946" s="0" t="n">
        <v>3</v>
      </c>
      <c r="H946" s="32" t="s">
        <v>6237</v>
      </c>
      <c r="I946" s="32" t="s">
        <v>4637</v>
      </c>
      <c r="J946" s="32" t="s">
        <v>3749</v>
      </c>
      <c r="K946" s="32" t="s">
        <v>2081</v>
      </c>
      <c r="L946" s="0" t="n">
        <v>63</v>
      </c>
      <c r="M946" s="32" t="s">
        <v>3855</v>
      </c>
      <c r="N946" s="32" t="s">
        <v>3751</v>
      </c>
      <c r="O946" s="32" t="n">
        <f aca="false">IF(I946="","",ROUND(MOD(TIMEVALUE(I946)-TIMEVALUE(F946),1)*1440,0))</f>
        <v>63</v>
      </c>
      <c r="P946" s="0" t="str">
        <f aca="false">IF(COUNTIF($A$2:A946,A946)&gt;1,"DUP","")</f>
        <v/>
      </c>
      <c r="Q946" s="0" t="str">
        <f aca="false">IF(O946="","",IF(O946&gt;240,"Y","N"))</f>
        <v>N</v>
      </c>
    </row>
    <row r="947" customFormat="false" ht="15" hidden="false" customHeight="false" outlineLevel="0" collapsed="false">
      <c r="A947" s="0" t="s">
        <v>6238</v>
      </c>
      <c r="B947" s="0" t="s">
        <v>4804</v>
      </c>
      <c r="C947" s="0" t="s">
        <v>1017</v>
      </c>
      <c r="D947" s="31" t="n">
        <v>17393</v>
      </c>
      <c r="E947" s="31" t="n">
        <v>45719</v>
      </c>
      <c r="F947" s="32" t="s">
        <v>6239</v>
      </c>
      <c r="G947" s="0" t="n">
        <v>4</v>
      </c>
      <c r="H947" s="32" t="s">
        <v>5443</v>
      </c>
      <c r="I947" s="32" t="s">
        <v>4686</v>
      </c>
      <c r="J947" s="32" t="s">
        <v>3749</v>
      </c>
      <c r="K947" s="32" t="s">
        <v>2106</v>
      </c>
      <c r="L947" s="0" t="n">
        <v>569</v>
      </c>
      <c r="M947" s="32" t="s">
        <v>4037</v>
      </c>
      <c r="N947" s="32" t="s">
        <v>3751</v>
      </c>
      <c r="O947" s="32" t="n">
        <f aca="false">IF(I947="","",ROUND(MOD(TIMEVALUE(I947)-TIMEVALUE(F947),1)*1440,0))</f>
        <v>569</v>
      </c>
      <c r="P947" s="0" t="str">
        <f aca="false">IF(COUNTIF($A$2:A947,A947)&gt;1,"DUP","")</f>
        <v/>
      </c>
      <c r="Q947" s="0" t="str">
        <f aca="false">IF(O947="","",IF(O947&gt;240,"Y","N"))</f>
        <v>Y</v>
      </c>
    </row>
    <row r="948" customFormat="false" ht="15" hidden="false" customHeight="false" outlineLevel="0" collapsed="false">
      <c r="A948" s="0" t="s">
        <v>6240</v>
      </c>
      <c r="C948" s="0" t="s">
        <v>845</v>
      </c>
      <c r="D948" s="31" t="n">
        <v>34442</v>
      </c>
      <c r="E948" s="31" t="n">
        <v>45605</v>
      </c>
      <c r="F948" s="32" t="s">
        <v>5652</v>
      </c>
      <c r="G948" s="0" t="n">
        <v>4</v>
      </c>
      <c r="H948" s="32" t="s">
        <v>5197</v>
      </c>
      <c r="I948" s="32" t="s">
        <v>6241</v>
      </c>
      <c r="J948" s="32" t="s">
        <v>3793</v>
      </c>
      <c r="K948" s="32" t="s">
        <v>2081</v>
      </c>
      <c r="L948" s="0" t="n">
        <v>90</v>
      </c>
      <c r="M948" s="32" t="s">
        <v>3993</v>
      </c>
      <c r="N948" s="32" t="s">
        <v>818</v>
      </c>
      <c r="O948" s="32" t="n">
        <f aca="false">IF(I948="","",ROUND(MOD(TIMEVALUE(I948)-TIMEVALUE(F948),1)*1440,0))</f>
        <v>90</v>
      </c>
      <c r="P948" s="0" t="str">
        <f aca="false">IF(COUNTIF($A$2:A948,A948)&gt;1,"DUP","")</f>
        <v/>
      </c>
      <c r="Q948" s="0" t="str">
        <f aca="false">IF(O948="","",IF(O948&gt;240,"Y","N"))</f>
        <v>N</v>
      </c>
    </row>
    <row r="949" customFormat="false" ht="15" hidden="false" customHeight="false" outlineLevel="0" collapsed="false">
      <c r="A949" s="0" t="s">
        <v>6242</v>
      </c>
      <c r="B949" s="0" t="s">
        <v>5777</v>
      </c>
      <c r="C949" s="0" t="s">
        <v>926</v>
      </c>
      <c r="D949" s="31" t="n">
        <v>28872</v>
      </c>
      <c r="E949" s="31" t="n">
        <v>45686</v>
      </c>
      <c r="F949" s="32" t="s">
        <v>6243</v>
      </c>
      <c r="G949" s="0" t="n">
        <v>4</v>
      </c>
      <c r="H949" s="32" t="s">
        <v>5844</v>
      </c>
      <c r="I949" s="32" t="s">
        <v>5235</v>
      </c>
      <c r="J949" s="32" t="s">
        <v>3749</v>
      </c>
      <c r="K949" s="32" t="s">
        <v>2081</v>
      </c>
      <c r="L949" s="0" t="n">
        <v>121</v>
      </c>
      <c r="M949" s="32" t="s">
        <v>3925</v>
      </c>
      <c r="N949" s="32" t="s">
        <v>3751</v>
      </c>
      <c r="O949" s="32" t="n">
        <f aca="false">IF(I949="","",ROUND(MOD(TIMEVALUE(I949)-TIMEVALUE(F949),1)*1440,0))</f>
        <v>121</v>
      </c>
      <c r="P949" s="0" t="str">
        <f aca="false">IF(COUNTIF($A$2:A949,A949)&gt;1,"DUP","")</f>
        <v/>
      </c>
      <c r="Q949" s="0" t="str">
        <f aca="false">IF(O949="","",IF(O949&gt;240,"Y","N"))</f>
        <v>N</v>
      </c>
    </row>
    <row r="950" customFormat="false" ht="15" hidden="false" customHeight="false" outlineLevel="0" collapsed="false">
      <c r="A950" s="0" t="s">
        <v>6244</v>
      </c>
      <c r="C950" s="0" t="s">
        <v>866</v>
      </c>
      <c r="D950" s="31" t="n">
        <v>28061</v>
      </c>
      <c r="E950" s="31" t="n">
        <v>45640</v>
      </c>
      <c r="F950" s="32" t="s">
        <v>6245</v>
      </c>
      <c r="G950" s="0" t="n">
        <v>4</v>
      </c>
      <c r="H950" s="32" t="s">
        <v>6246</v>
      </c>
      <c r="I950" s="32" t="s">
        <v>5302</v>
      </c>
      <c r="J950" s="32" t="s">
        <v>3749</v>
      </c>
      <c r="K950" s="32" t="s">
        <v>2081</v>
      </c>
      <c r="L950" s="0" t="n">
        <v>190</v>
      </c>
      <c r="M950" s="32" t="s">
        <v>3849</v>
      </c>
      <c r="N950" s="32" t="s">
        <v>3751</v>
      </c>
      <c r="O950" s="32" t="n">
        <f aca="false">IF(I950="","",ROUND(MOD(TIMEVALUE(I950)-TIMEVALUE(F950),1)*1440,0))</f>
        <v>190</v>
      </c>
      <c r="P950" s="0" t="str">
        <f aca="false">IF(COUNTIF($A$2:A950,A950)&gt;1,"DUP","")</f>
        <v/>
      </c>
      <c r="Q950" s="0" t="str">
        <f aca="false">IF(O950="","",IF(O950&gt;240,"Y","N"))</f>
        <v>N</v>
      </c>
    </row>
    <row r="951" customFormat="false" ht="15" hidden="false" customHeight="false" outlineLevel="0" collapsed="false">
      <c r="A951" s="0" t="s">
        <v>6247</v>
      </c>
      <c r="B951" s="0" t="s">
        <v>4079</v>
      </c>
      <c r="C951" s="0" t="s">
        <v>1021</v>
      </c>
      <c r="D951" s="31" t="n">
        <v>38066</v>
      </c>
      <c r="E951" s="31" t="n">
        <v>45707</v>
      </c>
      <c r="F951" s="32" t="s">
        <v>5508</v>
      </c>
      <c r="G951" s="0" t="n">
        <v>4</v>
      </c>
      <c r="H951" s="32" t="s">
        <v>4964</v>
      </c>
      <c r="I951" s="32" t="s">
        <v>5410</v>
      </c>
      <c r="J951" s="32" t="s">
        <v>3749</v>
      </c>
      <c r="K951" s="32" t="s">
        <v>2081</v>
      </c>
      <c r="L951" s="0" t="n">
        <v>32</v>
      </c>
      <c r="M951" s="32" t="s">
        <v>3827</v>
      </c>
      <c r="N951" s="32" t="s">
        <v>3751</v>
      </c>
      <c r="O951" s="32" t="n">
        <f aca="false">IF(I951="","",ROUND(MOD(TIMEVALUE(I951)-TIMEVALUE(F951),1)*1440,0))</f>
        <v>32</v>
      </c>
      <c r="P951" s="0" t="str">
        <f aca="false">IF(COUNTIF($A$2:A951,A951)&gt;1,"DUP","")</f>
        <v/>
      </c>
      <c r="Q951" s="0" t="str">
        <f aca="false">IF(O951="","",IF(O951&gt;240,"Y","N"))</f>
        <v>N</v>
      </c>
    </row>
    <row r="952" customFormat="false" ht="15" hidden="false" customHeight="false" outlineLevel="0" collapsed="false">
      <c r="A952" s="0" t="s">
        <v>6248</v>
      </c>
      <c r="B952" s="0" t="s">
        <v>3806</v>
      </c>
      <c r="C952" s="0" t="s">
        <v>2178</v>
      </c>
      <c r="D952" s="31" t="n">
        <v>23420</v>
      </c>
      <c r="E952" s="31" t="n">
        <v>45618</v>
      </c>
      <c r="F952" s="32" t="s">
        <v>4922</v>
      </c>
      <c r="G952" s="0" t="n">
        <v>3</v>
      </c>
      <c r="H952" s="32" t="s">
        <v>6249</v>
      </c>
      <c r="I952" s="32" t="s">
        <v>4544</v>
      </c>
      <c r="J952" s="32" t="s">
        <v>3793</v>
      </c>
      <c r="K952" s="32" t="s">
        <v>2081</v>
      </c>
      <c r="L952" s="0" t="n">
        <v>231</v>
      </c>
      <c r="M952" s="32" t="s">
        <v>3871</v>
      </c>
      <c r="N952" s="32" t="s">
        <v>776</v>
      </c>
      <c r="O952" s="32" t="n">
        <f aca="false">IF(I952="","",ROUND(MOD(TIMEVALUE(I952)-TIMEVALUE(F952),1)*1440,0))</f>
        <v>231</v>
      </c>
      <c r="P952" s="0" t="str">
        <f aca="false">IF(COUNTIF($A$2:A952,A952)&gt;1,"DUP","")</f>
        <v/>
      </c>
      <c r="Q952" s="0" t="str">
        <f aca="false">IF(O952="","",IF(O952&gt;240,"Y","N"))</f>
        <v>N</v>
      </c>
    </row>
    <row r="953" customFormat="false" ht="15" hidden="false" customHeight="false" outlineLevel="0" collapsed="false">
      <c r="A953" s="0" t="s">
        <v>6250</v>
      </c>
      <c r="B953" s="0" t="s">
        <v>4921</v>
      </c>
      <c r="C953" s="0" t="s">
        <v>817</v>
      </c>
      <c r="D953" s="31" t="n">
        <v>32959</v>
      </c>
      <c r="E953" s="31" t="n">
        <v>45720</v>
      </c>
      <c r="F953" s="32" t="s">
        <v>4697</v>
      </c>
      <c r="G953" s="0" t="n">
        <v>3</v>
      </c>
      <c r="H953" s="32" t="s">
        <v>4453</v>
      </c>
      <c r="I953" s="32" t="s">
        <v>6221</v>
      </c>
      <c r="J953" s="32" t="s">
        <v>3749</v>
      </c>
      <c r="K953" s="32" t="s">
        <v>2081</v>
      </c>
      <c r="L953" s="0" t="n">
        <v>210</v>
      </c>
      <c r="M953" s="32" t="s">
        <v>3843</v>
      </c>
      <c r="N953" s="32" t="s">
        <v>3751</v>
      </c>
      <c r="O953" s="32" t="n">
        <f aca="false">IF(I953="","",ROUND(MOD(TIMEVALUE(I953)-TIMEVALUE(F953),1)*1440,0))</f>
        <v>210</v>
      </c>
      <c r="P953" s="0" t="str">
        <f aca="false">IF(COUNTIF($A$2:A953,A953)&gt;1,"DUP","")</f>
        <v/>
      </c>
      <c r="Q953" s="0" t="str">
        <f aca="false">IF(O953="","",IF(O953&gt;240,"Y","N"))</f>
        <v>N</v>
      </c>
    </row>
    <row r="954" customFormat="false" ht="15" hidden="false" customHeight="false" outlineLevel="0" collapsed="false">
      <c r="A954" s="0" t="s">
        <v>6251</v>
      </c>
      <c r="B954" s="0" t="s">
        <v>4894</v>
      </c>
      <c r="C954" s="0" t="s">
        <v>906</v>
      </c>
      <c r="D954" s="31" t="n">
        <v>24264</v>
      </c>
      <c r="E954" s="31" t="n">
        <v>45599</v>
      </c>
      <c r="F954" s="32" t="s">
        <v>4911</v>
      </c>
      <c r="G954" s="0" t="n">
        <v>3</v>
      </c>
      <c r="H954" s="32" t="s">
        <v>6252</v>
      </c>
      <c r="I954" s="32" t="s">
        <v>4157</v>
      </c>
      <c r="J954" s="32" t="s">
        <v>3763</v>
      </c>
      <c r="K954" s="32" t="s">
        <v>2081</v>
      </c>
      <c r="L954" s="0" t="n">
        <v>154</v>
      </c>
      <c r="M954" s="32" t="s">
        <v>3966</v>
      </c>
      <c r="N954" s="32" t="s">
        <v>3751</v>
      </c>
      <c r="O954" s="32" t="n">
        <f aca="false">IF(I954="","",ROUND(MOD(TIMEVALUE(I954)-TIMEVALUE(F954),1)*1440,0))</f>
        <v>154</v>
      </c>
      <c r="P954" s="0" t="str">
        <f aca="false">IF(COUNTIF($A$2:A954,A954)&gt;1,"DUP","")</f>
        <v/>
      </c>
      <c r="Q954" s="0" t="str">
        <f aca="false">IF(O954="","",IF(O954&gt;240,"Y","N"))</f>
        <v>N</v>
      </c>
    </row>
    <row r="955" customFormat="false" ht="15" hidden="false" customHeight="false" outlineLevel="0" collapsed="false">
      <c r="A955" s="0" t="s">
        <v>6253</v>
      </c>
      <c r="B955" s="0" t="s">
        <v>4102</v>
      </c>
      <c r="C955" s="0" t="s">
        <v>985</v>
      </c>
      <c r="D955" s="31" t="n">
        <v>24648</v>
      </c>
      <c r="E955" s="31" t="n">
        <v>45570</v>
      </c>
      <c r="F955" s="32" t="s">
        <v>5222</v>
      </c>
      <c r="G955" s="0" t="n">
        <v>3</v>
      </c>
      <c r="H955" s="32" t="s">
        <v>4762</v>
      </c>
      <c r="I955" s="32" t="s">
        <v>6254</v>
      </c>
      <c r="J955" s="32" t="s">
        <v>3749</v>
      </c>
      <c r="K955" s="32" t="s">
        <v>2081</v>
      </c>
      <c r="L955" s="0" t="n">
        <v>123</v>
      </c>
      <c r="M955" s="32" t="s">
        <v>3757</v>
      </c>
      <c r="N955" s="32" t="s">
        <v>3751</v>
      </c>
      <c r="O955" s="32" t="n">
        <f aca="false">IF(I955="","",ROUND(MOD(TIMEVALUE(I955)-TIMEVALUE(F955),1)*1440,0))</f>
        <v>123</v>
      </c>
      <c r="P955" s="0" t="str">
        <f aca="false">IF(COUNTIF($A$2:A955,A955)&gt;1,"DUP","")</f>
        <v/>
      </c>
      <c r="Q955" s="0" t="str">
        <f aca="false">IF(O955="","",IF(O955&gt;240,"Y","N"))</f>
        <v>N</v>
      </c>
    </row>
    <row r="956" customFormat="false" ht="15" hidden="false" customHeight="false" outlineLevel="0" collapsed="false">
      <c r="A956" s="0" t="s">
        <v>6255</v>
      </c>
      <c r="C956" s="0" t="s">
        <v>1426</v>
      </c>
      <c r="D956" s="31" t="n">
        <v>36989</v>
      </c>
      <c r="E956" s="31" t="n">
        <v>45685</v>
      </c>
      <c r="F956" s="32" t="s">
        <v>4686</v>
      </c>
      <c r="G956" s="0" t="n">
        <v>4</v>
      </c>
      <c r="H956" s="32" t="s">
        <v>5638</v>
      </c>
      <c r="I956" s="32" t="s">
        <v>6256</v>
      </c>
      <c r="J956" s="32" t="s">
        <v>3749</v>
      </c>
      <c r="K956" s="32" t="s">
        <v>2081</v>
      </c>
      <c r="L956" s="0" t="n">
        <v>127</v>
      </c>
      <c r="M956" s="32" t="s">
        <v>3952</v>
      </c>
      <c r="N956" s="32" t="s">
        <v>3751</v>
      </c>
      <c r="O956" s="32" t="n">
        <f aca="false">IF(I956="","",ROUND(MOD(TIMEVALUE(I956)-TIMEVALUE(F956),1)*1440,0))</f>
        <v>127</v>
      </c>
      <c r="P956" s="0" t="str">
        <f aca="false">IF(COUNTIF($A$2:A956,A956)&gt;1,"DUP","")</f>
        <v/>
      </c>
      <c r="Q956" s="0" t="str">
        <f aca="false">IF(O956="","",IF(O956&gt;240,"Y","N"))</f>
        <v>N</v>
      </c>
    </row>
    <row r="957" customFormat="false" ht="15" hidden="false" customHeight="false" outlineLevel="0" collapsed="false">
      <c r="A957" s="0" t="s">
        <v>6257</v>
      </c>
      <c r="B957" s="0" t="s">
        <v>6225</v>
      </c>
      <c r="C957" s="0" t="s">
        <v>746</v>
      </c>
      <c r="D957" s="31" t="n">
        <v>31057</v>
      </c>
      <c r="E957" s="31" t="n">
        <v>45660</v>
      </c>
      <c r="F957" s="32" t="s">
        <v>3865</v>
      </c>
      <c r="G957" s="0" t="n">
        <v>2</v>
      </c>
      <c r="H957" s="32" t="s">
        <v>4777</v>
      </c>
      <c r="I957" s="32" t="s">
        <v>4885</v>
      </c>
      <c r="J957" s="32" t="s">
        <v>3749</v>
      </c>
      <c r="K957" s="32" t="s">
        <v>2081</v>
      </c>
      <c r="L957" s="0" t="n">
        <v>215</v>
      </c>
      <c r="M957" s="32" t="s">
        <v>3866</v>
      </c>
      <c r="N957" s="32" t="s">
        <v>3751</v>
      </c>
      <c r="O957" s="32" t="n">
        <f aca="false">IF(I957="","",ROUND(MOD(TIMEVALUE(I957)-TIMEVALUE(F957),1)*1440,0))</f>
        <v>215</v>
      </c>
      <c r="P957" s="0" t="str">
        <f aca="false">IF(COUNTIF($A$2:A957,A957)&gt;1,"DUP","")</f>
        <v/>
      </c>
      <c r="Q957" s="0" t="str">
        <f aca="false">IF(O957="","",IF(O957&gt;240,"Y","N"))</f>
        <v>N</v>
      </c>
    </row>
    <row r="958" customFormat="false" ht="15" hidden="false" customHeight="false" outlineLevel="0" collapsed="false">
      <c r="A958" s="0" t="s">
        <v>6258</v>
      </c>
      <c r="B958" s="0" t="s">
        <v>5661</v>
      </c>
      <c r="C958" s="0" t="s">
        <v>1419</v>
      </c>
      <c r="D958" s="31" t="n">
        <v>32394</v>
      </c>
      <c r="E958" s="31" t="n">
        <v>45732</v>
      </c>
      <c r="F958" s="32" t="s">
        <v>3746</v>
      </c>
      <c r="G958" s="0" t="n">
        <v>5</v>
      </c>
      <c r="H958" s="32" t="s">
        <v>4428</v>
      </c>
      <c r="I958" s="32" t="s">
        <v>4303</v>
      </c>
      <c r="J958" s="32" t="s">
        <v>3763</v>
      </c>
      <c r="K958" s="32" t="s">
        <v>2081</v>
      </c>
      <c r="L958" s="0" t="n">
        <v>104</v>
      </c>
      <c r="M958" s="32" t="s">
        <v>3757</v>
      </c>
      <c r="N958" s="32" t="s">
        <v>3751</v>
      </c>
      <c r="O958" s="32" t="n">
        <f aca="false">IF(I958="","",ROUND(MOD(TIMEVALUE(I958)-TIMEVALUE(F958),1)*1440,0))</f>
        <v>104</v>
      </c>
      <c r="P958" s="0" t="str">
        <f aca="false">IF(COUNTIF($A$2:A958,A958)&gt;1,"DUP","")</f>
        <v/>
      </c>
      <c r="Q958" s="0" t="str">
        <f aca="false">IF(O958="","",IF(O958&gt;240,"Y","N"))</f>
        <v>N</v>
      </c>
    </row>
    <row r="959" customFormat="false" ht="15" hidden="false" customHeight="false" outlineLevel="0" collapsed="false">
      <c r="A959" s="0" t="s">
        <v>6259</v>
      </c>
      <c r="C959" s="0" t="s">
        <v>1402</v>
      </c>
      <c r="D959" s="31" t="n">
        <v>19866</v>
      </c>
      <c r="E959" s="31" t="n">
        <v>45698</v>
      </c>
      <c r="F959" s="32" t="s">
        <v>5710</v>
      </c>
      <c r="G959" s="0" t="n">
        <v>3</v>
      </c>
      <c r="H959" s="32" t="s">
        <v>5808</v>
      </c>
      <c r="I959" s="32" t="s">
        <v>5210</v>
      </c>
      <c r="J959" s="32" t="s">
        <v>3763</v>
      </c>
      <c r="K959" s="32" t="s">
        <v>2081</v>
      </c>
      <c r="L959" s="0" t="n">
        <v>151</v>
      </c>
      <c r="M959" s="32" t="s">
        <v>3757</v>
      </c>
      <c r="N959" s="32" t="s">
        <v>3751</v>
      </c>
      <c r="O959" s="32" t="n">
        <f aca="false">IF(I959="","",ROUND(MOD(TIMEVALUE(I959)-TIMEVALUE(F959),1)*1440,0))</f>
        <v>151</v>
      </c>
      <c r="P959" s="0" t="str">
        <f aca="false">IF(COUNTIF($A$2:A959,A959)&gt;1,"DUP","")</f>
        <v/>
      </c>
      <c r="Q959" s="0" t="str">
        <f aca="false">IF(O959="","",IF(O959&gt;240,"Y","N"))</f>
        <v>N</v>
      </c>
    </row>
    <row r="960" customFormat="false" ht="15" hidden="false" customHeight="false" outlineLevel="0" collapsed="false">
      <c r="A960" s="0" t="s">
        <v>6260</v>
      </c>
      <c r="B960" s="0" t="s">
        <v>3932</v>
      </c>
      <c r="C960" s="0" t="s">
        <v>918</v>
      </c>
      <c r="D960" s="31" t="n">
        <v>13046</v>
      </c>
      <c r="E960" s="31" t="n">
        <v>45732</v>
      </c>
      <c r="F960" s="32" t="s">
        <v>3896</v>
      </c>
      <c r="G960" s="0" t="n">
        <v>2</v>
      </c>
      <c r="H960" s="32" t="s">
        <v>4275</v>
      </c>
      <c r="I960" s="32" t="s">
        <v>5398</v>
      </c>
      <c r="J960" s="32" t="s">
        <v>2307</v>
      </c>
      <c r="K960" s="32" t="s">
        <v>2081</v>
      </c>
      <c r="L960" s="0" t="n">
        <v>125</v>
      </c>
      <c r="M960" s="32" t="s">
        <v>4114</v>
      </c>
      <c r="N960" s="32" t="s">
        <v>3751</v>
      </c>
      <c r="O960" s="32" t="n">
        <f aca="false">IF(I960="","",ROUND(MOD(TIMEVALUE(I960)-TIMEVALUE(F960),1)*1440,0))</f>
        <v>125</v>
      </c>
      <c r="P960" s="0" t="str">
        <f aca="false">IF(COUNTIF($A$2:A960,A960)&gt;1,"DUP","")</f>
        <v/>
      </c>
      <c r="Q960" s="0" t="str">
        <f aca="false">IF(O960="","",IF(O960&gt;240,"Y","N"))</f>
        <v>N</v>
      </c>
    </row>
    <row r="961" customFormat="false" ht="15" hidden="false" customHeight="false" outlineLevel="0" collapsed="false">
      <c r="A961" s="0" t="s">
        <v>6261</v>
      </c>
      <c r="B961" s="0" t="s">
        <v>5552</v>
      </c>
      <c r="C961" s="0" t="s">
        <v>966</v>
      </c>
      <c r="D961" s="31" t="n">
        <v>33312</v>
      </c>
      <c r="E961" s="31" t="n">
        <v>45719</v>
      </c>
      <c r="F961" s="32" t="s">
        <v>821</v>
      </c>
      <c r="G961" s="0" t="n">
        <v>3</v>
      </c>
      <c r="H961" s="32" t="s">
        <v>5090</v>
      </c>
      <c r="I961" s="32" t="s">
        <v>5583</v>
      </c>
      <c r="J961" s="32" t="s">
        <v>3749</v>
      </c>
      <c r="K961" s="32" t="s">
        <v>2081</v>
      </c>
      <c r="L961" s="0" t="n">
        <v>196</v>
      </c>
      <c r="M961" s="32" t="s">
        <v>4267</v>
      </c>
      <c r="N961" s="32" t="s">
        <v>3751</v>
      </c>
      <c r="O961" s="32" t="n">
        <f aca="false">IF(I961="","",ROUND(MOD(TIMEVALUE(I961)-TIMEVALUE(F961),1)*1440,0))</f>
        <v>196</v>
      </c>
      <c r="P961" s="0" t="str">
        <f aca="false">IF(COUNTIF($A$2:A961,A961)&gt;1,"DUP","")</f>
        <v/>
      </c>
      <c r="Q961" s="0" t="str">
        <f aca="false">IF(O961="","",IF(O961&gt;240,"Y","N"))</f>
        <v>N</v>
      </c>
    </row>
    <row r="962" customFormat="false" ht="15" hidden="false" customHeight="false" outlineLevel="0" collapsed="false">
      <c r="A962" s="0" t="s">
        <v>6262</v>
      </c>
      <c r="C962" s="0" t="s">
        <v>985</v>
      </c>
      <c r="D962" s="31" t="n">
        <v>35323</v>
      </c>
      <c r="E962" s="31" t="n">
        <v>45645</v>
      </c>
      <c r="F962" s="32" t="s">
        <v>750</v>
      </c>
      <c r="G962" s="0" t="n">
        <v>5</v>
      </c>
      <c r="H962" s="32" t="s">
        <v>4360</v>
      </c>
      <c r="I962" s="32" t="s">
        <v>5439</v>
      </c>
      <c r="J962" s="32" t="s">
        <v>3749</v>
      </c>
      <c r="K962" s="32" t="s">
        <v>2081</v>
      </c>
      <c r="L962" s="0" t="n">
        <v>133</v>
      </c>
      <c r="M962" s="32" t="s">
        <v>4122</v>
      </c>
      <c r="N962" s="32" t="s">
        <v>3751</v>
      </c>
      <c r="O962" s="32" t="n">
        <f aca="false">IF(I962="","",ROUND(MOD(TIMEVALUE(I962)-TIMEVALUE(F962),1)*1440,0))</f>
        <v>133</v>
      </c>
      <c r="P962" s="0" t="str">
        <f aca="false">IF(COUNTIF($A$2:A962,A962)&gt;1,"DUP","")</f>
        <v/>
      </c>
      <c r="Q962" s="0" t="str">
        <f aca="false">IF(O962="","",IF(O962&gt;240,"Y","N"))</f>
        <v>N</v>
      </c>
    </row>
    <row r="963" customFormat="false" ht="15" hidden="false" customHeight="false" outlineLevel="0" collapsed="false">
      <c r="A963" s="0" t="s">
        <v>6263</v>
      </c>
      <c r="B963" s="0" t="s">
        <v>5902</v>
      </c>
      <c r="C963" s="0" t="s">
        <v>2225</v>
      </c>
      <c r="D963" s="31" t="n">
        <v>34267</v>
      </c>
      <c r="E963" s="31" t="n">
        <v>45607</v>
      </c>
      <c r="F963" s="32" t="s">
        <v>4721</v>
      </c>
      <c r="G963" s="0" t="n">
        <v>5</v>
      </c>
      <c r="H963" s="32" t="s">
        <v>4387</v>
      </c>
      <c r="I963" s="32" t="s">
        <v>4932</v>
      </c>
      <c r="J963" s="32" t="s">
        <v>3749</v>
      </c>
      <c r="K963" s="32" t="s">
        <v>2081</v>
      </c>
      <c r="L963" s="0" t="n">
        <v>112</v>
      </c>
      <c r="M963" s="32" t="s">
        <v>3782</v>
      </c>
      <c r="N963" s="32" t="s">
        <v>3751</v>
      </c>
      <c r="O963" s="32" t="n">
        <f aca="false">IF(I963="","",ROUND(MOD(TIMEVALUE(I963)-TIMEVALUE(F963),1)*1440,0))</f>
        <v>112</v>
      </c>
      <c r="P963" s="0" t="str">
        <f aca="false">IF(COUNTIF($A$2:A963,A963)&gt;1,"DUP","")</f>
        <v/>
      </c>
      <c r="Q963" s="0" t="str">
        <f aca="false">IF(O963="","",IF(O963&gt;240,"Y","N"))</f>
        <v>N</v>
      </c>
    </row>
    <row r="964" customFormat="false" ht="15" hidden="false" customHeight="false" outlineLevel="0" collapsed="false">
      <c r="A964" s="0" t="s">
        <v>6264</v>
      </c>
      <c r="B964" s="0" t="s">
        <v>4798</v>
      </c>
      <c r="C964" s="0" t="s">
        <v>1009</v>
      </c>
      <c r="D964" s="31" t="n">
        <v>31824</v>
      </c>
      <c r="E964" s="31" t="n">
        <v>45677</v>
      </c>
      <c r="F964" s="32" t="s">
        <v>4710</v>
      </c>
      <c r="G964" s="0" t="n">
        <v>3</v>
      </c>
      <c r="H964" s="32" t="s">
        <v>4292</v>
      </c>
      <c r="I964" s="32" t="s">
        <v>4257</v>
      </c>
      <c r="J964" s="32" t="s">
        <v>3749</v>
      </c>
      <c r="K964" s="32" t="s">
        <v>2081</v>
      </c>
      <c r="L964" s="0" t="n">
        <v>157</v>
      </c>
      <c r="M964" s="32" t="s">
        <v>3877</v>
      </c>
      <c r="N964" s="32" t="s">
        <v>3751</v>
      </c>
      <c r="O964" s="32" t="n">
        <f aca="false">IF(I964="","",ROUND(MOD(TIMEVALUE(I964)-TIMEVALUE(F964),1)*1440,0))</f>
        <v>157</v>
      </c>
      <c r="P964" s="0" t="str">
        <f aca="false">IF(COUNTIF($A$2:A964,A964)&gt;1,"DUP","")</f>
        <v/>
      </c>
      <c r="Q964" s="0" t="str">
        <f aca="false">IF(O964="","",IF(O964&gt;240,"Y","N"))</f>
        <v>N</v>
      </c>
    </row>
    <row r="965" customFormat="false" ht="15" hidden="false" customHeight="false" outlineLevel="0" collapsed="false">
      <c r="A965" s="0" t="s">
        <v>6265</v>
      </c>
      <c r="C965" s="0" t="s">
        <v>898</v>
      </c>
      <c r="D965" s="31" t="n">
        <v>23186</v>
      </c>
      <c r="E965" s="31" t="n">
        <v>45704</v>
      </c>
      <c r="F965" s="32" t="s">
        <v>6266</v>
      </c>
      <c r="G965" s="0" t="n">
        <v>1</v>
      </c>
      <c r="H965" s="32" t="s">
        <v>5158</v>
      </c>
      <c r="I965" s="32" t="s">
        <v>4810</v>
      </c>
      <c r="J965" s="32" t="s">
        <v>3749</v>
      </c>
      <c r="K965" s="32" t="s">
        <v>2081</v>
      </c>
      <c r="L965" s="0" t="n">
        <v>213</v>
      </c>
      <c r="M965" s="32" t="s">
        <v>4114</v>
      </c>
      <c r="N965" s="32" t="s">
        <v>3751</v>
      </c>
      <c r="O965" s="32" t="n">
        <f aca="false">IF(I965="","",ROUND(MOD(TIMEVALUE(I965)-TIMEVALUE(F965),1)*1440,0))</f>
        <v>213</v>
      </c>
      <c r="P965" s="0" t="str">
        <f aca="false">IF(COUNTIF($A$2:A965,A965)&gt;1,"DUP","")</f>
        <v/>
      </c>
      <c r="Q965" s="0" t="str">
        <f aca="false">IF(O965="","",IF(O965&gt;240,"Y","N"))</f>
        <v>N</v>
      </c>
    </row>
    <row r="966" customFormat="false" ht="15" hidden="false" customHeight="false" outlineLevel="0" collapsed="false">
      <c r="A966" s="0" t="s">
        <v>6267</v>
      </c>
      <c r="B966" s="0" t="s">
        <v>3927</v>
      </c>
      <c r="C966" s="0" t="s">
        <v>1390</v>
      </c>
      <c r="D966" s="31" t="n">
        <v>14618</v>
      </c>
      <c r="E966" s="31" t="n">
        <v>45692</v>
      </c>
      <c r="F966" s="32" t="s">
        <v>5779</v>
      </c>
      <c r="G966" s="0" t="n">
        <v>4</v>
      </c>
      <c r="H966" s="32" t="s">
        <v>5915</v>
      </c>
      <c r="I966" s="32" t="s">
        <v>5099</v>
      </c>
      <c r="J966" s="32" t="s">
        <v>3763</v>
      </c>
      <c r="K966" s="32" t="s">
        <v>2081</v>
      </c>
      <c r="L966" s="0" t="n">
        <v>217</v>
      </c>
      <c r="M966" s="32" t="s">
        <v>4037</v>
      </c>
      <c r="N966" s="32" t="s">
        <v>3751</v>
      </c>
      <c r="O966" s="32" t="n">
        <f aca="false">IF(I966="","",ROUND(MOD(TIMEVALUE(I966)-TIMEVALUE(F966),1)*1440,0))</f>
        <v>217</v>
      </c>
      <c r="P966" s="0" t="str">
        <f aca="false">IF(COUNTIF($A$2:A966,A966)&gt;1,"DUP","")</f>
        <v/>
      </c>
      <c r="Q966" s="0" t="str">
        <f aca="false">IF(O966="","",IF(O966&gt;240,"Y","N"))</f>
        <v>N</v>
      </c>
    </row>
    <row r="967" customFormat="false" ht="15" hidden="false" customHeight="false" outlineLevel="0" collapsed="false">
      <c r="A967" s="0" t="s">
        <v>6268</v>
      </c>
      <c r="B967" s="0" t="s">
        <v>4553</v>
      </c>
      <c r="C967" s="0" t="s">
        <v>902</v>
      </c>
      <c r="D967" s="31" t="n">
        <v>27192</v>
      </c>
      <c r="E967" s="31" t="n">
        <v>45700</v>
      </c>
      <c r="F967" s="32" t="s">
        <v>6269</v>
      </c>
      <c r="G967" s="0" t="n">
        <v>3</v>
      </c>
      <c r="H967" s="32" t="s">
        <v>6270</v>
      </c>
      <c r="I967" s="32" t="s">
        <v>4368</v>
      </c>
      <c r="J967" s="32" t="s">
        <v>3763</v>
      </c>
      <c r="K967" s="32" t="s">
        <v>2081</v>
      </c>
      <c r="L967" s="0" t="n">
        <v>41</v>
      </c>
      <c r="M967" s="32" t="s">
        <v>3877</v>
      </c>
      <c r="N967" s="32" t="s">
        <v>3751</v>
      </c>
      <c r="O967" s="32" t="n">
        <f aca="false">IF(I967="","",ROUND(MOD(TIMEVALUE(I967)-TIMEVALUE(F967),1)*1440,0))</f>
        <v>41</v>
      </c>
      <c r="P967" s="0" t="str">
        <f aca="false">IF(COUNTIF($A$2:A967,A967)&gt;1,"DUP","")</f>
        <v/>
      </c>
      <c r="Q967" s="0" t="str">
        <f aca="false">IF(O967="","",IF(O967&gt;240,"Y","N"))</f>
        <v>N</v>
      </c>
    </row>
    <row r="968" customFormat="false" ht="15" hidden="false" customHeight="false" outlineLevel="0" collapsed="false">
      <c r="A968" s="0" t="s">
        <v>6271</v>
      </c>
      <c r="B968" s="0" t="s">
        <v>5397</v>
      </c>
      <c r="C968" s="0" t="s">
        <v>977</v>
      </c>
      <c r="D968" s="31" t="n">
        <v>31275</v>
      </c>
      <c r="E968" s="31" t="n">
        <v>45646</v>
      </c>
      <c r="F968" s="32" t="s">
        <v>6272</v>
      </c>
      <c r="G968" s="0" t="n">
        <v>4</v>
      </c>
      <c r="H968" s="32" t="s">
        <v>4721</v>
      </c>
      <c r="I968" s="32" t="s">
        <v>6011</v>
      </c>
      <c r="J968" s="32" t="s">
        <v>2307</v>
      </c>
      <c r="K968" s="32" t="s">
        <v>2081</v>
      </c>
      <c r="L968" s="0" t="n">
        <v>206</v>
      </c>
      <c r="M968" s="32" t="s">
        <v>3993</v>
      </c>
      <c r="N968" s="32" t="s">
        <v>3751</v>
      </c>
      <c r="O968" s="32" t="n">
        <f aca="false">IF(I968="","",ROUND(MOD(TIMEVALUE(I968)-TIMEVALUE(F968),1)*1440,0))</f>
        <v>206</v>
      </c>
      <c r="P968" s="0" t="str">
        <f aca="false">IF(COUNTIF($A$2:A968,A968)&gt;1,"DUP","")</f>
        <v/>
      </c>
      <c r="Q968" s="0" t="str">
        <f aca="false">IF(O968="","",IF(O968&gt;240,"Y","N"))</f>
        <v>N</v>
      </c>
    </row>
    <row r="969" customFormat="false" ht="15" hidden="false" customHeight="false" outlineLevel="0" collapsed="false">
      <c r="A969" s="0" t="s">
        <v>6273</v>
      </c>
      <c r="B969" s="0" t="s">
        <v>3829</v>
      </c>
      <c r="C969" s="0" t="s">
        <v>4053</v>
      </c>
      <c r="D969" s="31" t="n">
        <v>31123</v>
      </c>
      <c r="E969" s="31" t="n">
        <v>45567</v>
      </c>
      <c r="F969" s="32" t="s">
        <v>5553</v>
      </c>
      <c r="G969" s="0" t="n">
        <v>4</v>
      </c>
      <c r="H969" s="32" t="s">
        <v>4614</v>
      </c>
      <c r="I969" s="32" t="s">
        <v>5470</v>
      </c>
      <c r="J969" s="32" t="s">
        <v>3749</v>
      </c>
      <c r="K969" s="32" t="s">
        <v>2081</v>
      </c>
      <c r="L969" s="0" t="n">
        <v>180</v>
      </c>
      <c r="M969" s="32" t="s">
        <v>3757</v>
      </c>
      <c r="N969" s="32" t="s">
        <v>3751</v>
      </c>
      <c r="O969" s="32" t="n">
        <f aca="false">IF(I969="","",ROUND(MOD(TIMEVALUE(I969)-TIMEVALUE(F969),1)*1440,0))</f>
        <v>180</v>
      </c>
      <c r="P969" s="0" t="str">
        <f aca="false">IF(COUNTIF($A$2:A969,A969)&gt;1,"DUP","")</f>
        <v/>
      </c>
      <c r="Q969" s="0" t="str">
        <f aca="false">IF(O969="","",IF(O969&gt;240,"Y","N"))</f>
        <v>N</v>
      </c>
    </row>
    <row r="970" customFormat="false" ht="15" hidden="false" customHeight="false" outlineLevel="0" collapsed="false">
      <c r="A970" s="0" t="s">
        <v>6274</v>
      </c>
      <c r="B970" s="0" t="s">
        <v>5511</v>
      </c>
      <c r="C970" s="0" t="s">
        <v>1029</v>
      </c>
      <c r="D970" s="31" t="n">
        <v>19622</v>
      </c>
      <c r="E970" s="31" t="n">
        <v>45638</v>
      </c>
      <c r="F970" s="32" t="s">
        <v>4520</v>
      </c>
      <c r="G970" s="0" t="n">
        <v>2</v>
      </c>
      <c r="H970" s="32" t="s">
        <v>5539</v>
      </c>
      <c r="I970" s="32" t="s">
        <v>6275</v>
      </c>
      <c r="J970" s="32" t="s">
        <v>3763</v>
      </c>
      <c r="K970" s="32" t="s">
        <v>2081</v>
      </c>
      <c r="L970" s="0" t="n">
        <v>87</v>
      </c>
      <c r="M970" s="32" t="s">
        <v>3975</v>
      </c>
      <c r="N970" s="32" t="s">
        <v>3751</v>
      </c>
      <c r="O970" s="32" t="n">
        <f aca="false">IF(I970="","",ROUND(MOD(TIMEVALUE(I970)-TIMEVALUE(F970),1)*1440,0))</f>
        <v>87</v>
      </c>
      <c r="P970" s="0" t="str">
        <f aca="false">IF(COUNTIF($A$2:A970,A970)&gt;1,"DUP","")</f>
        <v/>
      </c>
      <c r="Q970" s="0" t="str">
        <f aca="false">IF(O970="","",IF(O970&gt;240,"Y","N"))</f>
        <v>N</v>
      </c>
    </row>
  </sheetData>
  <autoFilter ref="A1:N9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  <col collapsed="false" customWidth="true" hidden="false" outlineLevel="0" max="12" min="12" style="0" width="16"/>
  </cols>
  <sheetData>
    <row r="1" customFormat="false" ht="23.85" hidden="false" customHeight="false" outlineLevel="0" collapsed="false">
      <c r="A1" s="6" t="s">
        <v>453</v>
      </c>
      <c r="B1" s="6" t="s">
        <v>438</v>
      </c>
      <c r="C1" s="6" t="s">
        <v>446</v>
      </c>
      <c r="D1" s="6" t="s">
        <v>422</v>
      </c>
      <c r="E1" s="6" t="s">
        <v>431</v>
      </c>
      <c r="F1" s="6" t="s">
        <v>6276</v>
      </c>
      <c r="G1" s="6" t="s">
        <v>480</v>
      </c>
      <c r="H1" s="6" t="s">
        <v>461</v>
      </c>
      <c r="I1" s="6" t="s">
        <v>468</v>
      </c>
      <c r="J1" s="6" t="s">
        <v>472</v>
      </c>
      <c r="K1" s="6" t="s">
        <v>135</v>
      </c>
      <c r="L1" s="30" t="s">
        <v>743</v>
      </c>
    </row>
    <row r="2" customFormat="false" ht="15" hidden="false" customHeight="false" outlineLevel="0" collapsed="false">
      <c r="A2" s="31" t="n">
        <v>45389</v>
      </c>
      <c r="B2" s="32" t="s">
        <v>79</v>
      </c>
      <c r="C2" s="0" t="n">
        <v>10</v>
      </c>
      <c r="D2" s="0" t="n">
        <v>7</v>
      </c>
      <c r="E2" s="0" t="n">
        <v>70</v>
      </c>
      <c r="F2" s="0" t="n">
        <v>22</v>
      </c>
      <c r="G2" s="0" t="n">
        <v>22</v>
      </c>
      <c r="H2" s="0" t="n">
        <v>2</v>
      </c>
      <c r="I2" s="0" t="n">
        <v>3</v>
      </c>
      <c r="J2" s="0" t="n">
        <v>30</v>
      </c>
      <c r="K2" s="32" t="s">
        <v>766</v>
      </c>
      <c r="L2" s="0" t="str">
        <f aca="false">IF(K2="GEN","GM",K2)</f>
        <v>OR</v>
      </c>
    </row>
    <row r="3" customFormat="false" ht="15" hidden="false" customHeight="false" outlineLevel="0" collapsed="false">
      <c r="A3" s="31" t="n">
        <v>45389</v>
      </c>
      <c r="B3" s="32" t="s">
        <v>114</v>
      </c>
      <c r="C3" s="0" t="n">
        <v>10</v>
      </c>
      <c r="D3" s="0" t="n">
        <v>7</v>
      </c>
      <c r="E3" s="0" t="n">
        <v>70</v>
      </c>
      <c r="F3" s="0" t="n">
        <v>25</v>
      </c>
      <c r="G3" s="0" t="n">
        <v>24</v>
      </c>
      <c r="I3" s="0" t="n">
        <v>2</v>
      </c>
      <c r="J3" s="0" t="n">
        <v>33</v>
      </c>
      <c r="K3" s="32" t="s">
        <v>802</v>
      </c>
      <c r="L3" s="0" t="str">
        <f aca="false">IF(K3="GEN","GM",K3)</f>
        <v>GYN</v>
      </c>
    </row>
    <row r="4" customFormat="false" ht="15" hidden="false" customHeight="false" outlineLevel="0" collapsed="false">
      <c r="A4" s="31" t="n">
        <v>45389</v>
      </c>
      <c r="B4" s="32" t="s">
        <v>226</v>
      </c>
      <c r="C4" s="0" t="n">
        <v>8</v>
      </c>
      <c r="D4" s="0" t="n">
        <v>6</v>
      </c>
      <c r="E4" s="0" t="n">
        <v>75</v>
      </c>
      <c r="F4" s="0" t="n">
        <v>22</v>
      </c>
      <c r="G4" s="0" t="n">
        <v>22</v>
      </c>
      <c r="H4" s="0" t="n">
        <v>1</v>
      </c>
      <c r="J4" s="0" t="n">
        <v>59</v>
      </c>
      <c r="K4" s="32" t="s">
        <v>766</v>
      </c>
      <c r="L4" s="0" t="str">
        <f aca="false">IF(K4="GEN","GM",K4)</f>
        <v>OR</v>
      </c>
    </row>
    <row r="5" customFormat="false" ht="15" hidden="false" customHeight="false" outlineLevel="0" collapsed="false">
      <c r="A5" s="31" t="n">
        <v>45389</v>
      </c>
      <c r="B5" s="32" t="s">
        <v>195</v>
      </c>
      <c r="C5" s="0" t="n">
        <v>14</v>
      </c>
      <c r="D5" s="0" t="n">
        <v>11</v>
      </c>
      <c r="E5" s="0" t="n">
        <v>78.6</v>
      </c>
      <c r="F5" s="0" t="n">
        <v>39</v>
      </c>
      <c r="G5" s="0" t="n">
        <v>36</v>
      </c>
      <c r="H5" s="0" t="n">
        <v>4</v>
      </c>
      <c r="I5" s="0" t="n">
        <v>1</v>
      </c>
      <c r="J5" s="0" t="n">
        <v>17</v>
      </c>
      <c r="K5" s="32" t="s">
        <v>758</v>
      </c>
      <c r="L5" s="0" t="str">
        <f aca="false">IF(K5="GEN","GM",K5)</f>
        <v>CS</v>
      </c>
    </row>
    <row r="6" customFormat="false" ht="15" hidden="false" customHeight="false" outlineLevel="0" collapsed="false">
      <c r="A6" s="31" t="n">
        <v>45396</v>
      </c>
      <c r="B6" s="32" t="s">
        <v>79</v>
      </c>
      <c r="C6" s="0" t="n">
        <v>10</v>
      </c>
      <c r="D6" s="0" t="n">
        <v>7</v>
      </c>
      <c r="E6" s="0" t="n">
        <v>70</v>
      </c>
      <c r="F6" s="0" t="n">
        <v>28</v>
      </c>
      <c r="G6" s="0" t="n">
        <v>26</v>
      </c>
      <c r="I6" s="0" t="n">
        <v>3</v>
      </c>
      <c r="J6" s="0" t="n">
        <v>88</v>
      </c>
      <c r="K6" s="32" t="s">
        <v>776</v>
      </c>
      <c r="L6" s="0" t="str">
        <f aca="false">IF(K6="GEN","GM",K6)</f>
        <v>GS</v>
      </c>
    </row>
    <row r="7" customFormat="false" ht="15" hidden="false" customHeight="false" outlineLevel="0" collapsed="false">
      <c r="A7" s="31" t="n">
        <v>45396</v>
      </c>
      <c r="B7" s="32" t="s">
        <v>114</v>
      </c>
      <c r="C7" s="0" t="n">
        <v>10</v>
      </c>
      <c r="D7" s="0" t="n">
        <v>7</v>
      </c>
      <c r="E7" s="0" t="n">
        <v>70</v>
      </c>
      <c r="F7" s="0" t="n">
        <v>28</v>
      </c>
      <c r="G7" s="0" t="n">
        <v>28</v>
      </c>
      <c r="H7" s="0" t="n">
        <v>3</v>
      </c>
      <c r="I7" s="0" t="n">
        <v>1</v>
      </c>
      <c r="J7" s="0" t="n">
        <v>3</v>
      </c>
      <c r="K7" s="32" t="s">
        <v>802</v>
      </c>
      <c r="L7" s="0" t="str">
        <f aca="false">IF(K7="GEN","GM",K7)</f>
        <v>GYN</v>
      </c>
    </row>
    <row r="8" customFormat="false" ht="15" hidden="false" customHeight="false" outlineLevel="0" collapsed="false">
      <c r="A8" s="31" t="n">
        <v>45396</v>
      </c>
      <c r="B8" s="32" t="s">
        <v>226</v>
      </c>
      <c r="C8" s="0" t="n">
        <v>8</v>
      </c>
      <c r="D8" s="0" t="n">
        <v>5</v>
      </c>
      <c r="E8" s="0" t="n">
        <v>62.5</v>
      </c>
      <c r="F8" s="0" t="n">
        <v>21</v>
      </c>
      <c r="G8" s="0" t="n">
        <v>19</v>
      </c>
      <c r="H8" s="0" t="n">
        <v>1</v>
      </c>
      <c r="I8" s="0" t="n">
        <v>0</v>
      </c>
      <c r="J8" s="0" t="n">
        <v>6</v>
      </c>
      <c r="K8" s="32" t="s">
        <v>810</v>
      </c>
      <c r="L8" s="0" t="str">
        <f aca="false">IF(K8="GEN","GM",K8)</f>
        <v>URO</v>
      </c>
    </row>
    <row r="9" customFormat="false" ht="15" hidden="false" customHeight="false" outlineLevel="0" collapsed="false">
      <c r="A9" s="31" t="n">
        <v>45396</v>
      </c>
      <c r="B9" s="32" t="s">
        <v>195</v>
      </c>
      <c r="C9" s="0" t="n">
        <v>14</v>
      </c>
      <c r="D9" s="0" t="n">
        <v>12</v>
      </c>
      <c r="E9" s="0" t="n">
        <v>85.7</v>
      </c>
      <c r="F9" s="0" t="n">
        <v>40</v>
      </c>
      <c r="G9" s="0" t="n">
        <v>36</v>
      </c>
      <c r="H9" s="0" t="n">
        <v>0</v>
      </c>
      <c r="I9" s="0" t="n">
        <v>3</v>
      </c>
      <c r="J9" s="0" t="n">
        <v>35</v>
      </c>
      <c r="K9" s="32" t="s">
        <v>776</v>
      </c>
      <c r="L9" s="0" t="str">
        <f aca="false">IF(K9="GEN","GM",K9)</f>
        <v>GS</v>
      </c>
    </row>
    <row r="10" customFormat="false" ht="15" hidden="false" customHeight="false" outlineLevel="0" collapsed="false">
      <c r="A10" s="31" t="n">
        <v>45403</v>
      </c>
      <c r="B10" s="32" t="s">
        <v>79</v>
      </c>
      <c r="C10" s="0" t="n">
        <v>10</v>
      </c>
      <c r="D10" s="0" t="n">
        <v>5</v>
      </c>
      <c r="E10" s="0" t="n">
        <v>50</v>
      </c>
      <c r="F10" s="0" t="n">
        <v>19</v>
      </c>
      <c r="G10" s="0" t="n">
        <v>18</v>
      </c>
      <c r="H10" s="0" t="n">
        <v>0</v>
      </c>
      <c r="I10" s="0" t="n">
        <v>3</v>
      </c>
      <c r="J10" s="0" t="n">
        <v>49</v>
      </c>
      <c r="K10" s="32" t="s">
        <v>818</v>
      </c>
      <c r="L10" s="0" t="str">
        <f aca="false">IF(K10="GEN","GM",K10)</f>
        <v>OPH</v>
      </c>
    </row>
    <row r="11" customFormat="false" ht="15" hidden="false" customHeight="false" outlineLevel="0" collapsed="false">
      <c r="A11" s="31" t="n">
        <v>45403</v>
      </c>
      <c r="B11" s="32" t="s">
        <v>114</v>
      </c>
      <c r="C11" s="0" t="n">
        <v>10</v>
      </c>
      <c r="D11" s="0" t="n">
        <v>6</v>
      </c>
      <c r="E11" s="0" t="n">
        <v>60</v>
      </c>
      <c r="F11" s="0" t="n">
        <v>25</v>
      </c>
      <c r="G11" s="0" t="n">
        <v>25</v>
      </c>
      <c r="H11" s="0" t="n">
        <v>4</v>
      </c>
      <c r="I11" s="0" t="n">
        <v>2</v>
      </c>
      <c r="J11" s="0" t="n">
        <v>35</v>
      </c>
      <c r="K11" s="32" t="s">
        <v>826</v>
      </c>
      <c r="L11" s="0" t="str">
        <f aca="false">IF(K11="GEN","GM",K11)</f>
        <v>RHE</v>
      </c>
    </row>
    <row r="12" customFormat="false" ht="15" hidden="false" customHeight="false" outlineLevel="0" collapsed="false">
      <c r="A12" s="31" t="n">
        <v>45403</v>
      </c>
      <c r="B12" s="32" t="s">
        <v>226</v>
      </c>
      <c r="C12" s="0" t="n">
        <v>8</v>
      </c>
      <c r="D12" s="0" t="n">
        <v>5</v>
      </c>
      <c r="E12" s="0" t="n">
        <v>62.5</v>
      </c>
      <c r="F12" s="0" t="n">
        <v>22</v>
      </c>
      <c r="G12" s="0" t="n">
        <v>18</v>
      </c>
      <c r="H12" s="0" t="n">
        <v>2</v>
      </c>
      <c r="I12" s="0" t="n">
        <v>0</v>
      </c>
      <c r="J12" s="0" t="n">
        <v>17</v>
      </c>
      <c r="K12" s="32" t="s">
        <v>766</v>
      </c>
      <c r="L12" s="0" t="str">
        <f aca="false">IF(K12="GEN","GM",K12)</f>
        <v>OR</v>
      </c>
    </row>
    <row r="13" customFormat="false" ht="15" hidden="false" customHeight="false" outlineLevel="0" collapsed="false">
      <c r="A13" s="31" t="n">
        <v>45403</v>
      </c>
      <c r="B13" s="32" t="s">
        <v>195</v>
      </c>
      <c r="C13" s="0" t="n">
        <v>14</v>
      </c>
      <c r="D13" s="0" t="n">
        <v>11</v>
      </c>
      <c r="E13" s="0" t="n">
        <v>78.6</v>
      </c>
      <c r="F13" s="0" t="n">
        <v>39</v>
      </c>
      <c r="G13" s="0" t="n">
        <v>35</v>
      </c>
      <c r="H13" s="0" t="n">
        <v>0</v>
      </c>
      <c r="I13" s="0" t="n">
        <v>1</v>
      </c>
      <c r="J13" s="0" t="n">
        <v>-21</v>
      </c>
      <c r="K13" s="32" t="s">
        <v>758</v>
      </c>
      <c r="L13" s="0" t="str">
        <f aca="false">IF(K13="GEN","GM",K13)</f>
        <v>CS</v>
      </c>
    </row>
    <row r="14" customFormat="false" ht="15" hidden="false" customHeight="false" outlineLevel="0" collapsed="false">
      <c r="A14" s="31" t="n">
        <v>45410</v>
      </c>
      <c r="B14" s="32" t="s">
        <v>79</v>
      </c>
      <c r="C14" s="0" t="n">
        <v>10</v>
      </c>
      <c r="D14" s="0" t="n">
        <v>6</v>
      </c>
      <c r="E14" s="0" t="n">
        <v>60</v>
      </c>
      <c r="F14" s="0" t="n">
        <v>25</v>
      </c>
      <c r="G14" s="0" t="n">
        <v>28</v>
      </c>
      <c r="H14" s="0" t="n">
        <v>1</v>
      </c>
      <c r="I14" s="0" t="n">
        <v>3</v>
      </c>
      <c r="J14" s="0" t="n">
        <v>9</v>
      </c>
      <c r="K14" s="32" t="s">
        <v>766</v>
      </c>
      <c r="L14" s="0" t="str">
        <f aca="false">IF(K14="GEN","GM",K14)</f>
        <v>OR</v>
      </c>
    </row>
    <row r="15" customFormat="false" ht="15" hidden="false" customHeight="false" outlineLevel="0" collapsed="false">
      <c r="A15" s="31" t="n">
        <v>45410</v>
      </c>
      <c r="B15" s="32" t="s">
        <v>114</v>
      </c>
      <c r="C15" s="0" t="n">
        <v>10</v>
      </c>
      <c r="D15" s="0" t="n">
        <v>7</v>
      </c>
      <c r="E15" s="0" t="n">
        <v>70</v>
      </c>
      <c r="F15" s="0" t="n">
        <v>29</v>
      </c>
      <c r="G15" s="0" t="n">
        <v>28</v>
      </c>
      <c r="I15" s="0" t="n">
        <v>0</v>
      </c>
      <c r="J15" s="0" t="n">
        <v>49</v>
      </c>
      <c r="K15" s="32" t="s">
        <v>776</v>
      </c>
      <c r="L15" s="0" t="str">
        <f aca="false">IF(K15="GEN","GM",K15)</f>
        <v>GS</v>
      </c>
    </row>
    <row r="16" customFormat="false" ht="15" hidden="false" customHeight="false" outlineLevel="0" collapsed="false">
      <c r="A16" s="31" t="n">
        <v>45410</v>
      </c>
      <c r="B16" s="32" t="s">
        <v>226</v>
      </c>
      <c r="C16" s="0" t="n">
        <v>8</v>
      </c>
      <c r="D16" s="0" t="n">
        <v>5</v>
      </c>
      <c r="E16" s="0" t="n">
        <v>62.5</v>
      </c>
      <c r="F16" s="0" t="n">
        <v>17</v>
      </c>
      <c r="G16" s="0" t="n">
        <v>13</v>
      </c>
      <c r="H16" s="0" t="n">
        <v>3</v>
      </c>
      <c r="I16" s="0" t="n">
        <v>3</v>
      </c>
      <c r="J16" s="0" t="n">
        <v>25</v>
      </c>
      <c r="K16" s="32" t="s">
        <v>1391</v>
      </c>
      <c r="L16" s="0" t="str">
        <f aca="false">IF(K16="GEN","GM",K16)</f>
        <v>GM</v>
      </c>
    </row>
    <row r="17" customFormat="false" ht="15" hidden="false" customHeight="false" outlineLevel="0" collapsed="false">
      <c r="A17" s="31" t="n">
        <v>45410</v>
      </c>
      <c r="B17" s="32" t="s">
        <v>195</v>
      </c>
      <c r="C17" s="0" t="n">
        <v>14</v>
      </c>
      <c r="D17" s="0" t="n">
        <v>12</v>
      </c>
      <c r="E17" s="0" t="n">
        <v>85.7</v>
      </c>
      <c r="F17" s="0" t="n">
        <v>38</v>
      </c>
      <c r="G17" s="0" t="n">
        <v>37</v>
      </c>
      <c r="H17" s="0" t="n">
        <v>4</v>
      </c>
      <c r="I17" s="0" t="n">
        <v>2</v>
      </c>
      <c r="J17" s="0" t="n">
        <v>45</v>
      </c>
      <c r="K17" s="32" t="s">
        <v>776</v>
      </c>
      <c r="L17" s="0" t="str">
        <f aca="false">IF(K17="GEN","GM",K17)</f>
        <v>GS</v>
      </c>
    </row>
    <row r="18" customFormat="false" ht="15" hidden="false" customHeight="false" outlineLevel="0" collapsed="false">
      <c r="A18" s="31" t="n">
        <v>45417</v>
      </c>
      <c r="B18" s="32" t="s">
        <v>79</v>
      </c>
      <c r="C18" s="0" t="n">
        <v>10</v>
      </c>
      <c r="D18" s="0" t="n">
        <v>6</v>
      </c>
      <c r="E18" s="0" t="n">
        <v>60</v>
      </c>
      <c r="F18" s="0" t="n">
        <v>21</v>
      </c>
      <c r="G18" s="0" t="n">
        <v>21</v>
      </c>
      <c r="H18" s="0" t="n">
        <v>3</v>
      </c>
      <c r="I18" s="0" t="n">
        <v>0</v>
      </c>
      <c r="J18" s="0" t="n">
        <v>1</v>
      </c>
      <c r="K18" s="32" t="s">
        <v>818</v>
      </c>
      <c r="L18" s="0" t="str">
        <f aca="false">IF(K18="GEN","GM",K18)</f>
        <v>OPH</v>
      </c>
    </row>
    <row r="19" customFormat="false" ht="15" hidden="false" customHeight="false" outlineLevel="0" collapsed="false">
      <c r="A19" s="31" t="n">
        <v>45417</v>
      </c>
      <c r="B19" s="32" t="s">
        <v>114</v>
      </c>
      <c r="C19" s="0" t="n">
        <v>10</v>
      </c>
      <c r="D19" s="0" t="n">
        <v>7</v>
      </c>
      <c r="E19" s="0" t="n">
        <v>70</v>
      </c>
      <c r="F19" s="0" t="n">
        <v>19</v>
      </c>
      <c r="G19" s="0" t="n">
        <v>15</v>
      </c>
      <c r="H19" s="0" t="n">
        <v>2</v>
      </c>
      <c r="I19" s="0" t="n">
        <v>3</v>
      </c>
      <c r="J19" s="0" t="n">
        <v>21</v>
      </c>
      <c r="K19" s="32" t="s">
        <v>826</v>
      </c>
      <c r="L19" s="0" t="str">
        <f aca="false">IF(K19="GEN","GM",K19)</f>
        <v>RHE</v>
      </c>
    </row>
    <row r="20" customFormat="false" ht="15" hidden="false" customHeight="false" outlineLevel="0" collapsed="false">
      <c r="A20" s="31" t="n">
        <v>45417</v>
      </c>
      <c r="B20" s="32" t="s">
        <v>226</v>
      </c>
      <c r="C20" s="0" t="n">
        <v>8</v>
      </c>
      <c r="D20" s="0" t="n">
        <v>5</v>
      </c>
      <c r="E20" s="0" t="n">
        <v>62.5</v>
      </c>
      <c r="F20" s="0" t="n">
        <v>18</v>
      </c>
      <c r="G20" s="0" t="n">
        <v>14</v>
      </c>
      <c r="H20" s="0" t="n">
        <v>0</v>
      </c>
      <c r="I20" s="0" t="n">
        <v>0</v>
      </c>
      <c r="J20" s="0" t="n">
        <v>47</v>
      </c>
      <c r="K20" s="32" t="s">
        <v>766</v>
      </c>
      <c r="L20" s="0" t="str">
        <f aca="false">IF(K20="GEN","GM",K20)</f>
        <v>OR</v>
      </c>
    </row>
    <row r="21" customFormat="false" ht="15" hidden="false" customHeight="false" outlineLevel="0" collapsed="false">
      <c r="A21" s="31" t="n">
        <v>45417</v>
      </c>
      <c r="B21" s="32" t="s">
        <v>195</v>
      </c>
      <c r="C21" s="0" t="n">
        <v>14</v>
      </c>
      <c r="D21" s="0" t="n">
        <v>10</v>
      </c>
      <c r="E21" s="0" t="n">
        <v>71.4</v>
      </c>
      <c r="F21" s="0" t="n">
        <v>35</v>
      </c>
      <c r="G21" s="0" t="n">
        <v>33</v>
      </c>
      <c r="H21" s="0" t="n">
        <v>0</v>
      </c>
      <c r="I21" s="0" t="n">
        <v>2</v>
      </c>
      <c r="J21" s="0" t="n">
        <v>42</v>
      </c>
      <c r="K21" s="32" t="s">
        <v>793</v>
      </c>
      <c r="L21" s="0" t="str">
        <f aca="false">IF(K21="GEN","GM",K21)</f>
        <v>EM</v>
      </c>
    </row>
    <row r="22" customFormat="false" ht="15" hidden="false" customHeight="false" outlineLevel="0" collapsed="false">
      <c r="A22" s="31" t="n">
        <v>45424</v>
      </c>
      <c r="B22" s="32" t="s">
        <v>79</v>
      </c>
      <c r="C22" s="0" t="n">
        <v>10</v>
      </c>
      <c r="D22" s="0" t="n">
        <v>7</v>
      </c>
      <c r="E22" s="0" t="n">
        <v>70</v>
      </c>
      <c r="F22" s="0" t="n">
        <v>26</v>
      </c>
      <c r="G22" s="0" t="n">
        <v>23</v>
      </c>
      <c r="H22" s="0" t="n">
        <v>0</v>
      </c>
      <c r="J22" s="0" t="n">
        <v>7</v>
      </c>
      <c r="K22" s="32" t="s">
        <v>818</v>
      </c>
      <c r="L22" s="0" t="str">
        <f aca="false">IF(K22="GEN","GM",K22)</f>
        <v>OPH</v>
      </c>
    </row>
    <row r="23" customFormat="false" ht="15" hidden="false" customHeight="false" outlineLevel="0" collapsed="false">
      <c r="A23" s="31" t="n">
        <v>45424</v>
      </c>
      <c r="B23" s="32" t="s">
        <v>114</v>
      </c>
      <c r="C23" s="0" t="n">
        <v>10</v>
      </c>
      <c r="D23" s="0" t="n">
        <v>6</v>
      </c>
      <c r="E23" s="0" t="n">
        <v>60</v>
      </c>
      <c r="F23" s="0" t="n">
        <v>18</v>
      </c>
      <c r="G23" s="0" t="n">
        <v>18</v>
      </c>
      <c r="H23" s="0" t="n">
        <v>4</v>
      </c>
      <c r="I23" s="0" t="n">
        <v>1</v>
      </c>
      <c r="J23" s="0" t="n">
        <v>27</v>
      </c>
      <c r="K23" s="32" t="s">
        <v>758</v>
      </c>
      <c r="L23" s="0" t="str">
        <f aca="false">IF(K23="GEN","GM",K23)</f>
        <v>CS</v>
      </c>
    </row>
    <row r="24" customFormat="false" ht="15" hidden="false" customHeight="false" outlineLevel="0" collapsed="false">
      <c r="A24" s="31" t="n">
        <v>45424</v>
      </c>
      <c r="B24" s="32" t="s">
        <v>6277</v>
      </c>
      <c r="C24" s="0" t="n">
        <v>8</v>
      </c>
      <c r="D24" s="0" t="n">
        <v>6</v>
      </c>
      <c r="E24" s="0" t="n">
        <v>75</v>
      </c>
      <c r="F24" s="0" t="n">
        <v>23</v>
      </c>
      <c r="G24" s="0" t="n">
        <v>22</v>
      </c>
      <c r="H24" s="0" t="n">
        <v>0</v>
      </c>
      <c r="I24" s="0" t="n">
        <v>3</v>
      </c>
      <c r="J24" s="0" t="n">
        <v>52</v>
      </c>
      <c r="K24" s="32" t="s">
        <v>766</v>
      </c>
      <c r="L24" s="0" t="str">
        <f aca="false">IF(K24="GEN","GM",K24)</f>
        <v>OR</v>
      </c>
    </row>
    <row r="25" customFormat="false" ht="15" hidden="false" customHeight="false" outlineLevel="0" collapsed="false">
      <c r="A25" s="31" t="n">
        <v>45424</v>
      </c>
      <c r="B25" s="32" t="s">
        <v>195</v>
      </c>
      <c r="C25" s="0" t="n">
        <v>14</v>
      </c>
      <c r="D25" s="0" t="n">
        <v>12</v>
      </c>
      <c r="E25" s="0" t="n">
        <v>85.7</v>
      </c>
      <c r="F25" s="0" t="n">
        <v>53</v>
      </c>
      <c r="G25" s="0" t="n">
        <v>51</v>
      </c>
      <c r="H25" s="0" t="n">
        <v>3</v>
      </c>
      <c r="I25" s="0" t="n">
        <v>2</v>
      </c>
      <c r="J25" s="0" t="n">
        <v>-22</v>
      </c>
      <c r="K25" s="32" t="s">
        <v>776</v>
      </c>
      <c r="L25" s="0" t="str">
        <f aca="false">IF(K25="GEN","GM",K25)</f>
        <v>GS</v>
      </c>
    </row>
    <row r="26" customFormat="false" ht="15" hidden="false" customHeight="false" outlineLevel="0" collapsed="false">
      <c r="A26" s="31" t="n">
        <v>45431</v>
      </c>
      <c r="B26" s="32" t="s">
        <v>79</v>
      </c>
      <c r="C26" s="0" t="n">
        <v>10</v>
      </c>
      <c r="D26" s="0" t="n">
        <v>5</v>
      </c>
      <c r="E26" s="0" t="n">
        <v>50</v>
      </c>
      <c r="F26" s="0" t="n">
        <v>15</v>
      </c>
      <c r="G26" s="0" t="n">
        <v>12</v>
      </c>
      <c r="H26" s="0" t="n">
        <v>1</v>
      </c>
      <c r="I26" s="0" t="n">
        <v>3</v>
      </c>
      <c r="J26" s="0" t="n">
        <v>42</v>
      </c>
      <c r="K26" s="32" t="s">
        <v>766</v>
      </c>
      <c r="L26" s="0" t="str">
        <f aca="false">IF(K26="GEN","GM",K26)</f>
        <v>OR</v>
      </c>
    </row>
    <row r="27" customFormat="false" ht="15" hidden="false" customHeight="false" outlineLevel="0" collapsed="false">
      <c r="A27" s="31" t="n">
        <v>45431</v>
      </c>
      <c r="B27" s="32" t="s">
        <v>114</v>
      </c>
      <c r="C27" s="0" t="n">
        <v>10</v>
      </c>
      <c r="D27" s="0" t="n">
        <v>6</v>
      </c>
      <c r="E27" s="0" t="n">
        <v>60</v>
      </c>
      <c r="F27" s="0" t="n">
        <v>26</v>
      </c>
      <c r="G27" s="0" t="n">
        <v>26</v>
      </c>
      <c r="H27" s="0" t="n">
        <v>0</v>
      </c>
      <c r="I27" s="0" t="n">
        <v>0</v>
      </c>
      <c r="J27" s="0" t="n">
        <v>62</v>
      </c>
      <c r="K27" s="32" t="s">
        <v>826</v>
      </c>
      <c r="L27" s="0" t="str">
        <f aca="false">IF(K27="GEN","GM",K27)</f>
        <v>RHE</v>
      </c>
    </row>
    <row r="28" customFormat="false" ht="15" hidden="false" customHeight="false" outlineLevel="0" collapsed="false">
      <c r="A28" s="31" t="n">
        <v>45431</v>
      </c>
      <c r="B28" s="32" t="s">
        <v>226</v>
      </c>
      <c r="C28" s="0" t="n">
        <v>8</v>
      </c>
      <c r="D28" s="0" t="n">
        <v>6</v>
      </c>
      <c r="E28" s="0" t="n">
        <v>75</v>
      </c>
      <c r="F28" s="0" t="n">
        <v>22</v>
      </c>
      <c r="G28" s="0" t="n">
        <v>22</v>
      </c>
      <c r="H28" s="0" t="n">
        <v>1</v>
      </c>
      <c r="I28" s="0" t="n">
        <v>2</v>
      </c>
      <c r="J28" s="0" t="n">
        <v>13</v>
      </c>
      <c r="K28" s="32" t="s">
        <v>818</v>
      </c>
      <c r="L28" s="0" t="str">
        <f aca="false">IF(K28="GEN","GM",K28)</f>
        <v>OPH</v>
      </c>
    </row>
    <row r="29" customFormat="false" ht="15" hidden="false" customHeight="false" outlineLevel="0" collapsed="false">
      <c r="A29" s="31" t="n">
        <v>45431</v>
      </c>
      <c r="B29" s="32" t="s">
        <v>195</v>
      </c>
      <c r="C29" s="0" t="n">
        <v>14</v>
      </c>
      <c r="D29" s="0" t="n">
        <v>12</v>
      </c>
      <c r="E29" s="0" t="n">
        <v>85.7</v>
      </c>
      <c r="F29" s="0" t="n">
        <v>43</v>
      </c>
      <c r="G29" s="0" t="n">
        <v>45</v>
      </c>
      <c r="H29" s="0" t="n">
        <v>2</v>
      </c>
      <c r="I29" s="0" t="n">
        <v>3</v>
      </c>
      <c r="J29" s="0" t="n">
        <v>43</v>
      </c>
      <c r="K29" s="32" t="s">
        <v>793</v>
      </c>
      <c r="L29" s="0" t="str">
        <f aca="false">IF(K29="GEN","GM",K29)</f>
        <v>EM</v>
      </c>
    </row>
    <row r="30" customFormat="false" ht="15" hidden="false" customHeight="false" outlineLevel="0" collapsed="false">
      <c r="A30" s="31" t="n">
        <v>45438</v>
      </c>
      <c r="B30" s="32" t="s">
        <v>79</v>
      </c>
      <c r="C30" s="0" t="n">
        <v>10</v>
      </c>
      <c r="D30" s="0" t="n">
        <v>6</v>
      </c>
      <c r="E30" s="0" t="n">
        <v>60</v>
      </c>
      <c r="F30" s="0" t="n">
        <v>25</v>
      </c>
      <c r="G30" s="0" t="n">
        <v>28</v>
      </c>
      <c r="H30" s="0" t="n">
        <v>0</v>
      </c>
      <c r="I30" s="0" t="n">
        <v>3</v>
      </c>
      <c r="J30" s="0" t="n">
        <v>50</v>
      </c>
      <c r="K30" s="32" t="s">
        <v>810</v>
      </c>
      <c r="L30" s="0" t="str">
        <f aca="false">IF(K30="GEN","GM",K30)</f>
        <v>URO</v>
      </c>
    </row>
    <row r="31" customFormat="false" ht="15" hidden="false" customHeight="false" outlineLevel="0" collapsed="false">
      <c r="A31" s="31" t="n">
        <v>45438</v>
      </c>
      <c r="B31" s="32" t="s">
        <v>114</v>
      </c>
      <c r="C31" s="0" t="n">
        <v>10</v>
      </c>
      <c r="D31" s="0" t="n">
        <v>6</v>
      </c>
      <c r="E31" s="0" t="n">
        <v>60</v>
      </c>
      <c r="F31" s="0" t="n">
        <v>26</v>
      </c>
      <c r="G31" s="0" t="n">
        <v>23</v>
      </c>
      <c r="H31" s="0" t="n">
        <v>0</v>
      </c>
      <c r="J31" s="0" t="n">
        <v>65</v>
      </c>
      <c r="K31" s="32" t="s">
        <v>802</v>
      </c>
      <c r="L31" s="0" t="str">
        <f aca="false">IF(K31="GEN","GM",K31)</f>
        <v>GYN</v>
      </c>
    </row>
    <row r="32" customFormat="false" ht="15" hidden="false" customHeight="false" outlineLevel="0" collapsed="false">
      <c r="A32" s="31" t="n">
        <v>45438</v>
      </c>
      <c r="B32" s="32" t="s">
        <v>226</v>
      </c>
      <c r="C32" s="0" t="n">
        <v>8</v>
      </c>
      <c r="D32" s="0" t="n">
        <v>6</v>
      </c>
      <c r="E32" s="0" t="n">
        <v>75</v>
      </c>
      <c r="F32" s="0" t="n">
        <v>21</v>
      </c>
      <c r="G32" s="0" t="n">
        <v>21</v>
      </c>
      <c r="H32" s="0" t="n">
        <v>2</v>
      </c>
      <c r="I32" s="0" t="n">
        <v>1</v>
      </c>
      <c r="J32" s="0" t="n">
        <v>48</v>
      </c>
      <c r="K32" s="32" t="s">
        <v>766</v>
      </c>
      <c r="L32" s="0" t="str">
        <f aca="false">IF(K32="GEN","GM",K32)</f>
        <v>OR</v>
      </c>
    </row>
    <row r="33" customFormat="false" ht="15" hidden="false" customHeight="false" outlineLevel="0" collapsed="false">
      <c r="A33" s="31" t="n">
        <v>45438</v>
      </c>
      <c r="B33" s="32" t="s">
        <v>195</v>
      </c>
      <c r="C33" s="0" t="n">
        <v>14</v>
      </c>
      <c r="D33" s="0" t="n">
        <v>10</v>
      </c>
      <c r="E33" s="0" t="n">
        <v>71.4</v>
      </c>
      <c r="F33" s="0" t="n">
        <v>36</v>
      </c>
      <c r="G33" s="0" t="n">
        <v>32</v>
      </c>
      <c r="H33" s="0" t="n">
        <v>2</v>
      </c>
      <c r="I33" s="0" t="n">
        <v>1</v>
      </c>
      <c r="J33" s="0" t="n">
        <v>89</v>
      </c>
      <c r="K33" s="32" t="s">
        <v>793</v>
      </c>
      <c r="L33" s="0" t="str">
        <f aca="false">IF(K33="GEN","GM",K33)</f>
        <v>EM</v>
      </c>
    </row>
    <row r="34" customFormat="false" ht="15" hidden="false" customHeight="false" outlineLevel="0" collapsed="false">
      <c r="A34" s="31" t="n">
        <v>45445</v>
      </c>
      <c r="B34" s="32" t="s">
        <v>79</v>
      </c>
      <c r="C34" s="0" t="n">
        <v>10</v>
      </c>
      <c r="D34" s="0" t="n">
        <v>7</v>
      </c>
      <c r="E34" s="0" t="n">
        <v>70</v>
      </c>
      <c r="F34" s="0" t="n">
        <v>23</v>
      </c>
      <c r="G34" s="0" t="n">
        <v>19</v>
      </c>
      <c r="H34" s="0" t="n">
        <v>1</v>
      </c>
      <c r="I34" s="0" t="n">
        <v>3</v>
      </c>
      <c r="J34" s="0" t="n">
        <v>58</v>
      </c>
      <c r="K34" s="32" t="s">
        <v>810</v>
      </c>
      <c r="L34" s="0" t="str">
        <f aca="false">IF(K34="GEN","GM",K34)</f>
        <v>URO</v>
      </c>
    </row>
    <row r="35" customFormat="false" ht="15" hidden="false" customHeight="false" outlineLevel="0" collapsed="false">
      <c r="A35" s="31" t="n">
        <v>45445</v>
      </c>
      <c r="B35" s="32" t="s">
        <v>114</v>
      </c>
      <c r="C35" s="0" t="n">
        <v>10</v>
      </c>
      <c r="D35" s="0" t="n">
        <v>5</v>
      </c>
      <c r="E35" s="0" t="n">
        <v>50</v>
      </c>
      <c r="F35" s="0" t="n">
        <v>16</v>
      </c>
      <c r="G35" s="0" t="n">
        <v>16</v>
      </c>
      <c r="I35" s="0" t="n">
        <v>2</v>
      </c>
      <c r="J35" s="0" t="n">
        <v>27</v>
      </c>
      <c r="K35" s="32" t="s">
        <v>758</v>
      </c>
      <c r="L35" s="0" t="str">
        <f aca="false">IF(K35="GEN","GM",K35)</f>
        <v>CS</v>
      </c>
    </row>
    <row r="36" customFormat="false" ht="15" hidden="false" customHeight="false" outlineLevel="0" collapsed="false">
      <c r="A36" s="31" t="n">
        <v>45445</v>
      </c>
      <c r="B36" s="32" t="s">
        <v>226</v>
      </c>
      <c r="C36" s="0" t="n">
        <v>8</v>
      </c>
      <c r="D36" s="0" t="n">
        <v>5</v>
      </c>
      <c r="E36" s="0" t="n">
        <v>62.5</v>
      </c>
      <c r="F36" s="0" t="n">
        <v>13</v>
      </c>
      <c r="G36" s="0" t="n">
        <v>11</v>
      </c>
      <c r="H36" s="0" t="n">
        <v>2</v>
      </c>
      <c r="I36" s="0" t="n">
        <v>0</v>
      </c>
      <c r="J36" s="0" t="n">
        <v>80</v>
      </c>
      <c r="K36" s="32" t="s">
        <v>802</v>
      </c>
      <c r="L36" s="0" t="str">
        <f aca="false">IF(K36="GEN","GM",K36)</f>
        <v>GYN</v>
      </c>
    </row>
    <row r="37" customFormat="false" ht="15" hidden="false" customHeight="false" outlineLevel="0" collapsed="false">
      <c r="A37" s="31" t="n">
        <v>45445</v>
      </c>
      <c r="B37" s="32" t="s">
        <v>195</v>
      </c>
      <c r="C37" s="0" t="n">
        <v>14</v>
      </c>
      <c r="D37" s="0" t="n">
        <v>12</v>
      </c>
      <c r="E37" s="0" t="n">
        <v>85.7</v>
      </c>
      <c r="F37" s="0" t="n">
        <v>52</v>
      </c>
      <c r="G37" s="0" t="n">
        <v>55</v>
      </c>
      <c r="H37" s="0" t="n">
        <v>4</v>
      </c>
      <c r="I37" s="0" t="n">
        <v>3</v>
      </c>
      <c r="J37" s="0" t="n">
        <v>82</v>
      </c>
      <c r="K37" s="32" t="s">
        <v>776</v>
      </c>
      <c r="L37" s="0" t="str">
        <f aca="false">IF(K37="GEN","GM",K37)</f>
        <v>GS</v>
      </c>
    </row>
    <row r="38" customFormat="false" ht="15" hidden="false" customHeight="false" outlineLevel="0" collapsed="false">
      <c r="A38" s="31" t="n">
        <v>45452</v>
      </c>
      <c r="B38" s="32" t="s">
        <v>79</v>
      </c>
      <c r="C38" s="0" t="n">
        <v>10</v>
      </c>
      <c r="D38" s="0" t="n">
        <v>6</v>
      </c>
      <c r="E38" s="0" t="n">
        <v>60</v>
      </c>
      <c r="F38" s="0" t="n">
        <v>23</v>
      </c>
      <c r="G38" s="0" t="n">
        <v>21</v>
      </c>
      <c r="I38" s="0" t="n">
        <v>2</v>
      </c>
      <c r="J38" s="0" t="n">
        <v>68</v>
      </c>
      <c r="K38" s="32" t="s">
        <v>776</v>
      </c>
      <c r="L38" s="0" t="str">
        <f aca="false">IF(K38="GEN","GM",K38)</f>
        <v>GS</v>
      </c>
    </row>
    <row r="39" customFormat="false" ht="15" hidden="false" customHeight="false" outlineLevel="0" collapsed="false">
      <c r="A39" s="31" t="n">
        <v>45452</v>
      </c>
      <c r="B39" s="32" t="s">
        <v>114</v>
      </c>
      <c r="C39" s="0" t="n">
        <v>10</v>
      </c>
      <c r="D39" s="0" t="n">
        <v>11</v>
      </c>
      <c r="E39" s="0" t="n">
        <v>110</v>
      </c>
      <c r="F39" s="0" t="n">
        <v>23</v>
      </c>
      <c r="G39" s="0" t="n">
        <v>21</v>
      </c>
      <c r="H39" s="0" t="n">
        <v>3</v>
      </c>
      <c r="I39" s="0" t="n">
        <v>0</v>
      </c>
      <c r="J39" s="0" t="n">
        <v>73</v>
      </c>
      <c r="K39" s="32" t="s">
        <v>802</v>
      </c>
      <c r="L39" s="0" t="str">
        <f aca="false">IF(K39="GEN","GM",K39)</f>
        <v>GYN</v>
      </c>
    </row>
    <row r="40" customFormat="false" ht="15" hidden="false" customHeight="false" outlineLevel="0" collapsed="false">
      <c r="A40" s="31" t="n">
        <v>45452</v>
      </c>
      <c r="B40" s="32" t="s">
        <v>226</v>
      </c>
      <c r="C40" s="0" t="n">
        <v>8</v>
      </c>
      <c r="D40" s="0" t="n">
        <v>5</v>
      </c>
      <c r="E40" s="0" t="n">
        <v>62.5</v>
      </c>
      <c r="F40" s="0" t="n">
        <v>16</v>
      </c>
      <c r="G40" s="0" t="n">
        <v>12</v>
      </c>
      <c r="H40" s="0" t="n">
        <v>1</v>
      </c>
      <c r="I40" s="0" t="n">
        <v>2</v>
      </c>
      <c r="J40" s="0" t="n">
        <v>47</v>
      </c>
      <c r="K40" s="32" t="s">
        <v>766</v>
      </c>
      <c r="L40" s="0" t="str">
        <f aca="false">IF(K40="GEN","GM",K40)</f>
        <v>OR</v>
      </c>
    </row>
    <row r="41" customFormat="false" ht="15" hidden="false" customHeight="false" outlineLevel="0" collapsed="false">
      <c r="A41" s="31" t="n">
        <v>45452</v>
      </c>
      <c r="B41" s="32" t="s">
        <v>195</v>
      </c>
      <c r="C41" s="0" t="n">
        <v>14</v>
      </c>
      <c r="D41" s="0" t="n">
        <v>10</v>
      </c>
      <c r="E41" s="0" t="n">
        <v>71.4</v>
      </c>
      <c r="F41" s="0" t="n">
        <v>37</v>
      </c>
      <c r="G41" s="0" t="n">
        <v>33</v>
      </c>
      <c r="H41" s="0" t="n">
        <v>4</v>
      </c>
      <c r="I41" s="0" t="n">
        <v>3</v>
      </c>
      <c r="J41" s="0" t="n">
        <v>27</v>
      </c>
      <c r="K41" s="32" t="s">
        <v>776</v>
      </c>
      <c r="L41" s="0" t="str">
        <f aca="false">IF(K41="GEN","GM",K41)</f>
        <v>GS</v>
      </c>
    </row>
    <row r="42" customFormat="false" ht="15" hidden="false" customHeight="false" outlineLevel="0" collapsed="false">
      <c r="A42" s="31" t="n">
        <v>45460</v>
      </c>
      <c r="B42" s="32" t="s">
        <v>79</v>
      </c>
      <c r="C42" s="0" t="n">
        <v>10</v>
      </c>
      <c r="D42" s="0" t="n">
        <v>5</v>
      </c>
      <c r="E42" s="0" t="n">
        <v>50</v>
      </c>
      <c r="F42" s="0" t="n">
        <v>16</v>
      </c>
      <c r="G42" s="0" t="n">
        <v>15</v>
      </c>
      <c r="H42" s="0" t="n">
        <v>3</v>
      </c>
      <c r="I42" s="0" t="n">
        <v>0</v>
      </c>
      <c r="J42" s="0" t="n">
        <v>84</v>
      </c>
      <c r="K42" s="32" t="s">
        <v>818</v>
      </c>
      <c r="L42" s="0" t="str">
        <f aca="false">IF(K42="GEN","GM",K42)</f>
        <v>OPH</v>
      </c>
    </row>
    <row r="43" customFormat="false" ht="15" hidden="false" customHeight="false" outlineLevel="0" collapsed="false">
      <c r="A43" s="31" t="n">
        <v>45459</v>
      </c>
      <c r="B43" s="32" t="s">
        <v>114</v>
      </c>
      <c r="C43" s="0" t="n">
        <v>10</v>
      </c>
      <c r="D43" s="0" t="n">
        <v>6</v>
      </c>
      <c r="E43" s="0" t="n">
        <v>60</v>
      </c>
      <c r="F43" s="0" t="n">
        <v>17</v>
      </c>
      <c r="G43" s="0" t="n">
        <v>17</v>
      </c>
      <c r="H43" s="0" t="n">
        <v>0</v>
      </c>
      <c r="I43" s="0" t="n">
        <v>1</v>
      </c>
      <c r="J43" s="0" t="n">
        <v>46</v>
      </c>
      <c r="K43" s="32" t="s">
        <v>776</v>
      </c>
      <c r="L43" s="0" t="str">
        <f aca="false">IF(K43="GEN","GM",K43)</f>
        <v>GS</v>
      </c>
    </row>
    <row r="44" customFormat="false" ht="15" hidden="false" customHeight="false" outlineLevel="0" collapsed="false">
      <c r="A44" s="31" t="n">
        <v>45459</v>
      </c>
      <c r="B44" s="32" t="s">
        <v>226</v>
      </c>
      <c r="C44" s="0" t="n">
        <v>8</v>
      </c>
      <c r="D44" s="0" t="n">
        <v>5</v>
      </c>
      <c r="E44" s="0" t="n">
        <v>62.5</v>
      </c>
      <c r="F44" s="0" t="n">
        <v>17</v>
      </c>
      <c r="G44" s="0" t="n">
        <v>15</v>
      </c>
      <c r="H44" s="0" t="n">
        <v>2</v>
      </c>
      <c r="I44" s="0" t="n">
        <v>3</v>
      </c>
      <c r="J44" s="0" t="n">
        <v>89</v>
      </c>
      <c r="K44" s="32" t="s">
        <v>802</v>
      </c>
      <c r="L44" s="0" t="str">
        <f aca="false">IF(K44="GEN","GM",K44)</f>
        <v>GYN</v>
      </c>
    </row>
    <row r="45" customFormat="false" ht="15" hidden="false" customHeight="false" outlineLevel="0" collapsed="false">
      <c r="A45" s="31" t="n">
        <v>45459</v>
      </c>
      <c r="B45" s="32" t="s">
        <v>195</v>
      </c>
      <c r="C45" s="0" t="n">
        <v>14</v>
      </c>
      <c r="D45" s="0" t="n">
        <v>11</v>
      </c>
      <c r="E45" s="0" t="n">
        <v>78.6</v>
      </c>
      <c r="F45" s="0" t="n">
        <v>28</v>
      </c>
      <c r="G45" s="0" t="n">
        <v>25</v>
      </c>
      <c r="H45" s="0" t="n">
        <v>0</v>
      </c>
      <c r="I45" s="0" t="n">
        <v>3</v>
      </c>
      <c r="J45" s="0" t="n">
        <v>38</v>
      </c>
      <c r="K45" s="32" t="s">
        <v>758</v>
      </c>
      <c r="L45" s="0" t="str">
        <f aca="false">IF(K45="GEN","GM",K45)</f>
        <v>CS</v>
      </c>
    </row>
    <row r="46" customFormat="false" ht="15" hidden="false" customHeight="false" outlineLevel="0" collapsed="false">
      <c r="A46" s="31" t="n">
        <v>45466</v>
      </c>
      <c r="B46" s="32" t="s">
        <v>79</v>
      </c>
      <c r="C46" s="0" t="n">
        <v>10</v>
      </c>
      <c r="D46" s="0" t="n">
        <v>6</v>
      </c>
      <c r="E46" s="0" t="n">
        <v>60</v>
      </c>
      <c r="F46" s="0" t="n">
        <v>26</v>
      </c>
      <c r="G46" s="0" t="n">
        <v>22</v>
      </c>
      <c r="H46" s="0" t="n">
        <v>1</v>
      </c>
      <c r="I46" s="0" t="n">
        <v>0</v>
      </c>
      <c r="J46" s="0" t="n">
        <v>25</v>
      </c>
      <c r="K46" s="32" t="s">
        <v>810</v>
      </c>
      <c r="L46" s="0" t="str">
        <f aca="false">IF(K46="GEN","GM",K46)</f>
        <v>URO</v>
      </c>
    </row>
    <row r="47" customFormat="false" ht="15" hidden="false" customHeight="false" outlineLevel="0" collapsed="false">
      <c r="A47" s="31" t="n">
        <v>45466</v>
      </c>
      <c r="B47" s="32" t="s">
        <v>114</v>
      </c>
      <c r="C47" s="0" t="n">
        <v>10</v>
      </c>
      <c r="D47" s="0" t="n">
        <v>5</v>
      </c>
      <c r="E47" s="0" t="n">
        <v>41.5</v>
      </c>
      <c r="F47" s="0" t="n">
        <v>22</v>
      </c>
      <c r="G47" s="0" t="n">
        <v>18</v>
      </c>
      <c r="H47" s="0" t="n">
        <v>1</v>
      </c>
      <c r="I47" s="0" t="n">
        <v>0</v>
      </c>
      <c r="J47" s="0" t="n">
        <v>24</v>
      </c>
      <c r="K47" s="32" t="s">
        <v>758</v>
      </c>
      <c r="L47" s="0" t="str">
        <f aca="false">IF(K47="GEN","GM",K47)</f>
        <v>CS</v>
      </c>
    </row>
    <row r="48" customFormat="false" ht="15" hidden="false" customHeight="false" outlineLevel="0" collapsed="false">
      <c r="A48" s="31" t="n">
        <v>45466</v>
      </c>
      <c r="B48" s="32" t="s">
        <v>226</v>
      </c>
      <c r="C48" s="0" t="n">
        <v>8</v>
      </c>
      <c r="D48" s="0" t="n">
        <v>5</v>
      </c>
      <c r="E48" s="0" t="n">
        <v>62.5</v>
      </c>
      <c r="F48" s="0" t="n">
        <v>18</v>
      </c>
      <c r="G48" s="0" t="n">
        <v>18</v>
      </c>
      <c r="H48" s="0" t="n">
        <v>3</v>
      </c>
      <c r="I48" s="0" t="n">
        <v>1</v>
      </c>
      <c r="J48" s="0" t="n">
        <v>83</v>
      </c>
      <c r="K48" s="32" t="s">
        <v>810</v>
      </c>
      <c r="L48" s="0" t="str">
        <f aca="false">IF(K48="GEN","GM",K48)</f>
        <v>URO</v>
      </c>
    </row>
    <row r="49" customFormat="false" ht="15" hidden="false" customHeight="false" outlineLevel="0" collapsed="false">
      <c r="A49" s="31" t="n">
        <v>45466</v>
      </c>
      <c r="B49" s="32" t="s">
        <v>195</v>
      </c>
      <c r="C49" s="0" t="n">
        <v>14</v>
      </c>
      <c r="D49" s="0" t="n">
        <v>13</v>
      </c>
      <c r="E49" s="0" t="n">
        <v>92.9</v>
      </c>
      <c r="F49" s="0" t="n">
        <v>47</v>
      </c>
      <c r="G49" s="0" t="n">
        <v>47</v>
      </c>
      <c r="H49" s="0" t="n">
        <v>3</v>
      </c>
      <c r="I49" s="0" t="n">
        <v>3</v>
      </c>
      <c r="J49" s="0" t="n">
        <v>26</v>
      </c>
      <c r="K49" s="32" t="s">
        <v>758</v>
      </c>
      <c r="L49" s="0" t="str">
        <f aca="false">IF(K49="GEN","GM",K49)</f>
        <v>CS</v>
      </c>
    </row>
    <row r="50" customFormat="false" ht="15" hidden="false" customHeight="false" outlineLevel="0" collapsed="false">
      <c r="A50" s="31" t="n">
        <v>45473</v>
      </c>
      <c r="B50" s="32" t="s">
        <v>79</v>
      </c>
      <c r="C50" s="0" t="n">
        <v>10</v>
      </c>
      <c r="D50" s="0" t="n">
        <v>5</v>
      </c>
      <c r="E50" s="0" t="n">
        <v>50</v>
      </c>
      <c r="F50" s="0" t="n">
        <v>17</v>
      </c>
      <c r="G50" s="0" t="n">
        <v>13</v>
      </c>
      <c r="H50" s="0" t="n">
        <v>3</v>
      </c>
      <c r="I50" s="0" t="n">
        <v>1</v>
      </c>
      <c r="J50" s="0" t="n">
        <v>90</v>
      </c>
      <c r="K50" s="32" t="s">
        <v>818</v>
      </c>
      <c r="L50" s="0" t="str">
        <f aca="false">IF(K50="GEN","GM",K50)</f>
        <v>OPH</v>
      </c>
    </row>
    <row r="51" customFormat="false" ht="15" hidden="false" customHeight="false" outlineLevel="0" collapsed="false">
      <c r="A51" s="31" t="n">
        <v>45473</v>
      </c>
      <c r="B51" s="32" t="s">
        <v>114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32" t="s">
        <v>758</v>
      </c>
      <c r="L51" s="0" t="str">
        <f aca="false">IF(K51="GEN","GM",K51)</f>
        <v>CS</v>
      </c>
    </row>
    <row r="52" customFormat="false" ht="15" hidden="false" customHeight="false" outlineLevel="0" collapsed="false">
      <c r="A52" s="31" t="n">
        <v>45473</v>
      </c>
      <c r="B52" s="32" t="s">
        <v>226</v>
      </c>
      <c r="C52" s="0" t="n">
        <v>8</v>
      </c>
      <c r="D52" s="0" t="n">
        <v>6</v>
      </c>
      <c r="E52" s="0" t="n">
        <v>75</v>
      </c>
      <c r="F52" s="0" t="n">
        <v>24</v>
      </c>
      <c r="G52" s="0" t="n">
        <v>22</v>
      </c>
      <c r="H52" s="0" t="n">
        <v>4</v>
      </c>
      <c r="I52" s="0" t="n">
        <v>3</v>
      </c>
      <c r="J52" s="0" t="n">
        <v>54</v>
      </c>
      <c r="K52" s="32" t="s">
        <v>766</v>
      </c>
      <c r="L52" s="0" t="str">
        <f aca="false">IF(K52="GEN","GM",K52)</f>
        <v>OR</v>
      </c>
    </row>
    <row r="53" customFormat="false" ht="15" hidden="false" customHeight="false" outlineLevel="0" collapsed="false">
      <c r="A53" s="31" t="n">
        <v>45473</v>
      </c>
      <c r="B53" s="32" t="s">
        <v>195</v>
      </c>
      <c r="C53" s="0" t="n">
        <v>14</v>
      </c>
      <c r="D53" s="0" t="n">
        <v>12</v>
      </c>
      <c r="E53" s="0" t="n">
        <v>85.7</v>
      </c>
      <c r="F53" s="0" t="n">
        <v>53</v>
      </c>
      <c r="G53" s="0" t="n">
        <v>50</v>
      </c>
      <c r="H53" s="0" t="n">
        <v>3</v>
      </c>
      <c r="I53" s="0" t="n">
        <v>3</v>
      </c>
      <c r="J53" s="0" t="n">
        <v>76</v>
      </c>
      <c r="K53" s="32" t="s">
        <v>758</v>
      </c>
      <c r="L53" s="0" t="str">
        <f aca="false">IF(K53="GEN","GM",K53)</f>
        <v>CS</v>
      </c>
    </row>
    <row r="54" customFormat="false" ht="15" hidden="false" customHeight="false" outlineLevel="0" collapsed="false">
      <c r="A54" s="31" t="n">
        <v>45480</v>
      </c>
      <c r="B54" s="32" t="s">
        <v>79</v>
      </c>
      <c r="C54" s="0" t="n">
        <v>10</v>
      </c>
      <c r="D54" s="0" t="n">
        <v>6</v>
      </c>
      <c r="E54" s="0" t="n">
        <v>60</v>
      </c>
      <c r="F54" s="0" t="n">
        <v>22</v>
      </c>
      <c r="G54" s="0" t="n">
        <v>19</v>
      </c>
      <c r="H54" s="0" t="n">
        <v>4</v>
      </c>
      <c r="I54" s="0" t="n">
        <v>2</v>
      </c>
      <c r="J54" s="0" t="n">
        <v>30</v>
      </c>
      <c r="K54" s="32" t="s">
        <v>818</v>
      </c>
      <c r="L54" s="0" t="str">
        <f aca="false">IF(K54="GEN","GM",K54)</f>
        <v>OPH</v>
      </c>
    </row>
    <row r="55" customFormat="false" ht="15" hidden="false" customHeight="false" outlineLevel="0" collapsed="false">
      <c r="A55" s="31" t="n">
        <v>45480</v>
      </c>
      <c r="B55" s="32" t="s">
        <v>114</v>
      </c>
      <c r="C55" s="0" t="n">
        <v>10</v>
      </c>
      <c r="D55" s="0" t="n">
        <v>6</v>
      </c>
      <c r="E55" s="0" t="n">
        <v>60</v>
      </c>
      <c r="F55" s="0" t="n">
        <v>16</v>
      </c>
      <c r="G55" s="0" t="n">
        <v>13</v>
      </c>
      <c r="H55" s="0" t="n">
        <v>0</v>
      </c>
      <c r="I55" s="0" t="n">
        <v>1</v>
      </c>
      <c r="J55" s="0" t="n">
        <v>58</v>
      </c>
      <c r="K55" s="32" t="s">
        <v>826</v>
      </c>
      <c r="L55" s="0" t="str">
        <f aca="false">IF(K55="GEN","GM",K55)</f>
        <v>RHE</v>
      </c>
    </row>
    <row r="56" customFormat="false" ht="15" hidden="false" customHeight="false" outlineLevel="0" collapsed="false">
      <c r="A56" s="31" t="n">
        <v>45480</v>
      </c>
      <c r="B56" s="32" t="s">
        <v>226</v>
      </c>
      <c r="C56" s="0" t="n">
        <v>8</v>
      </c>
      <c r="D56" s="0" t="n">
        <v>5</v>
      </c>
      <c r="E56" s="0" t="n">
        <v>62.5</v>
      </c>
      <c r="F56" s="0" t="n">
        <v>16</v>
      </c>
      <c r="G56" s="0" t="n">
        <v>14</v>
      </c>
      <c r="H56" s="0" t="n">
        <v>3</v>
      </c>
      <c r="I56" s="0" t="n">
        <v>1</v>
      </c>
      <c r="J56" s="0" t="n">
        <v>41</v>
      </c>
      <c r="K56" s="32" t="s">
        <v>802</v>
      </c>
      <c r="L56" s="0" t="str">
        <f aca="false">IF(K56="GEN","GM",K56)</f>
        <v>GYN</v>
      </c>
    </row>
    <row r="57" customFormat="false" ht="15" hidden="false" customHeight="false" outlineLevel="0" collapsed="false">
      <c r="A57" s="31" t="n">
        <v>45480</v>
      </c>
      <c r="B57" s="32" t="s">
        <v>195</v>
      </c>
      <c r="C57" s="0" t="n">
        <v>14</v>
      </c>
      <c r="D57" s="0" t="n">
        <v>10</v>
      </c>
      <c r="E57" s="0" t="n">
        <v>71.4</v>
      </c>
      <c r="F57" s="0" t="n">
        <v>39</v>
      </c>
      <c r="G57" s="0" t="n">
        <v>35</v>
      </c>
      <c r="H57" s="0" t="n">
        <v>2</v>
      </c>
      <c r="I57" s="0" t="n">
        <v>0</v>
      </c>
      <c r="J57" s="0" t="n">
        <v>13</v>
      </c>
      <c r="K57" s="32" t="s">
        <v>793</v>
      </c>
      <c r="L57" s="0" t="str">
        <f aca="false">IF(K57="GEN","GM",K57)</f>
        <v>EM</v>
      </c>
    </row>
    <row r="58" customFormat="false" ht="15" hidden="false" customHeight="false" outlineLevel="0" collapsed="false">
      <c r="A58" s="31" t="n">
        <v>45487</v>
      </c>
      <c r="B58" s="32" t="s">
        <v>79</v>
      </c>
      <c r="C58" s="0" t="n">
        <v>10</v>
      </c>
      <c r="D58" s="0" t="n">
        <v>7</v>
      </c>
      <c r="E58" s="0" t="n">
        <v>70</v>
      </c>
      <c r="F58" s="0" t="n">
        <v>24</v>
      </c>
      <c r="G58" s="0" t="n">
        <v>20</v>
      </c>
      <c r="H58" s="0" t="n">
        <v>2</v>
      </c>
      <c r="J58" s="0" t="n">
        <v>58</v>
      </c>
      <c r="K58" s="32" t="s">
        <v>776</v>
      </c>
      <c r="L58" s="0" t="str">
        <f aca="false">IF(K58="GEN","GM",K58)</f>
        <v>GS</v>
      </c>
    </row>
    <row r="59" customFormat="false" ht="15" hidden="false" customHeight="false" outlineLevel="0" collapsed="false">
      <c r="A59" s="31" t="n">
        <v>45487</v>
      </c>
      <c r="B59" s="32" t="s">
        <v>114</v>
      </c>
      <c r="C59" s="0" t="n">
        <v>10</v>
      </c>
      <c r="D59" s="0" t="n">
        <v>6</v>
      </c>
      <c r="E59" s="0" t="n">
        <v>60</v>
      </c>
      <c r="F59" s="0" t="n">
        <v>16</v>
      </c>
      <c r="G59" s="0" t="n">
        <v>13</v>
      </c>
      <c r="H59" s="0" t="n">
        <v>1</v>
      </c>
      <c r="I59" s="0" t="n">
        <v>3</v>
      </c>
      <c r="J59" s="0" t="n">
        <v>83</v>
      </c>
      <c r="K59" s="32" t="s">
        <v>758</v>
      </c>
      <c r="L59" s="0" t="str">
        <f aca="false">IF(K59="GEN","GM",K59)</f>
        <v>CS</v>
      </c>
    </row>
    <row r="60" customFormat="false" ht="15" hidden="false" customHeight="false" outlineLevel="0" collapsed="false">
      <c r="A60" s="31" t="n">
        <v>45487</v>
      </c>
      <c r="B60" s="32" t="s">
        <v>226</v>
      </c>
      <c r="C60" s="0" t="n">
        <v>8</v>
      </c>
      <c r="D60" s="0" t="n">
        <v>5</v>
      </c>
      <c r="E60" s="0" t="n">
        <v>62.5</v>
      </c>
      <c r="F60" s="0" t="n">
        <v>13</v>
      </c>
      <c r="G60" s="0" t="n">
        <v>12</v>
      </c>
      <c r="I60" s="0" t="n">
        <v>1</v>
      </c>
      <c r="J60" s="0" t="n">
        <v>11</v>
      </c>
      <c r="K60" s="32" t="s">
        <v>818</v>
      </c>
      <c r="L60" s="0" t="str">
        <f aca="false">IF(K60="GEN","GM",K60)</f>
        <v>OPH</v>
      </c>
    </row>
    <row r="61" customFormat="false" ht="15" hidden="false" customHeight="false" outlineLevel="0" collapsed="false">
      <c r="A61" s="31" t="n">
        <v>45487</v>
      </c>
      <c r="B61" s="32" t="s">
        <v>195</v>
      </c>
      <c r="C61" s="0" t="n">
        <v>14</v>
      </c>
      <c r="D61" s="0" t="n">
        <v>10</v>
      </c>
      <c r="E61" s="0" t="n">
        <v>71.4</v>
      </c>
      <c r="F61" s="0" t="n">
        <v>30</v>
      </c>
      <c r="G61" s="0" t="n">
        <v>28</v>
      </c>
      <c r="H61" s="0" t="n">
        <v>1</v>
      </c>
      <c r="J61" s="0" t="n">
        <v>22</v>
      </c>
      <c r="K61" s="32" t="s">
        <v>793</v>
      </c>
      <c r="L61" s="0" t="str">
        <f aca="false">IF(K61="GEN","GM",K61)</f>
        <v>EM</v>
      </c>
    </row>
    <row r="62" customFormat="false" ht="15" hidden="false" customHeight="false" outlineLevel="0" collapsed="false">
      <c r="A62" s="31" t="n">
        <v>45494</v>
      </c>
      <c r="B62" s="32" t="s">
        <v>79</v>
      </c>
      <c r="C62" s="0" t="n">
        <v>10</v>
      </c>
      <c r="D62" s="0" t="n">
        <v>7</v>
      </c>
      <c r="E62" s="0" t="n">
        <v>70</v>
      </c>
      <c r="F62" s="0" t="n">
        <v>20</v>
      </c>
      <c r="G62" s="0" t="n">
        <v>18</v>
      </c>
      <c r="H62" s="0" t="n">
        <v>0</v>
      </c>
      <c r="I62" s="0" t="n">
        <v>3</v>
      </c>
      <c r="J62" s="0" t="n">
        <v>9</v>
      </c>
      <c r="K62" s="32" t="s">
        <v>766</v>
      </c>
      <c r="L62" s="0" t="str">
        <f aca="false">IF(K62="GEN","GM",K62)</f>
        <v>OR</v>
      </c>
    </row>
    <row r="63" customFormat="false" ht="15" hidden="false" customHeight="false" outlineLevel="0" collapsed="false">
      <c r="A63" s="31" t="n">
        <v>45494</v>
      </c>
      <c r="B63" s="32" t="s">
        <v>114</v>
      </c>
      <c r="C63" s="0" t="n">
        <v>10</v>
      </c>
      <c r="D63" s="0" t="n">
        <v>7</v>
      </c>
      <c r="E63" s="0" t="n">
        <v>61.5</v>
      </c>
      <c r="F63" s="0" t="n">
        <v>23</v>
      </c>
      <c r="G63" s="0" t="n">
        <v>20</v>
      </c>
      <c r="H63" s="0" t="n">
        <v>3</v>
      </c>
      <c r="J63" s="0" t="n">
        <v>85</v>
      </c>
      <c r="K63" s="32" t="s">
        <v>776</v>
      </c>
      <c r="L63" s="0" t="str">
        <f aca="false">IF(K63="GEN","GM",K63)</f>
        <v>GS</v>
      </c>
    </row>
    <row r="64" customFormat="false" ht="15" hidden="false" customHeight="false" outlineLevel="0" collapsed="false">
      <c r="A64" s="31" t="n">
        <v>45494</v>
      </c>
      <c r="B64" s="32" t="s">
        <v>226</v>
      </c>
      <c r="C64" s="0" t="n">
        <v>8</v>
      </c>
      <c r="D64" s="0" t="n">
        <v>6</v>
      </c>
      <c r="E64" s="0" t="n">
        <v>75</v>
      </c>
      <c r="F64" s="0" t="n">
        <v>21</v>
      </c>
      <c r="G64" s="0" t="n">
        <v>21</v>
      </c>
      <c r="H64" s="0" t="n">
        <v>1</v>
      </c>
      <c r="I64" s="0" t="n">
        <v>1</v>
      </c>
      <c r="J64" s="0" t="n">
        <v>38</v>
      </c>
      <c r="K64" s="32" t="s">
        <v>802</v>
      </c>
      <c r="L64" s="0" t="str">
        <f aca="false">IF(K64="GEN","GM",K64)</f>
        <v>GYN</v>
      </c>
    </row>
    <row r="65" customFormat="false" ht="15" hidden="false" customHeight="false" outlineLevel="0" collapsed="false">
      <c r="A65" s="31" t="n">
        <v>45494</v>
      </c>
      <c r="B65" s="32" t="s">
        <v>195</v>
      </c>
      <c r="C65" s="0" t="n">
        <v>14</v>
      </c>
      <c r="D65" s="0" t="n">
        <v>12</v>
      </c>
      <c r="E65" s="0" t="n">
        <v>85.7</v>
      </c>
      <c r="F65" s="0" t="n">
        <v>33</v>
      </c>
      <c r="G65" s="0" t="n">
        <v>36</v>
      </c>
      <c r="H65" s="0" t="n">
        <v>2</v>
      </c>
      <c r="I65" s="0" t="n">
        <v>0</v>
      </c>
      <c r="J65" s="0" t="n">
        <v>76</v>
      </c>
      <c r="K65" s="32" t="s">
        <v>793</v>
      </c>
      <c r="L65" s="0" t="str">
        <f aca="false">IF(K65="GEN","GM",K65)</f>
        <v>EM</v>
      </c>
    </row>
    <row r="66" customFormat="false" ht="15" hidden="false" customHeight="false" outlineLevel="0" collapsed="false">
      <c r="A66" s="31" t="n">
        <v>45501</v>
      </c>
      <c r="B66" s="32" t="s">
        <v>79</v>
      </c>
      <c r="C66" s="0" t="n">
        <v>10</v>
      </c>
      <c r="D66" s="0" t="n">
        <v>7</v>
      </c>
      <c r="E66" s="0" t="n">
        <v>70</v>
      </c>
      <c r="F66" s="0" t="n">
        <v>21</v>
      </c>
      <c r="G66" s="0" t="n">
        <v>21</v>
      </c>
      <c r="I66" s="0" t="n">
        <v>0</v>
      </c>
      <c r="J66" s="0" t="n">
        <v>-21</v>
      </c>
      <c r="K66" s="32" t="s">
        <v>776</v>
      </c>
      <c r="L66" s="0" t="str">
        <f aca="false">IF(K66="GEN","GM",K66)</f>
        <v>GS</v>
      </c>
    </row>
    <row r="67" customFormat="false" ht="15" hidden="false" customHeight="false" outlineLevel="0" collapsed="false">
      <c r="A67" s="31" t="n">
        <v>45501</v>
      </c>
      <c r="B67" s="32" t="s">
        <v>114</v>
      </c>
      <c r="C67" s="0" t="n">
        <v>10</v>
      </c>
      <c r="D67" s="0" t="n">
        <v>6</v>
      </c>
      <c r="E67" s="0" t="n">
        <v>60</v>
      </c>
      <c r="F67" s="0" t="n">
        <v>22</v>
      </c>
      <c r="G67" s="0" t="n">
        <v>20</v>
      </c>
      <c r="H67" s="0" t="n">
        <v>4</v>
      </c>
      <c r="J67" s="0" t="n">
        <v>35</v>
      </c>
      <c r="K67" s="32" t="s">
        <v>776</v>
      </c>
      <c r="L67" s="0" t="str">
        <f aca="false">IF(K67="GEN","GM",K67)</f>
        <v>GS</v>
      </c>
    </row>
    <row r="68" customFormat="false" ht="15" hidden="false" customHeight="false" outlineLevel="0" collapsed="false">
      <c r="A68" s="31" t="n">
        <v>45501</v>
      </c>
      <c r="B68" s="32" t="s">
        <v>226</v>
      </c>
      <c r="C68" s="0" t="n">
        <v>8</v>
      </c>
      <c r="D68" s="0" t="n">
        <v>6</v>
      </c>
      <c r="E68" s="0" t="n">
        <v>75</v>
      </c>
      <c r="F68" s="0" t="n">
        <v>19</v>
      </c>
      <c r="G68" s="0" t="n">
        <v>15</v>
      </c>
      <c r="H68" s="0" t="n">
        <v>2</v>
      </c>
      <c r="I68" s="0" t="n">
        <v>2</v>
      </c>
      <c r="J68" s="0" t="n">
        <v>57</v>
      </c>
      <c r="K68" s="32" t="s">
        <v>1391</v>
      </c>
      <c r="L68" s="0" t="str">
        <f aca="false">IF(K68="GEN","GM",K68)</f>
        <v>GM</v>
      </c>
    </row>
    <row r="69" customFormat="false" ht="15" hidden="false" customHeight="false" outlineLevel="0" collapsed="false">
      <c r="A69" s="31" t="n">
        <v>45501</v>
      </c>
      <c r="B69" s="32" t="s">
        <v>195</v>
      </c>
      <c r="C69" s="0" t="n">
        <v>14</v>
      </c>
      <c r="D69" s="0" t="n">
        <v>12</v>
      </c>
      <c r="E69" s="0" t="n">
        <v>85.7</v>
      </c>
      <c r="F69" s="0" t="n">
        <v>39</v>
      </c>
      <c r="G69" s="0" t="n">
        <v>39</v>
      </c>
      <c r="H69" s="0" t="n">
        <v>4</v>
      </c>
      <c r="I69" s="0" t="n">
        <v>3</v>
      </c>
      <c r="J69" s="0" t="n">
        <v>1</v>
      </c>
      <c r="K69" s="32" t="s">
        <v>793</v>
      </c>
      <c r="L69" s="0" t="str">
        <f aca="false">IF(K69="GEN","GM",K69)</f>
        <v>EM</v>
      </c>
    </row>
    <row r="70" customFormat="false" ht="15" hidden="false" customHeight="false" outlineLevel="0" collapsed="false">
      <c r="A70" s="31" t="n">
        <v>45508</v>
      </c>
      <c r="B70" s="32" t="s">
        <v>79</v>
      </c>
      <c r="C70" s="0" t="n">
        <v>10</v>
      </c>
      <c r="D70" s="0" t="n">
        <v>6</v>
      </c>
      <c r="E70" s="0" t="n">
        <v>60</v>
      </c>
      <c r="F70" s="0" t="n">
        <v>17</v>
      </c>
      <c r="G70" s="0" t="n">
        <v>20</v>
      </c>
      <c r="H70" s="0" t="n">
        <v>4</v>
      </c>
      <c r="I70" s="0" t="n">
        <v>0</v>
      </c>
      <c r="J70" s="0" t="n">
        <v>-16</v>
      </c>
      <c r="K70" s="32" t="s">
        <v>810</v>
      </c>
      <c r="L70" s="0" t="str">
        <f aca="false">IF(K70="GEN","GM",K70)</f>
        <v>URO</v>
      </c>
    </row>
    <row r="71" customFormat="false" ht="15" hidden="false" customHeight="false" outlineLevel="0" collapsed="false">
      <c r="A71" s="31" t="n">
        <v>45508</v>
      </c>
      <c r="B71" s="32" t="s">
        <v>114</v>
      </c>
      <c r="C71" s="0" t="n">
        <v>10</v>
      </c>
      <c r="D71" s="0" t="n">
        <v>6</v>
      </c>
      <c r="E71" s="0" t="n">
        <v>60</v>
      </c>
      <c r="F71" s="0" t="n">
        <v>20</v>
      </c>
      <c r="G71" s="0" t="n">
        <v>18</v>
      </c>
      <c r="H71" s="0" t="n">
        <v>4</v>
      </c>
      <c r="J71" s="0" t="n">
        <v>19</v>
      </c>
      <c r="K71" s="32" t="s">
        <v>776</v>
      </c>
      <c r="L71" s="0" t="str">
        <f aca="false">IF(K71="GEN","GM",K71)</f>
        <v>GS</v>
      </c>
    </row>
    <row r="72" customFormat="false" ht="15" hidden="false" customHeight="false" outlineLevel="0" collapsed="false">
      <c r="A72" s="31" t="n">
        <v>45508</v>
      </c>
      <c r="B72" s="32" t="s">
        <v>226</v>
      </c>
      <c r="C72" s="0" t="n">
        <v>8</v>
      </c>
      <c r="D72" s="0" t="n">
        <v>6</v>
      </c>
      <c r="E72" s="0" t="n">
        <v>75</v>
      </c>
      <c r="F72" s="0" t="n">
        <v>15</v>
      </c>
      <c r="G72" s="0" t="n">
        <v>14</v>
      </c>
      <c r="H72" s="0" t="n">
        <v>1</v>
      </c>
      <c r="I72" s="0" t="n">
        <v>0</v>
      </c>
      <c r="J72" s="0" t="n">
        <v>16</v>
      </c>
      <c r="K72" s="32" t="s">
        <v>802</v>
      </c>
      <c r="L72" s="0" t="str">
        <f aca="false">IF(K72="GEN","GM",K72)</f>
        <v>GYN</v>
      </c>
    </row>
    <row r="73" customFormat="false" ht="15" hidden="false" customHeight="false" outlineLevel="0" collapsed="false">
      <c r="A73" s="31" t="n">
        <v>45508</v>
      </c>
      <c r="B73" s="32" t="s">
        <v>195</v>
      </c>
      <c r="C73" s="0" t="n">
        <v>14</v>
      </c>
      <c r="D73" s="0" t="n">
        <v>11</v>
      </c>
      <c r="E73" s="0" t="n">
        <v>78.6</v>
      </c>
      <c r="F73" s="0" t="n">
        <v>42</v>
      </c>
      <c r="G73" s="0" t="n">
        <v>39</v>
      </c>
      <c r="H73" s="0" t="n">
        <v>0</v>
      </c>
      <c r="I73" s="0" t="n">
        <v>0</v>
      </c>
      <c r="J73" s="0" t="n">
        <v>39</v>
      </c>
      <c r="K73" s="32" t="s">
        <v>793</v>
      </c>
      <c r="L73" s="0" t="str">
        <f aca="false">IF(K73="GEN","GM",K73)</f>
        <v>EM</v>
      </c>
    </row>
    <row r="74" customFormat="false" ht="15" hidden="false" customHeight="false" outlineLevel="0" collapsed="false">
      <c r="A74" s="31" t="n">
        <v>45515</v>
      </c>
      <c r="B74" s="32" t="s">
        <v>79</v>
      </c>
      <c r="C74" s="0" t="n">
        <v>10</v>
      </c>
      <c r="D74" s="0" t="n">
        <v>6</v>
      </c>
      <c r="E74" s="0" t="n">
        <v>60</v>
      </c>
      <c r="F74" s="0" t="n">
        <v>26</v>
      </c>
      <c r="G74" s="0" t="n">
        <v>27</v>
      </c>
      <c r="H74" s="0" t="n">
        <v>3</v>
      </c>
      <c r="I74" s="0" t="n">
        <v>1</v>
      </c>
      <c r="J74" s="0" t="n">
        <v>48</v>
      </c>
      <c r="K74" s="32" t="s">
        <v>810</v>
      </c>
      <c r="L74" s="0" t="str">
        <f aca="false">IF(K74="GEN","GM",K74)</f>
        <v>URO</v>
      </c>
    </row>
    <row r="75" customFormat="false" ht="15" hidden="false" customHeight="false" outlineLevel="0" collapsed="false">
      <c r="A75" s="31" t="n">
        <v>45515</v>
      </c>
      <c r="B75" s="32" t="s">
        <v>114</v>
      </c>
      <c r="C75" s="0" t="n">
        <v>10</v>
      </c>
      <c r="D75" s="0" t="n">
        <v>6</v>
      </c>
      <c r="E75" s="0" t="n">
        <v>60</v>
      </c>
      <c r="F75" s="0" t="n">
        <v>20</v>
      </c>
      <c r="G75" s="0" t="n">
        <v>16</v>
      </c>
      <c r="H75" s="0" t="n">
        <v>3</v>
      </c>
      <c r="I75" s="0" t="n">
        <v>1</v>
      </c>
      <c r="J75" s="0" t="n">
        <v>31</v>
      </c>
      <c r="K75" s="32" t="s">
        <v>776</v>
      </c>
      <c r="L75" s="0" t="str">
        <f aca="false">IF(K75="GEN","GM",K75)</f>
        <v>GS</v>
      </c>
    </row>
    <row r="76" customFormat="false" ht="15" hidden="false" customHeight="false" outlineLevel="0" collapsed="false">
      <c r="A76" s="31" t="n">
        <v>45515</v>
      </c>
      <c r="B76" s="32" t="s">
        <v>226</v>
      </c>
      <c r="C76" s="0" t="n">
        <v>8</v>
      </c>
      <c r="D76" s="0" t="n">
        <v>5</v>
      </c>
      <c r="E76" s="0" t="n">
        <v>62.5</v>
      </c>
      <c r="F76" s="0" t="n">
        <v>13</v>
      </c>
      <c r="G76" s="0" t="n">
        <v>11</v>
      </c>
      <c r="H76" s="0" t="n">
        <v>3</v>
      </c>
      <c r="J76" s="0" t="n">
        <v>62</v>
      </c>
      <c r="K76" s="32" t="s">
        <v>766</v>
      </c>
      <c r="L76" s="0" t="str">
        <f aca="false">IF(K76="GEN","GM",K76)</f>
        <v>OR</v>
      </c>
    </row>
    <row r="77" customFormat="false" ht="15" hidden="false" customHeight="false" outlineLevel="0" collapsed="false">
      <c r="A77" s="31" t="n">
        <v>45515</v>
      </c>
      <c r="B77" s="32" t="s">
        <v>195</v>
      </c>
      <c r="C77" s="0" t="n">
        <v>14</v>
      </c>
      <c r="D77" s="0" t="n">
        <v>10</v>
      </c>
      <c r="E77" s="0" t="n">
        <v>71.4</v>
      </c>
      <c r="F77" s="0" t="n">
        <v>43</v>
      </c>
      <c r="G77" s="0" t="n">
        <v>42</v>
      </c>
      <c r="H77" s="0" t="n">
        <v>0</v>
      </c>
      <c r="I77" s="0" t="n">
        <v>1</v>
      </c>
      <c r="J77" s="0" t="n">
        <v>86</v>
      </c>
      <c r="K77" s="32" t="s">
        <v>793</v>
      </c>
      <c r="L77" s="0" t="str">
        <f aca="false">IF(K77="GEN","GM",K77)</f>
        <v>EM</v>
      </c>
    </row>
    <row r="78" customFormat="false" ht="15" hidden="false" customHeight="false" outlineLevel="0" collapsed="false">
      <c r="A78" s="31" t="n">
        <v>45522</v>
      </c>
      <c r="B78" s="32" t="s">
        <v>79</v>
      </c>
      <c r="C78" s="0" t="n">
        <v>10</v>
      </c>
      <c r="D78" s="0" t="n">
        <v>6</v>
      </c>
      <c r="E78" s="0" t="n">
        <v>60</v>
      </c>
      <c r="F78" s="0" t="n">
        <v>20</v>
      </c>
      <c r="G78" s="0" t="n">
        <v>19</v>
      </c>
      <c r="H78" s="0" t="n">
        <v>4</v>
      </c>
      <c r="I78" s="0" t="n">
        <v>0</v>
      </c>
      <c r="J78" s="0" t="n">
        <v>45</v>
      </c>
      <c r="K78" s="32" t="s">
        <v>810</v>
      </c>
      <c r="L78" s="0" t="str">
        <f aca="false">IF(K78="GEN","GM",K78)</f>
        <v>URO</v>
      </c>
    </row>
    <row r="79" customFormat="false" ht="15" hidden="false" customHeight="false" outlineLevel="0" collapsed="false">
      <c r="A79" s="31" t="n">
        <v>45522</v>
      </c>
      <c r="B79" s="32" t="s">
        <v>114</v>
      </c>
      <c r="C79" s="0" t="n">
        <v>10</v>
      </c>
      <c r="D79" s="0" t="n">
        <v>6</v>
      </c>
      <c r="E79" s="0" t="n">
        <v>60</v>
      </c>
      <c r="F79" s="0" t="n">
        <v>16</v>
      </c>
      <c r="G79" s="0" t="n">
        <v>15</v>
      </c>
      <c r="H79" s="0" t="n">
        <v>3</v>
      </c>
      <c r="I79" s="0" t="n">
        <v>3</v>
      </c>
      <c r="J79" s="0" t="n">
        <v>71</v>
      </c>
      <c r="K79" s="32" t="s">
        <v>776</v>
      </c>
      <c r="L79" s="0" t="str">
        <f aca="false">IF(K79="GEN","GM",K79)</f>
        <v>GS</v>
      </c>
    </row>
    <row r="80" customFormat="false" ht="15" hidden="false" customHeight="false" outlineLevel="0" collapsed="false">
      <c r="A80" s="31" t="n">
        <v>45522</v>
      </c>
      <c r="B80" s="32" t="s">
        <v>226</v>
      </c>
      <c r="C80" s="0" t="n">
        <v>8</v>
      </c>
      <c r="D80" s="0" t="n">
        <v>6</v>
      </c>
      <c r="E80" s="0" t="n">
        <v>75</v>
      </c>
      <c r="F80" s="0" t="n">
        <v>16</v>
      </c>
      <c r="G80" s="0" t="n">
        <v>15</v>
      </c>
      <c r="H80" s="0" t="n">
        <v>4</v>
      </c>
      <c r="I80" s="0" t="n">
        <v>2</v>
      </c>
      <c r="J80" s="0" t="n">
        <v>39</v>
      </c>
      <c r="K80" s="32" t="s">
        <v>810</v>
      </c>
      <c r="L80" s="0" t="str">
        <f aca="false">IF(K80="GEN","GM",K80)</f>
        <v>URO</v>
      </c>
    </row>
    <row r="81" customFormat="false" ht="15" hidden="false" customHeight="false" outlineLevel="0" collapsed="false">
      <c r="A81" s="31" t="n">
        <v>45522</v>
      </c>
      <c r="B81" s="32" t="s">
        <v>195</v>
      </c>
      <c r="C81" s="0" t="n">
        <v>14</v>
      </c>
      <c r="D81" s="0" t="n">
        <v>12</v>
      </c>
      <c r="E81" s="0" t="n">
        <v>85.7</v>
      </c>
      <c r="F81" s="0" t="n">
        <v>31</v>
      </c>
      <c r="G81" s="0" t="n">
        <v>31</v>
      </c>
      <c r="I81" s="0" t="n">
        <v>1</v>
      </c>
      <c r="J81" s="0" t="n">
        <v>59</v>
      </c>
      <c r="K81" s="32" t="s">
        <v>766</v>
      </c>
      <c r="L81" s="0" t="str">
        <f aca="false">IF(K81="GEN","GM",K81)</f>
        <v>OR</v>
      </c>
    </row>
    <row r="82" customFormat="false" ht="15" hidden="false" customHeight="false" outlineLevel="0" collapsed="false">
      <c r="A82" s="31" t="n">
        <v>45529</v>
      </c>
      <c r="B82" s="32" t="s">
        <v>79</v>
      </c>
      <c r="C82" s="0" t="n">
        <v>10</v>
      </c>
      <c r="D82" s="0" t="n">
        <v>6</v>
      </c>
      <c r="E82" s="0" t="n">
        <v>60</v>
      </c>
      <c r="F82" s="0" t="n">
        <v>22</v>
      </c>
      <c r="G82" s="0" t="n">
        <v>21</v>
      </c>
      <c r="I82" s="0" t="n">
        <v>3</v>
      </c>
      <c r="J82" s="0" t="n">
        <v>66</v>
      </c>
      <c r="K82" s="32" t="s">
        <v>776</v>
      </c>
      <c r="L82" s="0" t="str">
        <f aca="false">IF(K82="GEN","GM",K82)</f>
        <v>GS</v>
      </c>
    </row>
    <row r="83" customFormat="false" ht="15" hidden="false" customHeight="false" outlineLevel="0" collapsed="false">
      <c r="A83" s="31" t="n">
        <v>45529</v>
      </c>
      <c r="B83" s="32" t="s">
        <v>114</v>
      </c>
      <c r="C83" s="0" t="n">
        <v>10</v>
      </c>
      <c r="D83" s="0" t="n">
        <v>7</v>
      </c>
      <c r="E83" s="0" t="n">
        <v>70</v>
      </c>
      <c r="F83" s="0" t="n">
        <v>25</v>
      </c>
      <c r="G83" s="0" t="n">
        <v>21</v>
      </c>
      <c r="I83" s="0" t="n">
        <v>2</v>
      </c>
      <c r="J83" s="0" t="n">
        <v>37</v>
      </c>
      <c r="K83" s="32" t="s">
        <v>758</v>
      </c>
      <c r="L83" s="0" t="str">
        <f aca="false">IF(K83="GEN","GM",K83)</f>
        <v>CS</v>
      </c>
    </row>
    <row r="84" customFormat="false" ht="15" hidden="false" customHeight="false" outlineLevel="0" collapsed="false">
      <c r="A84" s="31" t="n">
        <v>45529</v>
      </c>
      <c r="B84" s="32" t="s">
        <v>226</v>
      </c>
      <c r="C84" s="0" t="n">
        <v>8</v>
      </c>
      <c r="D84" s="0" t="n">
        <v>5</v>
      </c>
      <c r="E84" s="0" t="n">
        <v>62.5</v>
      </c>
      <c r="F84" s="0" t="n">
        <v>15</v>
      </c>
      <c r="G84" s="0" t="n">
        <v>13</v>
      </c>
      <c r="H84" s="0" t="n">
        <v>1</v>
      </c>
      <c r="I84" s="0" t="n">
        <v>0</v>
      </c>
      <c r="J84" s="0" t="n">
        <v>32</v>
      </c>
      <c r="K84" s="32" t="s">
        <v>818</v>
      </c>
      <c r="L84" s="0" t="str">
        <f aca="false">IF(K84="GEN","GM",K84)</f>
        <v>OPH</v>
      </c>
    </row>
    <row r="85" customFormat="false" ht="15" hidden="false" customHeight="false" outlineLevel="0" collapsed="false">
      <c r="A85" s="31" t="n">
        <v>45529</v>
      </c>
      <c r="B85" s="32" t="s">
        <v>195</v>
      </c>
      <c r="C85" s="0" t="n">
        <v>14</v>
      </c>
      <c r="D85" s="0" t="n">
        <v>11</v>
      </c>
      <c r="E85" s="0" t="n">
        <v>78.6</v>
      </c>
      <c r="F85" s="0" t="n">
        <v>49</v>
      </c>
      <c r="G85" s="0" t="n">
        <v>49</v>
      </c>
      <c r="H85" s="0" t="n">
        <v>3</v>
      </c>
      <c r="I85" s="0" t="n">
        <v>0</v>
      </c>
      <c r="J85" s="0" t="n">
        <v>62</v>
      </c>
      <c r="K85" s="32" t="s">
        <v>793</v>
      </c>
      <c r="L85" s="0" t="str">
        <f aca="false">IF(K85="GEN","GM",K85)</f>
        <v>EM</v>
      </c>
    </row>
    <row r="86" customFormat="false" ht="15" hidden="false" customHeight="false" outlineLevel="0" collapsed="false">
      <c r="A86" s="31" t="n">
        <v>45536</v>
      </c>
      <c r="B86" s="32" t="s">
        <v>79</v>
      </c>
      <c r="C86" s="0" t="n">
        <v>10</v>
      </c>
      <c r="D86" s="0" t="n">
        <v>7</v>
      </c>
      <c r="E86" s="0" t="n">
        <v>70</v>
      </c>
      <c r="F86" s="0" t="n">
        <v>26</v>
      </c>
      <c r="G86" s="0" t="n">
        <v>26</v>
      </c>
      <c r="H86" s="0" t="n">
        <v>4</v>
      </c>
      <c r="I86" s="0" t="n">
        <v>1</v>
      </c>
      <c r="J86" s="0" t="n">
        <v>54</v>
      </c>
      <c r="K86" s="32" t="s">
        <v>810</v>
      </c>
      <c r="L86" s="0" t="str">
        <f aca="false">IF(K86="GEN","GM",K86)</f>
        <v>URO</v>
      </c>
    </row>
    <row r="87" customFormat="false" ht="15" hidden="false" customHeight="false" outlineLevel="0" collapsed="false">
      <c r="A87" s="31" t="n">
        <v>45536</v>
      </c>
      <c r="B87" s="32" t="s">
        <v>114</v>
      </c>
      <c r="C87" s="0" t="n">
        <v>10</v>
      </c>
      <c r="D87" s="0" t="n">
        <v>7</v>
      </c>
      <c r="E87" s="0" t="n">
        <v>70</v>
      </c>
      <c r="F87" s="0" t="n">
        <v>31</v>
      </c>
      <c r="G87" s="0" t="n">
        <v>31</v>
      </c>
      <c r="I87" s="0" t="n">
        <v>3</v>
      </c>
      <c r="J87" s="0" t="n">
        <v>90</v>
      </c>
      <c r="K87" s="32" t="s">
        <v>758</v>
      </c>
      <c r="L87" s="0" t="str">
        <f aca="false">IF(K87="GEN","GM",K87)</f>
        <v>CS</v>
      </c>
    </row>
    <row r="88" customFormat="false" ht="15" hidden="false" customHeight="false" outlineLevel="0" collapsed="false">
      <c r="A88" s="31" t="n">
        <v>45536</v>
      </c>
      <c r="B88" s="32" t="s">
        <v>226</v>
      </c>
      <c r="C88" s="0" t="n">
        <v>8</v>
      </c>
      <c r="D88" s="0" t="n">
        <v>6</v>
      </c>
      <c r="E88" s="0" t="n">
        <v>75</v>
      </c>
      <c r="F88" s="0" t="n">
        <v>15</v>
      </c>
      <c r="G88" s="0" t="n">
        <v>14</v>
      </c>
      <c r="H88" s="0" t="n">
        <v>4</v>
      </c>
      <c r="I88" s="0" t="n">
        <v>0</v>
      </c>
      <c r="J88" s="0" t="n">
        <v>26</v>
      </c>
      <c r="K88" s="32" t="s">
        <v>818</v>
      </c>
      <c r="L88" s="0" t="str">
        <f aca="false">IF(K88="GEN","GM",K88)</f>
        <v>OPH</v>
      </c>
    </row>
    <row r="89" customFormat="false" ht="15" hidden="false" customHeight="false" outlineLevel="0" collapsed="false">
      <c r="A89" s="31" t="n">
        <v>45536</v>
      </c>
      <c r="B89" s="32" t="s">
        <v>195</v>
      </c>
      <c r="C89" s="0" t="n">
        <v>14</v>
      </c>
      <c r="D89" s="0" t="n">
        <v>12</v>
      </c>
      <c r="E89" s="0" t="n">
        <v>85.7</v>
      </c>
      <c r="F89" s="0" t="n">
        <v>52</v>
      </c>
      <c r="G89" s="0" t="n">
        <v>50</v>
      </c>
      <c r="H89" s="0" t="n">
        <v>3</v>
      </c>
      <c r="I89" s="0" t="n">
        <v>3</v>
      </c>
      <c r="J89" s="0" t="n">
        <v>9</v>
      </c>
      <c r="K89" s="32" t="s">
        <v>776</v>
      </c>
      <c r="L89" s="0" t="str">
        <f aca="false">IF(K89="GEN","GM",K89)</f>
        <v>GS</v>
      </c>
    </row>
    <row r="90" customFormat="false" ht="15" hidden="false" customHeight="false" outlineLevel="0" collapsed="false">
      <c r="A90" s="31" t="n">
        <v>45543</v>
      </c>
      <c r="B90" s="32" t="s">
        <v>79</v>
      </c>
      <c r="C90" s="0" t="n">
        <v>10</v>
      </c>
      <c r="D90" s="0" t="n">
        <v>5</v>
      </c>
      <c r="E90" s="0" t="n">
        <v>50</v>
      </c>
      <c r="F90" s="0" t="n">
        <v>18</v>
      </c>
      <c r="G90" s="0" t="n">
        <v>16</v>
      </c>
      <c r="H90" s="0" t="n">
        <v>2</v>
      </c>
      <c r="I90" s="0" t="n">
        <v>3</v>
      </c>
      <c r="J90" s="0" t="n">
        <v>5</v>
      </c>
      <c r="K90" s="32" t="s">
        <v>776</v>
      </c>
      <c r="L90" s="0" t="str">
        <f aca="false">IF(K90="GEN","GM",K90)</f>
        <v>GS</v>
      </c>
    </row>
    <row r="91" customFormat="false" ht="15" hidden="false" customHeight="false" outlineLevel="0" collapsed="false">
      <c r="A91" s="31" t="n">
        <v>45543</v>
      </c>
      <c r="B91" s="32" t="s">
        <v>114</v>
      </c>
      <c r="C91" s="0" t="n">
        <v>10</v>
      </c>
      <c r="D91" s="0" t="n">
        <v>5</v>
      </c>
      <c r="E91" s="0" t="n">
        <v>50</v>
      </c>
      <c r="F91" s="0" t="n">
        <v>19</v>
      </c>
      <c r="G91" s="0" t="n">
        <v>16</v>
      </c>
      <c r="J91" s="0" t="n">
        <v>28</v>
      </c>
      <c r="K91" s="32" t="s">
        <v>776</v>
      </c>
      <c r="L91" s="0" t="str">
        <f aca="false">IF(K91="GEN","GM",K91)</f>
        <v>GS</v>
      </c>
    </row>
    <row r="92" customFormat="false" ht="15" hidden="false" customHeight="false" outlineLevel="0" collapsed="false">
      <c r="A92" s="31" t="n">
        <v>45543</v>
      </c>
      <c r="B92" s="32" t="s">
        <v>226</v>
      </c>
      <c r="C92" s="0" t="n">
        <v>8</v>
      </c>
      <c r="D92" s="0" t="n">
        <v>6</v>
      </c>
      <c r="E92" s="0" t="n">
        <v>75</v>
      </c>
      <c r="F92" s="0" t="n">
        <v>17</v>
      </c>
      <c r="G92" s="0" t="n">
        <v>14</v>
      </c>
      <c r="H92" s="0" t="n">
        <v>1</v>
      </c>
      <c r="I92" s="0" t="n">
        <v>0</v>
      </c>
      <c r="J92" s="0" t="n">
        <v>84</v>
      </c>
      <c r="K92" s="32" t="s">
        <v>810</v>
      </c>
      <c r="L92" s="0" t="str">
        <f aca="false">IF(K92="GEN","GM",K92)</f>
        <v>URO</v>
      </c>
    </row>
    <row r="93" customFormat="false" ht="15" hidden="false" customHeight="false" outlineLevel="0" collapsed="false">
      <c r="A93" s="31" t="n">
        <v>45543</v>
      </c>
      <c r="B93" s="32" t="s">
        <v>195</v>
      </c>
      <c r="C93" s="0" t="n">
        <v>14</v>
      </c>
      <c r="D93" s="0" t="n">
        <v>11</v>
      </c>
      <c r="E93" s="0" t="n">
        <v>78.6</v>
      </c>
      <c r="F93" s="0" t="n">
        <v>49</v>
      </c>
      <c r="G93" s="0" t="n">
        <v>47</v>
      </c>
      <c r="H93" s="0" t="n">
        <v>0</v>
      </c>
      <c r="J93" s="0" t="n">
        <v>30</v>
      </c>
      <c r="K93" s="32" t="s">
        <v>758</v>
      </c>
      <c r="L93" s="0" t="str">
        <f aca="false">IF(K93="GEN","GM",K93)</f>
        <v>CS</v>
      </c>
    </row>
    <row r="94" customFormat="false" ht="15" hidden="false" customHeight="false" outlineLevel="0" collapsed="false">
      <c r="A94" s="31" t="n">
        <v>45550</v>
      </c>
      <c r="B94" s="32" t="s">
        <v>79</v>
      </c>
      <c r="C94" s="0" t="n">
        <v>10</v>
      </c>
      <c r="D94" s="0" t="n">
        <v>6</v>
      </c>
      <c r="E94" s="0" t="n">
        <v>60</v>
      </c>
      <c r="F94" s="0" t="n">
        <v>18</v>
      </c>
      <c r="G94" s="0" t="n">
        <v>16</v>
      </c>
      <c r="H94" s="0" t="n">
        <v>0</v>
      </c>
      <c r="I94" s="0" t="n">
        <v>2</v>
      </c>
      <c r="J94" s="0" t="n">
        <v>50</v>
      </c>
      <c r="K94" s="32" t="s">
        <v>776</v>
      </c>
      <c r="L94" s="0" t="str">
        <f aca="false">IF(K94="GEN","GM",K94)</f>
        <v>GS</v>
      </c>
    </row>
    <row r="95" customFormat="false" ht="15" hidden="false" customHeight="false" outlineLevel="0" collapsed="false">
      <c r="A95" s="31" t="n">
        <v>45550</v>
      </c>
      <c r="B95" s="32" t="s">
        <v>114</v>
      </c>
      <c r="C95" s="0" t="n">
        <v>10</v>
      </c>
      <c r="D95" s="0" t="n">
        <v>5</v>
      </c>
      <c r="E95" s="0" t="n">
        <v>50</v>
      </c>
      <c r="F95" s="0" t="n">
        <v>13</v>
      </c>
      <c r="G95" s="0" t="n">
        <v>10</v>
      </c>
      <c r="H95" s="0" t="n">
        <v>2</v>
      </c>
      <c r="I95" s="0" t="n">
        <v>1</v>
      </c>
      <c r="J95" s="0" t="n">
        <v>87</v>
      </c>
      <c r="K95" s="32" t="s">
        <v>758</v>
      </c>
      <c r="L95" s="0" t="str">
        <f aca="false">IF(K95="GEN","GM",K95)</f>
        <v>CS</v>
      </c>
    </row>
    <row r="96" customFormat="false" ht="15" hidden="false" customHeight="false" outlineLevel="0" collapsed="false">
      <c r="A96" s="31" t="n">
        <v>45550</v>
      </c>
      <c r="B96" s="32" t="s">
        <v>226</v>
      </c>
      <c r="C96" s="0" t="n">
        <v>8</v>
      </c>
      <c r="D96" s="0" t="n">
        <v>6</v>
      </c>
      <c r="E96" s="0" t="n">
        <v>70.2</v>
      </c>
      <c r="F96" s="0" t="n">
        <v>17</v>
      </c>
      <c r="G96" s="0" t="n">
        <v>14</v>
      </c>
      <c r="H96" s="0" t="n">
        <v>4</v>
      </c>
      <c r="I96" s="0" t="n">
        <v>3</v>
      </c>
      <c r="J96" s="0" t="n">
        <v>83</v>
      </c>
      <c r="K96" s="32" t="s">
        <v>802</v>
      </c>
      <c r="L96" s="0" t="str">
        <f aca="false">IF(K96="GEN","GM",K96)</f>
        <v>GYN</v>
      </c>
    </row>
    <row r="97" customFormat="false" ht="15" hidden="false" customHeight="false" outlineLevel="0" collapsed="false">
      <c r="A97" s="31" t="n">
        <v>45550</v>
      </c>
      <c r="B97" s="32" t="s">
        <v>195</v>
      </c>
      <c r="C97" s="0" t="n">
        <v>14</v>
      </c>
      <c r="D97" s="0" t="n">
        <v>11</v>
      </c>
      <c r="E97" s="0" t="n">
        <v>78.6</v>
      </c>
      <c r="F97" s="0" t="n">
        <v>40</v>
      </c>
      <c r="G97" s="0" t="n">
        <v>38</v>
      </c>
      <c r="H97" s="0" t="n">
        <v>3</v>
      </c>
      <c r="I97" s="0" t="n">
        <v>2</v>
      </c>
      <c r="J97" s="0" t="n">
        <v>67</v>
      </c>
      <c r="K97" s="32" t="s">
        <v>776</v>
      </c>
      <c r="L97" s="0" t="str">
        <f aca="false">IF(K97="GEN","GM",K97)</f>
        <v>GS</v>
      </c>
    </row>
    <row r="98" customFormat="false" ht="15" hidden="false" customHeight="false" outlineLevel="0" collapsed="false">
      <c r="A98" s="31" t="n">
        <v>45557</v>
      </c>
      <c r="B98" s="32" t="s">
        <v>79</v>
      </c>
      <c r="C98" s="0" t="n">
        <v>10</v>
      </c>
      <c r="D98" s="0" t="n">
        <v>6</v>
      </c>
      <c r="E98" s="0" t="n">
        <v>60</v>
      </c>
      <c r="F98" s="0" t="n">
        <v>17</v>
      </c>
      <c r="G98" s="0" t="n">
        <v>13</v>
      </c>
      <c r="H98" s="0" t="n">
        <v>4</v>
      </c>
      <c r="I98" s="0" t="n">
        <v>2</v>
      </c>
      <c r="J98" s="0" t="n">
        <v>4</v>
      </c>
      <c r="K98" s="32" t="s">
        <v>776</v>
      </c>
      <c r="L98" s="0" t="str">
        <f aca="false">IF(K98="GEN","GM",K98)</f>
        <v>GS</v>
      </c>
    </row>
    <row r="99" customFormat="false" ht="15" hidden="false" customHeight="false" outlineLevel="0" collapsed="false">
      <c r="A99" s="31" t="n">
        <v>45557</v>
      </c>
      <c r="B99" s="32" t="s">
        <v>114</v>
      </c>
      <c r="C99" s="0" t="n">
        <v>10</v>
      </c>
      <c r="D99" s="0" t="n">
        <v>6</v>
      </c>
      <c r="E99" s="0" t="n">
        <v>60</v>
      </c>
      <c r="F99" s="0" t="n">
        <v>27</v>
      </c>
      <c r="G99" s="0" t="n">
        <v>28</v>
      </c>
      <c r="H99" s="0" t="n">
        <v>0</v>
      </c>
      <c r="I99" s="0" t="n">
        <v>1</v>
      </c>
      <c r="J99" s="0" t="n">
        <v>11</v>
      </c>
      <c r="K99" s="32" t="s">
        <v>776</v>
      </c>
      <c r="L99" s="0" t="str">
        <f aca="false">IF(K99="GEN","GM",K99)</f>
        <v>GS</v>
      </c>
    </row>
    <row r="100" customFormat="false" ht="15" hidden="false" customHeight="false" outlineLevel="0" collapsed="false">
      <c r="A100" s="31" t="n">
        <v>45557</v>
      </c>
      <c r="B100" s="32" t="s">
        <v>226</v>
      </c>
      <c r="C100" s="0" t="n">
        <v>8</v>
      </c>
      <c r="D100" s="0" t="n">
        <v>5</v>
      </c>
      <c r="E100" s="0" t="n">
        <v>62.5</v>
      </c>
      <c r="F100" s="0" t="n">
        <v>22</v>
      </c>
      <c r="G100" s="0" t="n">
        <v>22</v>
      </c>
      <c r="I100" s="0" t="n">
        <v>0</v>
      </c>
      <c r="J100" s="0" t="n">
        <v>57</v>
      </c>
      <c r="K100" s="32" t="s">
        <v>818</v>
      </c>
      <c r="L100" s="0" t="str">
        <f aca="false">IF(K100="GEN","GM",K100)</f>
        <v>OPH</v>
      </c>
    </row>
    <row r="101" customFormat="false" ht="15" hidden="false" customHeight="false" outlineLevel="0" collapsed="false">
      <c r="A101" s="31" t="n">
        <v>45557</v>
      </c>
      <c r="B101" s="32" t="s">
        <v>195</v>
      </c>
      <c r="C101" s="0" t="n">
        <v>14</v>
      </c>
      <c r="D101" s="0" t="n">
        <v>11</v>
      </c>
      <c r="E101" s="0" t="n">
        <v>78.6</v>
      </c>
      <c r="F101" s="0" t="n">
        <v>43</v>
      </c>
      <c r="G101" s="0" t="n">
        <v>42</v>
      </c>
      <c r="H101" s="0" t="n">
        <v>2</v>
      </c>
      <c r="I101" s="0" t="n">
        <v>2</v>
      </c>
      <c r="J101" s="0" t="n">
        <v>42</v>
      </c>
      <c r="K101" s="32" t="s">
        <v>766</v>
      </c>
      <c r="L101" s="0" t="str">
        <f aca="false">IF(K101="GEN","GM",K101)</f>
        <v>OR</v>
      </c>
    </row>
    <row r="102" customFormat="false" ht="15" hidden="false" customHeight="false" outlineLevel="0" collapsed="false">
      <c r="A102" s="31" t="n">
        <v>45564</v>
      </c>
      <c r="B102" s="32" t="s">
        <v>79</v>
      </c>
      <c r="C102" s="0" t="n">
        <v>10</v>
      </c>
      <c r="D102" s="0" t="n">
        <v>7</v>
      </c>
      <c r="E102" s="0" t="n">
        <v>70</v>
      </c>
      <c r="F102" s="0" t="n">
        <v>22</v>
      </c>
      <c r="G102" s="0" t="n">
        <v>18</v>
      </c>
      <c r="H102" s="0" t="n">
        <v>0</v>
      </c>
      <c r="I102" s="0" t="n">
        <v>3</v>
      </c>
      <c r="J102" s="0" t="n">
        <v>20</v>
      </c>
      <c r="K102" s="32" t="s">
        <v>818</v>
      </c>
      <c r="L102" s="0" t="str">
        <f aca="false">IF(K102="GEN","GM",K102)</f>
        <v>OPH</v>
      </c>
    </row>
    <row r="103" customFormat="false" ht="15" hidden="false" customHeight="false" outlineLevel="0" collapsed="false">
      <c r="A103" s="31" t="n">
        <v>45564</v>
      </c>
      <c r="B103" s="32" t="s">
        <v>114</v>
      </c>
      <c r="C103" s="0" t="n">
        <v>10</v>
      </c>
      <c r="D103" s="0" t="n">
        <v>7</v>
      </c>
      <c r="E103" s="0" t="n">
        <v>70</v>
      </c>
      <c r="F103" s="0" t="n">
        <v>27</v>
      </c>
      <c r="G103" s="0" t="n">
        <v>28</v>
      </c>
      <c r="H103" s="0" t="n">
        <v>4</v>
      </c>
      <c r="I103" s="0" t="n">
        <v>1</v>
      </c>
      <c r="J103" s="0" t="n">
        <v>46</v>
      </c>
      <c r="K103" s="32" t="s">
        <v>776</v>
      </c>
      <c r="L103" s="0" t="str">
        <f aca="false">IF(K103="GEN","GM",K103)</f>
        <v>GS</v>
      </c>
    </row>
    <row r="104" customFormat="false" ht="15" hidden="false" customHeight="false" outlineLevel="0" collapsed="false">
      <c r="A104" s="31" t="n">
        <v>45564</v>
      </c>
      <c r="B104" s="32" t="s">
        <v>226</v>
      </c>
      <c r="C104" s="0" t="n">
        <v>8</v>
      </c>
      <c r="D104" s="0" t="n">
        <v>5</v>
      </c>
      <c r="E104" s="0" t="n">
        <v>62.5</v>
      </c>
      <c r="F104" s="0" t="n">
        <v>16</v>
      </c>
      <c r="G104" s="0" t="n">
        <v>16</v>
      </c>
      <c r="I104" s="0" t="n">
        <v>0</v>
      </c>
      <c r="J104" s="0" t="n">
        <v>41</v>
      </c>
      <c r="K104" s="32" t="s">
        <v>802</v>
      </c>
      <c r="L104" s="0" t="str">
        <f aca="false">IF(K104="GEN","GM",K104)</f>
        <v>GYN</v>
      </c>
    </row>
    <row r="105" customFormat="false" ht="15" hidden="false" customHeight="false" outlineLevel="0" collapsed="false">
      <c r="A105" s="31" t="n">
        <v>45564</v>
      </c>
      <c r="B105" s="32" t="s">
        <v>195</v>
      </c>
      <c r="C105" s="0" t="n">
        <v>14</v>
      </c>
      <c r="D105" s="0" t="n">
        <v>11</v>
      </c>
      <c r="E105" s="0" t="n">
        <v>78.6</v>
      </c>
      <c r="F105" s="0" t="n">
        <v>37</v>
      </c>
      <c r="G105" s="0" t="n">
        <v>36</v>
      </c>
      <c r="H105" s="0" t="n">
        <v>0</v>
      </c>
      <c r="I105" s="0" t="n">
        <v>3</v>
      </c>
      <c r="J105" s="0" t="n">
        <v>58</v>
      </c>
      <c r="K105" s="32" t="s">
        <v>766</v>
      </c>
      <c r="L105" s="0" t="str">
        <f aca="false">IF(K105="GEN","GM",K105)</f>
        <v>OR</v>
      </c>
    </row>
    <row r="106" customFormat="false" ht="15" hidden="false" customHeight="false" outlineLevel="0" collapsed="false">
      <c r="A106" s="31" t="n">
        <v>45571</v>
      </c>
      <c r="B106" s="32" t="s">
        <v>79</v>
      </c>
      <c r="C106" s="0" t="n">
        <v>10</v>
      </c>
      <c r="D106" s="0" t="n">
        <v>6</v>
      </c>
      <c r="E106" s="0" t="n">
        <v>60</v>
      </c>
      <c r="F106" s="0" t="n">
        <v>18</v>
      </c>
      <c r="G106" s="0" t="n">
        <v>17</v>
      </c>
      <c r="H106" s="0" t="n">
        <v>2</v>
      </c>
      <c r="I106" s="0" t="n">
        <v>3</v>
      </c>
      <c r="J106" s="0" t="n">
        <v>43</v>
      </c>
      <c r="K106" s="32" t="s">
        <v>776</v>
      </c>
      <c r="L106" s="0" t="str">
        <f aca="false">IF(K106="GEN","GM",K106)</f>
        <v>GS</v>
      </c>
    </row>
    <row r="107" customFormat="false" ht="15" hidden="false" customHeight="false" outlineLevel="0" collapsed="false">
      <c r="A107" s="31" t="n">
        <v>45571</v>
      </c>
      <c r="B107" s="32" t="s">
        <v>114</v>
      </c>
      <c r="C107" s="0" t="n">
        <v>10</v>
      </c>
      <c r="D107" s="0" t="n">
        <v>7</v>
      </c>
      <c r="E107" s="0" t="n">
        <v>70</v>
      </c>
      <c r="F107" s="0" t="n">
        <v>19</v>
      </c>
      <c r="G107" s="0" t="n">
        <v>16</v>
      </c>
      <c r="H107" s="0" t="n">
        <v>3</v>
      </c>
      <c r="I107" s="0" t="n">
        <v>3</v>
      </c>
      <c r="J107" s="0" t="n">
        <v>33</v>
      </c>
      <c r="K107" s="32" t="s">
        <v>802</v>
      </c>
      <c r="L107" s="0" t="str">
        <f aca="false">IF(K107="GEN","GM",K107)</f>
        <v>GYN</v>
      </c>
    </row>
    <row r="108" customFormat="false" ht="15" hidden="false" customHeight="false" outlineLevel="0" collapsed="false">
      <c r="A108" s="31" t="n">
        <v>45571</v>
      </c>
      <c r="B108" s="32" t="s">
        <v>226</v>
      </c>
      <c r="C108" s="0" t="n">
        <v>8</v>
      </c>
      <c r="D108" s="0" t="n">
        <v>5</v>
      </c>
      <c r="E108" s="0" t="n">
        <v>62.5</v>
      </c>
      <c r="F108" s="0" t="n">
        <v>13</v>
      </c>
      <c r="G108" s="0" t="n">
        <v>10</v>
      </c>
      <c r="H108" s="0" t="n">
        <v>2</v>
      </c>
      <c r="J108" s="0" t="n">
        <v>81</v>
      </c>
      <c r="K108" s="32" t="s">
        <v>818</v>
      </c>
      <c r="L108" s="0" t="str">
        <f aca="false">IF(K108="GEN","GM",K108)</f>
        <v>OPH</v>
      </c>
    </row>
    <row r="109" customFormat="false" ht="15" hidden="false" customHeight="false" outlineLevel="0" collapsed="false">
      <c r="A109" s="31" t="n">
        <v>45571</v>
      </c>
      <c r="B109" s="32" t="s">
        <v>195</v>
      </c>
      <c r="C109" s="0" t="n">
        <v>14</v>
      </c>
      <c r="D109" s="0" t="n">
        <v>10</v>
      </c>
      <c r="E109" s="0" t="n">
        <v>71.4</v>
      </c>
      <c r="F109" s="0" t="n">
        <v>41</v>
      </c>
      <c r="G109" s="0" t="n">
        <v>39</v>
      </c>
      <c r="I109" s="0" t="n">
        <v>1</v>
      </c>
      <c r="J109" s="0" t="n">
        <v>26</v>
      </c>
      <c r="K109" s="32" t="s">
        <v>758</v>
      </c>
      <c r="L109" s="0" t="str">
        <f aca="false">IF(K109="GEN","GM",K109)</f>
        <v>CS</v>
      </c>
    </row>
    <row r="110" customFormat="false" ht="15" hidden="false" customHeight="false" outlineLevel="0" collapsed="false">
      <c r="A110" s="31" t="n">
        <v>45578</v>
      </c>
      <c r="B110" s="32" t="s">
        <v>79</v>
      </c>
      <c r="C110" s="0" t="n">
        <v>10</v>
      </c>
      <c r="D110" s="0" t="n">
        <v>7</v>
      </c>
      <c r="E110" s="0" t="n">
        <v>70</v>
      </c>
      <c r="F110" s="0" t="n">
        <v>27</v>
      </c>
      <c r="G110" s="0" t="n">
        <v>27</v>
      </c>
      <c r="H110" s="0" t="n">
        <v>1</v>
      </c>
      <c r="I110" s="0" t="n">
        <v>2</v>
      </c>
      <c r="J110" s="0" t="n">
        <v>-27</v>
      </c>
      <c r="K110" s="32" t="s">
        <v>766</v>
      </c>
      <c r="L110" s="0" t="str">
        <f aca="false">IF(K110="GEN","GM",K110)</f>
        <v>OR</v>
      </c>
    </row>
    <row r="111" customFormat="false" ht="15" hidden="false" customHeight="false" outlineLevel="0" collapsed="false">
      <c r="A111" s="31" t="n">
        <v>45578</v>
      </c>
      <c r="B111" s="32" t="s">
        <v>114</v>
      </c>
      <c r="C111" s="0" t="n">
        <v>10</v>
      </c>
      <c r="D111" s="0" t="n">
        <v>7</v>
      </c>
      <c r="E111" s="0" t="n">
        <v>70</v>
      </c>
      <c r="F111" s="0" t="n">
        <v>31</v>
      </c>
      <c r="G111" s="0" t="n">
        <v>30</v>
      </c>
      <c r="H111" s="0" t="n">
        <v>2</v>
      </c>
      <c r="I111" s="0" t="n">
        <v>1</v>
      </c>
      <c r="J111" s="0" t="n">
        <v>65</v>
      </c>
      <c r="K111" s="32" t="s">
        <v>758</v>
      </c>
      <c r="L111" s="0" t="str">
        <f aca="false">IF(K111="GEN","GM",K111)</f>
        <v>CS</v>
      </c>
    </row>
    <row r="112" customFormat="false" ht="15" hidden="false" customHeight="false" outlineLevel="0" collapsed="false">
      <c r="A112" s="31" t="n">
        <v>45578</v>
      </c>
      <c r="B112" s="32" t="s">
        <v>226</v>
      </c>
      <c r="C112" s="0" t="n">
        <v>8</v>
      </c>
      <c r="D112" s="0" t="n">
        <v>5</v>
      </c>
      <c r="E112" s="0" t="n">
        <v>62.5</v>
      </c>
      <c r="F112" s="0" t="n">
        <v>22</v>
      </c>
      <c r="G112" s="0" t="n">
        <v>19</v>
      </c>
      <c r="I112" s="0" t="n">
        <v>0</v>
      </c>
      <c r="J112" s="0" t="n">
        <v>84</v>
      </c>
      <c r="K112" s="32" t="s">
        <v>802</v>
      </c>
      <c r="L112" s="0" t="str">
        <f aca="false">IF(K112="GEN","GM",K112)</f>
        <v>GYN</v>
      </c>
    </row>
    <row r="113" customFormat="false" ht="15" hidden="false" customHeight="false" outlineLevel="0" collapsed="false">
      <c r="A113" s="31" t="n">
        <v>45578</v>
      </c>
      <c r="B113" s="32" t="s">
        <v>195</v>
      </c>
      <c r="C113" s="0" t="n">
        <v>14</v>
      </c>
      <c r="D113" s="0" t="n">
        <v>12</v>
      </c>
      <c r="E113" s="0" t="n">
        <v>85.7</v>
      </c>
      <c r="F113" s="0" t="n">
        <v>42</v>
      </c>
      <c r="G113" s="0" t="n">
        <v>41</v>
      </c>
      <c r="H113" s="0" t="n">
        <v>4</v>
      </c>
      <c r="J113" s="0" t="n">
        <v>27</v>
      </c>
      <c r="K113" s="32" t="s">
        <v>793</v>
      </c>
      <c r="L113" s="0" t="str">
        <f aca="false">IF(K113="GEN","GM",K113)</f>
        <v>EM</v>
      </c>
    </row>
    <row r="114" customFormat="false" ht="15" hidden="false" customHeight="false" outlineLevel="0" collapsed="false">
      <c r="A114" s="31" t="n">
        <v>45585</v>
      </c>
      <c r="B114" s="32" t="s">
        <v>79</v>
      </c>
      <c r="C114" s="0" t="n">
        <v>10</v>
      </c>
      <c r="D114" s="0" t="n">
        <v>7</v>
      </c>
      <c r="E114" s="0" t="n">
        <v>70</v>
      </c>
      <c r="F114" s="0" t="n">
        <v>28</v>
      </c>
      <c r="G114" s="0" t="n">
        <v>28</v>
      </c>
      <c r="H114" s="0" t="n">
        <v>1</v>
      </c>
      <c r="I114" s="0" t="n">
        <v>3</v>
      </c>
      <c r="J114" s="0" t="n">
        <v>36</v>
      </c>
      <c r="K114" s="32" t="s">
        <v>766</v>
      </c>
      <c r="L114" s="0" t="str">
        <f aca="false">IF(K114="GEN","GM",K114)</f>
        <v>OR</v>
      </c>
    </row>
    <row r="115" customFormat="false" ht="15" hidden="false" customHeight="false" outlineLevel="0" collapsed="false">
      <c r="A115" s="31" t="n">
        <v>45585</v>
      </c>
      <c r="B115" s="32" t="s">
        <v>114</v>
      </c>
      <c r="C115" s="0" t="n">
        <v>10</v>
      </c>
      <c r="D115" s="0" t="n">
        <v>7</v>
      </c>
      <c r="E115" s="0" t="n">
        <v>70</v>
      </c>
      <c r="F115" s="0" t="n">
        <v>25</v>
      </c>
      <c r="G115" s="0" t="n">
        <v>22</v>
      </c>
      <c r="H115" s="0" t="n">
        <v>1</v>
      </c>
      <c r="I115" s="0" t="n">
        <v>0</v>
      </c>
      <c r="J115" s="0" t="n">
        <v>33</v>
      </c>
      <c r="K115" s="32" t="s">
        <v>802</v>
      </c>
      <c r="L115" s="0" t="str">
        <f aca="false">IF(K115="GEN","GM",K115)</f>
        <v>GYN</v>
      </c>
    </row>
    <row r="116" customFormat="false" ht="15" hidden="false" customHeight="false" outlineLevel="0" collapsed="false">
      <c r="A116" s="31" t="n">
        <v>45585</v>
      </c>
      <c r="B116" s="32" t="s">
        <v>226</v>
      </c>
      <c r="C116" s="0" t="n">
        <v>8</v>
      </c>
      <c r="D116" s="0" t="n">
        <v>6</v>
      </c>
      <c r="E116" s="0" t="n">
        <v>75</v>
      </c>
      <c r="F116" s="0" t="n">
        <v>20</v>
      </c>
      <c r="G116" s="0" t="n">
        <v>20</v>
      </c>
      <c r="H116" s="0" t="n">
        <v>4</v>
      </c>
      <c r="I116" s="0" t="n">
        <v>2</v>
      </c>
      <c r="J116" s="0" t="n">
        <v>46</v>
      </c>
      <c r="K116" s="32" t="s">
        <v>810</v>
      </c>
      <c r="L116" s="0" t="str">
        <f aca="false">IF(K116="GEN","GM",K116)</f>
        <v>URO</v>
      </c>
    </row>
    <row r="117" customFormat="false" ht="15" hidden="false" customHeight="false" outlineLevel="0" collapsed="false">
      <c r="A117" s="31" t="n">
        <v>45585</v>
      </c>
      <c r="B117" s="32" t="s">
        <v>195</v>
      </c>
      <c r="C117" s="0" t="n">
        <v>14</v>
      </c>
      <c r="D117" s="0" t="n">
        <v>15</v>
      </c>
      <c r="E117" s="0" t="n">
        <v>107.1</v>
      </c>
      <c r="F117" s="0" t="n">
        <v>42</v>
      </c>
      <c r="G117" s="0" t="n">
        <v>42</v>
      </c>
      <c r="H117" s="0" t="n">
        <v>3</v>
      </c>
      <c r="I117" s="0" t="n">
        <v>0</v>
      </c>
      <c r="J117" s="0" t="n">
        <v>28</v>
      </c>
      <c r="K117" s="32" t="s">
        <v>793</v>
      </c>
      <c r="L117" s="0" t="str">
        <f aca="false">IF(K117="GEN","GM",K117)</f>
        <v>EM</v>
      </c>
    </row>
    <row r="118" customFormat="false" ht="15" hidden="false" customHeight="false" outlineLevel="0" collapsed="false">
      <c r="A118" s="31" t="n">
        <v>45592</v>
      </c>
      <c r="B118" s="32" t="s">
        <v>79</v>
      </c>
      <c r="C118" s="0" t="n">
        <v>10</v>
      </c>
      <c r="D118" s="0" t="n">
        <v>7</v>
      </c>
      <c r="E118" s="0" t="n">
        <v>70</v>
      </c>
      <c r="F118" s="0" t="n">
        <v>28</v>
      </c>
      <c r="G118" s="0" t="n">
        <v>26</v>
      </c>
      <c r="H118" s="0" t="n">
        <v>2</v>
      </c>
      <c r="I118" s="0" t="n">
        <v>1</v>
      </c>
      <c r="J118" s="0" t="n">
        <v>3</v>
      </c>
      <c r="K118" s="32" t="s">
        <v>776</v>
      </c>
      <c r="L118" s="0" t="str">
        <f aca="false">IF(K118="GEN","GM",K118)</f>
        <v>GS</v>
      </c>
    </row>
    <row r="119" customFormat="false" ht="15" hidden="false" customHeight="false" outlineLevel="0" collapsed="false">
      <c r="A119" s="31" t="n">
        <v>45592</v>
      </c>
      <c r="B119" s="32" t="s">
        <v>114</v>
      </c>
      <c r="C119" s="0" t="n">
        <v>10</v>
      </c>
      <c r="D119" s="0" t="n">
        <v>7</v>
      </c>
      <c r="E119" s="0" t="n">
        <v>70</v>
      </c>
      <c r="F119" s="0" t="n">
        <v>24</v>
      </c>
      <c r="G119" s="0" t="n">
        <v>27</v>
      </c>
      <c r="H119" s="0" t="n">
        <v>4</v>
      </c>
      <c r="J119" s="0" t="n">
        <v>23</v>
      </c>
      <c r="K119" s="32" t="s">
        <v>776</v>
      </c>
      <c r="L119" s="0" t="str">
        <f aca="false">IF(K119="GEN","GM",K119)</f>
        <v>GS</v>
      </c>
    </row>
    <row r="120" customFormat="false" ht="15" hidden="false" customHeight="false" outlineLevel="0" collapsed="false">
      <c r="A120" s="31" t="n">
        <v>45592</v>
      </c>
      <c r="B120" s="32" t="s">
        <v>226</v>
      </c>
      <c r="C120" s="0" t="n">
        <v>8</v>
      </c>
      <c r="D120" s="0" t="n">
        <v>6</v>
      </c>
      <c r="E120" s="0" t="n">
        <v>75</v>
      </c>
      <c r="F120" s="0" t="n">
        <v>22</v>
      </c>
      <c r="G120" s="0" t="n">
        <v>20</v>
      </c>
      <c r="H120" s="0" t="n">
        <v>0</v>
      </c>
      <c r="I120" s="0" t="n">
        <v>2</v>
      </c>
      <c r="J120" s="0" t="n">
        <v>14</v>
      </c>
      <c r="K120" s="32" t="s">
        <v>818</v>
      </c>
      <c r="L120" s="0" t="str">
        <f aca="false">IF(K120="GEN","GM",K120)</f>
        <v>OPH</v>
      </c>
    </row>
    <row r="121" customFormat="false" ht="15" hidden="false" customHeight="false" outlineLevel="0" collapsed="false">
      <c r="A121" s="31" t="n">
        <v>45592</v>
      </c>
      <c r="B121" s="32" t="s">
        <v>195</v>
      </c>
      <c r="C121" s="0" t="n">
        <v>14</v>
      </c>
      <c r="D121" s="0" t="n">
        <v>11</v>
      </c>
      <c r="E121" s="0" t="n">
        <v>78.6</v>
      </c>
      <c r="F121" s="0" t="n">
        <v>35</v>
      </c>
      <c r="G121" s="0" t="n">
        <v>31</v>
      </c>
      <c r="I121" s="0" t="n">
        <v>0</v>
      </c>
      <c r="J121" s="0" t="n">
        <v>19</v>
      </c>
      <c r="K121" s="32" t="s">
        <v>758</v>
      </c>
      <c r="L121" s="0" t="str">
        <f aca="false">IF(K121="GEN","GM",K121)</f>
        <v>CS</v>
      </c>
    </row>
    <row r="122" customFormat="false" ht="15" hidden="false" customHeight="false" outlineLevel="0" collapsed="false">
      <c r="A122" s="31" t="n">
        <v>45599</v>
      </c>
      <c r="B122" s="32" t="s">
        <v>79</v>
      </c>
      <c r="C122" s="0" t="n">
        <v>10</v>
      </c>
      <c r="D122" s="0" t="n">
        <v>6</v>
      </c>
      <c r="E122" s="0" t="n">
        <v>60</v>
      </c>
      <c r="F122" s="0" t="n">
        <v>20</v>
      </c>
      <c r="G122" s="0" t="n">
        <v>16</v>
      </c>
      <c r="H122" s="0" t="n">
        <v>2</v>
      </c>
      <c r="J122" s="0" t="n">
        <v>56</v>
      </c>
      <c r="K122" s="32" t="s">
        <v>810</v>
      </c>
      <c r="L122" s="0" t="str">
        <f aca="false">IF(K122="GEN","GM",K122)</f>
        <v>URO</v>
      </c>
    </row>
    <row r="123" customFormat="false" ht="15" hidden="false" customHeight="false" outlineLevel="0" collapsed="false">
      <c r="A123" s="31" t="n">
        <v>45599</v>
      </c>
      <c r="B123" s="32" t="s">
        <v>114</v>
      </c>
      <c r="C123" s="0" t="n">
        <v>10</v>
      </c>
      <c r="D123" s="0" t="n">
        <v>7</v>
      </c>
      <c r="E123" s="0" t="n">
        <v>70</v>
      </c>
      <c r="F123" s="0" t="n">
        <v>20</v>
      </c>
      <c r="G123" s="0" t="n">
        <v>16</v>
      </c>
      <c r="I123" s="0" t="n">
        <v>1</v>
      </c>
      <c r="J123" s="0" t="n">
        <v>-5</v>
      </c>
      <c r="K123" s="32" t="s">
        <v>758</v>
      </c>
      <c r="L123" s="0" t="str">
        <f aca="false">IF(K123="GEN","GM",K123)</f>
        <v>CS</v>
      </c>
    </row>
    <row r="124" customFormat="false" ht="15" hidden="false" customHeight="false" outlineLevel="0" collapsed="false">
      <c r="A124" s="31" t="n">
        <v>45599</v>
      </c>
      <c r="B124" s="32" t="s">
        <v>226</v>
      </c>
      <c r="C124" s="0" t="n">
        <v>8</v>
      </c>
      <c r="D124" s="0" t="n">
        <v>6</v>
      </c>
      <c r="E124" s="0" t="n">
        <v>75</v>
      </c>
      <c r="F124" s="0" t="n">
        <v>15</v>
      </c>
      <c r="G124" s="0" t="n">
        <v>15</v>
      </c>
      <c r="H124" s="0" t="n">
        <v>2</v>
      </c>
      <c r="I124" s="0" t="n">
        <v>3</v>
      </c>
      <c r="J124" s="0" t="n">
        <v>67</v>
      </c>
      <c r="K124" s="32" t="s">
        <v>766</v>
      </c>
      <c r="L124" s="0" t="str">
        <f aca="false">IF(K124="GEN","GM",K124)</f>
        <v>OR</v>
      </c>
    </row>
    <row r="125" customFormat="false" ht="15" hidden="false" customHeight="false" outlineLevel="0" collapsed="false">
      <c r="A125" s="31" t="n">
        <v>45599</v>
      </c>
      <c r="B125" s="32" t="s">
        <v>195</v>
      </c>
      <c r="C125" s="0" t="n">
        <v>14</v>
      </c>
      <c r="D125" s="0" t="n">
        <v>11</v>
      </c>
      <c r="E125" s="0" t="n">
        <v>78.6</v>
      </c>
      <c r="F125" s="0" t="n">
        <v>34</v>
      </c>
      <c r="G125" s="0" t="n">
        <v>34</v>
      </c>
      <c r="H125" s="0" t="n">
        <v>0</v>
      </c>
      <c r="I125" s="0" t="n">
        <v>1</v>
      </c>
      <c r="J125" s="0" t="n">
        <v>51</v>
      </c>
      <c r="K125" s="32" t="s">
        <v>766</v>
      </c>
      <c r="L125" s="0" t="str">
        <f aca="false">IF(K125="GEN","GM",K125)</f>
        <v>OR</v>
      </c>
    </row>
    <row r="126" customFormat="false" ht="15" hidden="false" customHeight="false" outlineLevel="0" collapsed="false">
      <c r="A126" s="31" t="n">
        <v>45606</v>
      </c>
      <c r="B126" s="32" t="s">
        <v>79</v>
      </c>
      <c r="C126" s="0" t="n">
        <v>10</v>
      </c>
      <c r="D126" s="0" t="n">
        <v>6</v>
      </c>
      <c r="E126" s="0" t="n">
        <v>60</v>
      </c>
      <c r="F126" s="0" t="n">
        <v>18</v>
      </c>
      <c r="G126" s="0" t="n">
        <v>17</v>
      </c>
      <c r="H126" s="0" t="n">
        <v>0</v>
      </c>
      <c r="I126" s="0" t="n">
        <v>1</v>
      </c>
      <c r="J126" s="0" t="n">
        <v>-26</v>
      </c>
      <c r="K126" s="32" t="s">
        <v>818</v>
      </c>
      <c r="L126" s="0" t="str">
        <f aca="false">IF(K126="GEN","GM",K126)</f>
        <v>OPH</v>
      </c>
    </row>
    <row r="127" customFormat="false" ht="15" hidden="false" customHeight="false" outlineLevel="0" collapsed="false">
      <c r="A127" s="31" t="n">
        <v>45606</v>
      </c>
      <c r="B127" s="32" t="s">
        <v>114</v>
      </c>
      <c r="C127" s="0" t="n">
        <v>10</v>
      </c>
      <c r="D127" s="0" t="n">
        <v>6</v>
      </c>
      <c r="E127" s="0" t="n">
        <v>60</v>
      </c>
      <c r="F127" s="0" t="n">
        <v>25</v>
      </c>
      <c r="G127" s="0" t="n">
        <v>21</v>
      </c>
      <c r="H127" s="0" t="n">
        <v>1</v>
      </c>
      <c r="I127" s="0" t="n">
        <v>3</v>
      </c>
      <c r="J127" s="0" t="n">
        <v>-28</v>
      </c>
      <c r="K127" s="32" t="s">
        <v>802</v>
      </c>
      <c r="L127" s="0" t="str">
        <f aca="false">IF(K127="GEN","GM",K127)</f>
        <v>GYN</v>
      </c>
    </row>
    <row r="128" customFormat="false" ht="15" hidden="false" customHeight="false" outlineLevel="0" collapsed="false">
      <c r="A128" s="31" t="n">
        <v>45606</v>
      </c>
      <c r="B128" s="32" t="s">
        <v>226</v>
      </c>
      <c r="C128" s="0" t="n">
        <v>8</v>
      </c>
      <c r="D128" s="0" t="n">
        <v>10</v>
      </c>
      <c r="E128" s="0" t="n">
        <v>125</v>
      </c>
      <c r="F128" s="0" t="n">
        <v>23</v>
      </c>
      <c r="G128" s="0" t="n">
        <v>22</v>
      </c>
      <c r="H128" s="0" t="n">
        <v>1</v>
      </c>
      <c r="I128" s="0" t="n">
        <v>1</v>
      </c>
      <c r="J128" s="0" t="n">
        <v>79</v>
      </c>
      <c r="K128" s="32" t="s">
        <v>802</v>
      </c>
      <c r="L128" s="0" t="str">
        <f aca="false">IF(K128="GEN","GM",K128)</f>
        <v>GYN</v>
      </c>
    </row>
    <row r="129" customFormat="false" ht="15" hidden="false" customHeight="false" outlineLevel="0" collapsed="false">
      <c r="A129" s="31" t="n">
        <v>45606</v>
      </c>
      <c r="B129" s="32" t="s">
        <v>195</v>
      </c>
      <c r="C129" s="0" t="n">
        <v>14</v>
      </c>
      <c r="D129" s="0" t="n">
        <v>13</v>
      </c>
      <c r="E129" s="0" t="n">
        <v>92.9</v>
      </c>
      <c r="F129" s="0" t="n">
        <v>43</v>
      </c>
      <c r="G129" s="0" t="n">
        <v>40</v>
      </c>
      <c r="H129" s="0" t="n">
        <v>0</v>
      </c>
      <c r="I129" s="0" t="n">
        <v>3</v>
      </c>
      <c r="J129" s="0" t="n">
        <v>52</v>
      </c>
      <c r="K129" s="32" t="s">
        <v>776</v>
      </c>
      <c r="L129" s="0" t="str">
        <f aca="false">IF(K129="GEN","GM",K129)</f>
        <v>GS</v>
      </c>
    </row>
    <row r="130" customFormat="false" ht="15" hidden="false" customHeight="false" outlineLevel="0" collapsed="false">
      <c r="A130" s="31" t="n">
        <v>45613</v>
      </c>
      <c r="B130" s="32" t="s">
        <v>79</v>
      </c>
      <c r="C130" s="0" t="n">
        <v>10</v>
      </c>
      <c r="D130" s="0" t="n">
        <v>6</v>
      </c>
      <c r="E130" s="0" t="n">
        <v>60</v>
      </c>
      <c r="F130" s="0" t="n">
        <v>21</v>
      </c>
      <c r="G130" s="0" t="n">
        <v>18</v>
      </c>
      <c r="H130" s="0" t="n">
        <v>4</v>
      </c>
      <c r="I130" s="0" t="n">
        <v>2</v>
      </c>
      <c r="J130" s="0" t="n">
        <v>15</v>
      </c>
      <c r="K130" s="32" t="s">
        <v>776</v>
      </c>
      <c r="L130" s="0" t="str">
        <f aca="false">IF(K130="GEN","GM",K130)</f>
        <v>GS</v>
      </c>
    </row>
    <row r="131" customFormat="false" ht="15" hidden="false" customHeight="false" outlineLevel="0" collapsed="false">
      <c r="A131" s="31" t="n">
        <v>45613</v>
      </c>
      <c r="B131" s="32" t="s">
        <v>114</v>
      </c>
      <c r="C131" s="0" t="n">
        <v>10</v>
      </c>
      <c r="D131" s="0" t="n">
        <v>6</v>
      </c>
      <c r="E131" s="0" t="n">
        <v>60</v>
      </c>
      <c r="F131" s="0" t="n">
        <v>18</v>
      </c>
      <c r="G131" s="0" t="n">
        <v>15</v>
      </c>
      <c r="H131" s="0" t="n">
        <v>1</v>
      </c>
      <c r="I131" s="0" t="n">
        <v>0</v>
      </c>
      <c r="J131" s="0" t="n">
        <v>53</v>
      </c>
      <c r="K131" s="32" t="s">
        <v>758</v>
      </c>
      <c r="L131" s="0" t="str">
        <f aca="false">IF(K131="GEN","GM",K131)</f>
        <v>CS</v>
      </c>
    </row>
    <row r="132" customFormat="false" ht="15" hidden="false" customHeight="false" outlineLevel="0" collapsed="false">
      <c r="A132" s="31" t="n">
        <v>45613</v>
      </c>
      <c r="B132" s="32" t="s">
        <v>226</v>
      </c>
      <c r="C132" s="0" t="n">
        <v>8</v>
      </c>
      <c r="D132" s="0" t="n">
        <v>5</v>
      </c>
      <c r="E132" s="0" t="n">
        <v>62.5</v>
      </c>
      <c r="F132" s="0" t="n">
        <v>15</v>
      </c>
      <c r="G132" s="0" t="n">
        <v>14</v>
      </c>
      <c r="H132" s="0" t="n">
        <v>2</v>
      </c>
      <c r="I132" s="0" t="n">
        <v>0</v>
      </c>
      <c r="J132" s="0" t="n">
        <v>72</v>
      </c>
      <c r="K132" s="32" t="s">
        <v>766</v>
      </c>
      <c r="L132" s="0" t="str">
        <f aca="false">IF(K132="GEN","GM",K132)</f>
        <v>OR</v>
      </c>
    </row>
    <row r="133" customFormat="false" ht="15" hidden="false" customHeight="false" outlineLevel="0" collapsed="false">
      <c r="A133" s="31" t="n">
        <v>45613</v>
      </c>
      <c r="B133" s="32" t="s">
        <v>195</v>
      </c>
      <c r="C133" s="0" t="n">
        <v>14</v>
      </c>
      <c r="D133" s="0" t="n">
        <v>10</v>
      </c>
      <c r="E133" s="0" t="n">
        <v>71.4</v>
      </c>
      <c r="F133" s="0" t="n">
        <v>31</v>
      </c>
      <c r="G133" s="0" t="n">
        <v>30</v>
      </c>
      <c r="H133" s="0" t="n">
        <v>1</v>
      </c>
      <c r="I133" s="0" t="n">
        <v>1</v>
      </c>
      <c r="J133" s="0" t="n">
        <v>66</v>
      </c>
      <c r="K133" s="32" t="s">
        <v>766</v>
      </c>
      <c r="L133" s="0" t="str">
        <f aca="false">IF(K133="GEN","GM",K133)</f>
        <v>OR</v>
      </c>
    </row>
    <row r="134" customFormat="false" ht="15" hidden="false" customHeight="false" outlineLevel="0" collapsed="false">
      <c r="A134" s="31" t="n">
        <v>45620</v>
      </c>
      <c r="B134" s="32" t="s">
        <v>79</v>
      </c>
      <c r="C134" s="0" t="n">
        <v>10</v>
      </c>
      <c r="D134" s="0" t="n">
        <v>6</v>
      </c>
      <c r="E134" s="0" t="n">
        <v>60</v>
      </c>
      <c r="F134" s="0" t="n">
        <v>17</v>
      </c>
      <c r="G134" s="0" t="n">
        <v>14</v>
      </c>
      <c r="H134" s="0" t="n">
        <v>0</v>
      </c>
      <c r="I134" s="0" t="n">
        <v>1</v>
      </c>
      <c r="J134" s="0" t="n">
        <v>23</v>
      </c>
      <c r="K134" s="32" t="s">
        <v>766</v>
      </c>
      <c r="L134" s="0" t="str">
        <f aca="false">IF(K134="GEN","GM",K134)</f>
        <v>OR</v>
      </c>
    </row>
    <row r="135" customFormat="false" ht="15" hidden="false" customHeight="false" outlineLevel="0" collapsed="false">
      <c r="A135" s="31" t="n">
        <v>45620</v>
      </c>
      <c r="B135" s="32" t="s">
        <v>114</v>
      </c>
      <c r="C135" s="0" t="n">
        <v>10</v>
      </c>
      <c r="D135" s="0" t="n">
        <v>6</v>
      </c>
      <c r="E135" s="0" t="n">
        <v>60</v>
      </c>
      <c r="F135" s="0" t="n">
        <v>25</v>
      </c>
      <c r="G135" s="0" t="n">
        <v>21</v>
      </c>
      <c r="H135" s="0" t="n">
        <v>1</v>
      </c>
      <c r="I135" s="0" t="n">
        <v>1</v>
      </c>
      <c r="J135" s="0" t="n">
        <v>-17</v>
      </c>
      <c r="K135" s="32" t="s">
        <v>802</v>
      </c>
      <c r="L135" s="0" t="str">
        <f aca="false">IF(K135="GEN","GM",K135)</f>
        <v>GYN</v>
      </c>
    </row>
    <row r="136" customFormat="false" ht="15" hidden="false" customHeight="false" outlineLevel="0" collapsed="false">
      <c r="A136" s="31" t="n">
        <v>45620</v>
      </c>
      <c r="B136" s="32" t="s">
        <v>226</v>
      </c>
      <c r="C136" s="0" t="n">
        <v>8</v>
      </c>
      <c r="D136" s="0" t="n">
        <v>6</v>
      </c>
      <c r="E136" s="0" t="n">
        <v>75</v>
      </c>
      <c r="F136" s="0" t="n">
        <v>21</v>
      </c>
      <c r="G136" s="0" t="n">
        <v>19</v>
      </c>
      <c r="H136" s="0" t="n">
        <v>3</v>
      </c>
      <c r="I136" s="0" t="n">
        <v>2</v>
      </c>
      <c r="J136" s="0" t="n">
        <v>26</v>
      </c>
      <c r="K136" s="32" t="s">
        <v>802</v>
      </c>
      <c r="L136" s="0" t="str">
        <f aca="false">IF(K136="GEN","GM",K136)</f>
        <v>GYN</v>
      </c>
    </row>
    <row r="137" customFormat="false" ht="15" hidden="false" customHeight="false" outlineLevel="0" collapsed="false">
      <c r="A137" s="31" t="n">
        <v>45620</v>
      </c>
      <c r="B137" s="32" t="s">
        <v>195</v>
      </c>
      <c r="C137" s="0" t="n">
        <v>14</v>
      </c>
      <c r="D137" s="0" t="n">
        <v>11</v>
      </c>
      <c r="E137" s="0" t="n">
        <v>78.6</v>
      </c>
      <c r="F137" s="0" t="n">
        <v>37</v>
      </c>
      <c r="G137" s="0" t="n">
        <v>36</v>
      </c>
      <c r="I137" s="0" t="n">
        <v>0</v>
      </c>
      <c r="J137" s="0" t="n">
        <v>86</v>
      </c>
      <c r="K137" s="32" t="s">
        <v>776</v>
      </c>
      <c r="L137" s="0" t="str">
        <f aca="false">IF(K137="GEN","GM",K137)</f>
        <v>GS</v>
      </c>
    </row>
    <row r="138" customFormat="false" ht="15" hidden="false" customHeight="false" outlineLevel="0" collapsed="false">
      <c r="A138" s="31" t="n">
        <v>45627</v>
      </c>
      <c r="B138" s="32" t="s">
        <v>79</v>
      </c>
      <c r="C138" s="0" t="n">
        <v>10</v>
      </c>
      <c r="D138" s="0" t="n">
        <v>7</v>
      </c>
      <c r="E138" s="0" t="n">
        <v>70</v>
      </c>
      <c r="F138" s="0" t="n">
        <v>20</v>
      </c>
      <c r="G138" s="0" t="n">
        <v>18</v>
      </c>
      <c r="H138" s="0" t="n">
        <v>0</v>
      </c>
      <c r="I138" s="0" t="n">
        <v>3</v>
      </c>
      <c r="J138" s="0" t="n">
        <v>63</v>
      </c>
      <c r="K138" s="32" t="s">
        <v>810</v>
      </c>
      <c r="L138" s="0" t="str">
        <f aca="false">IF(K138="GEN","GM",K138)</f>
        <v>URO</v>
      </c>
    </row>
    <row r="139" customFormat="false" ht="15" hidden="false" customHeight="false" outlineLevel="0" collapsed="false">
      <c r="A139" s="31" t="n">
        <v>45627</v>
      </c>
      <c r="B139" s="32" t="s">
        <v>114</v>
      </c>
      <c r="C139" s="0" t="n">
        <v>10</v>
      </c>
      <c r="D139" s="0" t="n">
        <v>6</v>
      </c>
      <c r="E139" s="0" t="n">
        <v>60</v>
      </c>
      <c r="F139" s="0" t="n">
        <v>16</v>
      </c>
      <c r="G139" s="0" t="n">
        <v>13</v>
      </c>
      <c r="H139" s="0" t="n">
        <v>3</v>
      </c>
      <c r="I139" s="0" t="n">
        <v>1</v>
      </c>
      <c r="J139" s="0" t="n">
        <v>17</v>
      </c>
      <c r="K139" s="32" t="s">
        <v>802</v>
      </c>
      <c r="L139" s="0" t="str">
        <f aca="false">IF(K139="GEN","GM",K139)</f>
        <v>GYN</v>
      </c>
    </row>
    <row r="140" customFormat="false" ht="15" hidden="false" customHeight="false" outlineLevel="0" collapsed="false">
      <c r="A140" s="31" t="n">
        <v>45627</v>
      </c>
      <c r="B140" s="32" t="s">
        <v>226</v>
      </c>
      <c r="C140" s="0" t="n">
        <v>8</v>
      </c>
      <c r="D140" s="0" t="n">
        <v>6</v>
      </c>
      <c r="E140" s="0" t="n">
        <v>75</v>
      </c>
      <c r="F140" s="0" t="n">
        <v>20</v>
      </c>
      <c r="G140" s="0" t="n">
        <v>18</v>
      </c>
      <c r="H140" s="0" t="n">
        <v>3</v>
      </c>
      <c r="I140" s="0" t="n">
        <v>0</v>
      </c>
      <c r="J140" s="0" t="n">
        <v>18</v>
      </c>
      <c r="K140" s="32" t="s">
        <v>810</v>
      </c>
      <c r="L140" s="0" t="str">
        <f aca="false">IF(K140="GEN","GM",K140)</f>
        <v>URO</v>
      </c>
    </row>
    <row r="141" customFormat="false" ht="15" hidden="false" customHeight="false" outlineLevel="0" collapsed="false">
      <c r="A141" s="31" t="n">
        <v>45627</v>
      </c>
      <c r="B141" s="32" t="s">
        <v>195</v>
      </c>
      <c r="C141" s="0" t="n">
        <v>14</v>
      </c>
      <c r="D141" s="0" t="n">
        <v>11</v>
      </c>
      <c r="E141" s="0" t="n">
        <v>78.6</v>
      </c>
      <c r="F141" s="0" t="n">
        <v>43</v>
      </c>
      <c r="G141" s="0" t="n">
        <v>41</v>
      </c>
      <c r="H141" s="0" t="n">
        <v>2</v>
      </c>
      <c r="I141" s="0" t="n">
        <v>2</v>
      </c>
      <c r="J141" s="0" t="n">
        <v>6</v>
      </c>
      <c r="K141" s="32" t="s">
        <v>793</v>
      </c>
      <c r="L141" s="0" t="str">
        <f aca="false">IF(K141="GEN","GM",K141)</f>
        <v>EM</v>
      </c>
    </row>
    <row r="142" customFormat="false" ht="15" hidden="false" customHeight="false" outlineLevel="0" collapsed="false">
      <c r="A142" s="31" t="n">
        <v>45634</v>
      </c>
      <c r="B142" s="32" t="s">
        <v>79</v>
      </c>
      <c r="C142" s="0" t="n">
        <v>10</v>
      </c>
      <c r="D142" s="0" t="n">
        <v>7</v>
      </c>
      <c r="E142" s="0" t="n">
        <v>70</v>
      </c>
      <c r="F142" s="0" t="n">
        <v>28</v>
      </c>
      <c r="G142" s="0" t="n">
        <v>25</v>
      </c>
      <c r="H142" s="0" t="n">
        <v>0</v>
      </c>
      <c r="I142" s="0" t="n">
        <v>3</v>
      </c>
      <c r="J142" s="0" t="n">
        <v>73</v>
      </c>
      <c r="K142" s="32" t="s">
        <v>776</v>
      </c>
      <c r="L142" s="0" t="str">
        <f aca="false">IF(K142="GEN","GM",K142)</f>
        <v>GS</v>
      </c>
    </row>
    <row r="143" customFormat="false" ht="15" hidden="false" customHeight="false" outlineLevel="0" collapsed="false">
      <c r="A143" s="31" t="n">
        <v>45634</v>
      </c>
      <c r="B143" s="32" t="s">
        <v>114</v>
      </c>
      <c r="C143" s="0" t="n">
        <v>10</v>
      </c>
      <c r="D143" s="0" t="n">
        <v>6</v>
      </c>
      <c r="E143" s="0" t="n">
        <v>60</v>
      </c>
      <c r="F143" s="0" t="n">
        <v>27</v>
      </c>
      <c r="G143" s="0" t="n">
        <v>25</v>
      </c>
      <c r="H143" s="0" t="n">
        <v>0</v>
      </c>
      <c r="I143" s="0" t="n">
        <v>1</v>
      </c>
      <c r="J143" s="0" t="n">
        <v>21</v>
      </c>
      <c r="K143" s="32" t="s">
        <v>826</v>
      </c>
      <c r="L143" s="0" t="str">
        <f aca="false">IF(K143="GEN","GM",K143)</f>
        <v>RHE</v>
      </c>
    </row>
    <row r="144" customFormat="false" ht="15" hidden="false" customHeight="false" outlineLevel="0" collapsed="false">
      <c r="A144" s="31" t="n">
        <v>45634</v>
      </c>
      <c r="B144" s="32" t="s">
        <v>226</v>
      </c>
      <c r="C144" s="0" t="n">
        <v>8</v>
      </c>
      <c r="D144" s="0" t="n">
        <v>5</v>
      </c>
      <c r="E144" s="0" t="n">
        <v>62.5</v>
      </c>
      <c r="F144" s="0" t="n">
        <v>20</v>
      </c>
      <c r="G144" s="0" t="n">
        <v>17</v>
      </c>
      <c r="H144" s="0" t="n">
        <v>1</v>
      </c>
      <c r="I144" s="0" t="n">
        <v>2</v>
      </c>
      <c r="J144" s="0" t="n">
        <v>83</v>
      </c>
      <c r="K144" s="32" t="s">
        <v>810</v>
      </c>
      <c r="L144" s="0" t="str">
        <f aca="false">IF(K144="GEN","GM",K144)</f>
        <v>URO</v>
      </c>
    </row>
    <row r="145" customFormat="false" ht="15" hidden="false" customHeight="false" outlineLevel="0" collapsed="false">
      <c r="A145" s="31" t="n">
        <v>45634</v>
      </c>
      <c r="B145" s="32" t="s">
        <v>195</v>
      </c>
      <c r="C145" s="0" t="n">
        <v>14</v>
      </c>
      <c r="D145" s="0" t="n">
        <v>11</v>
      </c>
      <c r="E145" s="0" t="n">
        <v>83.9</v>
      </c>
      <c r="F145" s="0" t="n">
        <v>33</v>
      </c>
      <c r="G145" s="0" t="n">
        <v>30</v>
      </c>
      <c r="H145" s="0" t="n">
        <v>4</v>
      </c>
      <c r="I145" s="0" t="n">
        <v>0</v>
      </c>
      <c r="J145" s="0" t="n">
        <v>50</v>
      </c>
      <c r="K145" s="32" t="s">
        <v>793</v>
      </c>
      <c r="L145" s="0" t="str">
        <f aca="false">IF(K145="GEN","GM",K145)</f>
        <v>EM</v>
      </c>
    </row>
    <row r="146" customFormat="false" ht="15" hidden="false" customHeight="false" outlineLevel="0" collapsed="false">
      <c r="A146" s="31" t="n">
        <v>45641</v>
      </c>
      <c r="B146" s="32" t="s">
        <v>79</v>
      </c>
      <c r="C146" s="0" t="n">
        <v>10</v>
      </c>
      <c r="D146" s="0" t="n">
        <v>6</v>
      </c>
      <c r="E146" s="0" t="n">
        <v>60</v>
      </c>
      <c r="F146" s="0" t="n">
        <v>24</v>
      </c>
      <c r="G146" s="0" t="n">
        <v>24</v>
      </c>
      <c r="H146" s="0" t="n">
        <v>0</v>
      </c>
      <c r="I146" s="0" t="n">
        <v>3</v>
      </c>
      <c r="J146" s="0" t="n">
        <v>30</v>
      </c>
      <c r="K146" s="32" t="s">
        <v>766</v>
      </c>
      <c r="L146" s="0" t="str">
        <f aca="false">IF(K146="GEN","GM",K146)</f>
        <v>OR</v>
      </c>
    </row>
    <row r="147" customFormat="false" ht="15" hidden="false" customHeight="false" outlineLevel="0" collapsed="false">
      <c r="A147" s="31" t="n">
        <v>45641</v>
      </c>
      <c r="B147" s="32" t="s">
        <v>114</v>
      </c>
      <c r="C147" s="0" t="n">
        <v>10</v>
      </c>
      <c r="D147" s="0" t="n">
        <v>6</v>
      </c>
      <c r="E147" s="0" t="n">
        <v>60</v>
      </c>
      <c r="F147" s="0" t="n">
        <v>21</v>
      </c>
      <c r="G147" s="0" t="n">
        <v>21</v>
      </c>
      <c r="I147" s="0" t="n">
        <v>1</v>
      </c>
      <c r="J147" s="0" t="n">
        <v>32</v>
      </c>
      <c r="K147" s="32" t="s">
        <v>826</v>
      </c>
      <c r="L147" s="0" t="str">
        <f aca="false">IF(K147="GEN","GM",K147)</f>
        <v>RHE</v>
      </c>
    </row>
    <row r="148" customFormat="false" ht="15" hidden="false" customHeight="false" outlineLevel="0" collapsed="false">
      <c r="A148" s="31" t="n">
        <v>45641</v>
      </c>
      <c r="B148" s="32" t="s">
        <v>226</v>
      </c>
      <c r="C148" s="0" t="n">
        <v>8</v>
      </c>
      <c r="D148" s="0" t="n">
        <v>6</v>
      </c>
      <c r="E148" s="0" t="n">
        <v>82.1</v>
      </c>
      <c r="F148" s="0" t="n">
        <v>18</v>
      </c>
      <c r="G148" s="0" t="n">
        <v>14</v>
      </c>
      <c r="H148" s="0" t="n">
        <v>3</v>
      </c>
      <c r="I148" s="0" t="n">
        <v>0</v>
      </c>
      <c r="J148" s="0" t="n">
        <v>89</v>
      </c>
      <c r="K148" s="32" t="s">
        <v>818</v>
      </c>
      <c r="L148" s="0" t="str">
        <f aca="false">IF(K148="GEN","GM",K148)</f>
        <v>OPH</v>
      </c>
    </row>
    <row r="149" customFormat="false" ht="15" hidden="false" customHeight="false" outlineLevel="0" collapsed="false">
      <c r="A149" s="31" t="n">
        <v>45641</v>
      </c>
      <c r="B149" s="32" t="s">
        <v>195</v>
      </c>
      <c r="C149" s="0" t="n">
        <v>14</v>
      </c>
      <c r="D149" s="0" t="n">
        <v>12</v>
      </c>
      <c r="E149" s="0" t="n">
        <v>85.7</v>
      </c>
      <c r="F149" s="0" t="n">
        <v>43</v>
      </c>
      <c r="G149" s="0" t="n">
        <v>40</v>
      </c>
      <c r="I149" s="0" t="n">
        <v>1</v>
      </c>
      <c r="J149" s="0" t="n">
        <v>-27</v>
      </c>
      <c r="K149" s="32" t="s">
        <v>793</v>
      </c>
      <c r="L149" s="0" t="str">
        <f aca="false">IF(K149="GEN","GM",K149)</f>
        <v>EM</v>
      </c>
    </row>
    <row r="150" customFormat="false" ht="15" hidden="false" customHeight="false" outlineLevel="0" collapsed="false">
      <c r="A150" s="31" t="n">
        <v>45648</v>
      </c>
      <c r="B150" s="32" t="s">
        <v>79</v>
      </c>
      <c r="C150" s="0" t="n">
        <v>10</v>
      </c>
      <c r="D150" s="0" t="n">
        <v>7</v>
      </c>
      <c r="E150" s="0" t="n">
        <v>70</v>
      </c>
      <c r="F150" s="0" t="n">
        <v>27</v>
      </c>
      <c r="G150" s="0" t="n">
        <v>23</v>
      </c>
      <c r="H150" s="0" t="n">
        <v>2</v>
      </c>
      <c r="I150" s="0" t="n">
        <v>2</v>
      </c>
      <c r="J150" s="0" t="n">
        <v>26</v>
      </c>
      <c r="K150" s="32" t="s">
        <v>766</v>
      </c>
      <c r="L150" s="0" t="str">
        <f aca="false">IF(K150="GEN","GM",K150)</f>
        <v>OR</v>
      </c>
    </row>
    <row r="151" customFormat="false" ht="15" hidden="false" customHeight="false" outlineLevel="0" collapsed="false">
      <c r="A151" s="31" t="n">
        <v>45648</v>
      </c>
      <c r="B151" s="32" t="s">
        <v>114</v>
      </c>
      <c r="C151" s="0" t="n">
        <v>10</v>
      </c>
      <c r="D151" s="0" t="n">
        <v>6</v>
      </c>
      <c r="E151" s="0" t="n">
        <v>60</v>
      </c>
      <c r="F151" s="0" t="n">
        <v>22</v>
      </c>
      <c r="G151" s="0" t="n">
        <v>21</v>
      </c>
      <c r="H151" s="0" t="n">
        <v>3</v>
      </c>
      <c r="I151" s="0" t="n">
        <v>3</v>
      </c>
      <c r="J151" s="0" t="n">
        <v>78</v>
      </c>
      <c r="K151" s="32" t="s">
        <v>776</v>
      </c>
      <c r="L151" s="0" t="str">
        <f aca="false">IF(K151="GEN","GM",K151)</f>
        <v>GS</v>
      </c>
    </row>
    <row r="152" customFormat="false" ht="15" hidden="false" customHeight="false" outlineLevel="0" collapsed="false">
      <c r="A152" s="31" t="n">
        <v>45648</v>
      </c>
      <c r="B152" s="32" t="s">
        <v>226</v>
      </c>
      <c r="C152" s="0" t="n">
        <v>8</v>
      </c>
      <c r="D152" s="0" t="n">
        <v>6</v>
      </c>
      <c r="E152" s="0" t="n">
        <v>70.2</v>
      </c>
      <c r="F152" s="0" t="n">
        <v>24</v>
      </c>
      <c r="G152" s="0" t="n">
        <v>24</v>
      </c>
      <c r="H152" s="0" t="n">
        <v>3</v>
      </c>
      <c r="I152" s="0" t="n">
        <v>0</v>
      </c>
      <c r="J152" s="0" t="n">
        <v>64</v>
      </c>
      <c r="K152" s="32" t="s">
        <v>818</v>
      </c>
      <c r="L152" s="0" t="str">
        <f aca="false">IF(K152="GEN","GM",K152)</f>
        <v>OPH</v>
      </c>
    </row>
    <row r="153" customFormat="false" ht="15" hidden="false" customHeight="false" outlineLevel="0" collapsed="false">
      <c r="A153" s="31" t="n">
        <v>45648</v>
      </c>
      <c r="B153" s="32" t="s">
        <v>195</v>
      </c>
      <c r="C153" s="0" t="n">
        <v>14</v>
      </c>
      <c r="D153" s="0" t="n">
        <v>12</v>
      </c>
      <c r="E153" s="0" t="n">
        <v>85.7</v>
      </c>
      <c r="F153" s="0" t="n">
        <v>40</v>
      </c>
      <c r="G153" s="0" t="n">
        <v>40</v>
      </c>
      <c r="H153" s="0" t="n">
        <v>3</v>
      </c>
      <c r="I153" s="0" t="n">
        <v>0</v>
      </c>
      <c r="J153" s="0" t="n">
        <v>88</v>
      </c>
      <c r="K153" s="32" t="s">
        <v>793</v>
      </c>
      <c r="L153" s="0" t="str">
        <f aca="false">IF(K153="GEN","GM",K153)</f>
        <v>EM</v>
      </c>
    </row>
    <row r="154" customFormat="false" ht="15" hidden="false" customHeight="false" outlineLevel="0" collapsed="false">
      <c r="A154" s="31" t="n">
        <v>45655</v>
      </c>
      <c r="B154" s="32" t="s">
        <v>79</v>
      </c>
      <c r="C154" s="0" t="n">
        <v>10</v>
      </c>
      <c r="D154" s="0" t="n">
        <v>5</v>
      </c>
      <c r="E154" s="0" t="n">
        <v>50</v>
      </c>
      <c r="F154" s="0" t="n">
        <v>20</v>
      </c>
      <c r="G154" s="0" t="n">
        <v>18</v>
      </c>
      <c r="H154" s="0" t="n">
        <v>0</v>
      </c>
      <c r="J154" s="0" t="n">
        <v>53</v>
      </c>
      <c r="K154" s="32" t="s">
        <v>818</v>
      </c>
      <c r="L154" s="0" t="str">
        <f aca="false">IF(K154="GEN","GM",K154)</f>
        <v>OPH</v>
      </c>
    </row>
    <row r="155" customFormat="false" ht="15" hidden="false" customHeight="false" outlineLevel="0" collapsed="false">
      <c r="A155" s="31" t="n">
        <v>45655</v>
      </c>
      <c r="B155" s="32" t="s">
        <v>114</v>
      </c>
      <c r="C155" s="0" t="n">
        <v>10</v>
      </c>
      <c r="D155" s="0" t="n">
        <v>5</v>
      </c>
      <c r="E155" s="0" t="n">
        <v>50</v>
      </c>
      <c r="F155" s="0" t="n">
        <v>14</v>
      </c>
      <c r="G155" s="0" t="n">
        <v>13</v>
      </c>
      <c r="H155" s="0" t="n">
        <v>4</v>
      </c>
      <c r="I155" s="0" t="n">
        <v>1</v>
      </c>
      <c r="J155" s="0" t="n">
        <v>70</v>
      </c>
      <c r="K155" s="32" t="s">
        <v>758</v>
      </c>
      <c r="L155" s="0" t="str">
        <f aca="false">IF(K155="GEN","GM",K155)</f>
        <v>CS</v>
      </c>
    </row>
    <row r="156" customFormat="false" ht="15" hidden="false" customHeight="false" outlineLevel="0" collapsed="false">
      <c r="A156" s="31" t="n">
        <v>45655</v>
      </c>
      <c r="B156" s="32" t="s">
        <v>226</v>
      </c>
      <c r="C156" s="0" t="n">
        <v>8</v>
      </c>
      <c r="D156" s="0" t="n">
        <v>4</v>
      </c>
      <c r="E156" s="0" t="n">
        <v>50</v>
      </c>
      <c r="F156" s="0" t="n">
        <v>16</v>
      </c>
      <c r="G156" s="0" t="n">
        <v>14</v>
      </c>
      <c r="H156" s="0" t="n">
        <v>2</v>
      </c>
      <c r="I156" s="0" t="n">
        <v>1</v>
      </c>
      <c r="J156" s="0" t="n">
        <v>59</v>
      </c>
      <c r="K156" s="32" t="s">
        <v>818</v>
      </c>
      <c r="L156" s="0" t="str">
        <f aca="false">IF(K156="GEN","GM",K156)</f>
        <v>OPH</v>
      </c>
    </row>
    <row r="157" customFormat="false" ht="15" hidden="false" customHeight="false" outlineLevel="0" collapsed="false">
      <c r="A157" s="31" t="n">
        <v>45655</v>
      </c>
      <c r="B157" s="32" t="s">
        <v>195</v>
      </c>
      <c r="C157" s="0" t="n">
        <v>14</v>
      </c>
      <c r="D157" s="0" t="n">
        <v>8</v>
      </c>
      <c r="E157" s="0" t="n">
        <v>57.1</v>
      </c>
      <c r="F157" s="0" t="n">
        <v>21</v>
      </c>
      <c r="G157" s="0" t="n">
        <v>19</v>
      </c>
      <c r="H157" s="0" t="n">
        <v>2</v>
      </c>
      <c r="I157" s="0" t="n">
        <v>1</v>
      </c>
      <c r="J157" s="0" t="n">
        <v>64</v>
      </c>
      <c r="K157" s="32" t="s">
        <v>793</v>
      </c>
      <c r="L157" s="0" t="str">
        <f aca="false">IF(K157="GEN","GM",K157)</f>
        <v>EM</v>
      </c>
    </row>
    <row r="158" customFormat="false" ht="15" hidden="false" customHeight="false" outlineLevel="0" collapsed="false">
      <c r="A158" s="31" t="n">
        <v>45662</v>
      </c>
      <c r="B158" s="32" t="s">
        <v>79</v>
      </c>
      <c r="C158" s="0" t="n">
        <v>10</v>
      </c>
      <c r="D158" s="0" t="n">
        <v>7</v>
      </c>
      <c r="E158" s="0" t="n">
        <v>70</v>
      </c>
      <c r="F158" s="0" t="n">
        <v>18</v>
      </c>
      <c r="G158" s="0" t="n">
        <v>18</v>
      </c>
      <c r="I158" s="0" t="n">
        <v>1</v>
      </c>
      <c r="J158" s="0" t="n">
        <v>38</v>
      </c>
      <c r="K158" s="32" t="s">
        <v>776</v>
      </c>
      <c r="L158" s="0" t="str">
        <f aca="false">IF(K158="GEN","GM",K158)</f>
        <v>GS</v>
      </c>
    </row>
    <row r="159" customFormat="false" ht="15" hidden="false" customHeight="false" outlineLevel="0" collapsed="false">
      <c r="A159" s="31" t="n">
        <v>45662</v>
      </c>
      <c r="B159" s="32" t="s">
        <v>114</v>
      </c>
      <c r="C159" s="0" t="n">
        <v>10</v>
      </c>
      <c r="D159" s="0" t="n">
        <v>7</v>
      </c>
      <c r="E159" s="0" t="n">
        <v>70</v>
      </c>
      <c r="F159" s="0" t="n">
        <v>21</v>
      </c>
      <c r="G159" s="0" t="n">
        <v>19</v>
      </c>
      <c r="H159" s="0" t="n">
        <v>3</v>
      </c>
      <c r="I159" s="0" t="n">
        <v>3</v>
      </c>
      <c r="J159" s="0" t="n">
        <v>77</v>
      </c>
      <c r="K159" s="32" t="s">
        <v>826</v>
      </c>
      <c r="L159" s="0" t="str">
        <f aca="false">IF(K159="GEN","GM",K159)</f>
        <v>RHE</v>
      </c>
    </row>
    <row r="160" customFormat="false" ht="15" hidden="false" customHeight="false" outlineLevel="0" collapsed="false">
      <c r="A160" s="31" t="n">
        <v>45662</v>
      </c>
      <c r="B160" s="32" t="s">
        <v>226</v>
      </c>
      <c r="C160" s="0" t="n">
        <v>8</v>
      </c>
      <c r="D160" s="0" t="n">
        <v>6</v>
      </c>
      <c r="E160" s="0" t="n">
        <v>75</v>
      </c>
      <c r="F160" s="0" t="n">
        <v>21</v>
      </c>
      <c r="G160" s="0" t="n">
        <v>19</v>
      </c>
      <c r="H160" s="0" t="n">
        <v>0</v>
      </c>
      <c r="I160" s="0" t="n">
        <v>1</v>
      </c>
      <c r="J160" s="0" t="n">
        <v>-27</v>
      </c>
      <c r="K160" s="32" t="s">
        <v>766</v>
      </c>
      <c r="L160" s="0" t="str">
        <f aca="false">IF(K160="GEN","GM",K160)</f>
        <v>OR</v>
      </c>
    </row>
    <row r="161" customFormat="false" ht="15" hidden="false" customHeight="false" outlineLevel="0" collapsed="false">
      <c r="A161" s="31" t="n">
        <v>45662</v>
      </c>
      <c r="B161" s="32" t="s">
        <v>195</v>
      </c>
      <c r="C161" s="0" t="n">
        <v>14</v>
      </c>
      <c r="D161" s="0" t="n">
        <v>11</v>
      </c>
      <c r="E161" s="0" t="n">
        <v>78.6</v>
      </c>
      <c r="F161" s="0" t="n">
        <v>42</v>
      </c>
      <c r="G161" s="0" t="n">
        <v>40</v>
      </c>
      <c r="H161" s="0" t="n">
        <v>0</v>
      </c>
      <c r="I161" s="0" t="n">
        <v>0</v>
      </c>
      <c r="J161" s="0" t="n">
        <v>51</v>
      </c>
      <c r="K161" s="32" t="s">
        <v>758</v>
      </c>
      <c r="L161" s="0" t="str">
        <f aca="false">IF(K161="GEN","GM",K161)</f>
        <v>CS</v>
      </c>
    </row>
    <row r="162" customFormat="false" ht="15" hidden="false" customHeight="false" outlineLevel="0" collapsed="false">
      <c r="A162" s="31" t="n">
        <v>45669</v>
      </c>
      <c r="B162" s="32" t="s">
        <v>79</v>
      </c>
      <c r="C162" s="0" t="n">
        <v>10</v>
      </c>
      <c r="D162" s="0" t="n">
        <v>7</v>
      </c>
      <c r="E162" s="0" t="n">
        <v>70</v>
      </c>
      <c r="F162" s="0" t="n">
        <v>19</v>
      </c>
      <c r="G162" s="0" t="n">
        <v>17</v>
      </c>
      <c r="I162" s="0" t="n">
        <v>3</v>
      </c>
      <c r="J162" s="0" t="n">
        <v>66</v>
      </c>
      <c r="K162" s="32" t="s">
        <v>810</v>
      </c>
      <c r="L162" s="0" t="str">
        <f aca="false">IF(K162="GEN","GM",K162)</f>
        <v>URO</v>
      </c>
    </row>
    <row r="163" customFormat="false" ht="15" hidden="false" customHeight="false" outlineLevel="0" collapsed="false">
      <c r="A163" s="31" t="n">
        <v>45669</v>
      </c>
      <c r="B163" s="32" t="s">
        <v>114</v>
      </c>
      <c r="C163" s="0" t="n">
        <v>10</v>
      </c>
      <c r="D163" s="0" t="n">
        <v>7</v>
      </c>
      <c r="E163" s="0" t="n">
        <v>70</v>
      </c>
      <c r="F163" s="0" t="n">
        <v>23</v>
      </c>
      <c r="G163" s="0" t="n">
        <v>21</v>
      </c>
      <c r="H163" s="0" t="n">
        <v>1</v>
      </c>
      <c r="I163" s="0" t="n">
        <v>2</v>
      </c>
      <c r="J163" s="0" t="n">
        <v>4</v>
      </c>
      <c r="K163" s="32" t="s">
        <v>826</v>
      </c>
      <c r="L163" s="0" t="str">
        <f aca="false">IF(K163="GEN","GM",K163)</f>
        <v>RHE</v>
      </c>
    </row>
    <row r="164" customFormat="false" ht="15" hidden="false" customHeight="false" outlineLevel="0" collapsed="false">
      <c r="A164" s="31" t="n">
        <v>45669</v>
      </c>
      <c r="B164" s="32" t="s">
        <v>226</v>
      </c>
      <c r="C164" s="0" t="n">
        <v>8</v>
      </c>
      <c r="D164" s="0" t="n">
        <v>6</v>
      </c>
      <c r="E164" s="0" t="n">
        <v>75</v>
      </c>
      <c r="F164" s="0" t="n">
        <v>22</v>
      </c>
      <c r="G164" s="0" t="n">
        <v>19</v>
      </c>
      <c r="H164" s="0" t="n">
        <v>1</v>
      </c>
      <c r="I164" s="0" t="n">
        <v>0</v>
      </c>
      <c r="J164" s="0" t="n">
        <v>-27</v>
      </c>
      <c r="K164" s="32" t="s">
        <v>818</v>
      </c>
      <c r="L164" s="0" t="str">
        <f aca="false">IF(K164="GEN","GM",K164)</f>
        <v>OPH</v>
      </c>
    </row>
    <row r="165" customFormat="false" ht="15" hidden="false" customHeight="false" outlineLevel="0" collapsed="false">
      <c r="A165" s="31" t="n">
        <v>45669</v>
      </c>
      <c r="B165" s="32" t="s">
        <v>195</v>
      </c>
      <c r="C165" s="0" t="n">
        <v>14</v>
      </c>
      <c r="D165" s="0" t="n">
        <v>11</v>
      </c>
      <c r="E165" s="0" t="n">
        <v>78.6</v>
      </c>
      <c r="F165" s="0" t="n">
        <v>36</v>
      </c>
      <c r="G165" s="0" t="n">
        <v>33</v>
      </c>
      <c r="I165" s="0" t="n">
        <v>2</v>
      </c>
      <c r="J165" s="0" t="n">
        <v>79</v>
      </c>
      <c r="K165" s="32" t="s">
        <v>766</v>
      </c>
      <c r="L165" s="0" t="str">
        <f aca="false">IF(K165="GEN","GM",K165)</f>
        <v>OR</v>
      </c>
    </row>
    <row r="166" customFormat="false" ht="15" hidden="false" customHeight="false" outlineLevel="0" collapsed="false">
      <c r="A166" s="31" t="n">
        <v>45676</v>
      </c>
      <c r="B166" s="32" t="s">
        <v>79</v>
      </c>
      <c r="C166" s="0" t="n">
        <v>10</v>
      </c>
      <c r="D166" s="0" t="n">
        <v>6</v>
      </c>
      <c r="E166" s="0" t="n">
        <v>60</v>
      </c>
      <c r="F166" s="0" t="n">
        <v>17</v>
      </c>
      <c r="G166" s="0" t="n">
        <v>13</v>
      </c>
      <c r="H166" s="0" t="n">
        <v>4</v>
      </c>
      <c r="I166" s="0" t="n">
        <v>3</v>
      </c>
      <c r="J166" s="0" t="n">
        <v>54</v>
      </c>
      <c r="K166" s="32" t="s">
        <v>810</v>
      </c>
      <c r="L166" s="0" t="str">
        <f aca="false">IF(K166="GEN","GM",K166)</f>
        <v>URO</v>
      </c>
    </row>
    <row r="167" customFormat="false" ht="15" hidden="false" customHeight="false" outlineLevel="0" collapsed="false">
      <c r="A167" s="31" t="n">
        <v>45676</v>
      </c>
      <c r="B167" s="32" t="s">
        <v>114</v>
      </c>
      <c r="C167" s="0" t="n">
        <v>10</v>
      </c>
      <c r="D167" s="0" t="n">
        <v>8</v>
      </c>
      <c r="E167" s="0" t="n">
        <v>80</v>
      </c>
      <c r="F167" s="0" t="n">
        <v>21</v>
      </c>
      <c r="G167" s="0" t="n">
        <v>19</v>
      </c>
      <c r="H167" s="0" t="n">
        <v>2</v>
      </c>
      <c r="I167" s="0" t="n">
        <v>1</v>
      </c>
      <c r="J167" s="0" t="n">
        <v>44</v>
      </c>
      <c r="K167" s="32" t="s">
        <v>776</v>
      </c>
      <c r="L167" s="0" t="str">
        <f aca="false">IF(K167="GEN","GM",K167)</f>
        <v>GS</v>
      </c>
    </row>
    <row r="168" customFormat="false" ht="15" hidden="false" customHeight="false" outlineLevel="0" collapsed="false">
      <c r="A168" s="31" t="n">
        <v>45676</v>
      </c>
      <c r="B168" s="32" t="s">
        <v>226</v>
      </c>
      <c r="C168" s="0" t="n">
        <v>8</v>
      </c>
      <c r="D168" s="0" t="n">
        <v>6</v>
      </c>
      <c r="E168" s="0" t="n">
        <v>75</v>
      </c>
      <c r="F168" s="0" t="n">
        <v>19</v>
      </c>
      <c r="G168" s="0" t="n">
        <v>20</v>
      </c>
      <c r="H168" s="0" t="n">
        <v>1</v>
      </c>
      <c r="J168" s="0" t="n">
        <v>73</v>
      </c>
      <c r="K168" s="32" t="s">
        <v>810</v>
      </c>
      <c r="L168" s="0" t="str">
        <f aca="false">IF(K168="GEN","GM",K168)</f>
        <v>URO</v>
      </c>
    </row>
    <row r="169" customFormat="false" ht="15" hidden="false" customHeight="false" outlineLevel="0" collapsed="false">
      <c r="A169" s="31" t="n">
        <v>45676</v>
      </c>
      <c r="B169" s="32" t="s">
        <v>195</v>
      </c>
      <c r="C169" s="0" t="n">
        <v>14</v>
      </c>
      <c r="D169" s="0" t="n">
        <v>11</v>
      </c>
      <c r="E169" s="0" t="n">
        <v>78.6</v>
      </c>
      <c r="F169" s="0" t="n">
        <v>48</v>
      </c>
      <c r="G169" s="0" t="n">
        <v>48</v>
      </c>
      <c r="H169" s="0" t="n">
        <v>0</v>
      </c>
      <c r="I169" s="0" t="n">
        <v>2</v>
      </c>
      <c r="J169" s="0" t="n">
        <v>14</v>
      </c>
      <c r="K169" s="32" t="s">
        <v>758</v>
      </c>
      <c r="L169" s="0" t="str">
        <f aca="false">IF(K169="GEN","GM",K169)</f>
        <v>CS</v>
      </c>
    </row>
    <row r="170" customFormat="false" ht="15" hidden="false" customHeight="false" outlineLevel="0" collapsed="false">
      <c r="A170" s="31" t="n">
        <v>45683</v>
      </c>
      <c r="B170" s="32" t="s">
        <v>79</v>
      </c>
      <c r="C170" s="0" t="n">
        <v>10</v>
      </c>
      <c r="D170" s="0" t="n">
        <v>6</v>
      </c>
      <c r="E170" s="0" t="n">
        <v>60</v>
      </c>
      <c r="F170" s="0" t="n">
        <v>19</v>
      </c>
      <c r="G170" s="0" t="n">
        <v>22</v>
      </c>
      <c r="H170" s="0" t="n">
        <v>3</v>
      </c>
      <c r="J170" s="0" t="n">
        <v>-27</v>
      </c>
      <c r="K170" s="32" t="s">
        <v>776</v>
      </c>
      <c r="L170" s="0" t="str">
        <f aca="false">IF(K170="GEN","GM",K170)</f>
        <v>GS</v>
      </c>
    </row>
    <row r="171" customFormat="false" ht="15" hidden="false" customHeight="false" outlineLevel="0" collapsed="false">
      <c r="A171" s="31" t="n">
        <v>45683</v>
      </c>
      <c r="B171" s="32" t="s">
        <v>114</v>
      </c>
      <c r="C171" s="0" t="n">
        <v>10</v>
      </c>
      <c r="D171" s="0" t="n">
        <v>7</v>
      </c>
      <c r="E171" s="0" t="n">
        <v>70</v>
      </c>
      <c r="F171" s="0" t="n">
        <v>26</v>
      </c>
      <c r="G171" s="0" t="n">
        <v>25</v>
      </c>
      <c r="H171" s="0" t="n">
        <v>4</v>
      </c>
      <c r="I171" s="0" t="n">
        <v>3</v>
      </c>
      <c r="J171" s="0" t="n">
        <v>40</v>
      </c>
      <c r="K171" s="32" t="s">
        <v>758</v>
      </c>
      <c r="L171" s="0" t="str">
        <f aca="false">IF(K171="GEN","GM",K171)</f>
        <v>CS</v>
      </c>
    </row>
    <row r="172" customFormat="false" ht="15" hidden="false" customHeight="false" outlineLevel="0" collapsed="false">
      <c r="A172" s="31" t="n">
        <v>45683</v>
      </c>
      <c r="B172" s="32" t="s">
        <v>226</v>
      </c>
      <c r="C172" s="0" t="n">
        <v>8</v>
      </c>
      <c r="D172" s="0" t="n">
        <v>5</v>
      </c>
      <c r="E172" s="0" t="n">
        <v>62.5</v>
      </c>
      <c r="F172" s="0" t="n">
        <v>15</v>
      </c>
      <c r="G172" s="0" t="n">
        <v>15</v>
      </c>
      <c r="H172" s="0" t="n">
        <v>2</v>
      </c>
      <c r="I172" s="0" t="n">
        <v>2</v>
      </c>
      <c r="J172" s="0" t="n">
        <v>25</v>
      </c>
      <c r="K172" s="32" t="s">
        <v>810</v>
      </c>
      <c r="L172" s="0" t="str">
        <f aca="false">IF(K172="GEN","GM",K172)</f>
        <v>URO</v>
      </c>
    </row>
    <row r="173" customFormat="false" ht="15" hidden="false" customHeight="false" outlineLevel="0" collapsed="false">
      <c r="A173" s="31" t="n">
        <v>45683</v>
      </c>
      <c r="B173" s="32" t="s">
        <v>195</v>
      </c>
      <c r="C173" s="0" t="n">
        <v>14</v>
      </c>
      <c r="D173" s="0" t="n">
        <v>11</v>
      </c>
      <c r="E173" s="0" t="n">
        <v>78.6</v>
      </c>
      <c r="F173" s="0" t="n">
        <v>39</v>
      </c>
      <c r="G173" s="0" t="n">
        <v>36</v>
      </c>
      <c r="H173" s="0" t="n">
        <v>3</v>
      </c>
      <c r="I173" s="0" t="n">
        <v>2</v>
      </c>
      <c r="J173" s="0" t="n">
        <v>67</v>
      </c>
      <c r="K173" s="32" t="s">
        <v>776</v>
      </c>
      <c r="L173" s="0" t="str">
        <f aca="false">IF(K173="GEN","GM",K173)</f>
        <v>GS</v>
      </c>
    </row>
    <row r="174" customFormat="false" ht="15" hidden="false" customHeight="false" outlineLevel="0" collapsed="false">
      <c r="A174" s="31" t="n">
        <v>45690</v>
      </c>
      <c r="B174" s="32" t="s">
        <v>79</v>
      </c>
      <c r="C174" s="0" t="n">
        <v>10</v>
      </c>
      <c r="D174" s="0" t="n">
        <v>7</v>
      </c>
      <c r="E174" s="0" t="n">
        <v>70</v>
      </c>
      <c r="F174" s="0" t="n">
        <v>18</v>
      </c>
      <c r="G174" s="0" t="n">
        <v>14</v>
      </c>
      <c r="H174" s="0" t="n">
        <v>2</v>
      </c>
      <c r="I174" s="0" t="n">
        <v>1</v>
      </c>
      <c r="J174" s="0" t="n">
        <v>7</v>
      </c>
      <c r="K174" s="32" t="s">
        <v>810</v>
      </c>
      <c r="L174" s="0" t="str">
        <f aca="false">IF(K174="GEN","GM",K174)</f>
        <v>URO</v>
      </c>
    </row>
    <row r="175" customFormat="false" ht="15" hidden="false" customHeight="false" outlineLevel="0" collapsed="false">
      <c r="A175" s="31" t="n">
        <v>45690</v>
      </c>
      <c r="B175" s="32" t="s">
        <v>114</v>
      </c>
      <c r="C175" s="0" t="n">
        <v>10</v>
      </c>
      <c r="D175" s="0" t="n">
        <v>7</v>
      </c>
      <c r="E175" s="0" t="n">
        <v>70</v>
      </c>
      <c r="F175" s="0" t="n">
        <v>20</v>
      </c>
      <c r="G175" s="0" t="n">
        <v>18</v>
      </c>
      <c r="I175" s="0" t="n">
        <v>3</v>
      </c>
      <c r="J175" s="0" t="n">
        <v>81</v>
      </c>
      <c r="K175" s="32" t="s">
        <v>776</v>
      </c>
      <c r="L175" s="0" t="str">
        <f aca="false">IF(K175="GEN","GM",K175)</f>
        <v>GS</v>
      </c>
    </row>
    <row r="176" customFormat="false" ht="15" hidden="false" customHeight="false" outlineLevel="0" collapsed="false">
      <c r="A176" s="31" t="n">
        <v>45690</v>
      </c>
      <c r="B176" s="32" t="s">
        <v>226</v>
      </c>
      <c r="C176" s="0" t="n">
        <v>8</v>
      </c>
      <c r="D176" s="0" t="n">
        <v>5</v>
      </c>
      <c r="E176" s="0" t="n">
        <v>69.6</v>
      </c>
      <c r="F176" s="0" t="n">
        <v>20</v>
      </c>
      <c r="G176" s="0" t="n">
        <v>20</v>
      </c>
      <c r="H176" s="0" t="n">
        <v>1</v>
      </c>
      <c r="I176" s="0" t="n">
        <v>0</v>
      </c>
      <c r="J176" s="0" t="n">
        <v>28</v>
      </c>
      <c r="K176" s="32" t="s">
        <v>818</v>
      </c>
      <c r="L176" s="0" t="str">
        <f aca="false">IF(K176="GEN","GM",K176)</f>
        <v>OPH</v>
      </c>
    </row>
    <row r="177" customFormat="false" ht="15" hidden="false" customHeight="false" outlineLevel="0" collapsed="false">
      <c r="A177" s="31" t="n">
        <v>45690</v>
      </c>
      <c r="B177" s="32" t="s">
        <v>195</v>
      </c>
      <c r="C177" s="0" t="n">
        <v>14</v>
      </c>
      <c r="D177" s="0" t="n">
        <v>15</v>
      </c>
      <c r="E177" s="0" t="n">
        <v>107.1</v>
      </c>
      <c r="F177" s="0" t="n">
        <v>40</v>
      </c>
      <c r="G177" s="0" t="n">
        <v>39</v>
      </c>
      <c r="H177" s="0" t="n">
        <v>3</v>
      </c>
      <c r="I177" s="0" t="n">
        <v>1</v>
      </c>
      <c r="J177" s="0" t="n">
        <v>58</v>
      </c>
      <c r="K177" s="32" t="s">
        <v>766</v>
      </c>
      <c r="L177" s="0" t="str">
        <f aca="false">IF(K177="GEN","GM",K177)</f>
        <v>OR</v>
      </c>
    </row>
    <row r="178" customFormat="false" ht="15" hidden="false" customHeight="false" outlineLevel="0" collapsed="false">
      <c r="A178" s="31" t="n">
        <v>45697</v>
      </c>
      <c r="B178" s="32" t="s">
        <v>79</v>
      </c>
      <c r="C178" s="0" t="n">
        <v>10</v>
      </c>
      <c r="D178" s="0" t="n">
        <v>7</v>
      </c>
      <c r="E178" s="0" t="n">
        <v>70</v>
      </c>
      <c r="F178" s="0" t="n">
        <v>31</v>
      </c>
      <c r="G178" s="0" t="n">
        <v>28</v>
      </c>
      <c r="H178" s="0" t="n">
        <v>3</v>
      </c>
      <c r="I178" s="0" t="n">
        <v>2</v>
      </c>
      <c r="J178" s="0" t="n">
        <v>25</v>
      </c>
      <c r="K178" s="32" t="s">
        <v>810</v>
      </c>
      <c r="L178" s="0" t="str">
        <f aca="false">IF(K178="GEN","GM",K178)</f>
        <v>URO</v>
      </c>
    </row>
    <row r="179" customFormat="false" ht="15" hidden="false" customHeight="false" outlineLevel="0" collapsed="false">
      <c r="A179" s="31" t="n">
        <v>45697</v>
      </c>
      <c r="B179" s="32" t="s">
        <v>114</v>
      </c>
      <c r="C179" s="0" t="n">
        <v>10</v>
      </c>
      <c r="D179" s="0" t="n">
        <v>6</v>
      </c>
      <c r="E179" s="0" t="n">
        <v>60</v>
      </c>
      <c r="F179" s="0" t="n">
        <v>18</v>
      </c>
      <c r="G179" s="0" t="n">
        <v>14</v>
      </c>
      <c r="H179" s="0" t="n">
        <v>2</v>
      </c>
      <c r="I179" s="0" t="n">
        <v>2</v>
      </c>
      <c r="J179" s="0" t="n">
        <v>27</v>
      </c>
      <c r="K179" s="32" t="s">
        <v>826</v>
      </c>
      <c r="L179" s="0" t="str">
        <f aca="false">IF(K179="GEN","GM",K179)</f>
        <v>RHE</v>
      </c>
    </row>
    <row r="180" customFormat="false" ht="15" hidden="false" customHeight="false" outlineLevel="0" collapsed="false">
      <c r="A180" s="31" t="n">
        <v>45697</v>
      </c>
      <c r="B180" s="32" t="s">
        <v>226</v>
      </c>
      <c r="C180" s="0" t="n">
        <v>8</v>
      </c>
      <c r="D180" s="0" t="n">
        <v>6</v>
      </c>
      <c r="E180" s="0" t="n">
        <v>75</v>
      </c>
      <c r="F180" s="0" t="n">
        <v>15</v>
      </c>
      <c r="G180" s="0" t="n">
        <v>12</v>
      </c>
      <c r="H180" s="0" t="n">
        <v>4</v>
      </c>
      <c r="J180" s="0" t="n">
        <v>20</v>
      </c>
      <c r="K180" s="32" t="s">
        <v>818</v>
      </c>
      <c r="L180" s="0" t="str">
        <f aca="false">IF(K180="GEN","GM",K180)</f>
        <v>OPH</v>
      </c>
    </row>
    <row r="181" customFormat="false" ht="15" hidden="false" customHeight="false" outlineLevel="0" collapsed="false">
      <c r="A181" s="31" t="n">
        <v>45697</v>
      </c>
      <c r="B181" s="32" t="s">
        <v>195</v>
      </c>
      <c r="C181" s="0" t="n">
        <v>14</v>
      </c>
      <c r="D181" s="0" t="n">
        <v>12</v>
      </c>
      <c r="E181" s="0" t="n">
        <v>85.7</v>
      </c>
      <c r="F181" s="0" t="n">
        <v>51</v>
      </c>
      <c r="G181" s="0" t="n">
        <v>49</v>
      </c>
      <c r="I181" s="0" t="n">
        <v>0</v>
      </c>
      <c r="J181" s="0" t="n">
        <v>88</v>
      </c>
      <c r="K181" s="32" t="s">
        <v>758</v>
      </c>
      <c r="L181" s="0" t="str">
        <f aca="false">IF(K181="GEN","GM",K181)</f>
        <v>CS</v>
      </c>
    </row>
    <row r="182" customFormat="false" ht="15" hidden="false" customHeight="false" outlineLevel="0" collapsed="false">
      <c r="A182" s="31" t="n">
        <v>45704</v>
      </c>
      <c r="B182" s="32" t="s">
        <v>79</v>
      </c>
      <c r="C182" s="0" t="n">
        <v>10</v>
      </c>
      <c r="D182" s="0" t="n">
        <v>7</v>
      </c>
      <c r="E182" s="0" t="n">
        <v>70</v>
      </c>
      <c r="F182" s="0" t="n">
        <v>28</v>
      </c>
      <c r="G182" s="0" t="n">
        <v>24</v>
      </c>
      <c r="H182" s="0" t="n">
        <v>2</v>
      </c>
      <c r="I182" s="0" t="n">
        <v>0</v>
      </c>
      <c r="J182" s="0" t="n">
        <v>72</v>
      </c>
      <c r="K182" s="32" t="s">
        <v>776</v>
      </c>
      <c r="L182" s="0" t="str">
        <f aca="false">IF(K182="GEN","GM",K182)</f>
        <v>GS</v>
      </c>
    </row>
    <row r="183" customFormat="false" ht="15" hidden="false" customHeight="false" outlineLevel="0" collapsed="false">
      <c r="A183" s="31" t="n">
        <v>45704</v>
      </c>
      <c r="B183" s="32" t="s">
        <v>114</v>
      </c>
      <c r="C183" s="0" t="n">
        <v>10</v>
      </c>
      <c r="D183" s="0" t="n">
        <v>6</v>
      </c>
      <c r="E183" s="0" t="n">
        <v>60</v>
      </c>
      <c r="F183" s="0" t="n">
        <v>24</v>
      </c>
      <c r="G183" s="0" t="n">
        <v>24</v>
      </c>
      <c r="H183" s="0" t="n">
        <v>1</v>
      </c>
      <c r="I183" s="0" t="n">
        <v>3</v>
      </c>
      <c r="J183" s="0" t="n">
        <v>34</v>
      </c>
      <c r="K183" s="32" t="s">
        <v>776</v>
      </c>
      <c r="L183" s="0" t="str">
        <f aca="false">IF(K183="GEN","GM",K183)</f>
        <v>GS</v>
      </c>
    </row>
    <row r="184" customFormat="false" ht="15" hidden="false" customHeight="false" outlineLevel="0" collapsed="false">
      <c r="A184" s="31" t="n">
        <v>45704</v>
      </c>
      <c r="B184" s="32" t="s">
        <v>226</v>
      </c>
      <c r="C184" s="0" t="n">
        <v>8</v>
      </c>
      <c r="D184" s="0" t="n">
        <v>5</v>
      </c>
      <c r="E184" s="0" t="n">
        <v>62.5</v>
      </c>
      <c r="F184" s="0" t="n">
        <v>21</v>
      </c>
      <c r="G184" s="0" t="n">
        <v>20</v>
      </c>
      <c r="H184" s="0" t="n">
        <v>4</v>
      </c>
      <c r="J184" s="0" t="n">
        <v>67</v>
      </c>
      <c r="K184" s="32" t="s">
        <v>818</v>
      </c>
      <c r="L184" s="0" t="str">
        <f aca="false">IF(K184="GEN","GM",K184)</f>
        <v>OPH</v>
      </c>
    </row>
    <row r="185" customFormat="false" ht="15" hidden="false" customHeight="false" outlineLevel="0" collapsed="false">
      <c r="A185" s="31" t="n">
        <v>45704</v>
      </c>
      <c r="B185" s="32" t="s">
        <v>195</v>
      </c>
      <c r="C185" s="0" t="n">
        <v>14</v>
      </c>
      <c r="D185" s="0" t="n">
        <v>12</v>
      </c>
      <c r="E185" s="0" t="n">
        <v>85.7</v>
      </c>
      <c r="F185" s="0" t="n">
        <v>51</v>
      </c>
      <c r="G185" s="0" t="n">
        <v>47</v>
      </c>
      <c r="H185" s="0" t="n">
        <v>3</v>
      </c>
      <c r="I185" s="0" t="n">
        <v>2</v>
      </c>
      <c r="J185" s="0" t="n">
        <v>26</v>
      </c>
      <c r="K185" s="32" t="s">
        <v>776</v>
      </c>
      <c r="L185" s="0" t="str">
        <f aca="false">IF(K185="GEN","GM",K185)</f>
        <v>GS</v>
      </c>
    </row>
    <row r="186" customFormat="false" ht="15" hidden="false" customHeight="false" outlineLevel="0" collapsed="false">
      <c r="A186" s="31" t="n">
        <v>45711</v>
      </c>
      <c r="B186" s="32" t="s">
        <v>79</v>
      </c>
      <c r="C186" s="0" t="n">
        <v>10</v>
      </c>
      <c r="D186" s="0" t="n">
        <v>6</v>
      </c>
      <c r="E186" s="0" t="n">
        <v>60</v>
      </c>
      <c r="F186" s="0" t="n">
        <v>15</v>
      </c>
      <c r="G186" s="0" t="n">
        <v>11</v>
      </c>
      <c r="H186" s="0" t="n">
        <v>0</v>
      </c>
      <c r="I186" s="0" t="n">
        <v>3</v>
      </c>
      <c r="J186" s="0" t="n">
        <v>72</v>
      </c>
      <c r="K186" s="32" t="s">
        <v>818</v>
      </c>
      <c r="L186" s="0" t="str">
        <f aca="false">IF(K186="GEN","GM",K186)</f>
        <v>OPH</v>
      </c>
    </row>
    <row r="187" customFormat="false" ht="15" hidden="false" customHeight="false" outlineLevel="0" collapsed="false">
      <c r="A187" s="31" t="n">
        <v>45711</v>
      </c>
      <c r="B187" s="32" t="s">
        <v>114</v>
      </c>
      <c r="C187" s="0" t="n">
        <v>10</v>
      </c>
      <c r="D187" s="0" t="n">
        <v>7</v>
      </c>
      <c r="E187" s="0" t="n">
        <v>70</v>
      </c>
      <c r="F187" s="0" t="n">
        <v>18</v>
      </c>
      <c r="G187" s="0" t="n">
        <v>17</v>
      </c>
      <c r="H187" s="0" t="n">
        <v>0</v>
      </c>
      <c r="I187" s="0" t="n">
        <v>0</v>
      </c>
      <c r="J187" s="0" t="n">
        <v>26</v>
      </c>
      <c r="K187" s="32" t="s">
        <v>826</v>
      </c>
      <c r="L187" s="0" t="str">
        <f aca="false">IF(K187="GEN","GM",K187)</f>
        <v>RHE</v>
      </c>
    </row>
    <row r="188" customFormat="false" ht="15" hidden="false" customHeight="false" outlineLevel="0" collapsed="false">
      <c r="A188" s="31" t="n">
        <v>45711</v>
      </c>
      <c r="B188" s="32" t="s">
        <v>226</v>
      </c>
      <c r="C188" s="0" t="n">
        <v>8</v>
      </c>
      <c r="D188" s="0" t="n">
        <v>6</v>
      </c>
      <c r="E188" s="0" t="n">
        <v>75</v>
      </c>
      <c r="F188" s="0" t="n">
        <v>23</v>
      </c>
      <c r="G188" s="0" t="n">
        <v>21</v>
      </c>
      <c r="J188" s="0" t="n">
        <v>-15</v>
      </c>
      <c r="K188" s="32" t="s">
        <v>810</v>
      </c>
      <c r="L188" s="0" t="str">
        <f aca="false">IF(K188="GEN","GM",K188)</f>
        <v>URO</v>
      </c>
    </row>
    <row r="189" customFormat="false" ht="15" hidden="false" customHeight="false" outlineLevel="0" collapsed="false">
      <c r="A189" s="31" t="n">
        <v>45711</v>
      </c>
      <c r="B189" s="32" t="s">
        <v>195</v>
      </c>
      <c r="C189" s="0" t="n">
        <v>14</v>
      </c>
      <c r="D189" s="0" t="n">
        <v>10</v>
      </c>
      <c r="E189" s="0" t="n">
        <v>71.4</v>
      </c>
      <c r="F189" s="0" t="n">
        <v>35</v>
      </c>
      <c r="G189" s="0" t="n">
        <v>34</v>
      </c>
      <c r="H189" s="0" t="n">
        <v>4</v>
      </c>
      <c r="I189" s="0" t="n">
        <v>2</v>
      </c>
      <c r="J189" s="0" t="n">
        <v>45</v>
      </c>
      <c r="K189" s="32" t="s">
        <v>758</v>
      </c>
      <c r="L189" s="0" t="str">
        <f aca="false">IF(K189="GEN","GM",K189)</f>
        <v>CS</v>
      </c>
    </row>
    <row r="190" customFormat="false" ht="15" hidden="false" customHeight="false" outlineLevel="0" collapsed="false">
      <c r="A190" s="31" t="n">
        <v>45718</v>
      </c>
      <c r="B190" s="32" t="s">
        <v>79</v>
      </c>
      <c r="C190" s="0" t="n">
        <v>10</v>
      </c>
      <c r="D190" s="0" t="n">
        <v>7</v>
      </c>
      <c r="E190" s="0" t="n">
        <v>70</v>
      </c>
      <c r="F190" s="0" t="n">
        <v>29</v>
      </c>
      <c r="G190" s="0" t="n">
        <v>31</v>
      </c>
      <c r="H190" s="0" t="n">
        <v>2</v>
      </c>
      <c r="I190" s="0" t="n">
        <v>1</v>
      </c>
      <c r="J190" s="0" t="n">
        <v>81</v>
      </c>
      <c r="K190" s="32" t="s">
        <v>776</v>
      </c>
      <c r="L190" s="0" t="str">
        <f aca="false">IF(K190="GEN","GM",K190)</f>
        <v>GS</v>
      </c>
    </row>
    <row r="191" customFormat="false" ht="15" hidden="false" customHeight="false" outlineLevel="0" collapsed="false">
      <c r="A191" s="31" t="n">
        <v>45718</v>
      </c>
      <c r="B191" s="32" t="s">
        <v>114</v>
      </c>
      <c r="C191" s="0" t="n">
        <v>10</v>
      </c>
      <c r="D191" s="0" t="n">
        <v>7</v>
      </c>
      <c r="E191" s="0" t="n">
        <v>70</v>
      </c>
      <c r="F191" s="0" t="n">
        <v>28</v>
      </c>
      <c r="G191" s="0" t="n">
        <v>25</v>
      </c>
      <c r="I191" s="0" t="n">
        <v>0</v>
      </c>
      <c r="J191" s="0" t="n">
        <v>67</v>
      </c>
      <c r="K191" s="32" t="s">
        <v>802</v>
      </c>
      <c r="L191" s="0" t="str">
        <f aca="false">IF(K191="GEN","GM",K191)</f>
        <v>GYN</v>
      </c>
    </row>
    <row r="192" customFormat="false" ht="15" hidden="false" customHeight="false" outlineLevel="0" collapsed="false">
      <c r="A192" s="31" t="n">
        <v>45718</v>
      </c>
      <c r="B192" s="32" t="s">
        <v>226</v>
      </c>
      <c r="C192" s="0" t="n">
        <v>8</v>
      </c>
      <c r="D192" s="0" t="n">
        <v>5</v>
      </c>
      <c r="E192" s="0" t="n">
        <v>62.5</v>
      </c>
      <c r="F192" s="0" t="n">
        <v>15</v>
      </c>
      <c r="G192" s="0" t="n">
        <v>15</v>
      </c>
      <c r="H192" s="0" t="n">
        <v>4</v>
      </c>
      <c r="I192" s="0" t="n">
        <v>1</v>
      </c>
      <c r="J192" s="0" t="n">
        <v>64</v>
      </c>
      <c r="K192" s="32" t="s">
        <v>810</v>
      </c>
      <c r="L192" s="0" t="str">
        <f aca="false">IF(K192="GEN","GM",K192)</f>
        <v>URO</v>
      </c>
    </row>
    <row r="193" customFormat="false" ht="15" hidden="false" customHeight="false" outlineLevel="0" collapsed="false">
      <c r="A193" s="31" t="n">
        <v>45718</v>
      </c>
      <c r="B193" s="32" t="s">
        <v>195</v>
      </c>
      <c r="C193" s="0" t="n">
        <v>14</v>
      </c>
      <c r="D193" s="0" t="n">
        <v>11</v>
      </c>
      <c r="E193" s="0" t="n">
        <v>78.6</v>
      </c>
      <c r="F193" s="0" t="n">
        <v>37</v>
      </c>
      <c r="G193" s="0" t="n">
        <v>34</v>
      </c>
      <c r="H193" s="0" t="n">
        <v>4</v>
      </c>
      <c r="J193" s="0" t="n">
        <v>12</v>
      </c>
      <c r="K193" s="32" t="s">
        <v>793</v>
      </c>
      <c r="L193" s="0" t="str">
        <f aca="false">IF(K193="GEN","GM",K193)</f>
        <v>EM</v>
      </c>
    </row>
    <row r="194" customFormat="false" ht="15" hidden="false" customHeight="false" outlineLevel="0" collapsed="false">
      <c r="A194" s="31" t="n">
        <v>45725</v>
      </c>
      <c r="B194" s="32" t="s">
        <v>79</v>
      </c>
      <c r="C194" s="0" t="n">
        <v>10</v>
      </c>
      <c r="D194" s="0" t="n">
        <v>7</v>
      </c>
      <c r="E194" s="0" t="n">
        <v>70</v>
      </c>
      <c r="F194" s="0" t="n">
        <v>26</v>
      </c>
      <c r="G194" s="0" t="n">
        <v>25</v>
      </c>
      <c r="H194" s="0" t="n">
        <v>2</v>
      </c>
      <c r="I194" s="0" t="n">
        <v>2</v>
      </c>
      <c r="J194" s="0" t="n">
        <v>6</v>
      </c>
      <c r="K194" s="32" t="s">
        <v>810</v>
      </c>
      <c r="L194" s="0" t="str">
        <f aca="false">IF(K194="GEN","GM",K194)</f>
        <v>URO</v>
      </c>
    </row>
    <row r="195" customFormat="false" ht="15" hidden="false" customHeight="false" outlineLevel="0" collapsed="false">
      <c r="A195" s="31" t="n">
        <v>45725</v>
      </c>
      <c r="B195" s="32" t="s">
        <v>114</v>
      </c>
      <c r="C195" s="0" t="n">
        <v>10</v>
      </c>
      <c r="D195" s="0" t="n">
        <v>7</v>
      </c>
      <c r="E195" s="0" t="n">
        <v>70</v>
      </c>
      <c r="F195" s="0" t="n">
        <v>23</v>
      </c>
      <c r="G195" s="0" t="n">
        <v>23</v>
      </c>
      <c r="H195" s="0" t="n">
        <v>1</v>
      </c>
      <c r="I195" s="0" t="n">
        <v>3</v>
      </c>
      <c r="J195" s="0" t="n">
        <v>27</v>
      </c>
      <c r="K195" s="32" t="s">
        <v>776</v>
      </c>
      <c r="L195" s="0" t="str">
        <f aca="false">IF(K195="GEN","GM",K195)</f>
        <v>GS</v>
      </c>
    </row>
    <row r="196" customFormat="false" ht="15" hidden="false" customHeight="false" outlineLevel="0" collapsed="false">
      <c r="A196" s="31" t="n">
        <v>45725</v>
      </c>
      <c r="B196" s="32" t="s">
        <v>226</v>
      </c>
      <c r="C196" s="0" t="n">
        <v>8</v>
      </c>
      <c r="D196" s="0" t="n">
        <v>5</v>
      </c>
      <c r="E196" s="0" t="n">
        <v>62.5</v>
      </c>
      <c r="F196" s="0" t="n">
        <v>14</v>
      </c>
      <c r="G196" s="0" t="n">
        <v>14</v>
      </c>
      <c r="H196" s="0" t="n">
        <v>3</v>
      </c>
      <c r="J196" s="0" t="n">
        <v>13</v>
      </c>
      <c r="K196" s="32" t="s">
        <v>802</v>
      </c>
      <c r="L196" s="0" t="str">
        <f aca="false">IF(K196="GEN","GM",K196)</f>
        <v>GYN</v>
      </c>
    </row>
    <row r="197" customFormat="false" ht="15" hidden="false" customHeight="false" outlineLevel="0" collapsed="false">
      <c r="A197" s="31" t="n">
        <v>45725</v>
      </c>
      <c r="B197" s="32" t="s">
        <v>195</v>
      </c>
      <c r="C197" s="0" t="n">
        <v>14</v>
      </c>
      <c r="D197" s="0" t="n">
        <v>12</v>
      </c>
      <c r="E197" s="0" t="n">
        <v>85.7</v>
      </c>
      <c r="F197" s="0" t="n">
        <v>52</v>
      </c>
      <c r="G197" s="0" t="n">
        <v>52</v>
      </c>
      <c r="I197" s="0" t="n">
        <v>3</v>
      </c>
      <c r="J197" s="0" t="n">
        <v>57</v>
      </c>
      <c r="K197" s="32" t="s">
        <v>766</v>
      </c>
      <c r="L197" s="0" t="str">
        <f aca="false">IF(K197="GEN","GM",K197)</f>
        <v>OR</v>
      </c>
    </row>
    <row r="198" customFormat="false" ht="15" hidden="false" customHeight="false" outlineLevel="0" collapsed="false">
      <c r="A198" s="31" t="n">
        <v>45732</v>
      </c>
      <c r="B198" s="32" t="s">
        <v>79</v>
      </c>
      <c r="C198" s="0" t="n">
        <v>10</v>
      </c>
      <c r="D198" s="0" t="n">
        <v>7</v>
      </c>
      <c r="E198" s="0" t="n">
        <v>70</v>
      </c>
      <c r="F198" s="0" t="n">
        <v>19</v>
      </c>
      <c r="G198" s="0" t="n">
        <v>18</v>
      </c>
      <c r="H198" s="0" t="n">
        <v>2</v>
      </c>
      <c r="I198" s="0" t="n">
        <v>2</v>
      </c>
      <c r="J198" s="0" t="n">
        <v>16</v>
      </c>
      <c r="K198" s="32" t="s">
        <v>766</v>
      </c>
      <c r="L198" s="0" t="str">
        <f aca="false">IF(K198="GEN","GM",K198)</f>
        <v>OR</v>
      </c>
    </row>
    <row r="199" customFormat="false" ht="15" hidden="false" customHeight="false" outlineLevel="0" collapsed="false">
      <c r="A199" s="31" t="n">
        <v>45732</v>
      </c>
      <c r="B199" s="32" t="s">
        <v>114</v>
      </c>
      <c r="C199" s="0" t="n">
        <v>10</v>
      </c>
      <c r="D199" s="0" t="n">
        <v>7</v>
      </c>
      <c r="E199" s="0" t="n">
        <v>70</v>
      </c>
      <c r="F199" s="0" t="n">
        <v>25</v>
      </c>
      <c r="G199" s="0" t="n">
        <v>24</v>
      </c>
      <c r="H199" s="0" t="n">
        <v>2</v>
      </c>
      <c r="I199" s="0" t="n">
        <v>2</v>
      </c>
      <c r="J199" s="0" t="n">
        <v>60</v>
      </c>
      <c r="K199" s="32" t="s">
        <v>802</v>
      </c>
      <c r="L199" s="0" t="str">
        <f aca="false">IF(K199="GEN","GM",K199)</f>
        <v>GYN</v>
      </c>
    </row>
    <row r="200" customFormat="false" ht="15" hidden="false" customHeight="false" outlineLevel="0" collapsed="false">
      <c r="A200" s="31" t="n">
        <v>45732</v>
      </c>
      <c r="B200" s="32" t="s">
        <v>226</v>
      </c>
      <c r="C200" s="0" t="n">
        <v>8</v>
      </c>
      <c r="D200" s="0" t="n">
        <v>5</v>
      </c>
      <c r="E200" s="0" t="n">
        <v>62.5</v>
      </c>
      <c r="F200" s="0" t="n">
        <v>19</v>
      </c>
      <c r="G200" s="0" t="n">
        <v>16</v>
      </c>
      <c r="H200" s="0" t="n">
        <v>4</v>
      </c>
      <c r="I200" s="0" t="n">
        <v>2</v>
      </c>
      <c r="J200" s="0" t="n">
        <v>28</v>
      </c>
      <c r="K200" s="32" t="s">
        <v>810</v>
      </c>
      <c r="L200" s="0" t="str">
        <f aca="false">IF(K200="GEN","GM",K200)</f>
        <v>URO</v>
      </c>
    </row>
    <row r="201" customFormat="false" ht="15" hidden="false" customHeight="false" outlineLevel="0" collapsed="false">
      <c r="A201" s="31" t="n">
        <v>45732</v>
      </c>
      <c r="B201" s="32" t="s">
        <v>195</v>
      </c>
      <c r="C201" s="0" t="n">
        <v>14</v>
      </c>
      <c r="D201" s="0" t="n">
        <v>10</v>
      </c>
      <c r="E201" s="0" t="n">
        <v>71.4</v>
      </c>
      <c r="F201" s="0" t="n">
        <v>38</v>
      </c>
      <c r="G201" s="0" t="n">
        <v>37</v>
      </c>
      <c r="H201" s="0" t="n">
        <v>4</v>
      </c>
      <c r="I201" s="0" t="n">
        <v>3</v>
      </c>
      <c r="J201" s="0" t="n">
        <v>84</v>
      </c>
      <c r="K201" s="32" t="s">
        <v>766</v>
      </c>
      <c r="L201" s="0" t="str">
        <f aca="false">IF(K201="GEN","GM",K201)</f>
        <v>OR</v>
      </c>
    </row>
    <row r="202" customFormat="false" ht="15" hidden="false" customHeight="false" outlineLevel="0" collapsed="false">
      <c r="A202" s="31" t="n">
        <v>45739</v>
      </c>
      <c r="B202" s="32" t="s">
        <v>79</v>
      </c>
      <c r="C202" s="0" t="n">
        <v>10</v>
      </c>
      <c r="D202" s="0" t="n">
        <v>6</v>
      </c>
      <c r="E202" s="0" t="n">
        <v>60</v>
      </c>
      <c r="F202" s="0" t="n">
        <v>16</v>
      </c>
      <c r="G202" s="0" t="n">
        <v>17</v>
      </c>
      <c r="H202" s="0" t="n">
        <v>4</v>
      </c>
      <c r="I202" s="0" t="n">
        <v>0</v>
      </c>
      <c r="J202" s="0" t="n">
        <v>85</v>
      </c>
      <c r="K202" s="32" t="s">
        <v>810</v>
      </c>
      <c r="L202" s="0" t="str">
        <f aca="false">IF(K202="GEN","GM",K202)</f>
        <v>URO</v>
      </c>
    </row>
    <row r="203" customFormat="false" ht="15" hidden="false" customHeight="false" outlineLevel="0" collapsed="false">
      <c r="A203" s="31" t="n">
        <v>45739</v>
      </c>
      <c r="B203" s="32" t="s">
        <v>114</v>
      </c>
      <c r="C203" s="0" t="n">
        <v>10</v>
      </c>
      <c r="D203" s="0" t="n">
        <v>6</v>
      </c>
      <c r="E203" s="0" t="n">
        <v>60</v>
      </c>
      <c r="F203" s="0" t="n">
        <v>19</v>
      </c>
      <c r="G203" s="0" t="n">
        <v>22</v>
      </c>
      <c r="H203" s="0" t="n">
        <v>0</v>
      </c>
      <c r="I203" s="0" t="n">
        <v>2</v>
      </c>
      <c r="J203" s="0" t="n">
        <v>48</v>
      </c>
      <c r="K203" s="32" t="s">
        <v>802</v>
      </c>
      <c r="L203" s="0" t="str">
        <f aca="false">IF(K203="GEN","GM",K203)</f>
        <v>GYN</v>
      </c>
    </row>
    <row r="204" customFormat="false" ht="15" hidden="false" customHeight="false" outlineLevel="0" collapsed="false">
      <c r="A204" s="31" t="n">
        <v>45739</v>
      </c>
      <c r="B204" s="32" t="s">
        <v>226</v>
      </c>
      <c r="C204" s="0" t="n">
        <v>8</v>
      </c>
      <c r="D204" s="0" t="n">
        <v>6</v>
      </c>
      <c r="E204" s="0" t="n">
        <v>75</v>
      </c>
      <c r="F204" s="0" t="n">
        <v>19</v>
      </c>
      <c r="G204" s="0" t="n">
        <v>15</v>
      </c>
      <c r="H204" s="0" t="n">
        <v>1</v>
      </c>
      <c r="I204" s="0" t="n">
        <v>3</v>
      </c>
      <c r="J204" s="0" t="n">
        <v>43</v>
      </c>
      <c r="K204" s="32" t="s">
        <v>802</v>
      </c>
      <c r="L204" s="0" t="str">
        <f aca="false">IF(K204="GEN","GM",K204)</f>
        <v>GYN</v>
      </c>
    </row>
    <row r="205" customFormat="false" ht="15" hidden="false" customHeight="false" outlineLevel="0" collapsed="false">
      <c r="A205" s="31" t="n">
        <v>45739</v>
      </c>
      <c r="B205" s="32" t="s">
        <v>195</v>
      </c>
      <c r="C205" s="0" t="n">
        <v>14</v>
      </c>
      <c r="D205" s="0" t="n">
        <v>13</v>
      </c>
      <c r="E205" s="0" t="n">
        <v>92.9</v>
      </c>
      <c r="F205" s="0" t="n">
        <v>48</v>
      </c>
      <c r="G205" s="0" t="n">
        <v>48</v>
      </c>
      <c r="H205" s="0" t="n">
        <v>4</v>
      </c>
      <c r="I205" s="0" t="n">
        <v>0</v>
      </c>
      <c r="J205" s="0" t="n">
        <v>29</v>
      </c>
      <c r="K205" s="32" t="s">
        <v>776</v>
      </c>
      <c r="L205" s="0" t="str">
        <f aca="false">IF(K205="GEN","GM",K205)</f>
        <v>GS</v>
      </c>
    </row>
    <row r="206" customFormat="false" ht="15" hidden="false" customHeight="false" outlineLevel="0" collapsed="false">
      <c r="A206" s="31" t="n">
        <v>45746</v>
      </c>
      <c r="B206" s="32" t="s">
        <v>79</v>
      </c>
      <c r="C206" s="0" t="n">
        <v>10</v>
      </c>
      <c r="D206" s="0" t="n">
        <v>7</v>
      </c>
      <c r="E206" s="0" t="n">
        <v>70</v>
      </c>
      <c r="F206" s="0" t="n">
        <v>31</v>
      </c>
      <c r="G206" s="0" t="n">
        <v>30</v>
      </c>
      <c r="H206" s="0" t="n">
        <v>4</v>
      </c>
      <c r="I206" s="0" t="n">
        <v>3</v>
      </c>
      <c r="J206" s="0" t="n">
        <v>69</v>
      </c>
      <c r="K206" s="32" t="s">
        <v>766</v>
      </c>
      <c r="L206" s="0" t="str">
        <f aca="false">IF(K206="GEN","GM",K206)</f>
        <v>OR</v>
      </c>
    </row>
    <row r="207" customFormat="false" ht="15" hidden="false" customHeight="false" outlineLevel="0" collapsed="false">
      <c r="A207" s="31" t="n">
        <v>45746</v>
      </c>
      <c r="B207" s="32" t="s">
        <v>114</v>
      </c>
      <c r="C207" s="0" t="n">
        <v>10</v>
      </c>
      <c r="D207" s="0" t="n">
        <v>8</v>
      </c>
      <c r="E207" s="0" t="n">
        <v>80</v>
      </c>
      <c r="F207" s="0" t="n">
        <v>22</v>
      </c>
      <c r="G207" s="0" t="n">
        <v>18</v>
      </c>
      <c r="H207" s="0" t="n">
        <v>1</v>
      </c>
      <c r="I207" s="0" t="n">
        <v>0</v>
      </c>
      <c r="J207" s="0" t="n">
        <v>37</v>
      </c>
      <c r="K207" s="32" t="s">
        <v>776</v>
      </c>
      <c r="L207" s="0" t="str">
        <f aca="false">IF(K207="GEN","GM",K207)</f>
        <v>GS</v>
      </c>
    </row>
    <row r="208" customFormat="false" ht="15" hidden="false" customHeight="false" outlineLevel="0" collapsed="false">
      <c r="A208" s="31" t="n">
        <v>45746</v>
      </c>
      <c r="B208" s="32" t="s">
        <v>226</v>
      </c>
      <c r="C208" s="0" t="n">
        <v>8</v>
      </c>
      <c r="D208" s="0" t="n">
        <v>5</v>
      </c>
      <c r="E208" s="0" t="n">
        <v>62.5</v>
      </c>
      <c r="F208" s="0" t="n">
        <v>22</v>
      </c>
      <c r="G208" s="0" t="n">
        <v>19</v>
      </c>
      <c r="I208" s="0" t="n">
        <v>3</v>
      </c>
      <c r="J208" s="0" t="n">
        <v>13</v>
      </c>
      <c r="K208" s="32" t="s">
        <v>766</v>
      </c>
      <c r="L208" s="0" t="str">
        <f aca="false">IF(K208="GEN","GM",K208)</f>
        <v>OR</v>
      </c>
    </row>
    <row r="209" customFormat="false" ht="15" hidden="false" customHeight="false" outlineLevel="0" collapsed="false">
      <c r="A209" s="31" t="n">
        <v>45747</v>
      </c>
      <c r="B209" s="32" t="s">
        <v>195</v>
      </c>
      <c r="C209" s="0" t="n">
        <v>14</v>
      </c>
      <c r="D209" s="0" t="n">
        <v>10</v>
      </c>
      <c r="E209" s="0" t="n">
        <v>71.4</v>
      </c>
      <c r="F209" s="0" t="n">
        <v>27</v>
      </c>
      <c r="G209" s="0" t="n">
        <v>25</v>
      </c>
      <c r="H209" s="0" t="n">
        <v>4</v>
      </c>
      <c r="I209" s="0" t="n">
        <v>1</v>
      </c>
      <c r="J209" s="0" t="n">
        <v>80</v>
      </c>
      <c r="K209" s="32" t="s">
        <v>793</v>
      </c>
      <c r="L209" s="0" t="str">
        <f aca="false">IF(K209="GEN","GM",K209)</f>
        <v>EM</v>
      </c>
    </row>
  </sheetData>
  <autoFilter ref="A1:K2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  <col collapsed="false" customWidth="true" hidden="false" outlineLevel="0" max="13" min="13" style="0" width="16"/>
  </cols>
  <sheetData>
    <row r="1" customFormat="false" ht="23.85" hidden="false" customHeight="false" outlineLevel="0" collapsed="false">
      <c r="A1" s="6" t="s">
        <v>6278</v>
      </c>
      <c r="B1" s="6" t="s">
        <v>502</v>
      </c>
      <c r="C1" s="6" t="s">
        <v>518</v>
      </c>
      <c r="D1" s="6" t="s">
        <v>278</v>
      </c>
      <c r="E1" s="6" t="s">
        <v>563</v>
      </c>
      <c r="F1" s="6" t="s">
        <v>525</v>
      </c>
      <c r="G1" s="6" t="s">
        <v>531</v>
      </c>
      <c r="H1" s="6" t="s">
        <v>538</v>
      </c>
      <c r="I1" s="6" t="s">
        <v>493</v>
      </c>
      <c r="J1" s="6" t="s">
        <v>555</v>
      </c>
      <c r="K1" s="6" t="s">
        <v>6279</v>
      </c>
      <c r="L1" s="6" t="s">
        <v>135</v>
      </c>
      <c r="M1" s="30" t="s">
        <v>743</v>
      </c>
    </row>
    <row r="2" customFormat="false" ht="15" hidden="false" customHeight="false" outlineLevel="0" collapsed="false">
      <c r="A2" s="0" t="s">
        <v>6280</v>
      </c>
      <c r="B2" s="0" t="s">
        <v>6281</v>
      </c>
      <c r="C2" s="0" t="s">
        <v>6282</v>
      </c>
      <c r="D2" s="0" t="s">
        <v>2088</v>
      </c>
      <c r="E2" s="31" t="n">
        <v>45663</v>
      </c>
      <c r="F2" s="32" t="s">
        <v>6283</v>
      </c>
      <c r="G2" s="0" t="n">
        <v>11.5</v>
      </c>
      <c r="H2" s="0" t="n">
        <v>11.5</v>
      </c>
      <c r="I2" s="32" t="s">
        <v>2081</v>
      </c>
      <c r="J2" s="32" t="s">
        <v>2081</v>
      </c>
      <c r="K2" s="0" t="n">
        <v>0</v>
      </c>
      <c r="L2" s="32" t="s">
        <v>747</v>
      </c>
      <c r="M2" s="0" t="str">
        <f aca="false">IF(L2="GEN","GM",L2)</f>
        <v>GM</v>
      </c>
    </row>
    <row r="3" customFormat="false" ht="15" hidden="false" customHeight="false" outlineLevel="0" collapsed="false">
      <c r="A3" s="0" t="s">
        <v>6284</v>
      </c>
      <c r="B3" s="0" t="s">
        <v>6285</v>
      </c>
      <c r="C3" s="0" t="s">
        <v>6286</v>
      </c>
      <c r="D3" s="0" t="s">
        <v>2088</v>
      </c>
      <c r="E3" s="31" t="n">
        <v>45663</v>
      </c>
      <c r="F3" s="32" t="s">
        <v>6287</v>
      </c>
      <c r="G3" s="0" t="n">
        <v>7.5</v>
      </c>
      <c r="H3" s="0" t="n">
        <v>7.5</v>
      </c>
      <c r="I3" s="32" t="s">
        <v>2081</v>
      </c>
      <c r="J3" s="32" t="s">
        <v>2081</v>
      </c>
      <c r="K3" s="0" t="n">
        <v>0</v>
      </c>
      <c r="L3" s="32" t="s">
        <v>802</v>
      </c>
      <c r="M3" s="0" t="str">
        <f aca="false">IF(L3="GEN","GM",L3)</f>
        <v>GYN</v>
      </c>
    </row>
    <row r="4" customFormat="false" ht="15" hidden="false" customHeight="false" outlineLevel="0" collapsed="false">
      <c r="A4" s="0" t="s">
        <v>6288</v>
      </c>
      <c r="B4" s="0" t="s">
        <v>6289</v>
      </c>
      <c r="C4" s="0" t="s">
        <v>6290</v>
      </c>
      <c r="D4" s="0" t="s">
        <v>2088</v>
      </c>
      <c r="E4" s="31" t="n">
        <v>45663</v>
      </c>
      <c r="F4" s="32" t="s">
        <v>6287</v>
      </c>
      <c r="G4" s="0" t="n">
        <v>7.5</v>
      </c>
      <c r="H4" s="0" t="n">
        <v>7.5</v>
      </c>
      <c r="I4" s="32" t="s">
        <v>2081</v>
      </c>
      <c r="J4" s="32" t="s">
        <v>2081</v>
      </c>
      <c r="K4" s="0" t="n">
        <v>0</v>
      </c>
      <c r="L4" s="32" t="s">
        <v>747</v>
      </c>
      <c r="M4" s="0" t="str">
        <f aca="false">IF(L4="GEN","GM",L4)</f>
        <v>GM</v>
      </c>
    </row>
    <row r="5" customFormat="false" ht="15" hidden="false" customHeight="false" outlineLevel="0" collapsed="false">
      <c r="A5" s="0" t="s">
        <v>6291</v>
      </c>
      <c r="B5" s="0" t="s">
        <v>6292</v>
      </c>
      <c r="C5" s="0" t="s">
        <v>6282</v>
      </c>
      <c r="D5" s="0" t="s">
        <v>2079</v>
      </c>
      <c r="E5" s="31" t="n">
        <v>45663</v>
      </c>
      <c r="F5" s="32" t="s">
        <v>6283</v>
      </c>
      <c r="G5" s="0" t="n">
        <v>11.5</v>
      </c>
      <c r="H5" s="0" t="n">
        <v>12.5</v>
      </c>
      <c r="I5" s="32" t="s">
        <v>2081</v>
      </c>
      <c r="J5" s="32" t="s">
        <v>2081</v>
      </c>
      <c r="K5" s="0" t="n">
        <v>1</v>
      </c>
      <c r="L5" s="32" t="s">
        <v>766</v>
      </c>
      <c r="M5" s="0" t="str">
        <f aca="false">IF(L5="GEN","GM",L5)</f>
        <v>OR</v>
      </c>
    </row>
    <row r="6" customFormat="false" ht="15" hidden="false" customHeight="false" outlineLevel="0" collapsed="false">
      <c r="A6" s="0" t="s">
        <v>6293</v>
      </c>
      <c r="B6" s="0" t="s">
        <v>6294</v>
      </c>
      <c r="C6" s="0" t="s">
        <v>6295</v>
      </c>
      <c r="D6" s="0" t="s">
        <v>2079</v>
      </c>
      <c r="E6" s="31" t="n">
        <v>45663</v>
      </c>
      <c r="F6" s="32" t="s">
        <v>1125</v>
      </c>
      <c r="G6" s="0" t="n">
        <v>12</v>
      </c>
      <c r="H6" s="0" t="n">
        <v>13.2</v>
      </c>
      <c r="I6" s="32" t="s">
        <v>2081</v>
      </c>
      <c r="J6" s="32" t="s">
        <v>2081</v>
      </c>
      <c r="K6" s="0" t="n">
        <v>1.2</v>
      </c>
      <c r="L6" s="32" t="s">
        <v>766</v>
      </c>
      <c r="M6" s="0" t="str">
        <f aca="false">IF(L6="GEN","GM",L6)</f>
        <v>OR</v>
      </c>
    </row>
    <row r="7" customFormat="false" ht="15" hidden="false" customHeight="false" outlineLevel="0" collapsed="false">
      <c r="A7" s="0" t="s">
        <v>6296</v>
      </c>
      <c r="B7" s="0" t="s">
        <v>6297</v>
      </c>
      <c r="C7" s="0" t="s">
        <v>6286</v>
      </c>
      <c r="D7" s="0" t="s">
        <v>2079</v>
      </c>
      <c r="E7" s="31" t="n">
        <v>45663</v>
      </c>
      <c r="F7" s="32" t="s">
        <v>6283</v>
      </c>
      <c r="G7" s="0" t="n">
        <v>11.5</v>
      </c>
      <c r="H7" s="0" t="n">
        <v>11.5</v>
      </c>
      <c r="I7" s="32" t="s">
        <v>2081</v>
      </c>
      <c r="J7" s="32" t="s">
        <v>2081</v>
      </c>
      <c r="K7" s="0" t="n">
        <v>0</v>
      </c>
      <c r="L7" s="32" t="s">
        <v>766</v>
      </c>
      <c r="M7" s="0" t="str">
        <f aca="false">IF(L7="GEN","GM",L7)</f>
        <v>OR</v>
      </c>
    </row>
    <row r="8" customFormat="false" ht="15" hidden="false" customHeight="false" outlineLevel="0" collapsed="false">
      <c r="A8" s="0" t="s">
        <v>6298</v>
      </c>
      <c r="B8" s="0" t="s">
        <v>6299</v>
      </c>
      <c r="C8" s="0" t="s">
        <v>6286</v>
      </c>
      <c r="D8" s="0" t="s">
        <v>2079</v>
      </c>
      <c r="E8" s="31" t="n">
        <v>45663</v>
      </c>
      <c r="F8" s="32" t="s">
        <v>6287</v>
      </c>
      <c r="G8" s="0" t="n">
        <v>7.5</v>
      </c>
      <c r="H8" s="0" t="n">
        <v>8.9</v>
      </c>
      <c r="I8" s="32" t="s">
        <v>2081</v>
      </c>
      <c r="J8" s="32" t="s">
        <v>2081</v>
      </c>
      <c r="K8" s="0" t="n">
        <v>1.4</v>
      </c>
      <c r="L8" s="32" t="s">
        <v>758</v>
      </c>
      <c r="M8" s="0" t="str">
        <f aca="false">IF(L8="GEN","GM",L8)</f>
        <v>CS</v>
      </c>
    </row>
    <row r="9" customFormat="false" ht="15" hidden="false" customHeight="false" outlineLevel="0" collapsed="false">
      <c r="A9" s="0" t="s">
        <v>6300</v>
      </c>
      <c r="B9" s="0" t="s">
        <v>6301</v>
      </c>
      <c r="C9" s="0" t="s">
        <v>6295</v>
      </c>
      <c r="D9" s="0" t="s">
        <v>2079</v>
      </c>
      <c r="E9" s="31" t="n">
        <v>45663</v>
      </c>
      <c r="F9" s="32" t="s">
        <v>1125</v>
      </c>
      <c r="G9" s="0" t="n">
        <v>12</v>
      </c>
      <c r="H9" s="0" t="n">
        <v>12</v>
      </c>
      <c r="I9" s="32" t="s">
        <v>2081</v>
      </c>
      <c r="J9" s="32" t="s">
        <v>2081</v>
      </c>
      <c r="K9" s="0" t="n">
        <v>0</v>
      </c>
      <c r="L9" s="32" t="s">
        <v>747</v>
      </c>
      <c r="M9" s="0" t="str">
        <f aca="false">IF(L9="GEN","GM",L9)</f>
        <v>GM</v>
      </c>
    </row>
    <row r="10" customFormat="false" ht="15" hidden="false" customHeight="false" outlineLevel="0" collapsed="false">
      <c r="A10" s="0" t="s">
        <v>6302</v>
      </c>
      <c r="B10" s="0" t="s">
        <v>6303</v>
      </c>
      <c r="C10" s="0" t="s">
        <v>6295</v>
      </c>
      <c r="D10" s="0" t="s">
        <v>2099</v>
      </c>
      <c r="E10" s="31" t="n">
        <v>45663</v>
      </c>
      <c r="F10" s="32" t="s">
        <v>1125</v>
      </c>
      <c r="G10" s="0" t="n">
        <v>12</v>
      </c>
      <c r="H10" s="0" t="n">
        <v>12</v>
      </c>
      <c r="I10" s="32" t="s">
        <v>2106</v>
      </c>
      <c r="J10" s="32" t="s">
        <v>2081</v>
      </c>
      <c r="K10" s="0" t="n">
        <v>0</v>
      </c>
      <c r="L10" s="32" t="s">
        <v>747</v>
      </c>
      <c r="M10" s="0" t="str">
        <f aca="false">IF(L10="GEN","GM",L10)</f>
        <v>GM</v>
      </c>
    </row>
    <row r="11" customFormat="false" ht="15" hidden="false" customHeight="false" outlineLevel="0" collapsed="false">
      <c r="A11" s="0" t="s">
        <v>6304</v>
      </c>
      <c r="B11" s="0" t="s">
        <v>6305</v>
      </c>
      <c r="C11" s="0" t="s">
        <v>6282</v>
      </c>
      <c r="D11" s="0" t="s">
        <v>2099</v>
      </c>
      <c r="E11" s="31" t="n">
        <v>45663</v>
      </c>
      <c r="F11" s="32" t="s">
        <v>1125</v>
      </c>
      <c r="G11" s="0" t="n">
        <v>12</v>
      </c>
      <c r="H11" s="0" t="n">
        <v>12</v>
      </c>
      <c r="I11" s="32" t="s">
        <v>2081</v>
      </c>
      <c r="J11" s="32" t="s">
        <v>2081</v>
      </c>
      <c r="K11" s="0" t="n">
        <v>0</v>
      </c>
      <c r="L11" s="32" t="s">
        <v>747</v>
      </c>
      <c r="M11" s="0" t="str">
        <f aca="false">IF(L11="GEN","GM",L11)</f>
        <v>GM</v>
      </c>
    </row>
    <row r="12" customFormat="false" ht="15" hidden="false" customHeight="false" outlineLevel="0" collapsed="false">
      <c r="A12" s="0" t="s">
        <v>6306</v>
      </c>
      <c r="B12" s="0" t="s">
        <v>6307</v>
      </c>
      <c r="C12" s="0" t="s">
        <v>6282</v>
      </c>
      <c r="D12" s="0" t="s">
        <v>2099</v>
      </c>
      <c r="E12" s="31" t="n">
        <v>45663</v>
      </c>
      <c r="F12" s="32" t="s">
        <v>1125</v>
      </c>
      <c r="G12" s="0" t="n">
        <v>12</v>
      </c>
      <c r="H12" s="0" t="n">
        <v>12</v>
      </c>
      <c r="I12" s="32" t="s">
        <v>2081</v>
      </c>
      <c r="J12" s="32" t="s">
        <v>2081</v>
      </c>
      <c r="K12" s="0" t="n">
        <v>0</v>
      </c>
      <c r="L12" s="32" t="s">
        <v>810</v>
      </c>
      <c r="M12" s="0" t="str">
        <f aca="false">IF(L12="GEN","GM",L12)</f>
        <v>URO</v>
      </c>
    </row>
    <row r="13" customFormat="false" ht="15" hidden="false" customHeight="false" outlineLevel="0" collapsed="false">
      <c r="A13" s="0" t="s">
        <v>6308</v>
      </c>
      <c r="B13" s="0" t="s">
        <v>6309</v>
      </c>
      <c r="C13" s="0" t="s">
        <v>6295</v>
      </c>
      <c r="D13" s="0" t="s">
        <v>2099</v>
      </c>
      <c r="E13" s="31" t="n">
        <v>45663</v>
      </c>
      <c r="F13" s="32" t="s">
        <v>6287</v>
      </c>
      <c r="G13" s="0" t="n">
        <v>7.5</v>
      </c>
      <c r="H13" s="0" t="n">
        <v>7.5</v>
      </c>
      <c r="I13" s="32" t="s">
        <v>2081</v>
      </c>
      <c r="J13" s="32" t="s">
        <v>2081</v>
      </c>
      <c r="K13" s="0" t="n">
        <v>0</v>
      </c>
      <c r="L13" s="32" t="s">
        <v>785</v>
      </c>
      <c r="M13" s="0" t="str">
        <f aca="false">IF(L13="GEN","GM",L13)</f>
        <v>RS</v>
      </c>
    </row>
    <row r="14" customFormat="false" ht="15" hidden="false" customHeight="false" outlineLevel="0" collapsed="false">
      <c r="A14" s="0" t="s">
        <v>6310</v>
      </c>
      <c r="B14" s="0" t="s">
        <v>6311</v>
      </c>
      <c r="C14" s="0" t="s">
        <v>6290</v>
      </c>
      <c r="D14" s="0" t="s">
        <v>2099</v>
      </c>
      <c r="E14" s="31" t="n">
        <v>45663</v>
      </c>
      <c r="F14" s="32" t="s">
        <v>6283</v>
      </c>
      <c r="G14" s="0" t="n">
        <v>11.5</v>
      </c>
      <c r="H14" s="0" t="n">
        <v>11.5</v>
      </c>
      <c r="I14" s="32" t="s">
        <v>2081</v>
      </c>
      <c r="J14" s="32" t="s">
        <v>2081</v>
      </c>
      <c r="K14" s="0" t="n">
        <v>0</v>
      </c>
      <c r="L14" s="32" t="s">
        <v>766</v>
      </c>
      <c r="M14" s="0" t="str">
        <f aca="false">IF(L14="GEN","GM",L14)</f>
        <v>OR</v>
      </c>
    </row>
    <row r="15" customFormat="false" ht="15" hidden="false" customHeight="false" outlineLevel="0" collapsed="false">
      <c r="A15" s="0" t="s">
        <v>6312</v>
      </c>
      <c r="B15" s="0" t="s">
        <v>6313</v>
      </c>
      <c r="C15" s="0" t="s">
        <v>6286</v>
      </c>
      <c r="D15" s="0" t="s">
        <v>2115</v>
      </c>
      <c r="E15" s="31" t="n">
        <v>45663</v>
      </c>
      <c r="F15" s="32" t="s">
        <v>6287</v>
      </c>
      <c r="G15" s="0" t="n">
        <v>7.5</v>
      </c>
      <c r="H15" s="0" t="n">
        <v>7.5</v>
      </c>
      <c r="I15" s="32" t="s">
        <v>2081</v>
      </c>
      <c r="J15" s="32" t="s">
        <v>2081</v>
      </c>
      <c r="K15" s="0" t="n">
        <v>0</v>
      </c>
      <c r="L15" s="32" t="s">
        <v>793</v>
      </c>
      <c r="M15" s="0" t="str">
        <f aca="false">IF(L15="GEN","GM",L15)</f>
        <v>EM</v>
      </c>
    </row>
    <row r="16" customFormat="false" ht="15" hidden="false" customHeight="false" outlineLevel="0" collapsed="false">
      <c r="A16" s="0" t="s">
        <v>6314</v>
      </c>
      <c r="B16" s="0" t="s">
        <v>6315</v>
      </c>
      <c r="C16" s="0" t="s">
        <v>780</v>
      </c>
      <c r="D16" s="0" t="s">
        <v>2115</v>
      </c>
      <c r="E16" s="31" t="n">
        <v>45663</v>
      </c>
      <c r="F16" s="32" t="s">
        <v>6287</v>
      </c>
      <c r="G16" s="0" t="n">
        <v>7.5</v>
      </c>
      <c r="H16" s="0" t="n">
        <v>7.5</v>
      </c>
      <c r="I16" s="32" t="s">
        <v>2081</v>
      </c>
      <c r="J16" s="32" t="s">
        <v>2081</v>
      </c>
      <c r="K16" s="0" t="n">
        <v>0</v>
      </c>
      <c r="L16" s="32" t="s">
        <v>826</v>
      </c>
      <c r="M16" s="0" t="str">
        <f aca="false">IF(L16="GEN","GM",L16)</f>
        <v>RHE</v>
      </c>
    </row>
    <row r="17" customFormat="false" ht="15" hidden="false" customHeight="false" outlineLevel="0" collapsed="false">
      <c r="A17" s="0" t="s">
        <v>6316</v>
      </c>
      <c r="B17" s="0" t="s">
        <v>6317</v>
      </c>
      <c r="C17" s="0" t="s">
        <v>6286</v>
      </c>
      <c r="D17" s="0" t="s">
        <v>2115</v>
      </c>
      <c r="E17" s="31" t="n">
        <v>45663</v>
      </c>
      <c r="F17" s="32" t="s">
        <v>6283</v>
      </c>
      <c r="G17" s="0" t="n">
        <v>11.5</v>
      </c>
      <c r="H17" s="0" t="n">
        <v>11.5</v>
      </c>
      <c r="I17" s="32" t="s">
        <v>2081</v>
      </c>
      <c r="J17" s="32" t="s">
        <v>2081</v>
      </c>
      <c r="K17" s="0" t="n">
        <v>0</v>
      </c>
      <c r="L17" s="32" t="s">
        <v>826</v>
      </c>
      <c r="M17" s="0" t="str">
        <f aca="false">IF(L17="GEN","GM",L17)</f>
        <v>RHE</v>
      </c>
    </row>
    <row r="18" customFormat="false" ht="15" hidden="false" customHeight="false" outlineLevel="0" collapsed="false">
      <c r="A18" s="0" t="s">
        <v>6318</v>
      </c>
      <c r="B18" s="0" t="s">
        <v>6319</v>
      </c>
      <c r="C18" s="0" t="s">
        <v>6295</v>
      </c>
      <c r="D18" s="0" t="s">
        <v>2124</v>
      </c>
      <c r="E18" s="31" t="n">
        <v>45663</v>
      </c>
      <c r="F18" s="32" t="s">
        <v>1125</v>
      </c>
      <c r="G18" s="0" t="n">
        <v>12</v>
      </c>
      <c r="H18" s="0" t="n">
        <v>12</v>
      </c>
      <c r="I18" s="32" t="s">
        <v>2081</v>
      </c>
      <c r="J18" s="32" t="s">
        <v>2081</v>
      </c>
      <c r="K18" s="0" t="n">
        <v>0</v>
      </c>
      <c r="L18" s="32" t="s">
        <v>826</v>
      </c>
      <c r="M18" s="0" t="str">
        <f aca="false">IF(L18="GEN","GM",L18)</f>
        <v>RHE</v>
      </c>
    </row>
    <row r="19" customFormat="false" ht="15" hidden="false" customHeight="false" outlineLevel="0" collapsed="false">
      <c r="A19" s="0" t="s">
        <v>6320</v>
      </c>
      <c r="B19" s="0" t="s">
        <v>6321</v>
      </c>
      <c r="C19" s="0" t="s">
        <v>6290</v>
      </c>
      <c r="D19" s="0" t="s">
        <v>2124</v>
      </c>
      <c r="E19" s="31" t="n">
        <v>45663</v>
      </c>
      <c r="F19" s="32" t="s">
        <v>1125</v>
      </c>
      <c r="G19" s="0" t="n">
        <v>12</v>
      </c>
      <c r="H19" s="0" t="n">
        <v>12</v>
      </c>
      <c r="I19" s="32" t="s">
        <v>2081</v>
      </c>
      <c r="J19" s="32" t="s">
        <v>2081</v>
      </c>
      <c r="K19" s="0" t="n">
        <v>0</v>
      </c>
      <c r="L19" s="32" t="s">
        <v>785</v>
      </c>
      <c r="M19" s="0" t="str">
        <f aca="false">IF(L19="GEN","GM",L19)</f>
        <v>RS</v>
      </c>
    </row>
    <row r="20" customFormat="false" ht="15" hidden="false" customHeight="false" outlineLevel="0" collapsed="false">
      <c r="A20" s="0" t="s">
        <v>6322</v>
      </c>
      <c r="B20" s="0" t="s">
        <v>6323</v>
      </c>
      <c r="C20" s="0" t="s">
        <v>6286</v>
      </c>
      <c r="D20" s="0" t="s">
        <v>2124</v>
      </c>
      <c r="E20" s="31" t="n">
        <v>45663</v>
      </c>
      <c r="F20" s="32" t="s">
        <v>6283</v>
      </c>
      <c r="G20" s="0" t="n">
        <v>11.5</v>
      </c>
      <c r="H20" s="0" t="n">
        <v>11.5</v>
      </c>
      <c r="I20" s="32" t="s">
        <v>2081</v>
      </c>
      <c r="J20" s="32" t="s">
        <v>2081</v>
      </c>
      <c r="K20" s="0" t="n">
        <v>0</v>
      </c>
      <c r="L20" s="32" t="s">
        <v>766</v>
      </c>
      <c r="M20" s="0" t="str">
        <f aca="false">IF(L20="GEN","GM",L20)</f>
        <v>OR</v>
      </c>
    </row>
    <row r="21" customFormat="false" ht="15" hidden="false" customHeight="false" outlineLevel="0" collapsed="false">
      <c r="A21" s="0" t="s">
        <v>6324</v>
      </c>
      <c r="B21" s="0" t="s">
        <v>6325</v>
      </c>
      <c r="C21" s="0" t="s">
        <v>6290</v>
      </c>
      <c r="D21" s="0" t="s">
        <v>2124</v>
      </c>
      <c r="E21" s="31" t="n">
        <v>45663</v>
      </c>
      <c r="F21" s="32" t="s">
        <v>1125</v>
      </c>
      <c r="G21" s="0" t="n">
        <v>12</v>
      </c>
      <c r="H21" s="0" t="n">
        <v>12</v>
      </c>
      <c r="I21" s="32" t="s">
        <v>2081</v>
      </c>
      <c r="J21" s="32" t="s">
        <v>2081</v>
      </c>
      <c r="K21" s="0" t="n">
        <v>0</v>
      </c>
      <c r="L21" s="32" t="s">
        <v>785</v>
      </c>
      <c r="M21" s="0" t="str">
        <f aca="false">IF(L21="GEN","GM",L21)</f>
        <v>RS</v>
      </c>
    </row>
    <row r="22" customFormat="false" ht="15" hidden="false" customHeight="false" outlineLevel="0" collapsed="false">
      <c r="A22" s="0" t="s">
        <v>6326</v>
      </c>
      <c r="B22" s="0" t="s">
        <v>6327</v>
      </c>
      <c r="C22" s="0" t="s">
        <v>6286</v>
      </c>
      <c r="D22" s="0" t="s">
        <v>2104</v>
      </c>
      <c r="E22" s="31" t="n">
        <v>45663</v>
      </c>
      <c r="F22" s="32" t="s">
        <v>6287</v>
      </c>
      <c r="G22" s="0" t="n">
        <v>7.5</v>
      </c>
      <c r="H22" s="0" t="n">
        <v>7.5</v>
      </c>
      <c r="I22" s="32" t="s">
        <v>2081</v>
      </c>
      <c r="J22" s="32" t="s">
        <v>2081</v>
      </c>
      <c r="K22" s="0" t="n">
        <v>0</v>
      </c>
      <c r="L22" s="32" t="s">
        <v>826</v>
      </c>
      <c r="M22" s="0" t="str">
        <f aca="false">IF(L22="GEN","GM",L22)</f>
        <v>RHE</v>
      </c>
    </row>
    <row r="23" customFormat="false" ht="15" hidden="false" customHeight="false" outlineLevel="0" collapsed="false">
      <c r="A23" s="0" t="s">
        <v>6328</v>
      </c>
      <c r="B23" s="0" t="s">
        <v>6329</v>
      </c>
      <c r="C23" s="0" t="s">
        <v>6290</v>
      </c>
      <c r="D23" s="0" t="s">
        <v>2104</v>
      </c>
      <c r="E23" s="31" t="n">
        <v>45663</v>
      </c>
      <c r="F23" s="32" t="s">
        <v>1125</v>
      </c>
      <c r="G23" s="0" t="n">
        <v>12</v>
      </c>
      <c r="H23" s="0" t="n">
        <v>12</v>
      </c>
      <c r="I23" s="32" t="s">
        <v>2081</v>
      </c>
      <c r="J23" s="32" t="s">
        <v>2081</v>
      </c>
      <c r="K23" s="0" t="n">
        <v>-1.4</v>
      </c>
      <c r="L23" s="32" t="s">
        <v>766</v>
      </c>
      <c r="M23" s="0" t="str">
        <f aca="false">IF(L23="GEN","GM",L23)</f>
        <v>OR</v>
      </c>
    </row>
    <row r="24" customFormat="false" ht="15" hidden="false" customHeight="false" outlineLevel="0" collapsed="false">
      <c r="A24" s="0" t="s">
        <v>6330</v>
      </c>
      <c r="B24" s="0" t="s">
        <v>6331</v>
      </c>
      <c r="C24" s="0" t="s">
        <v>6295</v>
      </c>
      <c r="D24" s="0" t="s">
        <v>2104</v>
      </c>
      <c r="E24" s="31" t="n">
        <v>45663</v>
      </c>
      <c r="F24" s="32" t="s">
        <v>6287</v>
      </c>
      <c r="G24" s="0" t="n">
        <v>7.5</v>
      </c>
      <c r="H24" s="0" t="n">
        <v>7.5</v>
      </c>
      <c r="I24" s="32" t="s">
        <v>2081</v>
      </c>
      <c r="J24" s="32" t="s">
        <v>2081</v>
      </c>
      <c r="K24" s="0" t="n">
        <v>0</v>
      </c>
      <c r="L24" s="32" t="s">
        <v>747</v>
      </c>
      <c r="M24" s="0" t="str">
        <f aca="false">IF(L24="GEN","GM",L24)</f>
        <v>GM</v>
      </c>
    </row>
    <row r="25" customFormat="false" ht="15" hidden="false" customHeight="false" outlineLevel="0" collapsed="false">
      <c r="A25" s="0" t="s">
        <v>6332</v>
      </c>
      <c r="B25" s="0" t="s">
        <v>6333</v>
      </c>
      <c r="C25" s="0" t="s">
        <v>6286</v>
      </c>
      <c r="D25" s="0" t="s">
        <v>2104</v>
      </c>
      <c r="E25" s="31" t="n">
        <v>45663</v>
      </c>
      <c r="F25" s="32" t="s">
        <v>6287</v>
      </c>
      <c r="G25" s="0" t="n">
        <v>7.5</v>
      </c>
      <c r="H25" s="0" t="n">
        <v>7.5</v>
      </c>
      <c r="I25" s="32" t="s">
        <v>2081</v>
      </c>
      <c r="J25" s="32" t="s">
        <v>2081</v>
      </c>
      <c r="K25" s="0" t="n">
        <v>0</v>
      </c>
      <c r="L25" s="32" t="s">
        <v>766</v>
      </c>
      <c r="M25" s="0" t="str">
        <f aca="false">IF(L25="GEN","GM",L25)</f>
        <v>OR</v>
      </c>
    </row>
    <row r="26" customFormat="false" ht="15" hidden="false" customHeight="false" outlineLevel="0" collapsed="false">
      <c r="A26" s="0" t="s">
        <v>6334</v>
      </c>
      <c r="B26" s="0" t="s">
        <v>6335</v>
      </c>
      <c r="C26" s="0" t="s">
        <v>6290</v>
      </c>
      <c r="D26" s="0" t="s">
        <v>2104</v>
      </c>
      <c r="E26" s="31" t="n">
        <v>45663</v>
      </c>
      <c r="F26" s="32" t="s">
        <v>6283</v>
      </c>
      <c r="G26" s="0" t="n">
        <v>11.5</v>
      </c>
      <c r="H26" s="0" t="n">
        <v>11.5</v>
      </c>
      <c r="I26" s="32" t="s">
        <v>2081</v>
      </c>
      <c r="J26" s="32" t="s">
        <v>2081</v>
      </c>
      <c r="K26" s="0" t="n">
        <v>0</v>
      </c>
      <c r="L26" s="32" t="s">
        <v>826</v>
      </c>
      <c r="M26" s="0" t="str">
        <f aca="false">IF(L26="GEN","GM",L26)</f>
        <v>RHE</v>
      </c>
    </row>
    <row r="27" customFormat="false" ht="15" hidden="false" customHeight="false" outlineLevel="0" collapsed="false">
      <c r="A27" s="0" t="s">
        <v>6336</v>
      </c>
      <c r="B27" s="0" t="s">
        <v>6337</v>
      </c>
      <c r="C27" s="0" t="s">
        <v>6295</v>
      </c>
      <c r="D27" s="0" t="s">
        <v>3035</v>
      </c>
      <c r="E27" s="31" t="n">
        <v>45663</v>
      </c>
      <c r="F27" s="32" t="s">
        <v>6287</v>
      </c>
      <c r="G27" s="0" t="n">
        <v>7.5</v>
      </c>
      <c r="H27" s="0" t="n">
        <v>7.5</v>
      </c>
      <c r="I27" s="32" t="s">
        <v>2081</v>
      </c>
      <c r="J27" s="32" t="s">
        <v>2081</v>
      </c>
      <c r="K27" s="0" t="n">
        <v>0</v>
      </c>
      <c r="L27" s="32" t="s">
        <v>802</v>
      </c>
      <c r="M27" s="0" t="str">
        <f aca="false">IF(L27="GEN","GM",L27)</f>
        <v>GYN</v>
      </c>
    </row>
    <row r="28" customFormat="false" ht="15" hidden="false" customHeight="false" outlineLevel="0" collapsed="false">
      <c r="A28" s="0" t="s">
        <v>6338</v>
      </c>
      <c r="B28" s="0" t="s">
        <v>6339</v>
      </c>
      <c r="C28" s="0" t="s">
        <v>6290</v>
      </c>
      <c r="D28" s="0" t="s">
        <v>3035</v>
      </c>
      <c r="E28" s="31" t="n">
        <v>45663</v>
      </c>
      <c r="F28" s="32" t="s">
        <v>6287</v>
      </c>
      <c r="G28" s="0" t="n">
        <v>7.5</v>
      </c>
      <c r="H28" s="0" t="n">
        <v>7.5</v>
      </c>
      <c r="I28" s="32" t="s">
        <v>2081</v>
      </c>
      <c r="J28" s="32" t="s">
        <v>2081</v>
      </c>
      <c r="K28" s="0" t="n">
        <v>0</v>
      </c>
      <c r="L28" s="32" t="s">
        <v>826</v>
      </c>
      <c r="M28" s="0" t="str">
        <f aca="false">IF(L28="GEN","GM",L28)</f>
        <v>RHE</v>
      </c>
    </row>
    <row r="29" customFormat="false" ht="15" hidden="false" customHeight="false" outlineLevel="0" collapsed="false">
      <c r="A29" s="0" t="s">
        <v>6340</v>
      </c>
      <c r="C29" s="0" t="s">
        <v>6286</v>
      </c>
      <c r="D29" s="0" t="s">
        <v>3035</v>
      </c>
      <c r="E29" s="31" t="n">
        <v>45663</v>
      </c>
      <c r="F29" s="32" t="s">
        <v>6287</v>
      </c>
      <c r="G29" s="0" t="n">
        <v>7.5</v>
      </c>
      <c r="H29" s="0" t="n">
        <v>8.7</v>
      </c>
      <c r="I29" s="32" t="s">
        <v>2081</v>
      </c>
      <c r="J29" s="32" t="s">
        <v>2081</v>
      </c>
      <c r="K29" s="0" t="n">
        <v>1.2</v>
      </c>
      <c r="L29" s="32" t="s">
        <v>810</v>
      </c>
      <c r="M29" s="0" t="str">
        <f aca="false">IF(L29="GEN","GM",L29)</f>
        <v>URO</v>
      </c>
    </row>
    <row r="30" customFormat="false" ht="15" hidden="false" customHeight="false" outlineLevel="0" collapsed="false">
      <c r="A30" s="0" t="s">
        <v>6341</v>
      </c>
      <c r="B30" s="0" t="s">
        <v>6342</v>
      </c>
      <c r="C30" s="0" t="s">
        <v>6295</v>
      </c>
      <c r="D30" s="0" t="s">
        <v>2088</v>
      </c>
      <c r="E30" s="31" t="n">
        <v>45664</v>
      </c>
      <c r="F30" s="32" t="s">
        <v>1125</v>
      </c>
      <c r="G30" s="0" t="n">
        <v>12</v>
      </c>
      <c r="H30" s="0" t="n">
        <v>12</v>
      </c>
      <c r="I30" s="32" t="s">
        <v>2106</v>
      </c>
      <c r="J30" s="32" t="s">
        <v>2081</v>
      </c>
      <c r="K30" s="0" t="n">
        <v>0</v>
      </c>
      <c r="L30" s="32" t="s">
        <v>826</v>
      </c>
      <c r="M30" s="0" t="str">
        <f aca="false">IF(L30="GEN","GM",L30)</f>
        <v>RHE</v>
      </c>
    </row>
    <row r="31" customFormat="false" ht="15" hidden="false" customHeight="false" outlineLevel="0" collapsed="false">
      <c r="A31" s="0" t="s">
        <v>6343</v>
      </c>
      <c r="B31" s="0" t="s">
        <v>6344</v>
      </c>
      <c r="C31" s="0" t="s">
        <v>6295</v>
      </c>
      <c r="D31" s="0" t="s">
        <v>2088</v>
      </c>
      <c r="E31" s="31" t="n">
        <v>45664</v>
      </c>
      <c r="F31" s="32" t="s">
        <v>1125</v>
      </c>
      <c r="G31" s="0" t="n">
        <v>12</v>
      </c>
      <c r="H31" s="0" t="n">
        <v>12</v>
      </c>
      <c r="I31" s="32" t="s">
        <v>2081</v>
      </c>
      <c r="J31" s="32" t="s">
        <v>2081</v>
      </c>
      <c r="K31" s="0" t="n">
        <v>0</v>
      </c>
      <c r="L31" s="32" t="s">
        <v>802</v>
      </c>
      <c r="M31" s="0" t="str">
        <f aca="false">IF(L31="GEN","GM",L31)</f>
        <v>GYN</v>
      </c>
    </row>
    <row r="32" customFormat="false" ht="15" hidden="false" customHeight="false" outlineLevel="0" collapsed="false">
      <c r="A32" s="0" t="s">
        <v>6345</v>
      </c>
      <c r="B32" s="0" t="s">
        <v>6346</v>
      </c>
      <c r="C32" s="0" t="s">
        <v>6295</v>
      </c>
      <c r="D32" s="0" t="s">
        <v>2088</v>
      </c>
      <c r="E32" s="31" t="n">
        <v>45664</v>
      </c>
      <c r="F32" s="32" t="s">
        <v>1125</v>
      </c>
      <c r="G32" s="0" t="n">
        <v>12</v>
      </c>
      <c r="H32" s="0" t="n">
        <v>12</v>
      </c>
      <c r="I32" s="32" t="s">
        <v>2081</v>
      </c>
      <c r="J32" s="32" t="s">
        <v>2081</v>
      </c>
      <c r="K32" s="0" t="n">
        <v>0</v>
      </c>
      <c r="L32" s="32" t="s">
        <v>766</v>
      </c>
      <c r="M32" s="0" t="str">
        <f aca="false">IF(L32="GEN","GM",L32)</f>
        <v>OR</v>
      </c>
    </row>
    <row r="33" customFormat="false" ht="15" hidden="false" customHeight="false" outlineLevel="0" collapsed="false">
      <c r="A33" s="0" t="s">
        <v>6347</v>
      </c>
      <c r="B33" s="0" t="s">
        <v>6348</v>
      </c>
      <c r="C33" s="0" t="s">
        <v>780</v>
      </c>
      <c r="D33" s="0" t="s">
        <v>2088</v>
      </c>
      <c r="E33" s="31" t="n">
        <v>45664</v>
      </c>
      <c r="F33" s="32" t="s">
        <v>1125</v>
      </c>
      <c r="G33" s="0" t="n">
        <v>12</v>
      </c>
      <c r="H33" s="0" t="n">
        <v>12</v>
      </c>
      <c r="I33" s="32" t="s">
        <v>2081</v>
      </c>
      <c r="J33" s="32" t="s">
        <v>2081</v>
      </c>
      <c r="K33" s="0" t="n">
        <v>0</v>
      </c>
      <c r="L33" s="32" t="s">
        <v>793</v>
      </c>
      <c r="M33" s="0" t="str">
        <f aca="false">IF(L33="GEN","GM",L33)</f>
        <v>EM</v>
      </c>
    </row>
    <row r="34" customFormat="false" ht="15" hidden="false" customHeight="false" outlineLevel="0" collapsed="false">
      <c r="A34" s="0" t="s">
        <v>6349</v>
      </c>
      <c r="B34" s="0" t="s">
        <v>6350</v>
      </c>
      <c r="C34" s="0" t="s">
        <v>6295</v>
      </c>
      <c r="D34" s="0" t="s">
        <v>2079</v>
      </c>
      <c r="E34" s="31" t="n">
        <v>45664</v>
      </c>
      <c r="F34" s="32" t="s">
        <v>1125</v>
      </c>
      <c r="G34" s="0" t="n">
        <v>12</v>
      </c>
      <c r="H34" s="0" t="n">
        <v>12</v>
      </c>
      <c r="I34" s="32" t="s">
        <v>2081</v>
      </c>
      <c r="J34" s="32" t="s">
        <v>2081</v>
      </c>
      <c r="K34" s="0" t="n">
        <v>0</v>
      </c>
      <c r="L34" s="32" t="s">
        <v>802</v>
      </c>
      <c r="M34" s="0" t="str">
        <f aca="false">IF(L34="GEN","GM",L34)</f>
        <v>GYN</v>
      </c>
    </row>
    <row r="35" customFormat="false" ht="15" hidden="false" customHeight="false" outlineLevel="0" collapsed="false">
      <c r="A35" s="0" t="s">
        <v>6351</v>
      </c>
      <c r="B35" s="0" t="s">
        <v>6352</v>
      </c>
      <c r="C35" s="0" t="s">
        <v>6282</v>
      </c>
      <c r="D35" s="0" t="s">
        <v>2079</v>
      </c>
      <c r="E35" s="31" t="n">
        <v>45664</v>
      </c>
      <c r="F35" s="32" t="s">
        <v>1125</v>
      </c>
      <c r="G35" s="0" t="n">
        <v>12</v>
      </c>
      <c r="H35" s="0" t="n">
        <v>12</v>
      </c>
      <c r="I35" s="32" t="s">
        <v>2081</v>
      </c>
      <c r="J35" s="32" t="s">
        <v>2081</v>
      </c>
      <c r="K35" s="0" t="n">
        <v>0</v>
      </c>
      <c r="L35" s="32" t="s">
        <v>810</v>
      </c>
      <c r="M35" s="0" t="str">
        <f aca="false">IF(L35="GEN","GM",L35)</f>
        <v>URO</v>
      </c>
    </row>
    <row r="36" customFormat="false" ht="15" hidden="false" customHeight="false" outlineLevel="0" collapsed="false">
      <c r="A36" s="0" t="s">
        <v>6353</v>
      </c>
      <c r="B36" s="0" t="s">
        <v>6354</v>
      </c>
      <c r="C36" s="0" t="s">
        <v>6286</v>
      </c>
      <c r="D36" s="0" t="s">
        <v>2079</v>
      </c>
      <c r="E36" s="31" t="n">
        <v>45664</v>
      </c>
      <c r="F36" s="32" t="s">
        <v>1125</v>
      </c>
      <c r="G36" s="0" t="n">
        <v>12</v>
      </c>
      <c r="H36" s="0" t="n">
        <v>12</v>
      </c>
      <c r="I36" s="32" t="s">
        <v>2081</v>
      </c>
      <c r="J36" s="32" t="s">
        <v>2106</v>
      </c>
      <c r="K36" s="0" t="n">
        <v>0</v>
      </c>
      <c r="L36" s="32" t="s">
        <v>826</v>
      </c>
      <c r="M36" s="0" t="str">
        <f aca="false">IF(L36="GEN","GM",L36)</f>
        <v>RHE</v>
      </c>
    </row>
    <row r="37" customFormat="false" ht="15" hidden="false" customHeight="false" outlineLevel="0" collapsed="false">
      <c r="A37" s="0" t="s">
        <v>6355</v>
      </c>
      <c r="B37" s="0" t="s">
        <v>6356</v>
      </c>
      <c r="C37" s="0" t="s">
        <v>6295</v>
      </c>
      <c r="D37" s="0" t="s">
        <v>2079</v>
      </c>
      <c r="E37" s="31" t="n">
        <v>45664</v>
      </c>
      <c r="F37" s="32" t="s">
        <v>6283</v>
      </c>
      <c r="G37" s="0" t="n">
        <v>11.5</v>
      </c>
      <c r="H37" s="0" t="n">
        <v>11.5</v>
      </c>
      <c r="I37" s="32" t="s">
        <v>2081</v>
      </c>
      <c r="J37" s="32" t="s">
        <v>2081</v>
      </c>
      <c r="K37" s="0" t="n">
        <v>0</v>
      </c>
      <c r="L37" s="32" t="s">
        <v>776</v>
      </c>
      <c r="M37" s="0" t="str">
        <f aca="false">IF(L37="GEN","GM",L37)</f>
        <v>GS</v>
      </c>
    </row>
    <row r="38" customFormat="false" ht="15" hidden="false" customHeight="false" outlineLevel="0" collapsed="false">
      <c r="A38" s="0" t="s">
        <v>6357</v>
      </c>
      <c r="B38" s="0" t="s">
        <v>6358</v>
      </c>
      <c r="C38" s="0" t="s">
        <v>6286</v>
      </c>
      <c r="D38" s="0" t="s">
        <v>2099</v>
      </c>
      <c r="E38" s="31" t="n">
        <v>45664</v>
      </c>
      <c r="F38" s="32" t="s">
        <v>6283</v>
      </c>
      <c r="G38" s="0" t="n">
        <v>11.5</v>
      </c>
      <c r="H38" s="0" t="n">
        <v>11.5</v>
      </c>
      <c r="I38" s="32" t="s">
        <v>2081</v>
      </c>
      <c r="J38" s="32" t="s">
        <v>2081</v>
      </c>
      <c r="K38" s="0" t="n">
        <v>0</v>
      </c>
      <c r="L38" s="32" t="s">
        <v>758</v>
      </c>
      <c r="M38" s="0" t="str">
        <f aca="false">IF(L38="GEN","GM",L38)</f>
        <v>CS</v>
      </c>
    </row>
    <row r="39" customFormat="false" ht="15" hidden="false" customHeight="false" outlineLevel="0" collapsed="false">
      <c r="A39" s="0" t="s">
        <v>6359</v>
      </c>
      <c r="B39" s="0" t="s">
        <v>6360</v>
      </c>
      <c r="C39" s="0" t="s">
        <v>780</v>
      </c>
      <c r="D39" s="0" t="s">
        <v>2099</v>
      </c>
      <c r="E39" s="31" t="n">
        <v>45664</v>
      </c>
      <c r="F39" s="32" t="s">
        <v>6287</v>
      </c>
      <c r="G39" s="0" t="n">
        <v>7.5</v>
      </c>
      <c r="H39" s="0" t="n">
        <v>7.5</v>
      </c>
      <c r="I39" s="32" t="s">
        <v>2081</v>
      </c>
      <c r="J39" s="32" t="s">
        <v>2081</v>
      </c>
      <c r="K39" s="0" t="n">
        <v>0</v>
      </c>
      <c r="L39" s="32" t="s">
        <v>810</v>
      </c>
      <c r="M39" s="0" t="str">
        <f aca="false">IF(L39="GEN","GM",L39)</f>
        <v>URO</v>
      </c>
    </row>
    <row r="40" customFormat="false" ht="15" hidden="false" customHeight="false" outlineLevel="0" collapsed="false">
      <c r="A40" s="0" t="s">
        <v>6361</v>
      </c>
      <c r="B40" s="0" t="s">
        <v>6362</v>
      </c>
      <c r="C40" s="0" t="s">
        <v>6286</v>
      </c>
      <c r="D40" s="0" t="s">
        <v>2099</v>
      </c>
      <c r="E40" s="31" t="n">
        <v>45664</v>
      </c>
      <c r="F40" s="32" t="s">
        <v>1125</v>
      </c>
      <c r="G40" s="0" t="n">
        <v>12</v>
      </c>
      <c r="H40" s="0" t="n">
        <v>12</v>
      </c>
      <c r="I40" s="32" t="s">
        <v>2081</v>
      </c>
      <c r="J40" s="32" t="s">
        <v>2081</v>
      </c>
      <c r="K40" s="0" t="n">
        <v>0</v>
      </c>
      <c r="L40" s="32" t="s">
        <v>802</v>
      </c>
      <c r="M40" s="0" t="str">
        <f aca="false">IF(L40="GEN","GM",L40)</f>
        <v>GYN</v>
      </c>
    </row>
    <row r="41" customFormat="false" ht="15" hidden="false" customHeight="false" outlineLevel="0" collapsed="false">
      <c r="A41" s="0" t="s">
        <v>6363</v>
      </c>
      <c r="B41" s="0" t="s">
        <v>6364</v>
      </c>
      <c r="C41" s="0" t="s">
        <v>780</v>
      </c>
      <c r="D41" s="0" t="s">
        <v>2099</v>
      </c>
      <c r="E41" s="31" t="n">
        <v>45664</v>
      </c>
      <c r="F41" s="32" t="s">
        <v>6283</v>
      </c>
      <c r="G41" s="0" t="n">
        <v>11.5</v>
      </c>
      <c r="H41" s="0" t="n">
        <v>11.5</v>
      </c>
      <c r="I41" s="32" t="s">
        <v>2081</v>
      </c>
      <c r="J41" s="32" t="s">
        <v>2081</v>
      </c>
      <c r="K41" s="0" t="n">
        <v>0</v>
      </c>
      <c r="L41" s="32" t="s">
        <v>793</v>
      </c>
      <c r="M41" s="0" t="str">
        <f aca="false">IF(L41="GEN","GM",L41)</f>
        <v>EM</v>
      </c>
    </row>
    <row r="42" customFormat="false" ht="15" hidden="false" customHeight="false" outlineLevel="0" collapsed="false">
      <c r="A42" s="0" t="s">
        <v>6365</v>
      </c>
      <c r="B42" s="0" t="s">
        <v>6366</v>
      </c>
      <c r="C42" s="0" t="s">
        <v>6295</v>
      </c>
      <c r="D42" s="0" t="s">
        <v>2099</v>
      </c>
      <c r="E42" s="31" t="n">
        <v>45664</v>
      </c>
      <c r="F42" s="32" t="s">
        <v>6287</v>
      </c>
      <c r="G42" s="0" t="n">
        <v>7.5</v>
      </c>
      <c r="H42" s="0" t="n">
        <v>7.5</v>
      </c>
      <c r="I42" s="32" t="s">
        <v>2081</v>
      </c>
      <c r="J42" s="32" t="s">
        <v>2081</v>
      </c>
      <c r="K42" s="0" t="n">
        <v>0</v>
      </c>
      <c r="L42" s="32" t="s">
        <v>747</v>
      </c>
      <c r="M42" s="0" t="str">
        <f aca="false">IF(L42="GEN","GM",L42)</f>
        <v>GM</v>
      </c>
    </row>
    <row r="43" customFormat="false" ht="15" hidden="false" customHeight="false" outlineLevel="0" collapsed="false">
      <c r="A43" s="0" t="s">
        <v>6367</v>
      </c>
      <c r="B43" s="0" t="s">
        <v>6368</v>
      </c>
      <c r="C43" s="0" t="s">
        <v>6282</v>
      </c>
      <c r="D43" s="0" t="s">
        <v>2115</v>
      </c>
      <c r="E43" s="31" t="n">
        <v>45664</v>
      </c>
      <c r="F43" s="32" t="s">
        <v>6287</v>
      </c>
      <c r="G43" s="0" t="n">
        <v>7.5</v>
      </c>
      <c r="H43" s="0" t="n">
        <v>7.5</v>
      </c>
      <c r="I43" s="32" t="s">
        <v>2081</v>
      </c>
      <c r="J43" s="32" t="s">
        <v>2081</v>
      </c>
      <c r="K43" s="0" t="n">
        <v>0</v>
      </c>
      <c r="L43" s="32" t="s">
        <v>785</v>
      </c>
      <c r="M43" s="0" t="str">
        <f aca="false">IF(L43="GEN","GM",L43)</f>
        <v>RS</v>
      </c>
    </row>
    <row r="44" customFormat="false" ht="15" hidden="false" customHeight="false" outlineLevel="0" collapsed="false">
      <c r="A44" s="0" t="s">
        <v>6369</v>
      </c>
      <c r="B44" s="0" t="s">
        <v>6370</v>
      </c>
      <c r="C44" s="0" t="s">
        <v>6286</v>
      </c>
      <c r="D44" s="0" t="s">
        <v>2115</v>
      </c>
      <c r="E44" s="31" t="n">
        <v>45664</v>
      </c>
      <c r="F44" s="32" t="s">
        <v>6283</v>
      </c>
      <c r="G44" s="0" t="n">
        <v>11.5</v>
      </c>
      <c r="H44" s="0" t="n">
        <v>13.4</v>
      </c>
      <c r="I44" s="32" t="s">
        <v>2081</v>
      </c>
      <c r="J44" s="32" t="s">
        <v>2081</v>
      </c>
      <c r="K44" s="0" t="n">
        <v>1.9</v>
      </c>
      <c r="L44" s="32" t="s">
        <v>747</v>
      </c>
      <c r="M44" s="0" t="str">
        <f aca="false">IF(L44="GEN","GM",L44)</f>
        <v>GM</v>
      </c>
    </row>
    <row r="45" customFormat="false" ht="15" hidden="false" customHeight="false" outlineLevel="0" collapsed="false">
      <c r="A45" s="0" t="s">
        <v>6371</v>
      </c>
      <c r="B45" s="0" t="s">
        <v>6372</v>
      </c>
      <c r="C45" s="0" t="s">
        <v>780</v>
      </c>
      <c r="D45" s="0" t="s">
        <v>2115</v>
      </c>
      <c r="E45" s="31" t="n">
        <v>45664</v>
      </c>
      <c r="F45" s="32" t="s">
        <v>1125</v>
      </c>
      <c r="G45" s="0" t="n">
        <v>12</v>
      </c>
      <c r="H45" s="0" t="n">
        <v>12.7</v>
      </c>
      <c r="I45" s="32" t="s">
        <v>2081</v>
      </c>
      <c r="J45" s="32" t="s">
        <v>2081</v>
      </c>
      <c r="K45" s="0" t="n">
        <v>0.7</v>
      </c>
      <c r="L45" s="32" t="s">
        <v>810</v>
      </c>
      <c r="M45" s="0" t="str">
        <f aca="false">IF(L45="GEN","GM",L45)</f>
        <v>URO</v>
      </c>
    </row>
    <row r="46" customFormat="false" ht="15" hidden="false" customHeight="false" outlineLevel="0" collapsed="false">
      <c r="A46" s="0" t="s">
        <v>6373</v>
      </c>
      <c r="B46" s="0" t="s">
        <v>6374</v>
      </c>
      <c r="C46" s="0" t="s">
        <v>780</v>
      </c>
      <c r="D46" s="0" t="s">
        <v>2124</v>
      </c>
      <c r="E46" s="31" t="n">
        <v>45664</v>
      </c>
      <c r="F46" s="32" t="s">
        <v>6287</v>
      </c>
      <c r="G46" s="0" t="n">
        <v>7.5</v>
      </c>
      <c r="H46" s="0" t="n">
        <v>7.5</v>
      </c>
      <c r="I46" s="32" t="s">
        <v>2081</v>
      </c>
      <c r="J46" s="32" t="s">
        <v>2081</v>
      </c>
      <c r="K46" s="0" t="n">
        <v>0</v>
      </c>
      <c r="L46" s="32" t="s">
        <v>776</v>
      </c>
      <c r="M46" s="0" t="str">
        <f aca="false">IF(L46="GEN","GM",L46)</f>
        <v>GS</v>
      </c>
    </row>
    <row r="47" customFormat="false" ht="15" hidden="false" customHeight="false" outlineLevel="0" collapsed="false">
      <c r="A47" s="0" t="s">
        <v>6375</v>
      </c>
      <c r="B47" s="0" t="s">
        <v>6376</v>
      </c>
      <c r="C47" s="0" t="s">
        <v>6286</v>
      </c>
      <c r="D47" s="0" t="s">
        <v>2124</v>
      </c>
      <c r="E47" s="31" t="n">
        <v>45664</v>
      </c>
      <c r="F47" s="32" t="s">
        <v>6283</v>
      </c>
      <c r="G47" s="0" t="n">
        <v>11.5</v>
      </c>
      <c r="H47" s="0" t="n">
        <v>11.5</v>
      </c>
      <c r="I47" s="32" t="s">
        <v>2106</v>
      </c>
      <c r="J47" s="32" t="s">
        <v>2081</v>
      </c>
      <c r="K47" s="0" t="n">
        <v>0</v>
      </c>
      <c r="L47" s="32" t="s">
        <v>802</v>
      </c>
      <c r="M47" s="0" t="str">
        <f aca="false">IF(L47="GEN","GM",L47)</f>
        <v>GYN</v>
      </c>
    </row>
    <row r="48" customFormat="false" ht="15" hidden="false" customHeight="false" outlineLevel="0" collapsed="false">
      <c r="A48" s="0" t="s">
        <v>6377</v>
      </c>
      <c r="B48" s="0" t="s">
        <v>6378</v>
      </c>
      <c r="C48" s="0" t="s">
        <v>780</v>
      </c>
      <c r="D48" s="0" t="s">
        <v>2124</v>
      </c>
      <c r="E48" s="31" t="n">
        <v>45664</v>
      </c>
      <c r="F48" s="32" t="s">
        <v>1125</v>
      </c>
      <c r="G48" s="0" t="n">
        <v>12</v>
      </c>
      <c r="H48" s="0" t="n">
        <v>13.5</v>
      </c>
      <c r="I48" s="32" t="s">
        <v>2081</v>
      </c>
      <c r="J48" s="32" t="s">
        <v>2081</v>
      </c>
      <c r="K48" s="0" t="n">
        <v>1.5</v>
      </c>
      <c r="L48" s="32" t="s">
        <v>776</v>
      </c>
      <c r="M48" s="0" t="str">
        <f aca="false">IF(L48="GEN","GM",L48)</f>
        <v>GS</v>
      </c>
    </row>
    <row r="49" customFormat="false" ht="15" hidden="false" customHeight="false" outlineLevel="0" collapsed="false">
      <c r="A49" s="0" t="s">
        <v>6379</v>
      </c>
      <c r="B49" s="0" t="s">
        <v>6380</v>
      </c>
      <c r="C49" s="0" t="s">
        <v>6290</v>
      </c>
      <c r="D49" s="0" t="s">
        <v>2104</v>
      </c>
      <c r="E49" s="31" t="n">
        <v>45664</v>
      </c>
      <c r="F49" s="32" t="s">
        <v>6287</v>
      </c>
      <c r="G49" s="0" t="n">
        <v>7.5</v>
      </c>
      <c r="H49" s="0" t="n">
        <v>7.5</v>
      </c>
      <c r="I49" s="32" t="s">
        <v>2081</v>
      </c>
      <c r="J49" s="32" t="s">
        <v>2081</v>
      </c>
      <c r="K49" s="0" t="n">
        <v>0</v>
      </c>
      <c r="L49" s="32" t="s">
        <v>766</v>
      </c>
      <c r="M49" s="0" t="str">
        <f aca="false">IF(L49="GEN","GM",L49)</f>
        <v>OR</v>
      </c>
    </row>
    <row r="50" customFormat="false" ht="15" hidden="false" customHeight="false" outlineLevel="0" collapsed="false">
      <c r="A50" s="0" t="s">
        <v>6381</v>
      </c>
      <c r="B50" s="0" t="s">
        <v>6382</v>
      </c>
      <c r="C50" s="0" t="s">
        <v>6286</v>
      </c>
      <c r="D50" s="0" t="s">
        <v>2104</v>
      </c>
      <c r="E50" s="31" t="n">
        <v>45664</v>
      </c>
      <c r="F50" s="32" t="s">
        <v>1125</v>
      </c>
      <c r="G50" s="0" t="n">
        <v>12</v>
      </c>
      <c r="H50" s="0" t="n">
        <v>12</v>
      </c>
      <c r="I50" s="32" t="s">
        <v>2081</v>
      </c>
      <c r="J50" s="32" t="s">
        <v>2081</v>
      </c>
      <c r="K50" s="0" t="n">
        <v>0</v>
      </c>
      <c r="L50" s="32" t="s">
        <v>802</v>
      </c>
      <c r="M50" s="0" t="str">
        <f aca="false">IF(L50="GEN","GM",L50)</f>
        <v>GYN</v>
      </c>
    </row>
    <row r="51" customFormat="false" ht="15" hidden="false" customHeight="false" outlineLevel="0" collapsed="false">
      <c r="A51" s="0" t="s">
        <v>6383</v>
      </c>
      <c r="B51" s="0" t="s">
        <v>6384</v>
      </c>
      <c r="C51" s="0" t="s">
        <v>6295</v>
      </c>
      <c r="D51" s="0" t="s">
        <v>2104</v>
      </c>
      <c r="E51" s="31" t="n">
        <v>45664</v>
      </c>
      <c r="F51" s="32" t="s">
        <v>1125</v>
      </c>
      <c r="G51" s="0" t="n">
        <v>12</v>
      </c>
      <c r="H51" s="0" t="n">
        <v>10.6</v>
      </c>
      <c r="I51" s="32" t="s">
        <v>2081</v>
      </c>
      <c r="J51" s="32" t="s">
        <v>2081</v>
      </c>
      <c r="K51" s="0" t="n">
        <v>0</v>
      </c>
      <c r="L51" s="32" t="s">
        <v>766</v>
      </c>
      <c r="M51" s="0" t="str">
        <f aca="false">IF(L51="GEN","GM",L51)</f>
        <v>OR</v>
      </c>
    </row>
    <row r="52" customFormat="false" ht="15" hidden="false" customHeight="false" outlineLevel="0" collapsed="false">
      <c r="A52" s="0" t="s">
        <v>6385</v>
      </c>
      <c r="B52" s="0" t="s">
        <v>6386</v>
      </c>
      <c r="C52" s="0" t="s">
        <v>6282</v>
      </c>
      <c r="D52" s="0" t="s">
        <v>2104</v>
      </c>
      <c r="E52" s="31" t="n">
        <v>45664</v>
      </c>
      <c r="F52" s="32" t="s">
        <v>6287</v>
      </c>
      <c r="G52" s="0" t="n">
        <v>7.5</v>
      </c>
      <c r="H52" s="0" t="n">
        <v>7.5</v>
      </c>
      <c r="I52" s="32" t="s">
        <v>2081</v>
      </c>
      <c r="J52" s="32" t="s">
        <v>2081</v>
      </c>
      <c r="K52" s="0" t="n">
        <v>0</v>
      </c>
      <c r="L52" s="32" t="s">
        <v>766</v>
      </c>
      <c r="M52" s="0" t="str">
        <f aca="false">IF(L52="GEN","GM",L52)</f>
        <v>OR</v>
      </c>
    </row>
    <row r="53" customFormat="false" ht="15" hidden="false" customHeight="false" outlineLevel="0" collapsed="false">
      <c r="A53" s="0" t="s">
        <v>6387</v>
      </c>
      <c r="B53" s="0" t="s">
        <v>6388</v>
      </c>
      <c r="C53" s="0" t="s">
        <v>6295</v>
      </c>
      <c r="D53" s="0" t="s">
        <v>2104</v>
      </c>
      <c r="E53" s="31" t="n">
        <v>45664</v>
      </c>
      <c r="F53" s="32" t="s">
        <v>6287</v>
      </c>
      <c r="G53" s="0" t="n">
        <v>7.5</v>
      </c>
      <c r="H53" s="0" t="n">
        <v>7.5</v>
      </c>
      <c r="I53" s="32" t="s">
        <v>2106</v>
      </c>
      <c r="J53" s="32" t="s">
        <v>2081</v>
      </c>
      <c r="K53" s="0" t="n">
        <v>-1.5</v>
      </c>
      <c r="L53" s="32" t="s">
        <v>810</v>
      </c>
      <c r="M53" s="0" t="str">
        <f aca="false">IF(L53="GEN","GM",L53)</f>
        <v>URO</v>
      </c>
    </row>
    <row r="54" customFormat="false" ht="15" hidden="false" customHeight="false" outlineLevel="0" collapsed="false">
      <c r="A54" s="0" t="s">
        <v>6389</v>
      </c>
      <c r="B54" s="0" t="s">
        <v>6390</v>
      </c>
      <c r="C54" s="0" t="s">
        <v>6295</v>
      </c>
      <c r="D54" s="0" t="s">
        <v>3035</v>
      </c>
      <c r="E54" s="31" t="n">
        <v>45664</v>
      </c>
      <c r="F54" s="32" t="s">
        <v>1125</v>
      </c>
      <c r="G54" s="0" t="n">
        <v>12</v>
      </c>
      <c r="H54" s="0" t="n">
        <v>12</v>
      </c>
      <c r="I54" s="32" t="s">
        <v>2081</v>
      </c>
      <c r="J54" s="32" t="s">
        <v>2081</v>
      </c>
      <c r="K54" s="0" t="n">
        <v>0</v>
      </c>
      <c r="L54" s="32" t="s">
        <v>758</v>
      </c>
      <c r="M54" s="0" t="str">
        <f aca="false">IF(L54="GEN","GM",L54)</f>
        <v>CS</v>
      </c>
    </row>
    <row r="55" customFormat="false" ht="15" hidden="false" customHeight="false" outlineLevel="0" collapsed="false">
      <c r="A55" s="0" t="s">
        <v>6391</v>
      </c>
      <c r="B55" s="0" t="s">
        <v>6392</v>
      </c>
      <c r="C55" s="0" t="s">
        <v>6282</v>
      </c>
      <c r="D55" s="0" t="s">
        <v>3035</v>
      </c>
      <c r="E55" s="31" t="n">
        <v>45664</v>
      </c>
      <c r="F55" s="32" t="s">
        <v>6287</v>
      </c>
      <c r="G55" s="0" t="n">
        <v>7.5</v>
      </c>
      <c r="H55" s="0" t="n">
        <v>7.5</v>
      </c>
      <c r="I55" s="32" t="s">
        <v>2081</v>
      </c>
      <c r="J55" s="32" t="s">
        <v>2081</v>
      </c>
      <c r="K55" s="0" t="n">
        <v>0</v>
      </c>
      <c r="L55" s="32" t="s">
        <v>747</v>
      </c>
      <c r="M55" s="0" t="str">
        <f aca="false">IF(L55="GEN","GM",L55)</f>
        <v>GM</v>
      </c>
    </row>
    <row r="56" customFormat="false" ht="15" hidden="false" customHeight="false" outlineLevel="0" collapsed="false">
      <c r="A56" s="0" t="s">
        <v>6393</v>
      </c>
      <c r="B56" s="0" t="s">
        <v>6394</v>
      </c>
      <c r="C56" s="0" t="s">
        <v>6290</v>
      </c>
      <c r="D56" s="0" t="s">
        <v>3035</v>
      </c>
      <c r="E56" s="31" t="n">
        <v>45664</v>
      </c>
      <c r="F56" s="32" t="s">
        <v>6287</v>
      </c>
      <c r="G56" s="0" t="n">
        <v>7.5</v>
      </c>
      <c r="H56" s="0" t="n">
        <v>9.2</v>
      </c>
      <c r="I56" s="32" t="s">
        <v>2081</v>
      </c>
      <c r="J56" s="32" t="s">
        <v>2081</v>
      </c>
      <c r="K56" s="0" t="n">
        <v>1.7</v>
      </c>
      <c r="L56" s="32" t="s">
        <v>747</v>
      </c>
      <c r="M56" s="0" t="str">
        <f aca="false">IF(L56="GEN","GM",L56)</f>
        <v>GM</v>
      </c>
    </row>
    <row r="57" customFormat="false" ht="15" hidden="false" customHeight="false" outlineLevel="0" collapsed="false">
      <c r="A57" s="0" t="s">
        <v>6395</v>
      </c>
      <c r="B57" s="0" t="s">
        <v>6396</v>
      </c>
      <c r="C57" s="0" t="s">
        <v>6295</v>
      </c>
      <c r="D57" s="0" t="s">
        <v>3035</v>
      </c>
      <c r="E57" s="31" t="n">
        <v>45664</v>
      </c>
      <c r="F57" s="32" t="s">
        <v>6287</v>
      </c>
      <c r="G57" s="0" t="n">
        <v>7.5</v>
      </c>
      <c r="H57" s="0" t="n">
        <v>7.5</v>
      </c>
      <c r="I57" s="32" t="s">
        <v>2081</v>
      </c>
      <c r="J57" s="32" t="s">
        <v>2081</v>
      </c>
      <c r="K57" s="0" t="n">
        <v>0</v>
      </c>
      <c r="L57" s="32" t="s">
        <v>776</v>
      </c>
      <c r="M57" s="0" t="str">
        <f aca="false">IF(L57="GEN","GM",L57)</f>
        <v>GS</v>
      </c>
    </row>
    <row r="58" customFormat="false" ht="15" hidden="false" customHeight="false" outlineLevel="0" collapsed="false">
      <c r="A58" s="0" t="s">
        <v>6397</v>
      </c>
      <c r="B58" s="0" t="s">
        <v>6398</v>
      </c>
      <c r="C58" s="0" t="s">
        <v>6295</v>
      </c>
      <c r="D58" s="0" t="s">
        <v>3035</v>
      </c>
      <c r="E58" s="31" t="n">
        <v>45664</v>
      </c>
      <c r="F58" s="32" t="s">
        <v>6283</v>
      </c>
      <c r="G58" s="0" t="n">
        <v>11.5</v>
      </c>
      <c r="H58" s="0" t="n">
        <v>11.5</v>
      </c>
      <c r="I58" s="32" t="s">
        <v>2081</v>
      </c>
      <c r="J58" s="32" t="s">
        <v>2081</v>
      </c>
      <c r="K58" s="0" t="n">
        <v>0</v>
      </c>
      <c r="L58" s="32" t="s">
        <v>826</v>
      </c>
      <c r="M58" s="0" t="str">
        <f aca="false">IF(L58="GEN","GM",L58)</f>
        <v>RHE</v>
      </c>
    </row>
    <row r="59" customFormat="false" ht="15" hidden="false" customHeight="false" outlineLevel="0" collapsed="false">
      <c r="A59" s="0" t="s">
        <v>6399</v>
      </c>
      <c r="B59" s="0" t="s">
        <v>6400</v>
      </c>
      <c r="C59" s="0" t="s">
        <v>780</v>
      </c>
      <c r="D59" s="0" t="s">
        <v>2088</v>
      </c>
      <c r="E59" s="31" t="n">
        <v>45665</v>
      </c>
      <c r="F59" s="32" t="s">
        <v>6287</v>
      </c>
      <c r="G59" s="0" t="n">
        <v>7.5</v>
      </c>
      <c r="H59" s="0" t="n">
        <v>8.7</v>
      </c>
      <c r="I59" s="32" t="s">
        <v>2081</v>
      </c>
      <c r="J59" s="32" t="s">
        <v>2081</v>
      </c>
      <c r="K59" s="0" t="n">
        <v>1.2</v>
      </c>
      <c r="L59" s="32" t="s">
        <v>758</v>
      </c>
      <c r="M59" s="0" t="str">
        <f aca="false">IF(L59="GEN","GM",L59)</f>
        <v>CS</v>
      </c>
    </row>
    <row r="60" customFormat="false" ht="15" hidden="false" customHeight="false" outlineLevel="0" collapsed="false">
      <c r="A60" s="0" t="s">
        <v>6401</v>
      </c>
      <c r="B60" s="0" t="s">
        <v>6402</v>
      </c>
      <c r="C60" s="0" t="s">
        <v>6295</v>
      </c>
      <c r="D60" s="0" t="s">
        <v>2088</v>
      </c>
      <c r="E60" s="31" t="n">
        <v>45665</v>
      </c>
      <c r="F60" s="32" t="s">
        <v>6283</v>
      </c>
      <c r="G60" s="0" t="n">
        <v>11.5</v>
      </c>
      <c r="H60" s="0" t="n">
        <v>11.5</v>
      </c>
      <c r="I60" s="32" t="s">
        <v>2081</v>
      </c>
      <c r="J60" s="32" t="s">
        <v>2081</v>
      </c>
      <c r="K60" s="0" t="n">
        <v>0</v>
      </c>
      <c r="L60" s="32" t="s">
        <v>766</v>
      </c>
      <c r="M60" s="0" t="str">
        <f aca="false">IF(L60="GEN","GM",L60)</f>
        <v>OR</v>
      </c>
    </row>
    <row r="61" customFormat="false" ht="15" hidden="false" customHeight="false" outlineLevel="0" collapsed="false">
      <c r="A61" s="0" t="s">
        <v>6403</v>
      </c>
      <c r="B61" s="0" t="s">
        <v>6404</v>
      </c>
      <c r="C61" s="0" t="s">
        <v>6286</v>
      </c>
      <c r="D61" s="0" t="s">
        <v>2088</v>
      </c>
      <c r="E61" s="31" t="n">
        <v>45665</v>
      </c>
      <c r="F61" s="32" t="s">
        <v>1125</v>
      </c>
      <c r="G61" s="0" t="n">
        <v>12</v>
      </c>
      <c r="H61" s="0" t="n">
        <v>12</v>
      </c>
      <c r="I61" s="32" t="s">
        <v>2081</v>
      </c>
      <c r="J61" s="32" t="s">
        <v>2106</v>
      </c>
      <c r="K61" s="0" t="n">
        <v>0</v>
      </c>
      <c r="L61" s="32" t="s">
        <v>793</v>
      </c>
      <c r="M61" s="0" t="str">
        <f aca="false">IF(L61="GEN","GM",L61)</f>
        <v>EM</v>
      </c>
    </row>
    <row r="62" customFormat="false" ht="15" hidden="false" customHeight="false" outlineLevel="0" collapsed="false">
      <c r="A62" s="0" t="s">
        <v>6405</v>
      </c>
      <c r="C62" s="0" t="s">
        <v>6295</v>
      </c>
      <c r="D62" s="0" t="s">
        <v>2088</v>
      </c>
      <c r="E62" s="31" t="n">
        <v>45665</v>
      </c>
      <c r="F62" s="32" t="s">
        <v>1125</v>
      </c>
      <c r="G62" s="0" t="n">
        <v>12</v>
      </c>
      <c r="H62" s="0" t="n">
        <v>12</v>
      </c>
      <c r="I62" s="32" t="s">
        <v>2081</v>
      </c>
      <c r="J62" s="32" t="s">
        <v>2106</v>
      </c>
      <c r="K62" s="0" t="n">
        <v>0</v>
      </c>
      <c r="L62" s="32" t="s">
        <v>747</v>
      </c>
      <c r="M62" s="0" t="str">
        <f aca="false">IF(L62="GEN","GM",L62)</f>
        <v>GM</v>
      </c>
    </row>
    <row r="63" customFormat="false" ht="15" hidden="false" customHeight="false" outlineLevel="0" collapsed="false">
      <c r="A63" s="0" t="s">
        <v>6406</v>
      </c>
      <c r="B63" s="0" t="s">
        <v>6407</v>
      </c>
      <c r="C63" s="0" t="s">
        <v>6290</v>
      </c>
      <c r="D63" s="0" t="s">
        <v>2079</v>
      </c>
      <c r="E63" s="31" t="n">
        <v>45665</v>
      </c>
      <c r="F63" s="32" t="s">
        <v>6283</v>
      </c>
      <c r="G63" s="0" t="n">
        <v>11.5</v>
      </c>
      <c r="H63" s="0" t="n">
        <v>11.5</v>
      </c>
      <c r="I63" s="32" t="s">
        <v>2081</v>
      </c>
      <c r="J63" s="32" t="s">
        <v>2081</v>
      </c>
      <c r="K63" s="0" t="n">
        <v>0</v>
      </c>
      <c r="L63" s="32" t="s">
        <v>785</v>
      </c>
      <c r="M63" s="0" t="str">
        <f aca="false">IF(L63="GEN","GM",L63)</f>
        <v>RS</v>
      </c>
    </row>
    <row r="64" customFormat="false" ht="15" hidden="false" customHeight="false" outlineLevel="0" collapsed="false">
      <c r="A64" s="0" t="s">
        <v>6408</v>
      </c>
      <c r="B64" s="0" t="s">
        <v>6409</v>
      </c>
      <c r="C64" s="0" t="s">
        <v>6295</v>
      </c>
      <c r="D64" s="0" t="s">
        <v>2079</v>
      </c>
      <c r="E64" s="31" t="n">
        <v>45665</v>
      </c>
      <c r="F64" s="32" t="s">
        <v>1125</v>
      </c>
      <c r="G64" s="0" t="n">
        <v>12</v>
      </c>
      <c r="H64" s="0" t="n">
        <v>12</v>
      </c>
      <c r="I64" s="32" t="s">
        <v>2081</v>
      </c>
      <c r="J64" s="32" t="s">
        <v>2106</v>
      </c>
      <c r="K64" s="0" t="n">
        <v>0</v>
      </c>
      <c r="L64" s="32" t="s">
        <v>826</v>
      </c>
      <c r="M64" s="0" t="str">
        <f aca="false">IF(L64="GEN","GM",L64)</f>
        <v>RHE</v>
      </c>
    </row>
    <row r="65" customFormat="false" ht="15" hidden="false" customHeight="false" outlineLevel="0" collapsed="false">
      <c r="A65" s="0" t="s">
        <v>6410</v>
      </c>
      <c r="B65" s="0" t="s">
        <v>6411</v>
      </c>
      <c r="C65" s="0" t="s">
        <v>6295</v>
      </c>
      <c r="D65" s="0" t="s">
        <v>2079</v>
      </c>
      <c r="E65" s="31" t="n">
        <v>45665</v>
      </c>
      <c r="F65" s="32" t="s">
        <v>1125</v>
      </c>
      <c r="G65" s="0" t="n">
        <v>12</v>
      </c>
      <c r="H65" s="0" t="n">
        <v>12</v>
      </c>
      <c r="I65" s="32" t="s">
        <v>2081</v>
      </c>
      <c r="J65" s="32" t="s">
        <v>2081</v>
      </c>
      <c r="K65" s="0" t="n">
        <v>0</v>
      </c>
      <c r="L65" s="32" t="s">
        <v>793</v>
      </c>
      <c r="M65" s="0" t="str">
        <f aca="false">IF(L65="GEN","GM",L65)</f>
        <v>EM</v>
      </c>
    </row>
    <row r="66" customFormat="false" ht="15" hidden="false" customHeight="false" outlineLevel="0" collapsed="false">
      <c r="A66" s="0" t="s">
        <v>6412</v>
      </c>
      <c r="B66" s="0" t="s">
        <v>6413</v>
      </c>
      <c r="C66" s="0" t="s">
        <v>6295</v>
      </c>
      <c r="D66" s="0" t="s">
        <v>2079</v>
      </c>
      <c r="E66" s="31" t="n">
        <v>45665</v>
      </c>
      <c r="F66" s="32" t="s">
        <v>6287</v>
      </c>
      <c r="G66" s="0" t="n">
        <v>7.5</v>
      </c>
      <c r="H66" s="0" t="n">
        <v>7.5</v>
      </c>
      <c r="I66" s="32" t="s">
        <v>2081</v>
      </c>
      <c r="J66" s="32" t="s">
        <v>2081</v>
      </c>
      <c r="K66" s="0" t="n">
        <v>0</v>
      </c>
      <c r="L66" s="32" t="s">
        <v>802</v>
      </c>
      <c r="M66" s="0" t="str">
        <f aca="false">IF(L66="GEN","GM",L66)</f>
        <v>GYN</v>
      </c>
    </row>
    <row r="67" customFormat="false" ht="15" hidden="false" customHeight="false" outlineLevel="0" collapsed="false">
      <c r="A67" s="0" t="s">
        <v>6414</v>
      </c>
      <c r="B67" s="0" t="s">
        <v>6415</v>
      </c>
      <c r="C67" s="0" t="s">
        <v>6295</v>
      </c>
      <c r="D67" s="0" t="s">
        <v>2099</v>
      </c>
      <c r="E67" s="31" t="n">
        <v>45665</v>
      </c>
      <c r="F67" s="32" t="s">
        <v>6283</v>
      </c>
      <c r="G67" s="0" t="n">
        <v>11.5</v>
      </c>
      <c r="H67" s="0" t="n">
        <v>11.5</v>
      </c>
      <c r="I67" s="32" t="s">
        <v>2081</v>
      </c>
      <c r="J67" s="32" t="s">
        <v>2081</v>
      </c>
      <c r="K67" s="0" t="n">
        <v>0</v>
      </c>
      <c r="L67" s="32" t="s">
        <v>826</v>
      </c>
      <c r="M67" s="0" t="str">
        <f aca="false">IF(L67="GEN","GM",L67)</f>
        <v>RHE</v>
      </c>
    </row>
    <row r="68" customFormat="false" ht="15" hidden="false" customHeight="false" outlineLevel="0" collapsed="false">
      <c r="A68" s="0" t="s">
        <v>6416</v>
      </c>
      <c r="B68" s="0" t="s">
        <v>6417</v>
      </c>
      <c r="C68" s="0" t="s">
        <v>780</v>
      </c>
      <c r="D68" s="0" t="s">
        <v>2099</v>
      </c>
      <c r="E68" s="31" t="n">
        <v>45665</v>
      </c>
      <c r="F68" s="32" t="s">
        <v>6283</v>
      </c>
      <c r="G68" s="0" t="n">
        <v>11.5</v>
      </c>
      <c r="H68" s="0" t="n">
        <v>10.5</v>
      </c>
      <c r="I68" s="32" t="s">
        <v>2081</v>
      </c>
      <c r="J68" s="32" t="s">
        <v>2081</v>
      </c>
      <c r="K68" s="0" t="n">
        <v>0</v>
      </c>
      <c r="L68" s="32" t="s">
        <v>826</v>
      </c>
      <c r="M68" s="0" t="str">
        <f aca="false">IF(L68="GEN","GM",L68)</f>
        <v>RHE</v>
      </c>
    </row>
    <row r="69" customFormat="false" ht="15" hidden="false" customHeight="false" outlineLevel="0" collapsed="false">
      <c r="A69" s="0" t="s">
        <v>6418</v>
      </c>
      <c r="B69" s="0" t="s">
        <v>6419</v>
      </c>
      <c r="C69" s="0" t="s">
        <v>6286</v>
      </c>
      <c r="D69" s="0" t="s">
        <v>2099</v>
      </c>
      <c r="E69" s="31" t="n">
        <v>45665</v>
      </c>
      <c r="F69" s="32" t="s">
        <v>6283</v>
      </c>
      <c r="G69" s="0" t="n">
        <v>11.5</v>
      </c>
      <c r="H69" s="0" t="n">
        <v>11.5</v>
      </c>
      <c r="I69" s="32" t="s">
        <v>2081</v>
      </c>
      <c r="J69" s="32" t="s">
        <v>2081</v>
      </c>
      <c r="K69" s="0" t="n">
        <v>0</v>
      </c>
      <c r="L69" s="32" t="s">
        <v>793</v>
      </c>
      <c r="M69" s="0" t="str">
        <f aca="false">IF(L69="GEN","GM",L69)</f>
        <v>EM</v>
      </c>
    </row>
    <row r="70" customFormat="false" ht="15" hidden="false" customHeight="false" outlineLevel="0" collapsed="false">
      <c r="A70" s="0" t="s">
        <v>6420</v>
      </c>
      <c r="B70" s="0" t="s">
        <v>6421</v>
      </c>
      <c r="C70" s="0" t="s">
        <v>6295</v>
      </c>
      <c r="D70" s="0" t="s">
        <v>2099</v>
      </c>
      <c r="E70" s="31" t="n">
        <v>45665</v>
      </c>
      <c r="F70" s="32" t="s">
        <v>6287</v>
      </c>
      <c r="G70" s="0" t="n">
        <v>7.5</v>
      </c>
      <c r="H70" s="0" t="n">
        <v>7.5</v>
      </c>
      <c r="I70" s="32" t="s">
        <v>2081</v>
      </c>
      <c r="J70" s="32" t="s">
        <v>2081</v>
      </c>
      <c r="K70" s="0" t="n">
        <v>0</v>
      </c>
      <c r="L70" s="32" t="s">
        <v>793</v>
      </c>
      <c r="M70" s="0" t="str">
        <f aca="false">IF(L70="GEN","GM",L70)</f>
        <v>EM</v>
      </c>
    </row>
    <row r="71" customFormat="false" ht="15" hidden="false" customHeight="false" outlineLevel="0" collapsed="false">
      <c r="A71" s="0" t="s">
        <v>6422</v>
      </c>
      <c r="B71" s="0" t="s">
        <v>6423</v>
      </c>
      <c r="C71" s="0" t="s">
        <v>6282</v>
      </c>
      <c r="D71" s="0" t="s">
        <v>2115</v>
      </c>
      <c r="E71" s="31" t="n">
        <v>45665</v>
      </c>
      <c r="F71" s="32" t="s">
        <v>1125</v>
      </c>
      <c r="G71" s="0" t="n">
        <v>12</v>
      </c>
      <c r="H71" s="0" t="n">
        <v>13.9</v>
      </c>
      <c r="I71" s="32" t="s">
        <v>2081</v>
      </c>
      <c r="J71" s="32" t="s">
        <v>2081</v>
      </c>
      <c r="K71" s="0" t="n">
        <v>1.9</v>
      </c>
      <c r="L71" s="32" t="s">
        <v>747</v>
      </c>
      <c r="M71" s="0" t="str">
        <f aca="false">IF(L71="GEN","GM",L71)</f>
        <v>GM</v>
      </c>
    </row>
    <row r="72" customFormat="false" ht="15" hidden="false" customHeight="false" outlineLevel="0" collapsed="false">
      <c r="A72" s="0" t="s">
        <v>6424</v>
      </c>
      <c r="B72" s="0" t="s">
        <v>6425</v>
      </c>
      <c r="C72" s="0" t="s">
        <v>6282</v>
      </c>
      <c r="D72" s="0" t="s">
        <v>2115</v>
      </c>
      <c r="E72" s="31" t="n">
        <v>45665</v>
      </c>
      <c r="F72" s="32" t="s">
        <v>1125</v>
      </c>
      <c r="G72" s="0" t="n">
        <v>12</v>
      </c>
      <c r="H72" s="0" t="n">
        <v>12</v>
      </c>
      <c r="I72" s="32" t="s">
        <v>2081</v>
      </c>
      <c r="J72" s="32" t="s">
        <v>2081</v>
      </c>
      <c r="K72" s="0" t="n">
        <v>0</v>
      </c>
      <c r="L72" s="32" t="s">
        <v>758</v>
      </c>
      <c r="M72" s="0" t="str">
        <f aca="false">IF(L72="GEN","GM",L72)</f>
        <v>CS</v>
      </c>
    </row>
    <row r="73" customFormat="false" ht="15" hidden="false" customHeight="false" outlineLevel="0" collapsed="false">
      <c r="A73" s="0" t="s">
        <v>6426</v>
      </c>
      <c r="B73" s="0" t="s">
        <v>6427</v>
      </c>
      <c r="C73" s="0" t="s">
        <v>6295</v>
      </c>
      <c r="D73" s="0" t="s">
        <v>2115</v>
      </c>
      <c r="E73" s="31" t="n">
        <v>45665</v>
      </c>
      <c r="F73" s="32" t="s">
        <v>6287</v>
      </c>
      <c r="G73" s="0" t="n">
        <v>7.5</v>
      </c>
      <c r="H73" s="0" t="n">
        <v>7.5</v>
      </c>
      <c r="I73" s="32" t="s">
        <v>2081</v>
      </c>
      <c r="J73" s="32" t="s">
        <v>2081</v>
      </c>
      <c r="K73" s="0" t="n">
        <v>0</v>
      </c>
      <c r="L73" s="32" t="s">
        <v>810</v>
      </c>
      <c r="M73" s="0" t="str">
        <f aca="false">IF(L73="GEN","GM",L73)</f>
        <v>URO</v>
      </c>
    </row>
    <row r="74" customFormat="false" ht="15" hidden="false" customHeight="false" outlineLevel="0" collapsed="false">
      <c r="A74" s="0" t="s">
        <v>6428</v>
      </c>
      <c r="B74" s="0" t="s">
        <v>6429</v>
      </c>
      <c r="C74" s="0" t="s">
        <v>6295</v>
      </c>
      <c r="D74" s="0" t="s">
        <v>2115</v>
      </c>
      <c r="E74" s="31" t="n">
        <v>45665</v>
      </c>
      <c r="F74" s="32" t="s">
        <v>1125</v>
      </c>
      <c r="G74" s="0" t="n">
        <v>12</v>
      </c>
      <c r="H74" s="0" t="n">
        <v>12</v>
      </c>
      <c r="I74" s="32" t="s">
        <v>2081</v>
      </c>
      <c r="J74" s="32" t="s">
        <v>2081</v>
      </c>
      <c r="K74" s="0" t="n">
        <v>0</v>
      </c>
      <c r="L74" s="32" t="s">
        <v>776</v>
      </c>
      <c r="M74" s="0" t="str">
        <f aca="false">IF(L74="GEN","GM",L74)</f>
        <v>GS</v>
      </c>
    </row>
    <row r="75" customFormat="false" ht="15" hidden="false" customHeight="false" outlineLevel="0" collapsed="false">
      <c r="A75" s="0" t="s">
        <v>6430</v>
      </c>
      <c r="B75" s="0" t="s">
        <v>6431</v>
      </c>
      <c r="C75" s="0" t="s">
        <v>6295</v>
      </c>
      <c r="D75" s="0" t="s">
        <v>2115</v>
      </c>
      <c r="E75" s="31" t="n">
        <v>45665</v>
      </c>
      <c r="F75" s="32" t="s">
        <v>1125</v>
      </c>
      <c r="G75" s="0" t="n">
        <v>12</v>
      </c>
      <c r="H75" s="0" t="n">
        <v>12</v>
      </c>
      <c r="I75" s="32" t="s">
        <v>2081</v>
      </c>
      <c r="J75" s="32" t="s">
        <v>2081</v>
      </c>
      <c r="K75" s="0" t="n">
        <v>0</v>
      </c>
      <c r="L75" s="32" t="s">
        <v>758</v>
      </c>
      <c r="M75" s="0" t="str">
        <f aca="false">IF(L75="GEN","GM",L75)</f>
        <v>CS</v>
      </c>
    </row>
    <row r="76" customFormat="false" ht="15" hidden="false" customHeight="false" outlineLevel="0" collapsed="false">
      <c r="A76" s="0" t="s">
        <v>6432</v>
      </c>
      <c r="B76" s="0" t="s">
        <v>6433</v>
      </c>
      <c r="C76" s="0" t="s">
        <v>6286</v>
      </c>
      <c r="D76" s="0" t="s">
        <v>2124</v>
      </c>
      <c r="E76" s="31" t="n">
        <v>45665</v>
      </c>
      <c r="F76" s="32" t="s">
        <v>6283</v>
      </c>
      <c r="G76" s="0" t="n">
        <v>11.5</v>
      </c>
      <c r="H76" s="0" t="n">
        <v>13.5</v>
      </c>
      <c r="I76" s="32" t="s">
        <v>2081</v>
      </c>
      <c r="J76" s="32" t="s">
        <v>2081</v>
      </c>
      <c r="K76" s="0" t="n">
        <v>2</v>
      </c>
      <c r="L76" s="32" t="s">
        <v>766</v>
      </c>
      <c r="M76" s="0" t="str">
        <f aca="false">IF(L76="GEN","GM",L76)</f>
        <v>OR</v>
      </c>
    </row>
    <row r="77" customFormat="false" ht="15" hidden="false" customHeight="false" outlineLevel="0" collapsed="false">
      <c r="A77" s="0" t="s">
        <v>6434</v>
      </c>
      <c r="B77" s="0" t="s">
        <v>6435</v>
      </c>
      <c r="C77" s="0" t="s">
        <v>6286</v>
      </c>
      <c r="D77" s="0" t="s">
        <v>2124</v>
      </c>
      <c r="E77" s="31" t="n">
        <v>45665</v>
      </c>
      <c r="F77" s="32" t="s">
        <v>6287</v>
      </c>
      <c r="G77" s="0" t="n">
        <v>7.5</v>
      </c>
      <c r="H77" s="0" t="n">
        <v>7.5</v>
      </c>
      <c r="I77" s="32" t="s">
        <v>2106</v>
      </c>
      <c r="J77" s="32" t="s">
        <v>2081</v>
      </c>
      <c r="K77" s="0" t="n">
        <v>0</v>
      </c>
      <c r="L77" s="32" t="s">
        <v>747</v>
      </c>
      <c r="M77" s="0" t="str">
        <f aca="false">IF(L77="GEN","GM",L77)</f>
        <v>GM</v>
      </c>
    </row>
    <row r="78" customFormat="false" ht="15" hidden="false" customHeight="false" outlineLevel="0" collapsed="false">
      <c r="A78" s="0" t="s">
        <v>6436</v>
      </c>
      <c r="B78" s="0" t="s">
        <v>6437</v>
      </c>
      <c r="C78" s="0" t="s">
        <v>6295</v>
      </c>
      <c r="D78" s="0" t="s">
        <v>2124</v>
      </c>
      <c r="E78" s="31" t="n">
        <v>45665</v>
      </c>
      <c r="F78" s="32" t="s">
        <v>1125</v>
      </c>
      <c r="G78" s="0" t="n">
        <v>12</v>
      </c>
      <c r="H78" s="0" t="n">
        <v>12</v>
      </c>
      <c r="I78" s="32" t="s">
        <v>2081</v>
      </c>
      <c r="J78" s="32" t="s">
        <v>2081</v>
      </c>
      <c r="K78" s="0" t="n">
        <v>0</v>
      </c>
      <c r="L78" s="32" t="s">
        <v>776</v>
      </c>
      <c r="M78" s="0" t="str">
        <f aca="false">IF(L78="GEN","GM",L78)</f>
        <v>GS</v>
      </c>
    </row>
    <row r="79" customFormat="false" ht="15" hidden="false" customHeight="false" outlineLevel="0" collapsed="false">
      <c r="A79" s="0" t="s">
        <v>6438</v>
      </c>
      <c r="C79" s="0" t="s">
        <v>6295</v>
      </c>
      <c r="D79" s="0" t="s">
        <v>2124</v>
      </c>
      <c r="E79" s="31" t="n">
        <v>45665</v>
      </c>
      <c r="F79" s="32" t="s">
        <v>1125</v>
      </c>
      <c r="G79" s="0" t="n">
        <v>12</v>
      </c>
      <c r="H79" s="0" t="n">
        <v>12</v>
      </c>
      <c r="I79" s="32" t="s">
        <v>2081</v>
      </c>
      <c r="J79" s="32" t="s">
        <v>2081</v>
      </c>
      <c r="K79" s="0" t="n">
        <v>0</v>
      </c>
      <c r="L79" s="32" t="s">
        <v>776</v>
      </c>
      <c r="M79" s="0" t="str">
        <f aca="false">IF(L79="GEN","GM",L79)</f>
        <v>GS</v>
      </c>
    </row>
    <row r="80" customFormat="false" ht="15" hidden="false" customHeight="false" outlineLevel="0" collapsed="false">
      <c r="A80" s="0" t="s">
        <v>6439</v>
      </c>
      <c r="B80" s="0" t="s">
        <v>6440</v>
      </c>
      <c r="C80" s="0" t="s">
        <v>6290</v>
      </c>
      <c r="D80" s="0" t="s">
        <v>2124</v>
      </c>
      <c r="E80" s="31" t="n">
        <v>45665</v>
      </c>
      <c r="F80" s="32" t="s">
        <v>6283</v>
      </c>
      <c r="G80" s="0" t="n">
        <v>11.5</v>
      </c>
      <c r="H80" s="0" t="n">
        <v>11.5</v>
      </c>
      <c r="I80" s="32" t="s">
        <v>2106</v>
      </c>
      <c r="J80" s="32" t="s">
        <v>2081</v>
      </c>
      <c r="K80" s="0" t="n">
        <v>0</v>
      </c>
      <c r="L80" s="32" t="s">
        <v>793</v>
      </c>
      <c r="M80" s="0" t="str">
        <f aca="false">IF(L80="GEN","GM",L80)</f>
        <v>EM</v>
      </c>
    </row>
    <row r="81" customFormat="false" ht="15" hidden="false" customHeight="false" outlineLevel="0" collapsed="false">
      <c r="A81" s="0" t="s">
        <v>6441</v>
      </c>
      <c r="B81" s="0" t="s">
        <v>6442</v>
      </c>
      <c r="C81" s="0" t="s">
        <v>780</v>
      </c>
      <c r="D81" s="0" t="s">
        <v>2104</v>
      </c>
      <c r="E81" s="31" t="n">
        <v>45665</v>
      </c>
      <c r="F81" s="32" t="s">
        <v>6283</v>
      </c>
      <c r="G81" s="0" t="n">
        <v>11.5</v>
      </c>
      <c r="H81" s="0" t="n">
        <v>11.5</v>
      </c>
      <c r="I81" s="32" t="s">
        <v>2081</v>
      </c>
      <c r="J81" s="32" t="s">
        <v>2081</v>
      </c>
      <c r="K81" s="0" t="n">
        <v>0</v>
      </c>
      <c r="L81" s="32" t="s">
        <v>793</v>
      </c>
      <c r="M81" s="0" t="str">
        <f aca="false">IF(L81="GEN","GM",L81)</f>
        <v>EM</v>
      </c>
    </row>
    <row r="82" customFormat="false" ht="15" hidden="false" customHeight="false" outlineLevel="0" collapsed="false">
      <c r="A82" s="0" t="s">
        <v>6443</v>
      </c>
      <c r="B82" s="0" t="s">
        <v>6444</v>
      </c>
      <c r="C82" s="0" t="s">
        <v>6290</v>
      </c>
      <c r="D82" s="0" t="s">
        <v>2104</v>
      </c>
      <c r="E82" s="31" t="n">
        <v>45665</v>
      </c>
      <c r="F82" s="32" t="s">
        <v>6287</v>
      </c>
      <c r="G82" s="0" t="n">
        <v>7.5</v>
      </c>
      <c r="H82" s="0" t="n">
        <v>8.5</v>
      </c>
      <c r="I82" s="32" t="s">
        <v>2081</v>
      </c>
      <c r="J82" s="32" t="s">
        <v>2081</v>
      </c>
      <c r="K82" s="0" t="n">
        <v>1</v>
      </c>
      <c r="L82" s="32" t="s">
        <v>785</v>
      </c>
      <c r="M82" s="0" t="str">
        <f aca="false">IF(L82="GEN","GM",L82)</f>
        <v>RS</v>
      </c>
    </row>
    <row r="83" customFormat="false" ht="15" hidden="false" customHeight="false" outlineLevel="0" collapsed="false">
      <c r="A83" s="0" t="s">
        <v>6445</v>
      </c>
      <c r="B83" s="0" t="s">
        <v>6446</v>
      </c>
      <c r="C83" s="0" t="s">
        <v>6286</v>
      </c>
      <c r="D83" s="0" t="s">
        <v>2104</v>
      </c>
      <c r="E83" s="31" t="n">
        <v>45665</v>
      </c>
      <c r="F83" s="32" t="s">
        <v>6283</v>
      </c>
      <c r="G83" s="0" t="n">
        <v>11.5</v>
      </c>
      <c r="H83" s="0" t="n">
        <v>11.5</v>
      </c>
      <c r="I83" s="32" t="s">
        <v>2081</v>
      </c>
      <c r="J83" s="32" t="s">
        <v>2081</v>
      </c>
      <c r="K83" s="0" t="n">
        <v>0</v>
      </c>
      <c r="L83" s="32" t="s">
        <v>810</v>
      </c>
      <c r="M83" s="0" t="str">
        <f aca="false">IF(L83="GEN","GM",L83)</f>
        <v>URO</v>
      </c>
    </row>
    <row r="84" customFormat="false" ht="15" hidden="false" customHeight="false" outlineLevel="0" collapsed="false">
      <c r="A84" s="0" t="s">
        <v>6447</v>
      </c>
      <c r="B84" s="0" t="s">
        <v>6448</v>
      </c>
      <c r="C84" s="0" t="s">
        <v>6295</v>
      </c>
      <c r="D84" s="0" t="s">
        <v>3035</v>
      </c>
      <c r="E84" s="31" t="n">
        <v>45665</v>
      </c>
      <c r="F84" s="32" t="s">
        <v>6287</v>
      </c>
      <c r="G84" s="0" t="n">
        <v>7.5</v>
      </c>
      <c r="H84" s="0" t="n">
        <v>7.5</v>
      </c>
      <c r="I84" s="32" t="s">
        <v>2081</v>
      </c>
      <c r="J84" s="32" t="s">
        <v>2081</v>
      </c>
      <c r="K84" s="0" t="n">
        <v>0</v>
      </c>
      <c r="L84" s="32" t="s">
        <v>766</v>
      </c>
      <c r="M84" s="0" t="str">
        <f aca="false">IF(L84="GEN","GM",L84)</f>
        <v>OR</v>
      </c>
    </row>
    <row r="85" customFormat="false" ht="15" hidden="false" customHeight="false" outlineLevel="0" collapsed="false">
      <c r="A85" s="0" t="s">
        <v>6449</v>
      </c>
      <c r="B85" s="0" t="s">
        <v>6450</v>
      </c>
      <c r="C85" s="0" t="s">
        <v>6286</v>
      </c>
      <c r="D85" s="0" t="s">
        <v>3035</v>
      </c>
      <c r="E85" s="31" t="n">
        <v>45665</v>
      </c>
      <c r="F85" s="32" t="s">
        <v>1125</v>
      </c>
      <c r="G85" s="0" t="n">
        <v>12</v>
      </c>
      <c r="H85" s="0" t="n">
        <v>12</v>
      </c>
      <c r="I85" s="32" t="s">
        <v>2106</v>
      </c>
      <c r="J85" s="32" t="s">
        <v>2081</v>
      </c>
      <c r="K85" s="0" t="n">
        <v>0</v>
      </c>
      <c r="L85" s="32" t="s">
        <v>747</v>
      </c>
      <c r="M85" s="0" t="str">
        <f aca="false">IF(L85="GEN","GM",L85)</f>
        <v>GM</v>
      </c>
    </row>
    <row r="86" customFormat="false" ht="15" hidden="false" customHeight="false" outlineLevel="0" collapsed="false">
      <c r="A86" s="0" t="s">
        <v>6451</v>
      </c>
      <c r="B86" s="0" t="s">
        <v>6452</v>
      </c>
      <c r="C86" s="0" t="s">
        <v>6282</v>
      </c>
      <c r="D86" s="0" t="s">
        <v>3035</v>
      </c>
      <c r="E86" s="31" t="n">
        <v>45665</v>
      </c>
      <c r="F86" s="32" t="s">
        <v>1125</v>
      </c>
      <c r="G86" s="0" t="n">
        <v>12</v>
      </c>
      <c r="H86" s="0" t="n">
        <v>12</v>
      </c>
      <c r="I86" s="32" t="s">
        <v>2081</v>
      </c>
      <c r="J86" s="32" t="s">
        <v>2106</v>
      </c>
      <c r="K86" s="0" t="n">
        <v>0</v>
      </c>
      <c r="L86" s="32" t="s">
        <v>766</v>
      </c>
      <c r="M86" s="0" t="str">
        <f aca="false">IF(L86="GEN","GM",L86)</f>
        <v>OR</v>
      </c>
    </row>
    <row r="87" customFormat="false" ht="15" hidden="false" customHeight="false" outlineLevel="0" collapsed="false">
      <c r="A87" s="0" t="s">
        <v>6453</v>
      </c>
      <c r="B87" s="0" t="s">
        <v>6454</v>
      </c>
      <c r="C87" s="0" t="s">
        <v>6295</v>
      </c>
      <c r="D87" s="0" t="s">
        <v>2088</v>
      </c>
      <c r="E87" s="31" t="n">
        <v>45666</v>
      </c>
      <c r="F87" s="32" t="s">
        <v>1125</v>
      </c>
      <c r="G87" s="0" t="n">
        <v>12</v>
      </c>
      <c r="H87" s="0" t="n">
        <v>12</v>
      </c>
      <c r="I87" s="32" t="s">
        <v>2081</v>
      </c>
      <c r="J87" s="32" t="s">
        <v>2081</v>
      </c>
      <c r="K87" s="0" t="n">
        <v>0</v>
      </c>
      <c r="L87" s="32" t="s">
        <v>747</v>
      </c>
      <c r="M87" s="0" t="str">
        <f aca="false">IF(L87="GEN","GM",L87)</f>
        <v>GM</v>
      </c>
    </row>
    <row r="88" customFormat="false" ht="15" hidden="false" customHeight="false" outlineLevel="0" collapsed="false">
      <c r="A88" s="0" t="s">
        <v>6455</v>
      </c>
      <c r="B88" s="0" t="s">
        <v>6456</v>
      </c>
      <c r="C88" s="0" t="s">
        <v>6286</v>
      </c>
      <c r="D88" s="0" t="s">
        <v>2088</v>
      </c>
      <c r="E88" s="31" t="n">
        <v>45666</v>
      </c>
      <c r="F88" s="32" t="s">
        <v>1125</v>
      </c>
      <c r="G88" s="0" t="n">
        <v>12</v>
      </c>
      <c r="H88" s="0" t="n">
        <v>12</v>
      </c>
      <c r="I88" s="32" t="s">
        <v>2081</v>
      </c>
      <c r="J88" s="32" t="s">
        <v>2081</v>
      </c>
      <c r="K88" s="0" t="n">
        <v>0</v>
      </c>
      <c r="L88" s="32" t="s">
        <v>766</v>
      </c>
      <c r="M88" s="0" t="str">
        <f aca="false">IF(L88="GEN","GM",L88)</f>
        <v>OR</v>
      </c>
    </row>
    <row r="89" customFormat="false" ht="15" hidden="false" customHeight="false" outlineLevel="0" collapsed="false">
      <c r="A89" s="0" t="s">
        <v>6457</v>
      </c>
      <c r="B89" s="0" t="s">
        <v>6458</v>
      </c>
      <c r="C89" s="0" t="s">
        <v>780</v>
      </c>
      <c r="D89" s="0" t="s">
        <v>2088</v>
      </c>
      <c r="E89" s="31" t="n">
        <v>45666</v>
      </c>
      <c r="F89" s="32" t="s">
        <v>1125</v>
      </c>
      <c r="G89" s="0" t="n">
        <v>12</v>
      </c>
      <c r="H89" s="0" t="n">
        <v>12</v>
      </c>
      <c r="I89" s="32" t="s">
        <v>2081</v>
      </c>
      <c r="J89" s="32" t="s">
        <v>2081</v>
      </c>
      <c r="K89" s="0" t="n">
        <v>0</v>
      </c>
      <c r="L89" s="32" t="s">
        <v>776</v>
      </c>
      <c r="M89" s="0" t="str">
        <f aca="false">IF(L89="GEN","GM",L89)</f>
        <v>GS</v>
      </c>
    </row>
    <row r="90" customFormat="false" ht="15" hidden="false" customHeight="false" outlineLevel="0" collapsed="false">
      <c r="A90" s="0" t="s">
        <v>6459</v>
      </c>
      <c r="B90" s="0" t="s">
        <v>6460</v>
      </c>
      <c r="C90" s="0" t="s">
        <v>6286</v>
      </c>
      <c r="D90" s="0" t="s">
        <v>2088</v>
      </c>
      <c r="E90" s="31" t="n">
        <v>45666</v>
      </c>
      <c r="F90" s="32" t="s">
        <v>6283</v>
      </c>
      <c r="G90" s="0" t="n">
        <v>11.5</v>
      </c>
      <c r="H90" s="0" t="n">
        <v>10.6</v>
      </c>
      <c r="I90" s="32" t="s">
        <v>2081</v>
      </c>
      <c r="J90" s="32" t="s">
        <v>2081</v>
      </c>
      <c r="K90" s="0" t="n">
        <v>0</v>
      </c>
      <c r="L90" s="32" t="s">
        <v>776</v>
      </c>
      <c r="M90" s="0" t="str">
        <f aca="false">IF(L90="GEN","GM",L90)</f>
        <v>GS</v>
      </c>
    </row>
    <row r="91" customFormat="false" ht="15" hidden="false" customHeight="false" outlineLevel="0" collapsed="false">
      <c r="A91" s="0" t="s">
        <v>6461</v>
      </c>
      <c r="B91" s="0" t="s">
        <v>6462</v>
      </c>
      <c r="C91" s="0" t="s">
        <v>6286</v>
      </c>
      <c r="D91" s="0" t="s">
        <v>2079</v>
      </c>
      <c r="E91" s="31" t="n">
        <v>45666</v>
      </c>
      <c r="F91" s="32" t="s">
        <v>6283</v>
      </c>
      <c r="G91" s="0" t="n">
        <v>11.5</v>
      </c>
      <c r="H91" s="0" t="n">
        <v>11.5</v>
      </c>
      <c r="I91" s="32" t="s">
        <v>2081</v>
      </c>
      <c r="J91" s="32" t="s">
        <v>2081</v>
      </c>
      <c r="K91" s="0" t="n">
        <v>0</v>
      </c>
      <c r="L91" s="32" t="s">
        <v>785</v>
      </c>
      <c r="M91" s="0" t="str">
        <f aca="false">IF(L91="GEN","GM",L91)</f>
        <v>RS</v>
      </c>
    </row>
    <row r="92" customFormat="false" ht="15" hidden="false" customHeight="false" outlineLevel="0" collapsed="false">
      <c r="A92" s="0" t="s">
        <v>6463</v>
      </c>
      <c r="B92" s="0" t="s">
        <v>6464</v>
      </c>
      <c r="C92" s="0" t="s">
        <v>6290</v>
      </c>
      <c r="D92" s="0" t="s">
        <v>2079</v>
      </c>
      <c r="E92" s="31" t="n">
        <v>45666</v>
      </c>
      <c r="F92" s="32" t="s">
        <v>1125</v>
      </c>
      <c r="G92" s="0" t="n">
        <v>12</v>
      </c>
      <c r="H92" s="0" t="n">
        <v>12</v>
      </c>
      <c r="I92" s="32" t="s">
        <v>2081</v>
      </c>
      <c r="J92" s="32" t="s">
        <v>2081</v>
      </c>
      <c r="K92" s="0" t="n">
        <v>0</v>
      </c>
      <c r="L92" s="32" t="s">
        <v>776</v>
      </c>
      <c r="M92" s="0" t="str">
        <f aca="false">IF(L92="GEN","GM",L92)</f>
        <v>GS</v>
      </c>
    </row>
    <row r="93" customFormat="false" ht="15" hidden="false" customHeight="false" outlineLevel="0" collapsed="false">
      <c r="A93" s="0" t="s">
        <v>6465</v>
      </c>
      <c r="B93" s="0" t="s">
        <v>6466</v>
      </c>
      <c r="C93" s="0" t="s">
        <v>780</v>
      </c>
      <c r="D93" s="0" t="s">
        <v>2079</v>
      </c>
      <c r="E93" s="31" t="n">
        <v>45666</v>
      </c>
      <c r="F93" s="32" t="s">
        <v>1125</v>
      </c>
      <c r="G93" s="0" t="n">
        <v>12</v>
      </c>
      <c r="H93" s="0" t="n">
        <v>12</v>
      </c>
      <c r="I93" s="32" t="s">
        <v>2081</v>
      </c>
      <c r="J93" s="32" t="s">
        <v>2081</v>
      </c>
      <c r="K93" s="0" t="n">
        <v>0</v>
      </c>
      <c r="L93" s="32" t="s">
        <v>826</v>
      </c>
      <c r="M93" s="0" t="str">
        <f aca="false">IF(L93="GEN","GM",L93)</f>
        <v>RHE</v>
      </c>
    </row>
    <row r="94" customFormat="false" ht="15" hidden="false" customHeight="false" outlineLevel="0" collapsed="false">
      <c r="A94" s="0" t="s">
        <v>6467</v>
      </c>
      <c r="B94" s="0" t="s">
        <v>6468</v>
      </c>
      <c r="C94" s="0" t="s">
        <v>6290</v>
      </c>
      <c r="D94" s="0" t="s">
        <v>2079</v>
      </c>
      <c r="E94" s="31" t="n">
        <v>45666</v>
      </c>
      <c r="F94" s="32" t="s">
        <v>6283</v>
      </c>
      <c r="G94" s="0" t="n">
        <v>11.5</v>
      </c>
      <c r="H94" s="0" t="n">
        <v>11.5</v>
      </c>
      <c r="I94" s="32" t="s">
        <v>2081</v>
      </c>
      <c r="J94" s="32" t="s">
        <v>2081</v>
      </c>
      <c r="K94" s="0" t="n">
        <v>0</v>
      </c>
      <c r="L94" s="32" t="s">
        <v>810</v>
      </c>
      <c r="M94" s="0" t="str">
        <f aca="false">IF(L94="GEN","GM",L94)</f>
        <v>URO</v>
      </c>
    </row>
    <row r="95" customFormat="false" ht="15" hidden="false" customHeight="false" outlineLevel="0" collapsed="false">
      <c r="A95" s="0" t="s">
        <v>6469</v>
      </c>
      <c r="B95" s="0" t="s">
        <v>6470</v>
      </c>
      <c r="C95" s="0" t="s">
        <v>6290</v>
      </c>
      <c r="D95" s="0" t="s">
        <v>2099</v>
      </c>
      <c r="E95" s="31" t="n">
        <v>45666</v>
      </c>
      <c r="F95" s="32" t="s">
        <v>6287</v>
      </c>
      <c r="G95" s="0" t="n">
        <v>7.5</v>
      </c>
      <c r="H95" s="0" t="n">
        <v>7.5</v>
      </c>
      <c r="I95" s="32" t="s">
        <v>2106</v>
      </c>
      <c r="J95" s="32" t="s">
        <v>2081</v>
      </c>
      <c r="K95" s="0" t="n">
        <v>0</v>
      </c>
      <c r="L95" s="32" t="s">
        <v>785</v>
      </c>
      <c r="M95" s="0" t="str">
        <f aca="false">IF(L95="GEN","GM",L95)</f>
        <v>RS</v>
      </c>
    </row>
    <row r="96" customFormat="false" ht="15" hidden="false" customHeight="false" outlineLevel="0" collapsed="false">
      <c r="A96" s="0" t="s">
        <v>6471</v>
      </c>
      <c r="B96" s="0" t="s">
        <v>6472</v>
      </c>
      <c r="C96" s="0" t="s">
        <v>6295</v>
      </c>
      <c r="D96" s="0" t="s">
        <v>2099</v>
      </c>
      <c r="E96" s="31" t="n">
        <v>45666</v>
      </c>
      <c r="F96" s="32" t="s">
        <v>6283</v>
      </c>
      <c r="G96" s="0" t="n">
        <v>11.5</v>
      </c>
      <c r="H96" s="0" t="n">
        <v>11.5</v>
      </c>
      <c r="I96" s="32" t="s">
        <v>2106</v>
      </c>
      <c r="J96" s="32" t="s">
        <v>2106</v>
      </c>
      <c r="K96" s="0" t="n">
        <v>0</v>
      </c>
      <c r="L96" s="32" t="s">
        <v>758</v>
      </c>
      <c r="M96" s="0" t="str">
        <f aca="false">IF(L96="GEN","GM",L96)</f>
        <v>CS</v>
      </c>
    </row>
    <row r="97" customFormat="false" ht="15" hidden="false" customHeight="false" outlineLevel="0" collapsed="false">
      <c r="A97" s="0" t="s">
        <v>6473</v>
      </c>
      <c r="B97" s="0" t="s">
        <v>6474</v>
      </c>
      <c r="C97" s="0" t="s">
        <v>6282</v>
      </c>
      <c r="D97" s="0" t="s">
        <v>2099</v>
      </c>
      <c r="E97" s="31" t="n">
        <v>45666</v>
      </c>
      <c r="F97" s="32" t="s">
        <v>6287</v>
      </c>
      <c r="G97" s="0" t="n">
        <v>7.5</v>
      </c>
      <c r="H97" s="0" t="n">
        <v>7.5</v>
      </c>
      <c r="I97" s="32" t="s">
        <v>2081</v>
      </c>
      <c r="J97" s="32" t="s">
        <v>2081</v>
      </c>
      <c r="K97" s="0" t="n">
        <v>0</v>
      </c>
      <c r="L97" s="32" t="s">
        <v>747</v>
      </c>
      <c r="M97" s="0" t="str">
        <f aca="false">IF(L97="GEN","GM",L97)</f>
        <v>GM</v>
      </c>
    </row>
    <row r="98" customFormat="false" ht="15" hidden="false" customHeight="false" outlineLevel="0" collapsed="false">
      <c r="A98" s="0" t="s">
        <v>6475</v>
      </c>
      <c r="B98" s="0" t="s">
        <v>6476</v>
      </c>
      <c r="C98" s="0" t="s">
        <v>6295</v>
      </c>
      <c r="D98" s="0" t="s">
        <v>2099</v>
      </c>
      <c r="E98" s="31" t="n">
        <v>45666</v>
      </c>
      <c r="F98" s="32" t="s">
        <v>6283</v>
      </c>
      <c r="G98" s="0" t="n">
        <v>11.5</v>
      </c>
      <c r="H98" s="0" t="n">
        <v>11.5</v>
      </c>
      <c r="I98" s="32" t="s">
        <v>2106</v>
      </c>
      <c r="J98" s="32" t="s">
        <v>2081</v>
      </c>
      <c r="K98" s="0" t="n">
        <v>0</v>
      </c>
      <c r="L98" s="32" t="s">
        <v>747</v>
      </c>
      <c r="M98" s="0" t="str">
        <f aca="false">IF(L98="GEN","GM",L98)</f>
        <v>GM</v>
      </c>
    </row>
    <row r="99" customFormat="false" ht="15" hidden="false" customHeight="false" outlineLevel="0" collapsed="false">
      <c r="A99" s="0" t="s">
        <v>6477</v>
      </c>
      <c r="B99" s="0" t="s">
        <v>6478</v>
      </c>
      <c r="C99" s="0" t="s">
        <v>780</v>
      </c>
      <c r="D99" s="0" t="s">
        <v>2115</v>
      </c>
      <c r="E99" s="31" t="n">
        <v>45666</v>
      </c>
      <c r="F99" s="32" t="s">
        <v>1125</v>
      </c>
      <c r="G99" s="0" t="n">
        <v>12</v>
      </c>
      <c r="H99" s="0" t="n">
        <v>12</v>
      </c>
      <c r="I99" s="32" t="s">
        <v>2081</v>
      </c>
      <c r="J99" s="32" t="s">
        <v>2106</v>
      </c>
      <c r="K99" s="0" t="n">
        <v>0</v>
      </c>
      <c r="L99" s="32" t="s">
        <v>776</v>
      </c>
      <c r="M99" s="0" t="str">
        <f aca="false">IF(L99="GEN","GM",L99)</f>
        <v>GS</v>
      </c>
    </row>
    <row r="100" customFormat="false" ht="15" hidden="false" customHeight="false" outlineLevel="0" collapsed="false">
      <c r="A100" s="0" t="s">
        <v>6479</v>
      </c>
      <c r="B100" s="0" t="s">
        <v>6480</v>
      </c>
      <c r="C100" s="0" t="s">
        <v>6282</v>
      </c>
      <c r="D100" s="0" t="s">
        <v>2115</v>
      </c>
      <c r="E100" s="31" t="n">
        <v>45666</v>
      </c>
      <c r="F100" s="32" t="s">
        <v>6283</v>
      </c>
      <c r="G100" s="0" t="n">
        <v>11.5</v>
      </c>
      <c r="H100" s="0" t="n">
        <v>11.5</v>
      </c>
      <c r="I100" s="32" t="s">
        <v>2081</v>
      </c>
      <c r="J100" s="32" t="s">
        <v>2081</v>
      </c>
      <c r="K100" s="0" t="n">
        <v>0</v>
      </c>
      <c r="L100" s="32" t="s">
        <v>747</v>
      </c>
      <c r="M100" s="0" t="str">
        <f aca="false">IF(L100="GEN","GM",L100)</f>
        <v>GM</v>
      </c>
    </row>
    <row r="101" customFormat="false" ht="15" hidden="false" customHeight="false" outlineLevel="0" collapsed="false">
      <c r="A101" s="0" t="s">
        <v>6481</v>
      </c>
      <c r="B101" s="0" t="s">
        <v>6482</v>
      </c>
      <c r="C101" s="0" t="s">
        <v>6290</v>
      </c>
      <c r="D101" s="0" t="s">
        <v>2115</v>
      </c>
      <c r="E101" s="31" t="n">
        <v>45666</v>
      </c>
      <c r="F101" s="32" t="s">
        <v>1125</v>
      </c>
      <c r="G101" s="0" t="n">
        <v>12</v>
      </c>
      <c r="H101" s="0" t="n">
        <v>12</v>
      </c>
      <c r="I101" s="32" t="s">
        <v>2081</v>
      </c>
      <c r="J101" s="32" t="s">
        <v>2081</v>
      </c>
      <c r="K101" s="0" t="n">
        <v>0</v>
      </c>
      <c r="L101" s="32" t="s">
        <v>802</v>
      </c>
      <c r="M101" s="0" t="str">
        <f aca="false">IF(L101="GEN","GM",L101)</f>
        <v>GYN</v>
      </c>
    </row>
    <row r="102" customFormat="false" ht="15" hidden="false" customHeight="false" outlineLevel="0" collapsed="false">
      <c r="A102" s="0" t="s">
        <v>6483</v>
      </c>
      <c r="B102" s="0" t="s">
        <v>6484</v>
      </c>
      <c r="C102" s="0" t="s">
        <v>6286</v>
      </c>
      <c r="D102" s="0" t="s">
        <v>2124</v>
      </c>
      <c r="E102" s="31" t="n">
        <v>45666</v>
      </c>
      <c r="F102" s="32" t="s">
        <v>1125</v>
      </c>
      <c r="G102" s="0" t="n">
        <v>12</v>
      </c>
      <c r="H102" s="0" t="n">
        <v>12</v>
      </c>
      <c r="I102" s="32" t="s">
        <v>2081</v>
      </c>
      <c r="J102" s="32" t="s">
        <v>2081</v>
      </c>
      <c r="K102" s="0" t="n">
        <v>0</v>
      </c>
      <c r="L102" s="32" t="s">
        <v>785</v>
      </c>
      <c r="M102" s="0" t="str">
        <f aca="false">IF(L102="GEN","GM",L102)</f>
        <v>RS</v>
      </c>
    </row>
    <row r="103" customFormat="false" ht="15" hidden="false" customHeight="false" outlineLevel="0" collapsed="false">
      <c r="A103" s="0" t="s">
        <v>6485</v>
      </c>
      <c r="B103" s="0" t="s">
        <v>6486</v>
      </c>
      <c r="C103" s="0" t="s">
        <v>6290</v>
      </c>
      <c r="D103" s="0" t="s">
        <v>2124</v>
      </c>
      <c r="E103" s="31" t="n">
        <v>45666</v>
      </c>
      <c r="F103" s="32" t="s">
        <v>6283</v>
      </c>
      <c r="G103" s="0" t="n">
        <v>11.5</v>
      </c>
      <c r="H103" s="0" t="n">
        <v>11.5</v>
      </c>
      <c r="I103" s="32" t="s">
        <v>2106</v>
      </c>
      <c r="J103" s="32" t="s">
        <v>2081</v>
      </c>
      <c r="K103" s="0" t="n">
        <v>0</v>
      </c>
      <c r="L103" s="32" t="s">
        <v>785</v>
      </c>
      <c r="M103" s="0" t="str">
        <f aca="false">IF(L103="GEN","GM",L103)</f>
        <v>RS</v>
      </c>
    </row>
    <row r="104" customFormat="false" ht="15" hidden="false" customHeight="false" outlineLevel="0" collapsed="false">
      <c r="A104" s="0" t="s">
        <v>6487</v>
      </c>
      <c r="B104" s="0" t="s">
        <v>6488</v>
      </c>
      <c r="C104" s="0" t="s">
        <v>780</v>
      </c>
      <c r="D104" s="0" t="s">
        <v>2124</v>
      </c>
      <c r="E104" s="31" t="n">
        <v>45666</v>
      </c>
      <c r="F104" s="32" t="s">
        <v>6283</v>
      </c>
      <c r="G104" s="0" t="n">
        <v>11.5</v>
      </c>
      <c r="H104" s="0" t="n">
        <v>11.5</v>
      </c>
      <c r="I104" s="32" t="s">
        <v>2081</v>
      </c>
      <c r="J104" s="32" t="s">
        <v>2081</v>
      </c>
      <c r="K104" s="0" t="n">
        <v>-1.6</v>
      </c>
      <c r="L104" s="32" t="s">
        <v>785</v>
      </c>
      <c r="M104" s="0" t="str">
        <f aca="false">IF(L104="GEN","GM",L104)</f>
        <v>RS</v>
      </c>
    </row>
    <row r="105" customFormat="false" ht="15" hidden="false" customHeight="false" outlineLevel="0" collapsed="false">
      <c r="A105" s="0" t="s">
        <v>6489</v>
      </c>
      <c r="B105" s="0" t="s">
        <v>6490</v>
      </c>
      <c r="C105" s="0" t="s">
        <v>6282</v>
      </c>
      <c r="D105" s="0" t="s">
        <v>2124</v>
      </c>
      <c r="E105" s="31" t="n">
        <v>45666</v>
      </c>
      <c r="F105" s="32" t="s">
        <v>6283</v>
      </c>
      <c r="G105" s="0" t="n">
        <v>11.5</v>
      </c>
      <c r="H105" s="0" t="n">
        <v>11.5</v>
      </c>
      <c r="I105" s="32" t="s">
        <v>2081</v>
      </c>
      <c r="J105" s="32" t="s">
        <v>2081</v>
      </c>
      <c r="K105" s="0" t="n">
        <v>0</v>
      </c>
      <c r="L105" s="32" t="s">
        <v>785</v>
      </c>
      <c r="M105" s="0" t="str">
        <f aca="false">IF(L105="GEN","GM",L105)</f>
        <v>RS</v>
      </c>
    </row>
    <row r="106" customFormat="false" ht="15" hidden="false" customHeight="false" outlineLevel="0" collapsed="false">
      <c r="A106" s="0" t="s">
        <v>6491</v>
      </c>
      <c r="B106" s="0" t="s">
        <v>6492</v>
      </c>
      <c r="C106" s="0" t="s">
        <v>6286</v>
      </c>
      <c r="D106" s="0" t="s">
        <v>2124</v>
      </c>
      <c r="E106" s="31" t="n">
        <v>45666</v>
      </c>
      <c r="F106" s="32" t="s">
        <v>6283</v>
      </c>
      <c r="G106" s="0" t="n">
        <v>11.5</v>
      </c>
      <c r="H106" s="0" t="n">
        <v>10.8</v>
      </c>
      <c r="I106" s="32" t="s">
        <v>2081</v>
      </c>
      <c r="J106" s="32" t="s">
        <v>2081</v>
      </c>
      <c r="K106" s="0" t="n">
        <v>0</v>
      </c>
      <c r="L106" s="32" t="s">
        <v>826</v>
      </c>
      <c r="M106" s="0" t="str">
        <f aca="false">IF(L106="GEN","GM",L106)</f>
        <v>RHE</v>
      </c>
    </row>
    <row r="107" customFormat="false" ht="15" hidden="false" customHeight="false" outlineLevel="0" collapsed="false">
      <c r="A107" s="0" t="s">
        <v>6493</v>
      </c>
      <c r="B107" s="0" t="s">
        <v>6494</v>
      </c>
      <c r="C107" s="0" t="s">
        <v>6286</v>
      </c>
      <c r="D107" s="0" t="s">
        <v>2104</v>
      </c>
      <c r="E107" s="31" t="n">
        <v>45666</v>
      </c>
      <c r="F107" s="32" t="s">
        <v>6283</v>
      </c>
      <c r="G107" s="0" t="n">
        <v>11.5</v>
      </c>
      <c r="H107" s="0" t="n">
        <v>11.5</v>
      </c>
      <c r="I107" s="32" t="s">
        <v>2081</v>
      </c>
      <c r="J107" s="32" t="s">
        <v>2081</v>
      </c>
      <c r="K107" s="0" t="n">
        <v>0</v>
      </c>
      <c r="L107" s="32" t="s">
        <v>793</v>
      </c>
      <c r="M107" s="0" t="str">
        <f aca="false">IF(L107="GEN","GM",L107)</f>
        <v>EM</v>
      </c>
    </row>
    <row r="108" customFormat="false" ht="15" hidden="false" customHeight="false" outlineLevel="0" collapsed="false">
      <c r="A108" s="0" t="s">
        <v>6495</v>
      </c>
      <c r="B108" s="0" t="s">
        <v>6496</v>
      </c>
      <c r="C108" s="0" t="s">
        <v>6295</v>
      </c>
      <c r="D108" s="0" t="s">
        <v>2104</v>
      </c>
      <c r="E108" s="31" t="n">
        <v>45666</v>
      </c>
      <c r="F108" s="32" t="s">
        <v>6287</v>
      </c>
      <c r="G108" s="0" t="n">
        <v>7.5</v>
      </c>
      <c r="H108" s="0" t="n">
        <v>7.5</v>
      </c>
      <c r="I108" s="32" t="s">
        <v>2106</v>
      </c>
      <c r="J108" s="32" t="s">
        <v>2081</v>
      </c>
      <c r="K108" s="0" t="n">
        <v>0</v>
      </c>
      <c r="L108" s="32" t="s">
        <v>747</v>
      </c>
      <c r="M108" s="0" t="str">
        <f aca="false">IF(L108="GEN","GM",L108)</f>
        <v>GM</v>
      </c>
    </row>
    <row r="109" customFormat="false" ht="15" hidden="false" customHeight="false" outlineLevel="0" collapsed="false">
      <c r="A109" s="0" t="s">
        <v>6497</v>
      </c>
      <c r="B109" s="0" t="s">
        <v>6498</v>
      </c>
      <c r="C109" s="0" t="s">
        <v>6295</v>
      </c>
      <c r="D109" s="0" t="s">
        <v>2104</v>
      </c>
      <c r="E109" s="31" t="n">
        <v>45666</v>
      </c>
      <c r="F109" s="32" t="s">
        <v>6287</v>
      </c>
      <c r="G109" s="0" t="n">
        <v>7.5</v>
      </c>
      <c r="H109" s="0" t="n">
        <v>7.5</v>
      </c>
      <c r="I109" s="32" t="s">
        <v>2081</v>
      </c>
      <c r="J109" s="32" t="s">
        <v>2081</v>
      </c>
      <c r="K109" s="0" t="n">
        <v>0</v>
      </c>
      <c r="L109" s="32" t="s">
        <v>747</v>
      </c>
      <c r="M109" s="0" t="str">
        <f aca="false">IF(L109="GEN","GM",L109)</f>
        <v>GM</v>
      </c>
    </row>
    <row r="110" customFormat="false" ht="15" hidden="false" customHeight="false" outlineLevel="0" collapsed="false">
      <c r="A110" s="0" t="s">
        <v>6499</v>
      </c>
      <c r="B110" s="0" t="s">
        <v>6500</v>
      </c>
      <c r="C110" s="0" t="s">
        <v>6290</v>
      </c>
      <c r="D110" s="0" t="s">
        <v>3035</v>
      </c>
      <c r="E110" s="31" t="n">
        <v>45666</v>
      </c>
      <c r="F110" s="32" t="s">
        <v>1125</v>
      </c>
      <c r="G110" s="0" t="n">
        <v>12</v>
      </c>
      <c r="H110" s="0" t="n">
        <v>12</v>
      </c>
      <c r="I110" s="32" t="s">
        <v>2081</v>
      </c>
      <c r="J110" s="32" t="s">
        <v>2081</v>
      </c>
      <c r="K110" s="0" t="n">
        <v>0</v>
      </c>
      <c r="L110" s="32" t="s">
        <v>747</v>
      </c>
      <c r="M110" s="0" t="str">
        <f aca="false">IF(L110="GEN","GM",L110)</f>
        <v>GM</v>
      </c>
    </row>
    <row r="111" customFormat="false" ht="15" hidden="false" customHeight="false" outlineLevel="0" collapsed="false">
      <c r="A111" s="0" t="s">
        <v>6501</v>
      </c>
      <c r="B111" s="0" t="s">
        <v>6502</v>
      </c>
      <c r="C111" s="0" t="s">
        <v>6295</v>
      </c>
      <c r="D111" s="0" t="s">
        <v>3035</v>
      </c>
      <c r="E111" s="31" t="n">
        <v>45666</v>
      </c>
      <c r="F111" s="32" t="s">
        <v>6287</v>
      </c>
      <c r="G111" s="0" t="n">
        <v>7.5</v>
      </c>
      <c r="H111" s="0" t="n">
        <v>7.5</v>
      </c>
      <c r="I111" s="32" t="s">
        <v>2106</v>
      </c>
      <c r="J111" s="32" t="s">
        <v>2081</v>
      </c>
      <c r="K111" s="0" t="n">
        <v>0</v>
      </c>
      <c r="L111" s="32" t="s">
        <v>776</v>
      </c>
      <c r="M111" s="0" t="str">
        <f aca="false">IF(L111="GEN","GM",L111)</f>
        <v>GS</v>
      </c>
    </row>
    <row r="112" customFormat="false" ht="15" hidden="false" customHeight="false" outlineLevel="0" collapsed="false">
      <c r="A112" s="0" t="s">
        <v>6503</v>
      </c>
      <c r="B112" s="0" t="s">
        <v>6504</v>
      </c>
      <c r="C112" s="0" t="s">
        <v>6282</v>
      </c>
      <c r="D112" s="0" t="s">
        <v>3035</v>
      </c>
      <c r="E112" s="31" t="n">
        <v>45666</v>
      </c>
      <c r="F112" s="32" t="s">
        <v>6287</v>
      </c>
      <c r="G112" s="0" t="n">
        <v>7.5</v>
      </c>
      <c r="H112" s="0" t="n">
        <v>7.5</v>
      </c>
      <c r="I112" s="32" t="s">
        <v>2081</v>
      </c>
      <c r="J112" s="32" t="s">
        <v>2081</v>
      </c>
      <c r="K112" s="0" t="n">
        <v>0</v>
      </c>
      <c r="L112" s="32" t="s">
        <v>776</v>
      </c>
      <c r="M112" s="0" t="str">
        <f aca="false">IF(L112="GEN","GM",L112)</f>
        <v>GS</v>
      </c>
    </row>
    <row r="113" customFormat="false" ht="15" hidden="false" customHeight="false" outlineLevel="0" collapsed="false">
      <c r="A113" s="0" t="s">
        <v>6505</v>
      </c>
      <c r="B113" s="0" t="s">
        <v>6506</v>
      </c>
      <c r="C113" s="0" t="s">
        <v>6295</v>
      </c>
      <c r="D113" s="0" t="s">
        <v>2088</v>
      </c>
      <c r="E113" s="31" t="n">
        <v>45667</v>
      </c>
      <c r="F113" s="32" t="s">
        <v>6287</v>
      </c>
      <c r="G113" s="0" t="n">
        <v>7.5</v>
      </c>
      <c r="H113" s="0" t="n">
        <v>7.5</v>
      </c>
      <c r="I113" s="32" t="s">
        <v>2081</v>
      </c>
      <c r="J113" s="32" t="s">
        <v>2081</v>
      </c>
      <c r="K113" s="0" t="n">
        <v>0</v>
      </c>
      <c r="L113" s="32" t="s">
        <v>776</v>
      </c>
      <c r="M113" s="0" t="str">
        <f aca="false">IF(L113="GEN","GM",L113)</f>
        <v>GS</v>
      </c>
    </row>
    <row r="114" customFormat="false" ht="15" hidden="false" customHeight="false" outlineLevel="0" collapsed="false">
      <c r="A114" s="0" t="s">
        <v>6507</v>
      </c>
      <c r="B114" s="0" t="s">
        <v>6508</v>
      </c>
      <c r="C114" s="0" t="s">
        <v>6295</v>
      </c>
      <c r="D114" s="0" t="s">
        <v>2088</v>
      </c>
      <c r="E114" s="31" t="n">
        <v>45667</v>
      </c>
      <c r="F114" s="32" t="s">
        <v>1125</v>
      </c>
      <c r="G114" s="0" t="n">
        <v>12</v>
      </c>
      <c r="H114" s="0" t="n">
        <v>12</v>
      </c>
      <c r="I114" s="32" t="s">
        <v>2081</v>
      </c>
      <c r="J114" s="32" t="s">
        <v>2081</v>
      </c>
      <c r="K114" s="0" t="n">
        <v>0</v>
      </c>
      <c r="L114" s="32" t="s">
        <v>776</v>
      </c>
      <c r="M114" s="0" t="str">
        <f aca="false">IF(L114="GEN","GM",L114)</f>
        <v>GS</v>
      </c>
    </row>
    <row r="115" customFormat="false" ht="15" hidden="false" customHeight="false" outlineLevel="0" collapsed="false">
      <c r="A115" s="0" t="s">
        <v>6509</v>
      </c>
      <c r="B115" s="0" t="s">
        <v>6510</v>
      </c>
      <c r="C115" s="0" t="s">
        <v>6286</v>
      </c>
      <c r="D115" s="0" t="s">
        <v>2088</v>
      </c>
      <c r="E115" s="31" t="n">
        <v>45667</v>
      </c>
      <c r="F115" s="32" t="s">
        <v>6287</v>
      </c>
      <c r="G115" s="0" t="n">
        <v>7.5</v>
      </c>
      <c r="H115" s="0" t="n">
        <v>7.5</v>
      </c>
      <c r="I115" s="32" t="s">
        <v>2106</v>
      </c>
      <c r="J115" s="32" t="s">
        <v>2081</v>
      </c>
      <c r="K115" s="0" t="n">
        <v>0</v>
      </c>
      <c r="L115" s="32" t="s">
        <v>802</v>
      </c>
      <c r="M115" s="0" t="str">
        <f aca="false">IF(L115="GEN","GM",L115)</f>
        <v>GYN</v>
      </c>
    </row>
    <row r="116" customFormat="false" ht="15" hidden="false" customHeight="false" outlineLevel="0" collapsed="false">
      <c r="A116" s="0" t="s">
        <v>6511</v>
      </c>
      <c r="B116" s="0" t="s">
        <v>6512</v>
      </c>
      <c r="C116" s="0" t="s">
        <v>6282</v>
      </c>
      <c r="D116" s="0" t="s">
        <v>2088</v>
      </c>
      <c r="E116" s="31" t="n">
        <v>45667</v>
      </c>
      <c r="F116" s="32" t="s">
        <v>6287</v>
      </c>
      <c r="G116" s="0" t="n">
        <v>7.5</v>
      </c>
      <c r="H116" s="0" t="n">
        <v>7.5</v>
      </c>
      <c r="I116" s="32" t="s">
        <v>2081</v>
      </c>
      <c r="J116" s="32" t="s">
        <v>2106</v>
      </c>
      <c r="K116" s="0" t="n">
        <v>0</v>
      </c>
      <c r="L116" s="32" t="s">
        <v>826</v>
      </c>
      <c r="M116" s="0" t="str">
        <f aca="false">IF(L116="GEN","GM",L116)</f>
        <v>RHE</v>
      </c>
    </row>
    <row r="117" customFormat="false" ht="15" hidden="false" customHeight="false" outlineLevel="0" collapsed="false">
      <c r="A117" s="0" t="s">
        <v>6513</v>
      </c>
      <c r="B117" s="0" t="s">
        <v>6514</v>
      </c>
      <c r="C117" s="0" t="s">
        <v>6286</v>
      </c>
      <c r="D117" s="0" t="s">
        <v>2079</v>
      </c>
      <c r="E117" s="31" t="n">
        <v>45667</v>
      </c>
      <c r="F117" s="32" t="s">
        <v>6287</v>
      </c>
      <c r="G117" s="0" t="n">
        <v>7.5</v>
      </c>
      <c r="H117" s="0" t="n">
        <v>7.5</v>
      </c>
      <c r="I117" s="32" t="s">
        <v>2081</v>
      </c>
      <c r="J117" s="32" t="s">
        <v>2081</v>
      </c>
      <c r="K117" s="0" t="n">
        <v>0</v>
      </c>
      <c r="L117" s="32" t="s">
        <v>747</v>
      </c>
      <c r="M117" s="0" t="str">
        <f aca="false">IF(L117="GEN","GM",L117)</f>
        <v>GM</v>
      </c>
    </row>
    <row r="118" customFormat="false" ht="15" hidden="false" customHeight="false" outlineLevel="0" collapsed="false">
      <c r="A118" s="0" t="s">
        <v>6515</v>
      </c>
      <c r="B118" s="0" t="s">
        <v>6516</v>
      </c>
      <c r="C118" s="0" t="s">
        <v>6290</v>
      </c>
      <c r="D118" s="0" t="s">
        <v>2079</v>
      </c>
      <c r="E118" s="31" t="n">
        <v>45667</v>
      </c>
      <c r="F118" s="32" t="s">
        <v>1125</v>
      </c>
      <c r="G118" s="0" t="n">
        <v>12</v>
      </c>
      <c r="H118" s="0" t="n">
        <v>12</v>
      </c>
      <c r="I118" s="32" t="s">
        <v>2081</v>
      </c>
      <c r="J118" s="32" t="s">
        <v>2081</v>
      </c>
      <c r="K118" s="0" t="n">
        <v>0</v>
      </c>
      <c r="L118" s="32" t="s">
        <v>766</v>
      </c>
      <c r="M118" s="0" t="str">
        <f aca="false">IF(L118="GEN","GM",L118)</f>
        <v>OR</v>
      </c>
    </row>
    <row r="119" customFormat="false" ht="15" hidden="false" customHeight="false" outlineLevel="0" collapsed="false">
      <c r="A119" s="0" t="s">
        <v>6517</v>
      </c>
      <c r="B119" s="0" t="s">
        <v>6518</v>
      </c>
      <c r="C119" s="0" t="s">
        <v>6295</v>
      </c>
      <c r="D119" s="0" t="s">
        <v>2079</v>
      </c>
      <c r="E119" s="31" t="n">
        <v>45667</v>
      </c>
      <c r="F119" s="32" t="s">
        <v>6287</v>
      </c>
      <c r="G119" s="0" t="n">
        <v>7.5</v>
      </c>
      <c r="H119" s="0" t="n">
        <v>7.5</v>
      </c>
      <c r="I119" s="32" t="s">
        <v>2081</v>
      </c>
      <c r="J119" s="32" t="s">
        <v>2081</v>
      </c>
      <c r="K119" s="0" t="n">
        <v>0</v>
      </c>
      <c r="L119" s="32" t="s">
        <v>747</v>
      </c>
      <c r="M119" s="0" t="str">
        <f aca="false">IF(L119="GEN","GM",L119)</f>
        <v>GM</v>
      </c>
    </row>
    <row r="120" customFormat="false" ht="15" hidden="false" customHeight="false" outlineLevel="0" collapsed="false">
      <c r="A120" s="0" t="s">
        <v>6519</v>
      </c>
      <c r="B120" s="0" t="s">
        <v>6520</v>
      </c>
      <c r="C120" s="0" t="s">
        <v>6290</v>
      </c>
      <c r="D120" s="0" t="s">
        <v>2079</v>
      </c>
      <c r="E120" s="31" t="n">
        <v>45667</v>
      </c>
      <c r="F120" s="32" t="s">
        <v>6283</v>
      </c>
      <c r="G120" s="0" t="n">
        <v>11.5</v>
      </c>
      <c r="H120" s="0" t="n">
        <v>11.5</v>
      </c>
      <c r="I120" s="32" t="s">
        <v>2081</v>
      </c>
      <c r="J120" s="32" t="s">
        <v>2081</v>
      </c>
      <c r="K120" s="0" t="n">
        <v>0</v>
      </c>
      <c r="L120" s="32" t="s">
        <v>785</v>
      </c>
      <c r="M120" s="0" t="str">
        <f aca="false">IF(L120="GEN","GM",L120)</f>
        <v>RS</v>
      </c>
    </row>
    <row r="121" customFormat="false" ht="15" hidden="false" customHeight="false" outlineLevel="0" collapsed="false">
      <c r="A121" s="0" t="s">
        <v>6521</v>
      </c>
      <c r="B121" s="0" t="s">
        <v>6522</v>
      </c>
      <c r="C121" s="0" t="s">
        <v>6286</v>
      </c>
      <c r="D121" s="0" t="s">
        <v>2079</v>
      </c>
      <c r="E121" s="31" t="n">
        <v>45667</v>
      </c>
      <c r="F121" s="32" t="s">
        <v>6287</v>
      </c>
      <c r="G121" s="0" t="n">
        <v>7.5</v>
      </c>
      <c r="H121" s="0" t="n">
        <v>7.5</v>
      </c>
      <c r="I121" s="32" t="s">
        <v>2081</v>
      </c>
      <c r="J121" s="32" t="s">
        <v>2081</v>
      </c>
      <c r="K121" s="0" t="n">
        <v>0</v>
      </c>
      <c r="L121" s="32" t="s">
        <v>776</v>
      </c>
      <c r="M121" s="0" t="str">
        <f aca="false">IF(L121="GEN","GM",L121)</f>
        <v>GS</v>
      </c>
    </row>
    <row r="122" customFormat="false" ht="15" hidden="false" customHeight="false" outlineLevel="0" collapsed="false">
      <c r="A122" s="0" t="s">
        <v>6523</v>
      </c>
      <c r="B122" s="0" t="s">
        <v>6524</v>
      </c>
      <c r="C122" s="0" t="s">
        <v>780</v>
      </c>
      <c r="D122" s="0" t="s">
        <v>2099</v>
      </c>
      <c r="E122" s="31" t="n">
        <v>45667</v>
      </c>
      <c r="F122" s="32" t="s">
        <v>1125</v>
      </c>
      <c r="G122" s="0" t="n">
        <v>12</v>
      </c>
      <c r="H122" s="0" t="n">
        <v>12</v>
      </c>
      <c r="I122" s="32" t="s">
        <v>2081</v>
      </c>
      <c r="J122" s="32" t="s">
        <v>2081</v>
      </c>
      <c r="K122" s="0" t="n">
        <v>0</v>
      </c>
      <c r="L122" s="32" t="s">
        <v>776</v>
      </c>
      <c r="M122" s="0" t="str">
        <f aca="false">IF(L122="GEN","GM",L122)</f>
        <v>GS</v>
      </c>
    </row>
    <row r="123" customFormat="false" ht="15" hidden="false" customHeight="false" outlineLevel="0" collapsed="false">
      <c r="A123" s="0" t="s">
        <v>6525</v>
      </c>
      <c r="B123" s="0" t="s">
        <v>6526</v>
      </c>
      <c r="C123" s="0" t="s">
        <v>6286</v>
      </c>
      <c r="D123" s="0" t="s">
        <v>2099</v>
      </c>
      <c r="E123" s="31" t="n">
        <v>45667</v>
      </c>
      <c r="F123" s="32" t="s">
        <v>6283</v>
      </c>
      <c r="G123" s="0" t="n">
        <v>11.5</v>
      </c>
      <c r="H123" s="0" t="n">
        <v>11.5</v>
      </c>
      <c r="I123" s="32" t="s">
        <v>2081</v>
      </c>
      <c r="J123" s="32" t="s">
        <v>2106</v>
      </c>
      <c r="K123" s="0" t="n">
        <v>0</v>
      </c>
      <c r="L123" s="32" t="s">
        <v>810</v>
      </c>
      <c r="M123" s="0" t="str">
        <f aca="false">IF(L123="GEN","GM",L123)</f>
        <v>URO</v>
      </c>
    </row>
    <row r="124" customFormat="false" ht="15" hidden="false" customHeight="false" outlineLevel="0" collapsed="false">
      <c r="A124" s="0" t="s">
        <v>6527</v>
      </c>
      <c r="B124" s="0" t="s">
        <v>6528</v>
      </c>
      <c r="C124" s="0" t="s">
        <v>780</v>
      </c>
      <c r="D124" s="0" t="s">
        <v>2099</v>
      </c>
      <c r="E124" s="31" t="n">
        <v>45667</v>
      </c>
      <c r="F124" s="32" t="s">
        <v>1125</v>
      </c>
      <c r="G124" s="0" t="n">
        <v>12</v>
      </c>
      <c r="H124" s="0" t="n">
        <v>12</v>
      </c>
      <c r="I124" s="32" t="s">
        <v>2081</v>
      </c>
      <c r="J124" s="32" t="s">
        <v>2081</v>
      </c>
      <c r="K124" s="0" t="n">
        <v>0</v>
      </c>
      <c r="L124" s="32" t="s">
        <v>776</v>
      </c>
      <c r="M124" s="0" t="str">
        <f aca="false">IF(L124="GEN","GM",L124)</f>
        <v>GS</v>
      </c>
    </row>
    <row r="125" customFormat="false" ht="15" hidden="false" customHeight="false" outlineLevel="0" collapsed="false">
      <c r="A125" s="0" t="s">
        <v>6529</v>
      </c>
      <c r="B125" s="0" t="s">
        <v>6530</v>
      </c>
      <c r="C125" s="0" t="s">
        <v>6295</v>
      </c>
      <c r="D125" s="0" t="s">
        <v>2099</v>
      </c>
      <c r="E125" s="31" t="n">
        <v>45667</v>
      </c>
      <c r="F125" s="32" t="s">
        <v>6287</v>
      </c>
      <c r="G125" s="0" t="n">
        <v>7.5</v>
      </c>
      <c r="H125" s="0" t="n">
        <v>7.5</v>
      </c>
      <c r="I125" s="32" t="s">
        <v>2081</v>
      </c>
      <c r="J125" s="32" t="s">
        <v>2081</v>
      </c>
      <c r="K125" s="0" t="n">
        <v>0</v>
      </c>
      <c r="L125" s="32" t="s">
        <v>802</v>
      </c>
      <c r="M125" s="0" t="str">
        <f aca="false">IF(L125="GEN","GM",L125)</f>
        <v>GYN</v>
      </c>
    </row>
    <row r="126" customFormat="false" ht="15" hidden="false" customHeight="false" outlineLevel="0" collapsed="false">
      <c r="A126" s="0" t="s">
        <v>6531</v>
      </c>
      <c r="B126" s="0" t="s">
        <v>6532</v>
      </c>
      <c r="C126" s="0" t="s">
        <v>6295</v>
      </c>
      <c r="D126" s="0" t="s">
        <v>2115</v>
      </c>
      <c r="E126" s="31" t="n">
        <v>45667</v>
      </c>
      <c r="F126" s="32" t="s">
        <v>6287</v>
      </c>
      <c r="G126" s="0" t="n">
        <v>7.5</v>
      </c>
      <c r="H126" s="0" t="n">
        <v>7.5</v>
      </c>
      <c r="I126" s="32" t="s">
        <v>2081</v>
      </c>
      <c r="J126" s="32" t="s">
        <v>2081</v>
      </c>
      <c r="K126" s="0" t="n">
        <v>0</v>
      </c>
      <c r="L126" s="32" t="s">
        <v>826</v>
      </c>
      <c r="M126" s="0" t="str">
        <f aca="false">IF(L126="GEN","GM",L126)</f>
        <v>RHE</v>
      </c>
    </row>
    <row r="127" customFormat="false" ht="15" hidden="false" customHeight="false" outlineLevel="0" collapsed="false">
      <c r="A127" s="0" t="s">
        <v>6533</v>
      </c>
      <c r="B127" s="0" t="s">
        <v>6534</v>
      </c>
      <c r="C127" s="0" t="s">
        <v>6282</v>
      </c>
      <c r="D127" s="0" t="s">
        <v>2115</v>
      </c>
      <c r="E127" s="31" t="n">
        <v>45667</v>
      </c>
      <c r="F127" s="32" t="s">
        <v>1125</v>
      </c>
      <c r="G127" s="0" t="n">
        <v>12</v>
      </c>
      <c r="H127" s="0" t="n">
        <v>12</v>
      </c>
      <c r="I127" s="32" t="s">
        <v>2081</v>
      </c>
      <c r="J127" s="32" t="s">
        <v>2081</v>
      </c>
      <c r="K127" s="0" t="n">
        <v>0</v>
      </c>
      <c r="L127" s="32" t="s">
        <v>810</v>
      </c>
      <c r="M127" s="0" t="str">
        <f aca="false">IF(L127="GEN","GM",L127)</f>
        <v>URO</v>
      </c>
    </row>
    <row r="128" customFormat="false" ht="15" hidden="false" customHeight="false" outlineLevel="0" collapsed="false">
      <c r="A128" s="0" t="s">
        <v>6535</v>
      </c>
      <c r="B128" s="0" t="s">
        <v>6536</v>
      </c>
      <c r="C128" s="0" t="s">
        <v>6286</v>
      </c>
      <c r="D128" s="0" t="s">
        <v>2115</v>
      </c>
      <c r="E128" s="31" t="n">
        <v>45667</v>
      </c>
      <c r="F128" s="32" t="s">
        <v>6283</v>
      </c>
      <c r="G128" s="0" t="n">
        <v>11.5</v>
      </c>
      <c r="H128" s="0" t="n">
        <v>11.5</v>
      </c>
      <c r="J128" s="32" t="s">
        <v>2081</v>
      </c>
      <c r="K128" s="0" t="n">
        <v>0</v>
      </c>
      <c r="L128" s="32" t="s">
        <v>776</v>
      </c>
      <c r="M128" s="0" t="str">
        <f aca="false">IF(L128="GEN","GM",L128)</f>
        <v>GS</v>
      </c>
    </row>
    <row r="129" customFormat="false" ht="15" hidden="false" customHeight="false" outlineLevel="0" collapsed="false">
      <c r="A129" s="0" t="s">
        <v>6537</v>
      </c>
      <c r="B129" s="0" t="s">
        <v>6538</v>
      </c>
      <c r="C129" s="0" t="s">
        <v>6295</v>
      </c>
      <c r="D129" s="0" t="s">
        <v>2115</v>
      </c>
      <c r="E129" s="31" t="n">
        <v>45667</v>
      </c>
      <c r="F129" s="32" t="s">
        <v>1125</v>
      </c>
      <c r="G129" s="0" t="n">
        <v>12</v>
      </c>
      <c r="H129" s="0" t="n">
        <v>12</v>
      </c>
      <c r="I129" s="32" t="s">
        <v>2081</v>
      </c>
      <c r="J129" s="32" t="s">
        <v>2081</v>
      </c>
      <c r="K129" s="0" t="n">
        <v>0</v>
      </c>
      <c r="L129" s="32" t="s">
        <v>810</v>
      </c>
      <c r="M129" s="0" t="str">
        <f aca="false">IF(L129="GEN","GM",L129)</f>
        <v>URO</v>
      </c>
    </row>
    <row r="130" customFormat="false" ht="15" hidden="false" customHeight="false" outlineLevel="0" collapsed="false">
      <c r="A130" s="0" t="s">
        <v>6539</v>
      </c>
      <c r="B130" s="0" t="s">
        <v>6540</v>
      </c>
      <c r="C130" s="0" t="s">
        <v>6282</v>
      </c>
      <c r="D130" s="0" t="s">
        <v>2124</v>
      </c>
      <c r="E130" s="31" t="n">
        <v>45667</v>
      </c>
      <c r="F130" s="32" t="s">
        <v>6283</v>
      </c>
      <c r="G130" s="0" t="n">
        <v>11.5</v>
      </c>
      <c r="H130" s="0" t="n">
        <v>11.5</v>
      </c>
      <c r="I130" s="32" t="s">
        <v>2081</v>
      </c>
      <c r="J130" s="32" t="s">
        <v>2081</v>
      </c>
      <c r="K130" s="0" t="n">
        <v>0</v>
      </c>
      <c r="L130" s="32" t="s">
        <v>758</v>
      </c>
      <c r="M130" s="0" t="str">
        <f aca="false">IF(L130="GEN","GM",L130)</f>
        <v>CS</v>
      </c>
    </row>
    <row r="131" customFormat="false" ht="15" hidden="false" customHeight="false" outlineLevel="0" collapsed="false">
      <c r="A131" s="0" t="s">
        <v>6541</v>
      </c>
      <c r="B131" s="0" t="s">
        <v>6542</v>
      </c>
      <c r="C131" s="0" t="s">
        <v>6295</v>
      </c>
      <c r="D131" s="0" t="s">
        <v>2124</v>
      </c>
      <c r="E131" s="31" t="n">
        <v>45667</v>
      </c>
      <c r="F131" s="32" t="s">
        <v>1125</v>
      </c>
      <c r="G131" s="0" t="n">
        <v>0</v>
      </c>
      <c r="H131" s="0" t="n">
        <v>12</v>
      </c>
      <c r="I131" s="32" t="s">
        <v>2081</v>
      </c>
      <c r="J131" s="32" t="s">
        <v>2081</v>
      </c>
      <c r="K131" s="0" t="n">
        <v>0</v>
      </c>
      <c r="L131" s="32" t="s">
        <v>747</v>
      </c>
      <c r="M131" s="0" t="str">
        <f aca="false">IF(L131="GEN","GM",L131)</f>
        <v>GM</v>
      </c>
    </row>
    <row r="132" customFormat="false" ht="15" hidden="false" customHeight="false" outlineLevel="0" collapsed="false">
      <c r="A132" s="0" t="s">
        <v>6543</v>
      </c>
      <c r="B132" s="0" t="s">
        <v>6544</v>
      </c>
      <c r="C132" s="0" t="s">
        <v>6295</v>
      </c>
      <c r="D132" s="0" t="s">
        <v>2124</v>
      </c>
      <c r="E132" s="31" t="n">
        <v>45667</v>
      </c>
      <c r="F132" s="32" t="s">
        <v>6283</v>
      </c>
      <c r="G132" s="0" t="n">
        <v>11.5</v>
      </c>
      <c r="H132" s="0" t="n">
        <v>11.5</v>
      </c>
      <c r="I132" s="32" t="s">
        <v>2081</v>
      </c>
      <c r="J132" s="32" t="s">
        <v>2081</v>
      </c>
      <c r="K132" s="0" t="n">
        <v>0</v>
      </c>
      <c r="L132" s="32" t="s">
        <v>766</v>
      </c>
      <c r="M132" s="0" t="str">
        <f aca="false">IF(L132="GEN","GM",L132)</f>
        <v>OR</v>
      </c>
    </row>
    <row r="133" customFormat="false" ht="15" hidden="false" customHeight="false" outlineLevel="0" collapsed="false">
      <c r="A133" s="0" t="s">
        <v>6545</v>
      </c>
      <c r="B133" s="0" t="s">
        <v>6546</v>
      </c>
      <c r="C133" s="0" t="s">
        <v>6290</v>
      </c>
      <c r="D133" s="0" t="s">
        <v>2104</v>
      </c>
      <c r="E133" s="31" t="n">
        <v>45667</v>
      </c>
      <c r="F133" s="32" t="s">
        <v>1125</v>
      </c>
      <c r="G133" s="0" t="n">
        <v>12</v>
      </c>
      <c r="H133" s="0" t="n">
        <v>12</v>
      </c>
      <c r="I133" s="32" t="s">
        <v>2081</v>
      </c>
      <c r="J133" s="32" t="s">
        <v>2081</v>
      </c>
      <c r="K133" s="0" t="n">
        <v>0</v>
      </c>
      <c r="L133" s="32" t="s">
        <v>766</v>
      </c>
      <c r="M133" s="0" t="str">
        <f aca="false">IF(L133="GEN","GM",L133)</f>
        <v>OR</v>
      </c>
    </row>
    <row r="134" customFormat="false" ht="15" hidden="false" customHeight="false" outlineLevel="0" collapsed="false">
      <c r="A134" s="0" t="s">
        <v>6547</v>
      </c>
      <c r="B134" s="0" t="s">
        <v>6548</v>
      </c>
      <c r="C134" s="0" t="s">
        <v>6295</v>
      </c>
      <c r="D134" s="0" t="s">
        <v>2104</v>
      </c>
      <c r="E134" s="31" t="n">
        <v>45667</v>
      </c>
      <c r="F134" s="32" t="s">
        <v>6287</v>
      </c>
      <c r="G134" s="0" t="n">
        <v>7.5</v>
      </c>
      <c r="H134" s="0" t="n">
        <v>7.5</v>
      </c>
      <c r="I134" s="32" t="s">
        <v>2106</v>
      </c>
      <c r="J134" s="32" t="s">
        <v>2081</v>
      </c>
      <c r="K134" s="0" t="n">
        <v>0</v>
      </c>
      <c r="L134" s="32" t="s">
        <v>793</v>
      </c>
      <c r="M134" s="0" t="str">
        <f aca="false">IF(L134="GEN","GM",L134)</f>
        <v>EM</v>
      </c>
    </row>
    <row r="135" customFormat="false" ht="15" hidden="false" customHeight="false" outlineLevel="0" collapsed="false">
      <c r="A135" s="0" t="s">
        <v>6549</v>
      </c>
      <c r="B135" s="0" t="s">
        <v>6550</v>
      </c>
      <c r="C135" s="0" t="s">
        <v>6286</v>
      </c>
      <c r="D135" s="0" t="s">
        <v>2104</v>
      </c>
      <c r="E135" s="31" t="n">
        <v>45667</v>
      </c>
      <c r="F135" s="32" t="s">
        <v>6287</v>
      </c>
      <c r="G135" s="0" t="n">
        <v>7.5</v>
      </c>
      <c r="H135" s="0" t="n">
        <v>7.5</v>
      </c>
      <c r="I135" s="32" t="s">
        <v>2081</v>
      </c>
      <c r="J135" s="32" t="s">
        <v>2081</v>
      </c>
      <c r="K135" s="0" t="n">
        <v>0</v>
      </c>
      <c r="L135" s="32" t="s">
        <v>802</v>
      </c>
      <c r="M135" s="0" t="str">
        <f aca="false">IF(L135="GEN","GM",L135)</f>
        <v>GYN</v>
      </c>
    </row>
    <row r="136" customFormat="false" ht="15" hidden="false" customHeight="false" outlineLevel="0" collapsed="false">
      <c r="A136" s="0" t="s">
        <v>6551</v>
      </c>
      <c r="B136" s="0" t="s">
        <v>6552</v>
      </c>
      <c r="C136" s="0" t="s">
        <v>6295</v>
      </c>
      <c r="D136" s="0" t="s">
        <v>2104</v>
      </c>
      <c r="E136" s="31" t="n">
        <v>45667</v>
      </c>
      <c r="F136" s="32" t="s">
        <v>6287</v>
      </c>
      <c r="G136" s="0" t="n">
        <v>7.5</v>
      </c>
      <c r="H136" s="0" t="n">
        <v>7.5</v>
      </c>
      <c r="I136" s="32" t="s">
        <v>2081</v>
      </c>
      <c r="J136" s="32" t="s">
        <v>2081</v>
      </c>
      <c r="K136" s="0" t="n">
        <v>0</v>
      </c>
      <c r="L136" s="32" t="s">
        <v>793</v>
      </c>
      <c r="M136" s="0" t="str">
        <f aca="false">IF(L136="GEN","GM",L136)</f>
        <v>EM</v>
      </c>
    </row>
    <row r="137" customFormat="false" ht="15" hidden="false" customHeight="false" outlineLevel="0" collapsed="false">
      <c r="A137" s="0" t="s">
        <v>6553</v>
      </c>
      <c r="B137" s="0" t="s">
        <v>6554</v>
      </c>
      <c r="C137" s="0" t="s">
        <v>6286</v>
      </c>
      <c r="D137" s="0" t="s">
        <v>3035</v>
      </c>
      <c r="E137" s="31" t="n">
        <v>45667</v>
      </c>
      <c r="F137" s="32" t="s">
        <v>6287</v>
      </c>
      <c r="G137" s="0" t="n">
        <v>7.5</v>
      </c>
      <c r="H137" s="0" t="n">
        <v>7.5</v>
      </c>
      <c r="I137" s="32" t="s">
        <v>2081</v>
      </c>
      <c r="J137" s="32" t="s">
        <v>2081</v>
      </c>
      <c r="K137" s="0" t="n">
        <v>0</v>
      </c>
      <c r="L137" s="32" t="s">
        <v>826</v>
      </c>
      <c r="M137" s="0" t="str">
        <f aca="false">IF(L137="GEN","GM",L137)</f>
        <v>RHE</v>
      </c>
    </row>
    <row r="138" customFormat="false" ht="15" hidden="false" customHeight="false" outlineLevel="0" collapsed="false">
      <c r="A138" s="0" t="s">
        <v>6555</v>
      </c>
      <c r="C138" s="0" t="s">
        <v>6290</v>
      </c>
      <c r="D138" s="0" t="s">
        <v>3035</v>
      </c>
      <c r="E138" s="31" t="n">
        <v>45667</v>
      </c>
      <c r="F138" s="32" t="s">
        <v>1125</v>
      </c>
      <c r="G138" s="0" t="n">
        <v>12</v>
      </c>
      <c r="H138" s="0" t="n">
        <v>12</v>
      </c>
      <c r="I138" s="32" t="s">
        <v>2081</v>
      </c>
      <c r="J138" s="32" t="s">
        <v>2081</v>
      </c>
      <c r="K138" s="0" t="n">
        <v>0</v>
      </c>
      <c r="L138" s="32" t="s">
        <v>766</v>
      </c>
      <c r="M138" s="0" t="str">
        <f aca="false">IF(L138="GEN","GM",L138)</f>
        <v>OR</v>
      </c>
    </row>
    <row r="139" customFormat="false" ht="15" hidden="false" customHeight="false" outlineLevel="0" collapsed="false">
      <c r="A139" s="0" t="s">
        <v>6556</v>
      </c>
      <c r="B139" s="0" t="s">
        <v>6557</v>
      </c>
      <c r="C139" s="0" t="s">
        <v>6290</v>
      </c>
      <c r="D139" s="0" t="s">
        <v>3035</v>
      </c>
      <c r="E139" s="31" t="n">
        <v>45667</v>
      </c>
      <c r="F139" s="32" t="s">
        <v>6287</v>
      </c>
      <c r="G139" s="0" t="n">
        <v>7.5</v>
      </c>
      <c r="H139" s="0" t="n">
        <v>7.5</v>
      </c>
      <c r="I139" s="32" t="s">
        <v>2081</v>
      </c>
      <c r="J139" s="32" t="s">
        <v>2081</v>
      </c>
      <c r="K139" s="0" t="n">
        <v>0</v>
      </c>
      <c r="L139" s="32" t="s">
        <v>793</v>
      </c>
      <c r="M139" s="0" t="str">
        <f aca="false">IF(L139="GEN","GM",L139)</f>
        <v>EM</v>
      </c>
    </row>
    <row r="140" customFormat="false" ht="15" hidden="false" customHeight="false" outlineLevel="0" collapsed="false">
      <c r="A140" s="0" t="s">
        <v>6558</v>
      </c>
      <c r="B140" s="0" t="s">
        <v>6559</v>
      </c>
      <c r="C140" s="0" t="s">
        <v>6282</v>
      </c>
      <c r="D140" s="0" t="s">
        <v>3035</v>
      </c>
      <c r="E140" s="31" t="n">
        <v>45667</v>
      </c>
      <c r="F140" s="32" t="s">
        <v>6287</v>
      </c>
      <c r="G140" s="0" t="n">
        <v>7.5</v>
      </c>
      <c r="H140" s="0" t="n">
        <v>7.5</v>
      </c>
      <c r="I140" s="32" t="s">
        <v>2081</v>
      </c>
      <c r="J140" s="32" t="s">
        <v>2081</v>
      </c>
      <c r="K140" s="0" t="n">
        <v>0</v>
      </c>
      <c r="L140" s="32" t="s">
        <v>747</v>
      </c>
      <c r="M140" s="0" t="str">
        <f aca="false">IF(L140="GEN","GM",L140)</f>
        <v>GM</v>
      </c>
    </row>
    <row r="141" customFormat="false" ht="15" hidden="false" customHeight="false" outlineLevel="0" collapsed="false">
      <c r="A141" s="0" t="s">
        <v>6560</v>
      </c>
      <c r="B141" s="0" t="s">
        <v>6561</v>
      </c>
      <c r="C141" s="0" t="s">
        <v>6295</v>
      </c>
      <c r="D141" s="0" t="s">
        <v>2088</v>
      </c>
      <c r="E141" s="31" t="n">
        <v>45668</v>
      </c>
      <c r="F141" s="32" t="s">
        <v>6283</v>
      </c>
      <c r="G141" s="0" t="n">
        <v>11.5</v>
      </c>
      <c r="H141" s="0" t="n">
        <v>11.5</v>
      </c>
      <c r="I141" s="32" t="s">
        <v>2081</v>
      </c>
      <c r="J141" s="32" t="s">
        <v>2081</v>
      </c>
      <c r="K141" s="0" t="n">
        <v>0</v>
      </c>
      <c r="L141" s="32" t="s">
        <v>793</v>
      </c>
      <c r="M141" s="0" t="str">
        <f aca="false">IF(L141="GEN","GM",L141)</f>
        <v>EM</v>
      </c>
    </row>
    <row r="142" customFormat="false" ht="15" hidden="false" customHeight="false" outlineLevel="0" collapsed="false">
      <c r="A142" s="0" t="s">
        <v>6562</v>
      </c>
      <c r="B142" s="0" t="s">
        <v>6563</v>
      </c>
      <c r="C142" s="0" t="s">
        <v>6290</v>
      </c>
      <c r="D142" s="0" t="s">
        <v>2088</v>
      </c>
      <c r="E142" s="31" t="n">
        <v>45668</v>
      </c>
      <c r="F142" s="32" t="s">
        <v>6287</v>
      </c>
      <c r="G142" s="0" t="n">
        <v>7.5</v>
      </c>
      <c r="H142" s="0" t="n">
        <v>7.5</v>
      </c>
      <c r="I142" s="32" t="s">
        <v>2081</v>
      </c>
      <c r="J142" s="32" t="s">
        <v>2081</v>
      </c>
      <c r="K142" s="0" t="n">
        <v>0</v>
      </c>
      <c r="L142" s="32" t="s">
        <v>785</v>
      </c>
      <c r="M142" s="0" t="str">
        <f aca="false">IF(L142="GEN","GM",L142)</f>
        <v>RS</v>
      </c>
    </row>
    <row r="143" customFormat="false" ht="15" hidden="false" customHeight="false" outlineLevel="0" collapsed="false">
      <c r="A143" s="0" t="s">
        <v>6564</v>
      </c>
      <c r="B143" s="0" t="s">
        <v>6565</v>
      </c>
      <c r="C143" s="0" t="s">
        <v>6286</v>
      </c>
      <c r="D143" s="0" t="s">
        <v>2088</v>
      </c>
      <c r="E143" s="31" t="n">
        <v>45668</v>
      </c>
      <c r="F143" s="32" t="s">
        <v>1125</v>
      </c>
      <c r="G143" s="0" t="n">
        <v>12</v>
      </c>
      <c r="H143" s="0" t="n">
        <v>12</v>
      </c>
      <c r="I143" s="32" t="s">
        <v>2081</v>
      </c>
      <c r="J143" s="32" t="s">
        <v>2081</v>
      </c>
      <c r="K143" s="0" t="n">
        <v>0</v>
      </c>
      <c r="L143" s="32" t="s">
        <v>776</v>
      </c>
      <c r="M143" s="0" t="str">
        <f aca="false">IF(L143="GEN","GM",L143)</f>
        <v>GS</v>
      </c>
    </row>
    <row r="144" customFormat="false" ht="15" hidden="false" customHeight="false" outlineLevel="0" collapsed="false">
      <c r="A144" s="0" t="s">
        <v>6566</v>
      </c>
      <c r="B144" s="0" t="s">
        <v>6567</v>
      </c>
      <c r="C144" s="0" t="s">
        <v>6286</v>
      </c>
      <c r="D144" s="0" t="s">
        <v>2088</v>
      </c>
      <c r="E144" s="31" t="n">
        <v>45668</v>
      </c>
      <c r="F144" s="32" t="s">
        <v>6283</v>
      </c>
      <c r="G144" s="0" t="n">
        <v>11.5</v>
      </c>
      <c r="H144" s="0" t="n">
        <v>11.5</v>
      </c>
      <c r="I144" s="32" t="s">
        <v>2081</v>
      </c>
      <c r="J144" s="32" t="s">
        <v>2106</v>
      </c>
      <c r="K144" s="0" t="n">
        <v>0</v>
      </c>
      <c r="L144" s="32" t="s">
        <v>758</v>
      </c>
      <c r="M144" s="0" t="str">
        <f aca="false">IF(L144="GEN","GM",L144)</f>
        <v>CS</v>
      </c>
    </row>
    <row r="145" customFormat="false" ht="15" hidden="false" customHeight="false" outlineLevel="0" collapsed="false">
      <c r="A145" s="0" t="s">
        <v>6568</v>
      </c>
      <c r="B145" s="0" t="s">
        <v>6569</v>
      </c>
      <c r="C145" s="0" t="s">
        <v>6282</v>
      </c>
      <c r="D145" s="0" t="s">
        <v>2088</v>
      </c>
      <c r="E145" s="31" t="n">
        <v>45668</v>
      </c>
      <c r="F145" s="32" t="s">
        <v>6283</v>
      </c>
      <c r="G145" s="0" t="n">
        <v>11.5</v>
      </c>
      <c r="H145" s="0" t="n">
        <v>11.5</v>
      </c>
      <c r="I145" s="32" t="s">
        <v>2081</v>
      </c>
      <c r="J145" s="32" t="s">
        <v>2081</v>
      </c>
      <c r="K145" s="0" t="n">
        <v>0</v>
      </c>
      <c r="L145" s="32" t="s">
        <v>802</v>
      </c>
      <c r="M145" s="0" t="str">
        <f aca="false">IF(L145="GEN","GM",L145)</f>
        <v>GYN</v>
      </c>
    </row>
    <row r="146" customFormat="false" ht="15" hidden="false" customHeight="false" outlineLevel="0" collapsed="false">
      <c r="A146" s="0" t="s">
        <v>6570</v>
      </c>
      <c r="B146" s="0" t="s">
        <v>6571</v>
      </c>
      <c r="C146" s="0" t="s">
        <v>780</v>
      </c>
      <c r="D146" s="0" t="s">
        <v>2079</v>
      </c>
      <c r="E146" s="31" t="n">
        <v>45668</v>
      </c>
      <c r="F146" s="32" t="s">
        <v>6287</v>
      </c>
      <c r="G146" s="0" t="n">
        <v>7.5</v>
      </c>
      <c r="H146" s="0" t="n">
        <v>7.5</v>
      </c>
      <c r="I146" s="32" t="s">
        <v>2081</v>
      </c>
      <c r="J146" s="32" t="s">
        <v>2081</v>
      </c>
      <c r="K146" s="0" t="n">
        <v>0</v>
      </c>
      <c r="L146" s="32" t="s">
        <v>785</v>
      </c>
      <c r="M146" s="0" t="str">
        <f aca="false">IF(L146="GEN","GM",L146)</f>
        <v>RS</v>
      </c>
    </row>
    <row r="147" customFormat="false" ht="15" hidden="false" customHeight="false" outlineLevel="0" collapsed="false">
      <c r="A147" s="0" t="s">
        <v>6572</v>
      </c>
      <c r="C147" s="0" t="s">
        <v>6286</v>
      </c>
      <c r="D147" s="0" t="s">
        <v>2079</v>
      </c>
      <c r="E147" s="31" t="n">
        <v>45668</v>
      </c>
      <c r="F147" s="32" t="s">
        <v>6283</v>
      </c>
      <c r="G147" s="0" t="n">
        <v>11.5</v>
      </c>
      <c r="H147" s="0" t="n">
        <v>11.5</v>
      </c>
      <c r="I147" s="32" t="s">
        <v>2106</v>
      </c>
      <c r="J147" s="32" t="s">
        <v>2081</v>
      </c>
      <c r="K147" s="0" t="n">
        <v>0</v>
      </c>
      <c r="L147" s="32" t="s">
        <v>758</v>
      </c>
      <c r="M147" s="0" t="str">
        <f aca="false">IF(L147="GEN","GM",L147)</f>
        <v>CS</v>
      </c>
    </row>
    <row r="148" customFormat="false" ht="15" hidden="false" customHeight="false" outlineLevel="0" collapsed="false">
      <c r="A148" s="0" t="s">
        <v>6573</v>
      </c>
      <c r="B148" s="0" t="s">
        <v>6574</v>
      </c>
      <c r="C148" s="0" t="s">
        <v>6290</v>
      </c>
      <c r="D148" s="0" t="s">
        <v>2079</v>
      </c>
      <c r="E148" s="31" t="n">
        <v>45668</v>
      </c>
      <c r="F148" s="32" t="s">
        <v>6287</v>
      </c>
      <c r="G148" s="0" t="n">
        <v>7.5</v>
      </c>
      <c r="H148" s="0" t="n">
        <v>7.5</v>
      </c>
      <c r="I148" s="32" t="s">
        <v>2081</v>
      </c>
      <c r="J148" s="32" t="s">
        <v>2081</v>
      </c>
      <c r="K148" s="0" t="n">
        <v>0</v>
      </c>
      <c r="L148" s="32" t="s">
        <v>810</v>
      </c>
      <c r="M148" s="0" t="str">
        <f aca="false">IF(L148="GEN","GM",L148)</f>
        <v>URO</v>
      </c>
    </row>
    <row r="149" customFormat="false" ht="15" hidden="false" customHeight="false" outlineLevel="0" collapsed="false">
      <c r="A149" s="0" t="s">
        <v>6575</v>
      </c>
      <c r="B149" s="0" t="s">
        <v>6576</v>
      </c>
      <c r="C149" s="0" t="s">
        <v>780</v>
      </c>
      <c r="D149" s="0" t="s">
        <v>2099</v>
      </c>
      <c r="E149" s="31" t="n">
        <v>45668</v>
      </c>
      <c r="F149" s="32" t="s">
        <v>6283</v>
      </c>
      <c r="G149" s="0" t="n">
        <v>11.5</v>
      </c>
      <c r="H149" s="0" t="n">
        <v>11.5</v>
      </c>
      <c r="I149" s="32" t="s">
        <v>2081</v>
      </c>
      <c r="J149" s="32" t="s">
        <v>2081</v>
      </c>
      <c r="K149" s="0" t="n">
        <v>0</v>
      </c>
      <c r="L149" s="32" t="s">
        <v>766</v>
      </c>
      <c r="M149" s="0" t="str">
        <f aca="false">IF(L149="GEN","GM",L149)</f>
        <v>OR</v>
      </c>
    </row>
    <row r="150" customFormat="false" ht="15" hidden="false" customHeight="false" outlineLevel="0" collapsed="false">
      <c r="A150" s="0" t="s">
        <v>6577</v>
      </c>
      <c r="B150" s="0" t="s">
        <v>6578</v>
      </c>
      <c r="C150" s="0" t="s">
        <v>6286</v>
      </c>
      <c r="D150" s="0" t="s">
        <v>2099</v>
      </c>
      <c r="E150" s="31" t="n">
        <v>45668</v>
      </c>
      <c r="F150" s="32" t="s">
        <v>6283</v>
      </c>
      <c r="G150" s="0" t="n">
        <v>11.5</v>
      </c>
      <c r="H150" s="0" t="n">
        <v>13.1</v>
      </c>
      <c r="I150" s="32" t="s">
        <v>2081</v>
      </c>
      <c r="J150" s="32" t="s">
        <v>2081</v>
      </c>
      <c r="K150" s="0" t="n">
        <v>1.6</v>
      </c>
      <c r="L150" s="32" t="s">
        <v>776</v>
      </c>
      <c r="M150" s="0" t="str">
        <f aca="false">IF(L150="GEN","GM",L150)</f>
        <v>GS</v>
      </c>
    </row>
    <row r="151" customFormat="false" ht="15" hidden="false" customHeight="false" outlineLevel="0" collapsed="false">
      <c r="A151" s="0" t="s">
        <v>6579</v>
      </c>
      <c r="B151" s="0" t="s">
        <v>6580</v>
      </c>
      <c r="C151" s="0" t="s">
        <v>6282</v>
      </c>
      <c r="D151" s="0" t="s">
        <v>2099</v>
      </c>
      <c r="E151" s="31" t="n">
        <v>45668</v>
      </c>
      <c r="F151" s="32" t="s">
        <v>1125</v>
      </c>
      <c r="G151" s="0" t="n">
        <v>12</v>
      </c>
      <c r="H151" s="0" t="n">
        <v>12</v>
      </c>
      <c r="I151" s="32" t="s">
        <v>2081</v>
      </c>
      <c r="J151" s="32" t="s">
        <v>2081</v>
      </c>
      <c r="K151" s="0" t="n">
        <v>0</v>
      </c>
      <c r="L151" s="32" t="s">
        <v>802</v>
      </c>
      <c r="M151" s="0" t="str">
        <f aca="false">IF(L151="GEN","GM",L151)</f>
        <v>GYN</v>
      </c>
    </row>
    <row r="152" customFormat="false" ht="15" hidden="false" customHeight="false" outlineLevel="0" collapsed="false">
      <c r="A152" s="0" t="s">
        <v>6581</v>
      </c>
      <c r="B152" s="0" t="s">
        <v>6582</v>
      </c>
      <c r="C152" s="0" t="s">
        <v>6295</v>
      </c>
      <c r="D152" s="0" t="s">
        <v>2099</v>
      </c>
      <c r="E152" s="31" t="n">
        <v>45668</v>
      </c>
      <c r="F152" s="32" t="s">
        <v>6283</v>
      </c>
      <c r="G152" s="0" t="n">
        <v>11.5</v>
      </c>
      <c r="H152" s="0" t="n">
        <v>15.2</v>
      </c>
      <c r="I152" s="32" t="s">
        <v>2081</v>
      </c>
      <c r="J152" s="32" t="s">
        <v>2106</v>
      </c>
      <c r="K152" s="0" t="n">
        <v>3.7</v>
      </c>
      <c r="L152" s="32" t="s">
        <v>785</v>
      </c>
      <c r="M152" s="0" t="str">
        <f aca="false">IF(L152="GEN","GM",L152)</f>
        <v>RS</v>
      </c>
    </row>
    <row r="153" customFormat="false" ht="15" hidden="false" customHeight="false" outlineLevel="0" collapsed="false">
      <c r="A153" s="0" t="s">
        <v>6583</v>
      </c>
      <c r="B153" s="0" t="s">
        <v>6584</v>
      </c>
      <c r="C153" s="0" t="s">
        <v>780</v>
      </c>
      <c r="D153" s="0" t="s">
        <v>3356</v>
      </c>
      <c r="E153" s="31" t="n">
        <v>45668</v>
      </c>
      <c r="F153" s="32" t="s">
        <v>6283</v>
      </c>
      <c r="G153" s="0" t="n">
        <v>11.5</v>
      </c>
      <c r="H153" s="0" t="n">
        <v>11.5</v>
      </c>
      <c r="I153" s="32" t="s">
        <v>2106</v>
      </c>
      <c r="J153" s="32" t="s">
        <v>2081</v>
      </c>
      <c r="K153" s="0" t="n">
        <v>0</v>
      </c>
      <c r="L153" s="32" t="s">
        <v>785</v>
      </c>
      <c r="M153" s="0" t="str">
        <f aca="false">IF(L153="GEN","GM",L153)</f>
        <v>RS</v>
      </c>
    </row>
    <row r="154" customFormat="false" ht="15" hidden="false" customHeight="false" outlineLevel="0" collapsed="false">
      <c r="A154" s="0" t="s">
        <v>6585</v>
      </c>
      <c r="B154" s="0" t="s">
        <v>6586</v>
      </c>
      <c r="C154" s="0" t="s">
        <v>6295</v>
      </c>
      <c r="D154" s="0" t="s">
        <v>2115</v>
      </c>
      <c r="E154" s="31" t="n">
        <v>45668</v>
      </c>
      <c r="F154" s="32" t="s">
        <v>6283</v>
      </c>
      <c r="G154" s="0" t="n">
        <v>11.5</v>
      </c>
      <c r="H154" s="0" t="n">
        <v>11.5</v>
      </c>
      <c r="I154" s="32" t="s">
        <v>2081</v>
      </c>
      <c r="J154" s="32" t="s">
        <v>2081</v>
      </c>
      <c r="K154" s="0" t="n">
        <v>0</v>
      </c>
      <c r="L154" s="32" t="s">
        <v>758</v>
      </c>
      <c r="M154" s="0" t="str">
        <f aca="false">IF(L154="GEN","GM",L154)</f>
        <v>CS</v>
      </c>
    </row>
    <row r="155" customFormat="false" ht="15" hidden="false" customHeight="false" outlineLevel="0" collapsed="false">
      <c r="A155" s="0" t="s">
        <v>6587</v>
      </c>
      <c r="B155" s="0" t="s">
        <v>6588</v>
      </c>
      <c r="C155" s="0" t="s">
        <v>6282</v>
      </c>
      <c r="D155" s="0" t="s">
        <v>2115</v>
      </c>
      <c r="E155" s="31" t="n">
        <v>45668</v>
      </c>
      <c r="F155" s="32" t="s">
        <v>6283</v>
      </c>
      <c r="G155" s="0" t="n">
        <v>11.5</v>
      </c>
      <c r="H155" s="0" t="n">
        <v>11.5</v>
      </c>
      <c r="I155" s="32" t="s">
        <v>2081</v>
      </c>
      <c r="J155" s="32" t="s">
        <v>2081</v>
      </c>
      <c r="K155" s="0" t="n">
        <v>0</v>
      </c>
      <c r="L155" s="32" t="s">
        <v>810</v>
      </c>
      <c r="M155" s="0" t="str">
        <f aca="false">IF(L155="GEN","GM",L155)</f>
        <v>URO</v>
      </c>
    </row>
    <row r="156" customFormat="false" ht="15" hidden="false" customHeight="false" outlineLevel="0" collapsed="false">
      <c r="A156" s="0" t="s">
        <v>6589</v>
      </c>
      <c r="B156" s="0" t="s">
        <v>6590</v>
      </c>
      <c r="C156" s="0" t="s">
        <v>6286</v>
      </c>
      <c r="D156" s="0" t="s">
        <v>2115</v>
      </c>
      <c r="E156" s="31" t="n">
        <v>45668</v>
      </c>
      <c r="F156" s="32" t="s">
        <v>6287</v>
      </c>
      <c r="G156" s="0" t="n">
        <v>7.5</v>
      </c>
      <c r="H156" s="0" t="n">
        <v>8.5</v>
      </c>
      <c r="I156" s="32" t="s">
        <v>2081</v>
      </c>
      <c r="J156" s="32" t="s">
        <v>2081</v>
      </c>
      <c r="K156" s="0" t="n">
        <v>1</v>
      </c>
      <c r="L156" s="32" t="s">
        <v>758</v>
      </c>
      <c r="M156" s="0" t="str">
        <f aca="false">IF(L156="GEN","GM",L156)</f>
        <v>CS</v>
      </c>
    </row>
    <row r="157" customFormat="false" ht="15" hidden="false" customHeight="false" outlineLevel="0" collapsed="false">
      <c r="A157" s="0" t="s">
        <v>6591</v>
      </c>
      <c r="B157" s="0" t="s">
        <v>6592</v>
      </c>
      <c r="C157" s="0" t="s">
        <v>6282</v>
      </c>
      <c r="D157" s="0" t="s">
        <v>2115</v>
      </c>
      <c r="E157" s="31" t="n">
        <v>45668</v>
      </c>
      <c r="F157" s="32" t="s">
        <v>6283</v>
      </c>
      <c r="G157" s="0" t="n">
        <v>11.5</v>
      </c>
      <c r="H157" s="0" t="n">
        <v>11.5</v>
      </c>
      <c r="I157" s="32" t="s">
        <v>2081</v>
      </c>
      <c r="J157" s="32" t="s">
        <v>2081</v>
      </c>
      <c r="K157" s="0" t="n">
        <v>0</v>
      </c>
      <c r="L157" s="32" t="s">
        <v>747</v>
      </c>
      <c r="M157" s="0" t="str">
        <f aca="false">IF(L157="GEN","GM",L157)</f>
        <v>GM</v>
      </c>
    </row>
    <row r="158" customFormat="false" ht="15" hidden="false" customHeight="false" outlineLevel="0" collapsed="false">
      <c r="A158" s="0" t="s">
        <v>6593</v>
      </c>
      <c r="B158" s="0" t="s">
        <v>6594</v>
      </c>
      <c r="C158" s="0" t="s">
        <v>6295</v>
      </c>
      <c r="D158" s="0" t="s">
        <v>2124</v>
      </c>
      <c r="E158" s="31" t="n">
        <v>45668</v>
      </c>
      <c r="F158" s="32" t="s">
        <v>6287</v>
      </c>
      <c r="G158" s="0" t="n">
        <v>7.5</v>
      </c>
      <c r="H158" s="0" t="n">
        <v>7.5</v>
      </c>
      <c r="I158" s="32" t="s">
        <v>2081</v>
      </c>
      <c r="J158" s="32" t="s">
        <v>2081</v>
      </c>
      <c r="K158" s="0" t="n">
        <v>0</v>
      </c>
      <c r="L158" s="32" t="s">
        <v>785</v>
      </c>
      <c r="M158" s="0" t="str">
        <f aca="false">IF(L158="GEN","GM",L158)</f>
        <v>RS</v>
      </c>
    </row>
    <row r="159" customFormat="false" ht="15" hidden="false" customHeight="false" outlineLevel="0" collapsed="false">
      <c r="A159" s="0" t="s">
        <v>6595</v>
      </c>
      <c r="B159" s="0" t="s">
        <v>6596</v>
      </c>
      <c r="C159" s="0" t="s">
        <v>780</v>
      </c>
      <c r="D159" s="0" t="s">
        <v>2124</v>
      </c>
      <c r="E159" s="31" t="n">
        <v>45668</v>
      </c>
      <c r="F159" s="32" t="s">
        <v>6287</v>
      </c>
      <c r="G159" s="0" t="n">
        <v>7.5</v>
      </c>
      <c r="H159" s="0" t="n">
        <v>7.5</v>
      </c>
      <c r="I159" s="32" t="s">
        <v>2106</v>
      </c>
      <c r="J159" s="32" t="s">
        <v>2081</v>
      </c>
      <c r="K159" s="0" t="n">
        <v>0</v>
      </c>
      <c r="L159" s="32" t="s">
        <v>776</v>
      </c>
      <c r="M159" s="0" t="str">
        <f aca="false">IF(L159="GEN","GM",L159)</f>
        <v>GS</v>
      </c>
    </row>
    <row r="160" customFormat="false" ht="15" hidden="false" customHeight="false" outlineLevel="0" collapsed="false">
      <c r="A160" s="0" t="s">
        <v>6597</v>
      </c>
      <c r="B160" s="0" t="s">
        <v>6598</v>
      </c>
      <c r="C160" s="0" t="s">
        <v>6282</v>
      </c>
      <c r="D160" s="0" t="s">
        <v>2124</v>
      </c>
      <c r="E160" s="31" t="n">
        <v>45668</v>
      </c>
      <c r="F160" s="32" t="s">
        <v>6287</v>
      </c>
      <c r="G160" s="0" t="n">
        <v>7.5</v>
      </c>
      <c r="H160" s="0" t="n">
        <v>7.5</v>
      </c>
      <c r="I160" s="32" t="s">
        <v>2106</v>
      </c>
      <c r="J160" s="32" t="s">
        <v>2081</v>
      </c>
      <c r="K160" s="0" t="n">
        <v>0</v>
      </c>
      <c r="L160" s="32" t="s">
        <v>747</v>
      </c>
      <c r="M160" s="0" t="str">
        <f aca="false">IF(L160="GEN","GM",L160)</f>
        <v>GM</v>
      </c>
    </row>
    <row r="161" customFormat="false" ht="15" hidden="false" customHeight="false" outlineLevel="0" collapsed="false">
      <c r="A161" s="0" t="s">
        <v>6599</v>
      </c>
      <c r="B161" s="0" t="s">
        <v>6600</v>
      </c>
      <c r="C161" s="0" t="s">
        <v>6295</v>
      </c>
      <c r="D161" s="0" t="s">
        <v>2104</v>
      </c>
      <c r="E161" s="31" t="n">
        <v>45668</v>
      </c>
      <c r="F161" s="32" t="s">
        <v>6283</v>
      </c>
      <c r="G161" s="0" t="n">
        <v>11.5</v>
      </c>
      <c r="H161" s="0" t="n">
        <v>11.5</v>
      </c>
      <c r="I161" s="32" t="s">
        <v>2081</v>
      </c>
      <c r="J161" s="32" t="s">
        <v>2081</v>
      </c>
      <c r="K161" s="0" t="n">
        <v>0</v>
      </c>
      <c r="L161" s="32" t="s">
        <v>826</v>
      </c>
      <c r="M161" s="0" t="str">
        <f aca="false">IF(L161="GEN","GM",L161)</f>
        <v>RHE</v>
      </c>
    </row>
    <row r="162" customFormat="false" ht="15" hidden="false" customHeight="false" outlineLevel="0" collapsed="false">
      <c r="A162" s="0" t="s">
        <v>6601</v>
      </c>
      <c r="B162" s="0" t="s">
        <v>6602</v>
      </c>
      <c r="C162" s="0" t="s">
        <v>780</v>
      </c>
      <c r="D162" s="0" t="s">
        <v>2104</v>
      </c>
      <c r="E162" s="31" t="n">
        <v>45668</v>
      </c>
      <c r="F162" s="32" t="s">
        <v>6283</v>
      </c>
      <c r="G162" s="0" t="n">
        <v>11.5</v>
      </c>
      <c r="H162" s="0" t="n">
        <v>11.5</v>
      </c>
      <c r="I162" s="32" t="s">
        <v>2081</v>
      </c>
      <c r="J162" s="32" t="s">
        <v>2081</v>
      </c>
      <c r="K162" s="0" t="n">
        <v>0</v>
      </c>
      <c r="L162" s="32" t="s">
        <v>758</v>
      </c>
      <c r="M162" s="0" t="str">
        <f aca="false">IF(L162="GEN","GM",L162)</f>
        <v>CS</v>
      </c>
    </row>
    <row r="163" customFormat="false" ht="15" hidden="false" customHeight="false" outlineLevel="0" collapsed="false">
      <c r="A163" s="0" t="s">
        <v>6603</v>
      </c>
      <c r="B163" s="0" t="s">
        <v>6604</v>
      </c>
      <c r="C163" s="0" t="s">
        <v>6290</v>
      </c>
      <c r="D163" s="0" t="s">
        <v>2104</v>
      </c>
      <c r="E163" s="31" t="n">
        <v>45668</v>
      </c>
      <c r="F163" s="32" t="s">
        <v>6287</v>
      </c>
      <c r="G163" s="0" t="n">
        <v>7.5</v>
      </c>
      <c r="H163" s="0" t="n">
        <v>7.5</v>
      </c>
      <c r="I163" s="32" t="s">
        <v>2081</v>
      </c>
      <c r="J163" s="32" t="s">
        <v>2081</v>
      </c>
      <c r="K163" s="0" t="n">
        <v>0</v>
      </c>
      <c r="L163" s="32" t="s">
        <v>826</v>
      </c>
      <c r="M163" s="0" t="str">
        <f aca="false">IF(L163="GEN","GM",L163)</f>
        <v>RHE</v>
      </c>
    </row>
    <row r="164" customFormat="false" ht="15" hidden="false" customHeight="false" outlineLevel="0" collapsed="false">
      <c r="A164" s="0" t="s">
        <v>6605</v>
      </c>
      <c r="B164" s="0" t="s">
        <v>6510</v>
      </c>
      <c r="C164" s="0" t="s">
        <v>6286</v>
      </c>
      <c r="D164" s="0" t="s">
        <v>2104</v>
      </c>
      <c r="E164" s="31" t="n">
        <v>45668</v>
      </c>
      <c r="F164" s="32" t="s">
        <v>1125</v>
      </c>
      <c r="G164" s="0" t="n">
        <v>12</v>
      </c>
      <c r="H164" s="0" t="n">
        <v>12</v>
      </c>
      <c r="I164" s="32" t="s">
        <v>2081</v>
      </c>
      <c r="J164" s="32" t="s">
        <v>2081</v>
      </c>
      <c r="K164" s="0" t="n">
        <v>0</v>
      </c>
      <c r="L164" s="32" t="s">
        <v>802</v>
      </c>
      <c r="M164" s="0" t="str">
        <f aca="false">IF(L164="GEN","GM",L164)</f>
        <v>GYN</v>
      </c>
    </row>
    <row r="165" customFormat="false" ht="15" hidden="false" customHeight="false" outlineLevel="0" collapsed="false">
      <c r="A165" s="0" t="s">
        <v>6606</v>
      </c>
      <c r="B165" s="0" t="s">
        <v>6607</v>
      </c>
      <c r="C165" s="0" t="s">
        <v>6286</v>
      </c>
      <c r="D165" s="0" t="s">
        <v>2104</v>
      </c>
      <c r="E165" s="31" t="n">
        <v>45668</v>
      </c>
      <c r="F165" s="32" t="s">
        <v>1125</v>
      </c>
      <c r="G165" s="0" t="n">
        <v>12</v>
      </c>
      <c r="H165" s="0" t="n">
        <v>12</v>
      </c>
      <c r="I165" s="32" t="s">
        <v>2081</v>
      </c>
      <c r="J165" s="32" t="s">
        <v>2081</v>
      </c>
      <c r="K165" s="0" t="n">
        <v>0</v>
      </c>
      <c r="L165" s="32" t="s">
        <v>747</v>
      </c>
      <c r="M165" s="0" t="str">
        <f aca="false">IF(L165="GEN","GM",L165)</f>
        <v>GM</v>
      </c>
    </row>
    <row r="166" customFormat="false" ht="15" hidden="false" customHeight="false" outlineLevel="0" collapsed="false">
      <c r="A166" s="0" t="s">
        <v>6608</v>
      </c>
      <c r="B166" s="0" t="s">
        <v>6609</v>
      </c>
      <c r="C166" s="0" t="s">
        <v>780</v>
      </c>
      <c r="D166" s="0" t="s">
        <v>3035</v>
      </c>
      <c r="E166" s="31" t="n">
        <v>45668</v>
      </c>
      <c r="F166" s="32" t="s">
        <v>6287</v>
      </c>
      <c r="G166" s="0" t="n">
        <v>7.5</v>
      </c>
      <c r="H166" s="0" t="n">
        <v>7.5</v>
      </c>
      <c r="I166" s="32" t="s">
        <v>2081</v>
      </c>
      <c r="J166" s="32" t="s">
        <v>2081</v>
      </c>
      <c r="K166" s="0" t="n">
        <v>0</v>
      </c>
      <c r="L166" s="32" t="s">
        <v>747</v>
      </c>
      <c r="M166" s="0" t="str">
        <f aca="false">IF(L166="GEN","GM",L166)</f>
        <v>GM</v>
      </c>
    </row>
    <row r="167" customFormat="false" ht="15" hidden="false" customHeight="false" outlineLevel="0" collapsed="false">
      <c r="A167" s="0" t="s">
        <v>6610</v>
      </c>
      <c r="B167" s="0" t="s">
        <v>6611</v>
      </c>
      <c r="C167" s="0" t="s">
        <v>6295</v>
      </c>
      <c r="D167" s="0" t="s">
        <v>3035</v>
      </c>
      <c r="E167" s="31" t="n">
        <v>45668</v>
      </c>
      <c r="F167" s="32" t="s">
        <v>6287</v>
      </c>
      <c r="G167" s="0" t="n">
        <v>7.5</v>
      </c>
      <c r="H167" s="0" t="n">
        <v>7.5</v>
      </c>
      <c r="I167" s="32" t="s">
        <v>2081</v>
      </c>
      <c r="J167" s="32" t="s">
        <v>2081</v>
      </c>
      <c r="K167" s="0" t="n">
        <v>0</v>
      </c>
      <c r="L167" s="32" t="s">
        <v>758</v>
      </c>
      <c r="M167" s="0" t="str">
        <f aca="false">IF(L167="GEN","GM",L167)</f>
        <v>CS</v>
      </c>
    </row>
    <row r="168" customFormat="false" ht="15" hidden="false" customHeight="false" outlineLevel="0" collapsed="false">
      <c r="A168" s="0" t="s">
        <v>6612</v>
      </c>
      <c r="B168" s="0" t="s">
        <v>6613</v>
      </c>
      <c r="C168" s="0" t="s">
        <v>6286</v>
      </c>
      <c r="D168" s="0" t="s">
        <v>3035</v>
      </c>
      <c r="E168" s="31" t="n">
        <v>45668</v>
      </c>
      <c r="F168" s="32" t="s">
        <v>6287</v>
      </c>
      <c r="G168" s="0" t="n">
        <v>7.5</v>
      </c>
      <c r="H168" s="0" t="n">
        <v>7.5</v>
      </c>
      <c r="I168" s="32" t="s">
        <v>2081</v>
      </c>
      <c r="J168" s="32" t="s">
        <v>2081</v>
      </c>
      <c r="K168" s="0" t="n">
        <v>0</v>
      </c>
      <c r="L168" s="32" t="s">
        <v>810</v>
      </c>
      <c r="M168" s="0" t="str">
        <f aca="false">IF(L168="GEN","GM",L168)</f>
        <v>URO</v>
      </c>
    </row>
    <row r="169" customFormat="false" ht="15" hidden="false" customHeight="false" outlineLevel="0" collapsed="false">
      <c r="A169" s="0" t="s">
        <v>6614</v>
      </c>
      <c r="B169" s="0" t="s">
        <v>6615</v>
      </c>
      <c r="C169" s="0" t="s">
        <v>6295</v>
      </c>
      <c r="D169" s="0" t="s">
        <v>3035</v>
      </c>
      <c r="E169" s="31" t="n">
        <v>45668</v>
      </c>
      <c r="F169" s="32" t="s">
        <v>1125</v>
      </c>
      <c r="G169" s="0" t="n">
        <v>12</v>
      </c>
      <c r="H169" s="0" t="n">
        <v>12</v>
      </c>
      <c r="I169" s="32" t="s">
        <v>2081</v>
      </c>
      <c r="J169" s="32" t="s">
        <v>2081</v>
      </c>
      <c r="K169" s="0" t="n">
        <v>0</v>
      </c>
      <c r="L169" s="32" t="s">
        <v>747</v>
      </c>
      <c r="M169" s="0" t="str">
        <f aca="false">IF(L169="GEN","GM",L169)</f>
        <v>GM</v>
      </c>
    </row>
    <row r="170" customFormat="false" ht="15" hidden="false" customHeight="false" outlineLevel="0" collapsed="false">
      <c r="A170" s="0" t="s">
        <v>6616</v>
      </c>
      <c r="B170" s="0" t="s">
        <v>6617</v>
      </c>
      <c r="C170" s="0" t="s">
        <v>6295</v>
      </c>
      <c r="D170" s="0" t="s">
        <v>3035</v>
      </c>
      <c r="E170" s="31" t="n">
        <v>45668</v>
      </c>
      <c r="F170" s="32" t="s">
        <v>6283</v>
      </c>
      <c r="G170" s="0" t="n">
        <v>11.5</v>
      </c>
      <c r="H170" s="0" t="n">
        <v>12.3</v>
      </c>
      <c r="I170" s="32" t="s">
        <v>2081</v>
      </c>
      <c r="J170" s="32" t="s">
        <v>2081</v>
      </c>
      <c r="K170" s="0" t="n">
        <v>0.8</v>
      </c>
      <c r="L170" s="32" t="s">
        <v>802</v>
      </c>
      <c r="M170" s="0" t="str">
        <f aca="false">IF(L170="GEN","GM",L170)</f>
        <v>GYN</v>
      </c>
    </row>
    <row r="171" customFormat="false" ht="15" hidden="false" customHeight="false" outlineLevel="0" collapsed="false">
      <c r="A171" s="0" t="s">
        <v>6618</v>
      </c>
      <c r="B171" s="0" t="s">
        <v>6619</v>
      </c>
      <c r="C171" s="0" t="s">
        <v>780</v>
      </c>
      <c r="D171" s="0" t="s">
        <v>2088</v>
      </c>
      <c r="E171" s="31" t="n">
        <v>45669</v>
      </c>
      <c r="F171" s="32" t="s">
        <v>6287</v>
      </c>
      <c r="G171" s="0" t="n">
        <v>7.5</v>
      </c>
      <c r="H171" s="0" t="n">
        <v>7.5</v>
      </c>
      <c r="I171" s="32" t="s">
        <v>2081</v>
      </c>
      <c r="J171" s="32" t="s">
        <v>2081</v>
      </c>
      <c r="K171" s="0" t="n">
        <v>0</v>
      </c>
      <c r="L171" s="32" t="s">
        <v>810</v>
      </c>
      <c r="M171" s="0" t="str">
        <f aca="false">IF(L171="GEN","GM",L171)</f>
        <v>URO</v>
      </c>
    </row>
    <row r="172" customFormat="false" ht="15" hidden="false" customHeight="false" outlineLevel="0" collapsed="false">
      <c r="A172" s="0" t="s">
        <v>6620</v>
      </c>
      <c r="B172" s="0" t="s">
        <v>6621</v>
      </c>
      <c r="C172" s="0" t="s">
        <v>6295</v>
      </c>
      <c r="D172" s="0" t="s">
        <v>2088</v>
      </c>
      <c r="E172" s="31" t="n">
        <v>45669</v>
      </c>
      <c r="F172" s="32" t="s">
        <v>1125</v>
      </c>
      <c r="G172" s="0" t="n">
        <v>12</v>
      </c>
      <c r="H172" s="0" t="n">
        <v>12</v>
      </c>
      <c r="I172" s="32" t="s">
        <v>2081</v>
      </c>
      <c r="J172" s="32" t="s">
        <v>2081</v>
      </c>
      <c r="K172" s="0" t="n">
        <v>0</v>
      </c>
      <c r="L172" s="32" t="s">
        <v>826</v>
      </c>
      <c r="M172" s="0" t="str">
        <f aca="false">IF(L172="GEN","GM",L172)</f>
        <v>RHE</v>
      </c>
    </row>
    <row r="173" customFormat="false" ht="15" hidden="false" customHeight="false" outlineLevel="0" collapsed="false">
      <c r="A173" s="0" t="s">
        <v>6622</v>
      </c>
      <c r="B173" s="0" t="s">
        <v>6623</v>
      </c>
      <c r="C173" s="0" t="s">
        <v>6282</v>
      </c>
      <c r="D173" s="0" t="s">
        <v>2088</v>
      </c>
      <c r="E173" s="31" t="n">
        <v>45669</v>
      </c>
      <c r="F173" s="32" t="s">
        <v>6283</v>
      </c>
      <c r="G173" s="0" t="n">
        <v>11.5</v>
      </c>
      <c r="H173" s="0" t="n">
        <v>11.5</v>
      </c>
      <c r="I173" s="32" t="s">
        <v>2081</v>
      </c>
      <c r="J173" s="32" t="s">
        <v>2081</v>
      </c>
      <c r="K173" s="0" t="n">
        <v>0</v>
      </c>
      <c r="L173" s="32" t="s">
        <v>802</v>
      </c>
      <c r="M173" s="0" t="str">
        <f aca="false">IF(L173="GEN","GM",L173)</f>
        <v>GYN</v>
      </c>
    </row>
    <row r="174" customFormat="false" ht="15" hidden="false" customHeight="false" outlineLevel="0" collapsed="false">
      <c r="A174" s="0" t="s">
        <v>6624</v>
      </c>
      <c r="B174" s="0" t="s">
        <v>6625</v>
      </c>
      <c r="C174" s="0" t="s">
        <v>6295</v>
      </c>
      <c r="D174" s="0" t="s">
        <v>2088</v>
      </c>
      <c r="E174" s="31" t="n">
        <v>45669</v>
      </c>
      <c r="F174" s="32" t="s">
        <v>6283</v>
      </c>
      <c r="G174" s="0" t="n">
        <v>11.5</v>
      </c>
      <c r="H174" s="0" t="n">
        <v>11.5</v>
      </c>
      <c r="I174" s="32" t="s">
        <v>2106</v>
      </c>
      <c r="J174" s="32" t="s">
        <v>2081</v>
      </c>
      <c r="K174" s="0" t="n">
        <v>0</v>
      </c>
      <c r="L174" s="32" t="s">
        <v>802</v>
      </c>
      <c r="M174" s="0" t="str">
        <f aca="false">IF(L174="GEN","GM",L174)</f>
        <v>GYN</v>
      </c>
    </row>
    <row r="175" customFormat="false" ht="15" hidden="false" customHeight="false" outlineLevel="0" collapsed="false">
      <c r="A175" s="0" t="s">
        <v>6626</v>
      </c>
      <c r="B175" s="0" t="s">
        <v>6627</v>
      </c>
      <c r="C175" s="0" t="s">
        <v>6290</v>
      </c>
      <c r="D175" s="0" t="s">
        <v>2088</v>
      </c>
      <c r="E175" s="31" t="n">
        <v>45669</v>
      </c>
      <c r="F175" s="32" t="s">
        <v>6283</v>
      </c>
      <c r="G175" s="0" t="n">
        <v>11.5</v>
      </c>
      <c r="H175" s="0" t="n">
        <v>11.5</v>
      </c>
      <c r="I175" s="32" t="s">
        <v>2106</v>
      </c>
      <c r="J175" s="32" t="s">
        <v>2081</v>
      </c>
      <c r="K175" s="0" t="n">
        <v>0</v>
      </c>
      <c r="L175" s="32" t="s">
        <v>766</v>
      </c>
      <c r="M175" s="0" t="str">
        <f aca="false">IF(L175="GEN","GM",L175)</f>
        <v>OR</v>
      </c>
    </row>
    <row r="176" customFormat="false" ht="15" hidden="false" customHeight="false" outlineLevel="0" collapsed="false">
      <c r="A176" s="0" t="s">
        <v>6628</v>
      </c>
      <c r="B176" s="0" t="s">
        <v>6629</v>
      </c>
      <c r="C176" s="0" t="s">
        <v>6286</v>
      </c>
      <c r="D176" s="0" t="s">
        <v>2079</v>
      </c>
      <c r="E176" s="31" t="n">
        <v>45669</v>
      </c>
      <c r="F176" s="32" t="s">
        <v>1125</v>
      </c>
      <c r="G176" s="0" t="n">
        <v>12</v>
      </c>
      <c r="H176" s="0" t="n">
        <v>12</v>
      </c>
      <c r="I176" s="32" t="s">
        <v>2081</v>
      </c>
      <c r="J176" s="32" t="s">
        <v>2081</v>
      </c>
      <c r="K176" s="0" t="n">
        <v>0</v>
      </c>
      <c r="L176" s="32" t="s">
        <v>747</v>
      </c>
      <c r="M176" s="0" t="str">
        <f aca="false">IF(L176="GEN","GM",L176)</f>
        <v>GM</v>
      </c>
    </row>
    <row r="177" customFormat="false" ht="15" hidden="false" customHeight="false" outlineLevel="0" collapsed="false">
      <c r="A177" s="0" t="s">
        <v>6630</v>
      </c>
      <c r="B177" s="0" t="s">
        <v>6631</v>
      </c>
      <c r="C177" s="0" t="s">
        <v>6295</v>
      </c>
      <c r="D177" s="0" t="s">
        <v>2079</v>
      </c>
      <c r="E177" s="31" t="n">
        <v>45669</v>
      </c>
      <c r="F177" s="32" t="s">
        <v>6287</v>
      </c>
      <c r="G177" s="0" t="n">
        <v>7.5</v>
      </c>
      <c r="H177" s="0" t="n">
        <v>7.5</v>
      </c>
      <c r="I177" s="32" t="s">
        <v>2081</v>
      </c>
      <c r="J177" s="32" t="s">
        <v>2081</v>
      </c>
      <c r="K177" s="0" t="n">
        <v>0</v>
      </c>
      <c r="L177" s="32" t="s">
        <v>758</v>
      </c>
      <c r="M177" s="0" t="str">
        <f aca="false">IF(L177="GEN","GM",L177)</f>
        <v>CS</v>
      </c>
    </row>
    <row r="178" customFormat="false" ht="15" hidden="false" customHeight="false" outlineLevel="0" collapsed="false">
      <c r="A178" s="0" t="s">
        <v>6632</v>
      </c>
      <c r="B178" s="0" t="s">
        <v>6633</v>
      </c>
      <c r="C178" s="0" t="s">
        <v>6282</v>
      </c>
      <c r="D178" s="0" t="s">
        <v>2079</v>
      </c>
      <c r="E178" s="31" t="n">
        <v>45669</v>
      </c>
      <c r="F178" s="32" t="s">
        <v>1125</v>
      </c>
      <c r="G178" s="0" t="n">
        <v>12</v>
      </c>
      <c r="H178" s="0" t="n">
        <v>12</v>
      </c>
      <c r="I178" s="32" t="s">
        <v>2081</v>
      </c>
      <c r="J178" s="32" t="s">
        <v>2081</v>
      </c>
      <c r="K178" s="0" t="n">
        <v>0</v>
      </c>
      <c r="L178" s="32" t="s">
        <v>776</v>
      </c>
      <c r="M178" s="0" t="str">
        <f aca="false">IF(L178="GEN","GM",L178)</f>
        <v>GS</v>
      </c>
    </row>
    <row r="179" customFormat="false" ht="15" hidden="false" customHeight="false" outlineLevel="0" collapsed="false">
      <c r="A179" s="0" t="s">
        <v>6634</v>
      </c>
      <c r="B179" s="0" t="s">
        <v>6635</v>
      </c>
      <c r="C179" s="0" t="s">
        <v>6295</v>
      </c>
      <c r="D179" s="0" t="s">
        <v>2099</v>
      </c>
      <c r="E179" s="31" t="n">
        <v>45669</v>
      </c>
      <c r="F179" s="32" t="s">
        <v>1125</v>
      </c>
      <c r="G179" s="0" t="n">
        <v>12</v>
      </c>
      <c r="H179" s="0" t="n">
        <v>12</v>
      </c>
      <c r="I179" s="32" t="s">
        <v>2106</v>
      </c>
      <c r="J179" s="32" t="s">
        <v>2081</v>
      </c>
      <c r="K179" s="0" t="n">
        <v>0</v>
      </c>
      <c r="L179" s="32" t="s">
        <v>758</v>
      </c>
      <c r="M179" s="0" t="str">
        <f aca="false">IF(L179="GEN","GM",L179)</f>
        <v>CS</v>
      </c>
    </row>
    <row r="180" customFormat="false" ht="15" hidden="false" customHeight="false" outlineLevel="0" collapsed="false">
      <c r="A180" s="0" t="s">
        <v>6636</v>
      </c>
      <c r="B180" s="0" t="s">
        <v>6637</v>
      </c>
      <c r="C180" s="0" t="s">
        <v>6295</v>
      </c>
      <c r="D180" s="0" t="s">
        <v>2099</v>
      </c>
      <c r="E180" s="31" t="n">
        <v>45669</v>
      </c>
      <c r="F180" s="32" t="s">
        <v>6287</v>
      </c>
      <c r="G180" s="0" t="n">
        <v>7.5</v>
      </c>
      <c r="H180" s="0" t="n">
        <v>7.5</v>
      </c>
      <c r="I180" s="32" t="s">
        <v>2081</v>
      </c>
      <c r="J180" s="32" t="s">
        <v>2081</v>
      </c>
      <c r="K180" s="0" t="n">
        <v>0</v>
      </c>
      <c r="L180" s="32" t="s">
        <v>785</v>
      </c>
      <c r="M180" s="0" t="str">
        <f aca="false">IF(L180="GEN","GM",L180)</f>
        <v>RS</v>
      </c>
    </row>
    <row r="181" customFormat="false" ht="15" hidden="false" customHeight="false" outlineLevel="0" collapsed="false">
      <c r="A181" s="0" t="s">
        <v>6638</v>
      </c>
      <c r="B181" s="0" t="s">
        <v>6639</v>
      </c>
      <c r="C181" s="0" t="s">
        <v>6286</v>
      </c>
      <c r="D181" s="0" t="s">
        <v>2099</v>
      </c>
      <c r="E181" s="31" t="n">
        <v>45669</v>
      </c>
      <c r="F181" s="32" t="s">
        <v>6287</v>
      </c>
      <c r="G181" s="0" t="n">
        <v>7.5</v>
      </c>
      <c r="H181" s="0" t="n">
        <v>7.5</v>
      </c>
      <c r="I181" s="32" t="s">
        <v>2081</v>
      </c>
      <c r="J181" s="32" t="s">
        <v>2081</v>
      </c>
      <c r="K181" s="0" t="n">
        <v>0</v>
      </c>
      <c r="L181" s="32" t="s">
        <v>747</v>
      </c>
      <c r="M181" s="0" t="str">
        <f aca="false">IF(L181="GEN","GM",L181)</f>
        <v>GM</v>
      </c>
    </row>
    <row r="182" customFormat="false" ht="15" hidden="false" customHeight="false" outlineLevel="0" collapsed="false">
      <c r="A182" s="0" t="s">
        <v>6640</v>
      </c>
      <c r="B182" s="0" t="s">
        <v>6641</v>
      </c>
      <c r="C182" s="0" t="s">
        <v>6282</v>
      </c>
      <c r="D182" s="0" t="s">
        <v>2115</v>
      </c>
      <c r="E182" s="31" t="n">
        <v>45669</v>
      </c>
      <c r="F182" s="32" t="s">
        <v>1125</v>
      </c>
      <c r="G182" s="0" t="n">
        <v>12</v>
      </c>
      <c r="H182" s="0" t="n">
        <v>12</v>
      </c>
      <c r="I182" s="32" t="s">
        <v>2081</v>
      </c>
      <c r="J182" s="32" t="s">
        <v>2081</v>
      </c>
      <c r="K182" s="0" t="n">
        <v>0</v>
      </c>
      <c r="L182" s="32" t="s">
        <v>826</v>
      </c>
      <c r="M182" s="0" t="str">
        <f aca="false">IF(L182="GEN","GM",L182)</f>
        <v>RHE</v>
      </c>
    </row>
    <row r="183" customFormat="false" ht="15" hidden="false" customHeight="false" outlineLevel="0" collapsed="false">
      <c r="A183" s="0" t="s">
        <v>6642</v>
      </c>
      <c r="B183" s="0" t="s">
        <v>6643</v>
      </c>
      <c r="C183" s="0" t="s">
        <v>6282</v>
      </c>
      <c r="D183" s="0" t="s">
        <v>2115</v>
      </c>
      <c r="E183" s="31" t="n">
        <v>45669</v>
      </c>
      <c r="F183" s="32" t="s">
        <v>6287</v>
      </c>
      <c r="G183" s="0" t="n">
        <v>7.5</v>
      </c>
      <c r="H183" s="0" t="n">
        <v>7.5</v>
      </c>
      <c r="I183" s="32" t="s">
        <v>2081</v>
      </c>
      <c r="J183" s="32" t="s">
        <v>2081</v>
      </c>
      <c r="K183" s="0" t="n">
        <v>0</v>
      </c>
      <c r="L183" s="32" t="s">
        <v>802</v>
      </c>
      <c r="M183" s="0" t="str">
        <f aca="false">IF(L183="GEN","GM",L183)</f>
        <v>GYN</v>
      </c>
    </row>
    <row r="184" customFormat="false" ht="15" hidden="false" customHeight="false" outlineLevel="0" collapsed="false">
      <c r="A184" s="0" t="s">
        <v>6644</v>
      </c>
      <c r="B184" s="0" t="s">
        <v>6645</v>
      </c>
      <c r="C184" s="0" t="s">
        <v>780</v>
      </c>
      <c r="D184" s="0" t="s">
        <v>2115</v>
      </c>
      <c r="E184" s="31" t="n">
        <v>45669</v>
      </c>
      <c r="F184" s="32" t="s">
        <v>6287</v>
      </c>
      <c r="G184" s="0" t="n">
        <v>7.5</v>
      </c>
      <c r="H184" s="0" t="n">
        <v>7.5</v>
      </c>
      <c r="I184" s="32" t="s">
        <v>2081</v>
      </c>
      <c r="J184" s="32" t="s">
        <v>2081</v>
      </c>
      <c r="K184" s="0" t="n">
        <v>0</v>
      </c>
      <c r="L184" s="32" t="s">
        <v>758</v>
      </c>
      <c r="M184" s="0" t="str">
        <f aca="false">IF(L184="GEN","GM",L184)</f>
        <v>CS</v>
      </c>
    </row>
    <row r="185" customFormat="false" ht="15" hidden="false" customHeight="false" outlineLevel="0" collapsed="false">
      <c r="A185" s="0" t="s">
        <v>6646</v>
      </c>
      <c r="B185" s="0" t="s">
        <v>6647</v>
      </c>
      <c r="C185" s="0" t="s">
        <v>6295</v>
      </c>
      <c r="D185" s="0" t="s">
        <v>2124</v>
      </c>
      <c r="E185" s="31" t="n">
        <v>45669</v>
      </c>
      <c r="F185" s="32" t="s">
        <v>1125</v>
      </c>
      <c r="G185" s="0" t="n">
        <v>12</v>
      </c>
      <c r="H185" s="0" t="n">
        <v>12</v>
      </c>
      <c r="I185" s="32" t="s">
        <v>2081</v>
      </c>
      <c r="J185" s="32" t="s">
        <v>2081</v>
      </c>
      <c r="K185" s="0" t="n">
        <v>0</v>
      </c>
      <c r="L185" s="32" t="s">
        <v>793</v>
      </c>
      <c r="M185" s="0" t="str">
        <f aca="false">IF(L185="GEN","GM",L185)</f>
        <v>EM</v>
      </c>
    </row>
    <row r="186" customFormat="false" ht="15" hidden="false" customHeight="false" outlineLevel="0" collapsed="false">
      <c r="A186" s="0" t="s">
        <v>6648</v>
      </c>
      <c r="B186" s="0" t="s">
        <v>6649</v>
      </c>
      <c r="C186" s="0" t="s">
        <v>6290</v>
      </c>
      <c r="D186" s="0" t="s">
        <v>2124</v>
      </c>
      <c r="E186" s="31" t="n">
        <v>45669</v>
      </c>
      <c r="F186" s="32" t="s">
        <v>6287</v>
      </c>
      <c r="G186" s="0" t="n">
        <v>7.5</v>
      </c>
      <c r="H186" s="0" t="n">
        <v>7.5</v>
      </c>
      <c r="J186" s="32" t="s">
        <v>2081</v>
      </c>
      <c r="K186" s="0" t="n">
        <v>0</v>
      </c>
      <c r="L186" s="32" t="s">
        <v>747</v>
      </c>
      <c r="M186" s="0" t="str">
        <f aca="false">IF(L186="GEN","GM",L186)</f>
        <v>GM</v>
      </c>
    </row>
    <row r="187" customFormat="false" ht="15" hidden="false" customHeight="false" outlineLevel="0" collapsed="false">
      <c r="A187" s="0" t="s">
        <v>6650</v>
      </c>
      <c r="B187" s="0" t="s">
        <v>6651</v>
      </c>
      <c r="C187" s="0" t="s">
        <v>6295</v>
      </c>
      <c r="D187" s="0" t="s">
        <v>2124</v>
      </c>
      <c r="E187" s="31" t="n">
        <v>45669</v>
      </c>
      <c r="F187" s="32" t="s">
        <v>6283</v>
      </c>
      <c r="G187" s="0" t="n">
        <v>11.5</v>
      </c>
      <c r="H187" s="0" t="n">
        <v>11.5</v>
      </c>
      <c r="I187" s="32" t="s">
        <v>2081</v>
      </c>
      <c r="J187" s="32" t="s">
        <v>2081</v>
      </c>
      <c r="K187" s="0" t="n">
        <v>0</v>
      </c>
      <c r="L187" s="32" t="s">
        <v>766</v>
      </c>
      <c r="M187" s="0" t="str">
        <f aca="false">IF(L187="GEN","GM",L187)</f>
        <v>OR</v>
      </c>
    </row>
    <row r="188" customFormat="false" ht="15" hidden="false" customHeight="false" outlineLevel="0" collapsed="false">
      <c r="A188" s="0" t="s">
        <v>6652</v>
      </c>
      <c r="B188" s="0" t="s">
        <v>6653</v>
      </c>
      <c r="C188" s="0" t="s">
        <v>6295</v>
      </c>
      <c r="D188" s="0" t="s">
        <v>2124</v>
      </c>
      <c r="E188" s="31" t="n">
        <v>45669</v>
      </c>
      <c r="F188" s="32" t="s">
        <v>6287</v>
      </c>
      <c r="G188" s="0" t="n">
        <v>7.5</v>
      </c>
      <c r="H188" s="0" t="n">
        <v>7.5</v>
      </c>
      <c r="I188" s="32" t="s">
        <v>2081</v>
      </c>
      <c r="J188" s="32" t="s">
        <v>2081</v>
      </c>
      <c r="K188" s="0" t="n">
        <v>0</v>
      </c>
      <c r="L188" s="32" t="s">
        <v>810</v>
      </c>
      <c r="M188" s="0" t="str">
        <f aca="false">IF(L188="GEN","GM",L188)</f>
        <v>URO</v>
      </c>
    </row>
    <row r="189" customFormat="false" ht="15" hidden="false" customHeight="false" outlineLevel="0" collapsed="false">
      <c r="A189" s="0" t="s">
        <v>6654</v>
      </c>
      <c r="B189" s="0" t="s">
        <v>6655</v>
      </c>
      <c r="C189" s="0" t="s">
        <v>6282</v>
      </c>
      <c r="D189" s="0" t="s">
        <v>2124</v>
      </c>
      <c r="E189" s="31" t="n">
        <v>45669</v>
      </c>
      <c r="F189" s="32" t="s">
        <v>1125</v>
      </c>
      <c r="G189" s="0" t="n">
        <v>12</v>
      </c>
      <c r="H189" s="0" t="n">
        <v>12</v>
      </c>
      <c r="I189" s="32" t="s">
        <v>2106</v>
      </c>
      <c r="J189" s="32" t="s">
        <v>2106</v>
      </c>
      <c r="K189" s="0" t="n">
        <v>0</v>
      </c>
      <c r="L189" s="32" t="s">
        <v>776</v>
      </c>
      <c r="M189" s="0" t="str">
        <f aca="false">IF(L189="GEN","GM",L189)</f>
        <v>GS</v>
      </c>
    </row>
    <row r="190" customFormat="false" ht="15" hidden="false" customHeight="false" outlineLevel="0" collapsed="false">
      <c r="A190" s="0" t="s">
        <v>6656</v>
      </c>
      <c r="B190" s="0" t="s">
        <v>6657</v>
      </c>
      <c r="C190" s="0" t="s">
        <v>6290</v>
      </c>
      <c r="D190" s="0" t="s">
        <v>2104</v>
      </c>
      <c r="E190" s="31" t="n">
        <v>45669</v>
      </c>
      <c r="F190" s="32" t="s">
        <v>6287</v>
      </c>
      <c r="G190" s="0" t="n">
        <v>7.5</v>
      </c>
      <c r="H190" s="0" t="n">
        <v>7.5</v>
      </c>
      <c r="I190" s="32" t="s">
        <v>2106</v>
      </c>
      <c r="J190" s="32" t="s">
        <v>2081</v>
      </c>
      <c r="K190" s="0" t="n">
        <v>0</v>
      </c>
      <c r="L190" s="32" t="s">
        <v>776</v>
      </c>
      <c r="M190" s="0" t="str">
        <f aca="false">IF(L190="GEN","GM",L190)</f>
        <v>GS</v>
      </c>
    </row>
    <row r="191" customFormat="false" ht="15" hidden="false" customHeight="false" outlineLevel="0" collapsed="false">
      <c r="A191" s="0" t="s">
        <v>6658</v>
      </c>
      <c r="B191" s="0" t="s">
        <v>6659</v>
      </c>
      <c r="C191" s="0" t="s">
        <v>780</v>
      </c>
      <c r="D191" s="0" t="s">
        <v>2104</v>
      </c>
      <c r="E191" s="31" t="n">
        <v>45669</v>
      </c>
      <c r="F191" s="32" t="s">
        <v>6287</v>
      </c>
      <c r="G191" s="0" t="n">
        <v>7.5</v>
      </c>
      <c r="H191" s="0" t="n">
        <v>7.5</v>
      </c>
      <c r="I191" s="32" t="s">
        <v>2081</v>
      </c>
      <c r="J191" s="32" t="s">
        <v>2081</v>
      </c>
      <c r="K191" s="0" t="n">
        <v>0</v>
      </c>
      <c r="L191" s="32" t="s">
        <v>802</v>
      </c>
      <c r="M191" s="0" t="str">
        <f aca="false">IF(L191="GEN","GM",L191)</f>
        <v>GYN</v>
      </c>
    </row>
    <row r="192" customFormat="false" ht="15" hidden="false" customHeight="false" outlineLevel="0" collapsed="false">
      <c r="A192" s="0" t="s">
        <v>6660</v>
      </c>
      <c r="B192" s="0" t="s">
        <v>6661</v>
      </c>
      <c r="C192" s="0" t="s">
        <v>6286</v>
      </c>
      <c r="D192" s="0" t="s">
        <v>2104</v>
      </c>
      <c r="E192" s="31" t="n">
        <v>45669</v>
      </c>
      <c r="F192" s="32" t="s">
        <v>1125</v>
      </c>
      <c r="G192" s="0" t="n">
        <v>12</v>
      </c>
      <c r="H192" s="0" t="n">
        <v>12</v>
      </c>
      <c r="I192" s="32" t="s">
        <v>2081</v>
      </c>
      <c r="J192" s="32" t="s">
        <v>2081</v>
      </c>
      <c r="K192" s="0" t="n">
        <v>0</v>
      </c>
      <c r="L192" s="32" t="s">
        <v>766</v>
      </c>
      <c r="M192" s="0" t="str">
        <f aca="false">IF(L192="GEN","GM",L192)</f>
        <v>OR</v>
      </c>
    </row>
    <row r="193" customFormat="false" ht="15" hidden="false" customHeight="false" outlineLevel="0" collapsed="false">
      <c r="A193" s="0" t="s">
        <v>6662</v>
      </c>
      <c r="B193" s="0" t="s">
        <v>6663</v>
      </c>
      <c r="C193" s="0" t="s">
        <v>6295</v>
      </c>
      <c r="D193" s="0" t="s">
        <v>3035</v>
      </c>
      <c r="E193" s="31" t="n">
        <v>45669</v>
      </c>
      <c r="F193" s="32" t="s">
        <v>6283</v>
      </c>
      <c r="G193" s="0" t="n">
        <v>11.5</v>
      </c>
      <c r="H193" s="0" t="n">
        <v>11.5</v>
      </c>
      <c r="I193" s="32" t="s">
        <v>2081</v>
      </c>
      <c r="J193" s="32" t="s">
        <v>2081</v>
      </c>
      <c r="K193" s="0" t="n">
        <v>0</v>
      </c>
      <c r="L193" s="32" t="s">
        <v>766</v>
      </c>
      <c r="M193" s="0" t="str">
        <f aca="false">IF(L193="GEN","GM",L193)</f>
        <v>OR</v>
      </c>
    </row>
    <row r="194" customFormat="false" ht="15" hidden="false" customHeight="false" outlineLevel="0" collapsed="false">
      <c r="A194" s="0" t="s">
        <v>6664</v>
      </c>
      <c r="B194" s="0" t="s">
        <v>6665</v>
      </c>
      <c r="C194" s="0" t="s">
        <v>6295</v>
      </c>
      <c r="D194" s="0" t="s">
        <v>3035</v>
      </c>
      <c r="E194" s="31" t="n">
        <v>45669</v>
      </c>
      <c r="F194" s="32" t="s">
        <v>6283</v>
      </c>
      <c r="G194" s="0" t="n">
        <v>11.5</v>
      </c>
      <c r="H194" s="0" t="n">
        <v>11.5</v>
      </c>
      <c r="I194" s="32" t="s">
        <v>2106</v>
      </c>
      <c r="J194" s="32" t="s">
        <v>2081</v>
      </c>
      <c r="K194" s="0" t="n">
        <v>0</v>
      </c>
      <c r="L194" s="32" t="s">
        <v>747</v>
      </c>
      <c r="M194" s="0" t="str">
        <f aca="false">IF(L194="GEN","GM",L194)</f>
        <v>GM</v>
      </c>
    </row>
    <row r="195" customFormat="false" ht="15" hidden="false" customHeight="false" outlineLevel="0" collapsed="false">
      <c r="A195" s="0" t="s">
        <v>6666</v>
      </c>
      <c r="B195" s="0" t="s">
        <v>6667</v>
      </c>
      <c r="C195" s="0" t="s">
        <v>6282</v>
      </c>
      <c r="D195" s="0" t="s">
        <v>3035</v>
      </c>
      <c r="E195" s="31" t="n">
        <v>45669</v>
      </c>
      <c r="F195" s="32" t="s">
        <v>6287</v>
      </c>
      <c r="G195" s="0" t="n">
        <v>7.5</v>
      </c>
      <c r="H195" s="0" t="n">
        <v>7.5</v>
      </c>
      <c r="I195" s="32" t="s">
        <v>2081</v>
      </c>
      <c r="J195" s="32" t="s">
        <v>2081</v>
      </c>
      <c r="K195" s="0" t="n">
        <v>0</v>
      </c>
      <c r="L195" s="32" t="s">
        <v>776</v>
      </c>
      <c r="M195" s="0" t="str">
        <f aca="false">IF(L195="GEN","GM",L195)</f>
        <v>GS</v>
      </c>
    </row>
    <row r="196" customFormat="false" ht="15" hidden="false" customHeight="false" outlineLevel="0" collapsed="false">
      <c r="A196" s="0" t="s">
        <v>6668</v>
      </c>
      <c r="B196" s="0" t="s">
        <v>6669</v>
      </c>
      <c r="C196" s="0" t="s">
        <v>6295</v>
      </c>
      <c r="D196" s="0" t="s">
        <v>3035</v>
      </c>
      <c r="E196" s="31" t="n">
        <v>45669</v>
      </c>
      <c r="F196" s="32" t="s">
        <v>6283</v>
      </c>
      <c r="G196" s="0" t="n">
        <v>11.5</v>
      </c>
      <c r="H196" s="0" t="n">
        <v>11.5</v>
      </c>
      <c r="J196" s="32" t="s">
        <v>2081</v>
      </c>
      <c r="K196" s="0" t="n">
        <v>0</v>
      </c>
      <c r="L196" s="32" t="s">
        <v>1391</v>
      </c>
      <c r="M196" s="0" t="str">
        <f aca="false">IF(L196="GEN","GM",L196)</f>
        <v>GM</v>
      </c>
    </row>
    <row r="197" customFormat="false" ht="15" hidden="false" customHeight="false" outlineLevel="0" collapsed="false">
      <c r="A197" s="0" t="s">
        <v>6670</v>
      </c>
      <c r="B197" s="0" t="s">
        <v>6671</v>
      </c>
      <c r="C197" s="0" t="s">
        <v>6282</v>
      </c>
      <c r="D197" s="0" t="s">
        <v>3035</v>
      </c>
      <c r="E197" s="31" t="n">
        <v>45669</v>
      </c>
      <c r="F197" s="32" t="s">
        <v>6287</v>
      </c>
      <c r="G197" s="0" t="n">
        <v>7.5</v>
      </c>
      <c r="H197" s="0" t="n">
        <v>7.5</v>
      </c>
      <c r="I197" s="32" t="s">
        <v>2081</v>
      </c>
      <c r="J197" s="32" t="s">
        <v>2106</v>
      </c>
      <c r="K197" s="0" t="n">
        <v>0</v>
      </c>
      <c r="L197" s="32" t="s">
        <v>785</v>
      </c>
      <c r="M197" s="0" t="str">
        <f aca="false">IF(L197="GEN","GM",L197)</f>
        <v>RS</v>
      </c>
    </row>
    <row r="198" customFormat="false" ht="15" hidden="false" customHeight="false" outlineLevel="0" collapsed="false">
      <c r="A198" s="0" t="s">
        <v>6672</v>
      </c>
      <c r="B198" s="0" t="s">
        <v>6673</v>
      </c>
      <c r="C198" s="0" t="s">
        <v>6286</v>
      </c>
      <c r="D198" s="0" t="s">
        <v>2088</v>
      </c>
      <c r="E198" s="31" t="n">
        <v>45670</v>
      </c>
      <c r="F198" s="32" t="s">
        <v>1125</v>
      </c>
      <c r="G198" s="0" t="n">
        <v>12</v>
      </c>
      <c r="H198" s="0" t="n">
        <v>12</v>
      </c>
      <c r="I198" s="32" t="s">
        <v>2106</v>
      </c>
      <c r="J198" s="32" t="s">
        <v>2081</v>
      </c>
      <c r="K198" s="0" t="n">
        <v>0</v>
      </c>
      <c r="L198" s="32" t="s">
        <v>810</v>
      </c>
      <c r="M198" s="0" t="str">
        <f aca="false">IF(L198="GEN","GM",L198)</f>
        <v>URO</v>
      </c>
    </row>
    <row r="199" customFormat="false" ht="15" hidden="false" customHeight="false" outlineLevel="0" collapsed="false">
      <c r="A199" s="0" t="s">
        <v>6674</v>
      </c>
      <c r="B199" s="0" t="s">
        <v>6675</v>
      </c>
      <c r="C199" s="0" t="s">
        <v>6286</v>
      </c>
      <c r="D199" s="0" t="s">
        <v>2088</v>
      </c>
      <c r="E199" s="31" t="n">
        <v>45670</v>
      </c>
      <c r="F199" s="32" t="s">
        <v>6283</v>
      </c>
      <c r="G199" s="0" t="n">
        <v>11.5</v>
      </c>
      <c r="H199" s="0" t="n">
        <v>11.5</v>
      </c>
      <c r="I199" s="32" t="s">
        <v>2081</v>
      </c>
      <c r="J199" s="32" t="s">
        <v>2081</v>
      </c>
      <c r="K199" s="0" t="n">
        <v>0</v>
      </c>
      <c r="L199" s="32" t="s">
        <v>747</v>
      </c>
      <c r="M199" s="0" t="str">
        <f aca="false">IF(L199="GEN","GM",L199)</f>
        <v>GM</v>
      </c>
    </row>
    <row r="200" customFormat="false" ht="15" hidden="false" customHeight="false" outlineLevel="0" collapsed="false">
      <c r="A200" s="0" t="s">
        <v>6676</v>
      </c>
      <c r="B200" s="0" t="s">
        <v>6677</v>
      </c>
      <c r="C200" s="0" t="s">
        <v>6286</v>
      </c>
      <c r="D200" s="0" t="s">
        <v>2088</v>
      </c>
      <c r="E200" s="31" t="n">
        <v>45670</v>
      </c>
      <c r="F200" s="32" t="s">
        <v>1125</v>
      </c>
      <c r="G200" s="0" t="n">
        <v>12</v>
      </c>
      <c r="H200" s="0" t="n">
        <v>14.9</v>
      </c>
      <c r="I200" s="32" t="s">
        <v>2081</v>
      </c>
      <c r="J200" s="32" t="s">
        <v>2081</v>
      </c>
      <c r="K200" s="0" t="n">
        <v>2.9</v>
      </c>
      <c r="L200" s="32" t="s">
        <v>826</v>
      </c>
      <c r="M200" s="0" t="str">
        <f aca="false">IF(L200="GEN","GM",L200)</f>
        <v>RHE</v>
      </c>
    </row>
    <row r="201" customFormat="false" ht="15" hidden="false" customHeight="false" outlineLevel="0" collapsed="false">
      <c r="A201" s="0" t="s">
        <v>6678</v>
      </c>
      <c r="B201" s="0" t="s">
        <v>6679</v>
      </c>
      <c r="C201" s="0" t="s">
        <v>6282</v>
      </c>
      <c r="D201" s="0" t="s">
        <v>2088</v>
      </c>
      <c r="E201" s="31" t="n">
        <v>45670</v>
      </c>
      <c r="F201" s="32" t="s">
        <v>6287</v>
      </c>
      <c r="G201" s="0" t="n">
        <v>7.5</v>
      </c>
      <c r="H201" s="0" t="n">
        <v>7.5</v>
      </c>
      <c r="I201" s="32" t="s">
        <v>2081</v>
      </c>
      <c r="J201" s="32" t="s">
        <v>2081</v>
      </c>
      <c r="K201" s="0" t="n">
        <v>0</v>
      </c>
      <c r="L201" s="32" t="s">
        <v>785</v>
      </c>
      <c r="M201" s="0" t="str">
        <f aca="false">IF(L201="GEN","GM",L201)</f>
        <v>RS</v>
      </c>
    </row>
    <row r="202" customFormat="false" ht="15" hidden="false" customHeight="false" outlineLevel="0" collapsed="false">
      <c r="A202" s="0" t="s">
        <v>6680</v>
      </c>
      <c r="B202" s="0" t="s">
        <v>6681</v>
      </c>
      <c r="C202" s="0" t="s">
        <v>6295</v>
      </c>
      <c r="D202" s="0" t="s">
        <v>2088</v>
      </c>
      <c r="E202" s="31" t="n">
        <v>45670</v>
      </c>
      <c r="F202" s="32" t="s">
        <v>6283</v>
      </c>
      <c r="G202" s="0" t="n">
        <v>11.5</v>
      </c>
      <c r="H202" s="0" t="n">
        <v>11.5</v>
      </c>
      <c r="I202" s="32" t="s">
        <v>2081</v>
      </c>
      <c r="J202" s="32" t="s">
        <v>2081</v>
      </c>
      <c r="K202" s="0" t="n">
        <v>0</v>
      </c>
      <c r="L202" s="32" t="s">
        <v>802</v>
      </c>
      <c r="M202" s="0" t="str">
        <f aca="false">IF(L202="GEN","GM",L202)</f>
        <v>GYN</v>
      </c>
    </row>
    <row r="203" customFormat="false" ht="15" hidden="false" customHeight="false" outlineLevel="0" collapsed="false">
      <c r="A203" s="0" t="s">
        <v>6682</v>
      </c>
      <c r="B203" s="0" t="s">
        <v>6683</v>
      </c>
      <c r="C203" s="0" t="s">
        <v>6295</v>
      </c>
      <c r="D203" s="0" t="s">
        <v>2079</v>
      </c>
      <c r="E203" s="31" t="n">
        <v>45670</v>
      </c>
      <c r="F203" s="32" t="s">
        <v>6283</v>
      </c>
      <c r="G203" s="0" t="n">
        <v>11.5</v>
      </c>
      <c r="H203" s="0" t="n">
        <v>11.5</v>
      </c>
      <c r="I203" s="32" t="s">
        <v>2081</v>
      </c>
      <c r="J203" s="32" t="s">
        <v>2081</v>
      </c>
      <c r="K203" s="0" t="n">
        <v>0</v>
      </c>
      <c r="L203" s="32" t="s">
        <v>802</v>
      </c>
      <c r="M203" s="0" t="str">
        <f aca="false">IF(L203="GEN","GM",L203)</f>
        <v>GYN</v>
      </c>
    </row>
    <row r="204" customFormat="false" ht="15" hidden="false" customHeight="false" outlineLevel="0" collapsed="false">
      <c r="A204" s="0" t="s">
        <v>6684</v>
      </c>
      <c r="B204" s="0" t="s">
        <v>6685</v>
      </c>
      <c r="C204" s="0" t="s">
        <v>6295</v>
      </c>
      <c r="D204" s="0" t="s">
        <v>2079</v>
      </c>
      <c r="E204" s="31" t="n">
        <v>45670</v>
      </c>
      <c r="F204" s="32" t="s">
        <v>6287</v>
      </c>
      <c r="G204" s="0" t="n">
        <v>7.5</v>
      </c>
      <c r="H204" s="0" t="n">
        <v>7.5</v>
      </c>
      <c r="I204" s="32" t="s">
        <v>2081</v>
      </c>
      <c r="J204" s="32" t="s">
        <v>2081</v>
      </c>
      <c r="K204" s="0" t="n">
        <v>0</v>
      </c>
      <c r="L204" s="32" t="s">
        <v>747</v>
      </c>
      <c r="M204" s="0" t="str">
        <f aca="false">IF(L204="GEN","GM",L204)</f>
        <v>GM</v>
      </c>
    </row>
    <row r="205" customFormat="false" ht="15" hidden="false" customHeight="false" outlineLevel="0" collapsed="false">
      <c r="A205" s="0" t="s">
        <v>6686</v>
      </c>
      <c r="B205" s="0" t="s">
        <v>6687</v>
      </c>
      <c r="C205" s="0" t="s">
        <v>6282</v>
      </c>
      <c r="D205" s="0" t="s">
        <v>2079</v>
      </c>
      <c r="E205" s="31" t="n">
        <v>45670</v>
      </c>
      <c r="F205" s="32" t="s">
        <v>1125</v>
      </c>
      <c r="G205" s="0" t="n">
        <v>12</v>
      </c>
      <c r="H205" s="0" t="n">
        <v>12</v>
      </c>
      <c r="I205" s="32" t="s">
        <v>2081</v>
      </c>
      <c r="J205" s="32" t="s">
        <v>2081</v>
      </c>
      <c r="K205" s="0" t="n">
        <v>0</v>
      </c>
      <c r="L205" s="32" t="s">
        <v>802</v>
      </c>
      <c r="M205" s="0" t="str">
        <f aca="false">IF(L205="GEN","GM",L205)</f>
        <v>GYN</v>
      </c>
    </row>
    <row r="206" customFormat="false" ht="15" hidden="false" customHeight="false" outlineLevel="0" collapsed="false">
      <c r="A206" s="0" t="s">
        <v>6688</v>
      </c>
      <c r="B206" s="0" t="s">
        <v>6689</v>
      </c>
      <c r="C206" s="0" t="s">
        <v>6295</v>
      </c>
      <c r="D206" s="0" t="s">
        <v>2079</v>
      </c>
      <c r="E206" s="31" t="n">
        <v>45670</v>
      </c>
      <c r="F206" s="32" t="s">
        <v>1125</v>
      </c>
      <c r="G206" s="0" t="n">
        <v>12</v>
      </c>
      <c r="H206" s="0" t="n">
        <v>12</v>
      </c>
      <c r="I206" s="32" t="s">
        <v>2081</v>
      </c>
      <c r="J206" s="32" t="s">
        <v>2081</v>
      </c>
      <c r="K206" s="0" t="n">
        <v>0</v>
      </c>
      <c r="L206" s="32" t="s">
        <v>747</v>
      </c>
      <c r="M206" s="0" t="str">
        <f aca="false">IF(L206="GEN","GM",L206)</f>
        <v>GM</v>
      </c>
    </row>
    <row r="207" customFormat="false" ht="15" hidden="false" customHeight="false" outlineLevel="0" collapsed="false">
      <c r="A207" s="0" t="s">
        <v>6690</v>
      </c>
      <c r="B207" s="0" t="s">
        <v>6691</v>
      </c>
      <c r="C207" s="0" t="s">
        <v>6286</v>
      </c>
      <c r="D207" s="0" t="s">
        <v>2079</v>
      </c>
      <c r="E207" s="31" t="n">
        <v>45670</v>
      </c>
      <c r="F207" s="32" t="s">
        <v>1125</v>
      </c>
      <c r="G207" s="0" t="n">
        <v>12</v>
      </c>
      <c r="H207" s="0" t="n">
        <v>12</v>
      </c>
      <c r="I207" s="32" t="s">
        <v>2106</v>
      </c>
      <c r="J207" s="32" t="s">
        <v>2081</v>
      </c>
      <c r="K207" s="0" t="n">
        <v>0</v>
      </c>
      <c r="L207" s="32" t="s">
        <v>747</v>
      </c>
      <c r="M207" s="0" t="str">
        <f aca="false">IF(L207="GEN","GM",L207)</f>
        <v>GM</v>
      </c>
    </row>
    <row r="208" customFormat="false" ht="15" hidden="false" customHeight="false" outlineLevel="0" collapsed="false">
      <c r="A208" s="0" t="s">
        <v>6692</v>
      </c>
      <c r="B208" s="0" t="s">
        <v>6693</v>
      </c>
      <c r="C208" s="0" t="s">
        <v>6286</v>
      </c>
      <c r="D208" s="0" t="s">
        <v>2099</v>
      </c>
      <c r="E208" s="31" t="n">
        <v>45670</v>
      </c>
      <c r="F208" s="32" t="s">
        <v>6283</v>
      </c>
      <c r="G208" s="0" t="n">
        <v>11.5</v>
      </c>
      <c r="H208" s="0" t="n">
        <v>10.1</v>
      </c>
      <c r="I208" s="32" t="s">
        <v>2081</v>
      </c>
      <c r="J208" s="32" t="s">
        <v>2081</v>
      </c>
      <c r="K208" s="0" t="n">
        <v>0</v>
      </c>
      <c r="L208" s="32" t="s">
        <v>758</v>
      </c>
      <c r="M208" s="0" t="str">
        <f aca="false">IF(L208="GEN","GM",L208)</f>
        <v>CS</v>
      </c>
    </row>
    <row r="209" customFormat="false" ht="15" hidden="false" customHeight="false" outlineLevel="0" collapsed="false">
      <c r="A209" s="0" t="s">
        <v>6694</v>
      </c>
      <c r="B209" s="0" t="s">
        <v>6695</v>
      </c>
      <c r="C209" s="0" t="s">
        <v>6696</v>
      </c>
      <c r="D209" s="0" t="s">
        <v>2099</v>
      </c>
      <c r="E209" s="31" t="n">
        <v>45670</v>
      </c>
      <c r="F209" s="32" t="s">
        <v>6287</v>
      </c>
      <c r="G209" s="0" t="n">
        <v>7.5</v>
      </c>
      <c r="H209" s="0" t="n">
        <v>6.3</v>
      </c>
      <c r="I209" s="32" t="s">
        <v>2081</v>
      </c>
      <c r="J209" s="32" t="s">
        <v>2081</v>
      </c>
      <c r="K209" s="0" t="n">
        <v>0</v>
      </c>
      <c r="L209" s="32" t="s">
        <v>776</v>
      </c>
      <c r="M209" s="0" t="str">
        <f aca="false">IF(L209="GEN","GM",L209)</f>
        <v>GS</v>
      </c>
    </row>
    <row r="210" customFormat="false" ht="15" hidden="false" customHeight="false" outlineLevel="0" collapsed="false">
      <c r="A210" s="0" t="s">
        <v>6697</v>
      </c>
      <c r="B210" s="0" t="s">
        <v>6698</v>
      </c>
      <c r="C210" s="0" t="s">
        <v>6286</v>
      </c>
      <c r="D210" s="0" t="s">
        <v>2099</v>
      </c>
      <c r="E210" s="31" t="n">
        <v>45670</v>
      </c>
      <c r="F210" s="32" t="s">
        <v>1125</v>
      </c>
      <c r="G210" s="0" t="n">
        <v>12</v>
      </c>
      <c r="H210" s="0" t="n">
        <v>12</v>
      </c>
      <c r="I210" s="32" t="s">
        <v>2081</v>
      </c>
      <c r="J210" s="32" t="s">
        <v>2081</v>
      </c>
      <c r="K210" s="0" t="n">
        <v>0</v>
      </c>
      <c r="L210" s="32" t="s">
        <v>758</v>
      </c>
      <c r="M210" s="0" t="str">
        <f aca="false">IF(L210="GEN","GM",L210)</f>
        <v>CS</v>
      </c>
    </row>
    <row r="211" customFormat="false" ht="15" hidden="false" customHeight="false" outlineLevel="0" collapsed="false">
      <c r="A211" s="0" t="s">
        <v>6699</v>
      </c>
      <c r="B211" s="0" t="s">
        <v>6700</v>
      </c>
      <c r="C211" s="0" t="s">
        <v>6282</v>
      </c>
      <c r="D211" s="0" t="s">
        <v>2099</v>
      </c>
      <c r="E211" s="31" t="n">
        <v>45670</v>
      </c>
      <c r="F211" s="32" t="s">
        <v>6283</v>
      </c>
      <c r="G211" s="0" t="n">
        <v>11.5</v>
      </c>
      <c r="H211" s="0" t="n">
        <v>11.5</v>
      </c>
      <c r="I211" s="32" t="s">
        <v>2106</v>
      </c>
      <c r="J211" s="32" t="s">
        <v>2081</v>
      </c>
      <c r="K211" s="0" t="n">
        <v>0</v>
      </c>
      <c r="L211" s="32" t="s">
        <v>793</v>
      </c>
      <c r="M211" s="0" t="str">
        <f aca="false">IF(L211="GEN","GM",L211)</f>
        <v>EM</v>
      </c>
    </row>
    <row r="212" customFormat="false" ht="15" hidden="false" customHeight="false" outlineLevel="0" collapsed="false">
      <c r="A212" s="0" t="s">
        <v>6701</v>
      </c>
      <c r="B212" s="0" t="s">
        <v>6702</v>
      </c>
      <c r="C212" s="0" t="s">
        <v>6286</v>
      </c>
      <c r="D212" s="0" t="s">
        <v>2099</v>
      </c>
      <c r="E212" s="31" t="n">
        <v>45670</v>
      </c>
      <c r="F212" s="32" t="s">
        <v>6287</v>
      </c>
      <c r="G212" s="0" t="n">
        <v>7.5</v>
      </c>
      <c r="H212" s="0" t="n">
        <v>8.6</v>
      </c>
      <c r="I212" s="32" t="s">
        <v>2081</v>
      </c>
      <c r="J212" s="32" t="s">
        <v>2081</v>
      </c>
      <c r="K212" s="0" t="n">
        <v>1.1</v>
      </c>
      <c r="L212" s="32" t="s">
        <v>785</v>
      </c>
      <c r="M212" s="0" t="str">
        <f aca="false">IF(L212="GEN","GM",L212)</f>
        <v>RS</v>
      </c>
    </row>
    <row r="213" customFormat="false" ht="15" hidden="false" customHeight="false" outlineLevel="0" collapsed="false">
      <c r="A213" s="0" t="s">
        <v>6703</v>
      </c>
      <c r="B213" s="0" t="s">
        <v>6704</v>
      </c>
      <c r="C213" s="0" t="s">
        <v>6290</v>
      </c>
      <c r="D213" s="0" t="s">
        <v>2115</v>
      </c>
      <c r="E213" s="31" t="n">
        <v>45670</v>
      </c>
      <c r="F213" s="32" t="s">
        <v>6283</v>
      </c>
      <c r="G213" s="0" t="n">
        <v>11.5</v>
      </c>
      <c r="H213" s="0" t="n">
        <v>11.5</v>
      </c>
      <c r="I213" s="32" t="s">
        <v>2081</v>
      </c>
      <c r="J213" s="32" t="s">
        <v>2081</v>
      </c>
      <c r="K213" s="0" t="n">
        <v>0</v>
      </c>
      <c r="L213" s="32" t="s">
        <v>758</v>
      </c>
      <c r="M213" s="0" t="str">
        <f aca="false">IF(L213="GEN","GM",L213)</f>
        <v>CS</v>
      </c>
    </row>
    <row r="214" customFormat="false" ht="15" hidden="false" customHeight="false" outlineLevel="0" collapsed="false">
      <c r="A214" s="0" t="s">
        <v>6705</v>
      </c>
      <c r="B214" s="0" t="s">
        <v>6706</v>
      </c>
      <c r="C214" s="0" t="s">
        <v>6295</v>
      </c>
      <c r="D214" s="0" t="s">
        <v>2115</v>
      </c>
      <c r="E214" s="31" t="n">
        <v>45670</v>
      </c>
      <c r="F214" s="32" t="s">
        <v>6287</v>
      </c>
      <c r="G214" s="0" t="n">
        <v>7.5</v>
      </c>
      <c r="H214" s="0" t="n">
        <v>7.5</v>
      </c>
      <c r="I214" s="32" t="s">
        <v>2081</v>
      </c>
      <c r="J214" s="32" t="s">
        <v>2081</v>
      </c>
      <c r="K214" s="0" t="n">
        <v>0</v>
      </c>
      <c r="L214" s="32" t="s">
        <v>826</v>
      </c>
      <c r="M214" s="0" t="str">
        <f aca="false">IF(L214="GEN","GM",L214)</f>
        <v>RHE</v>
      </c>
    </row>
    <row r="215" customFormat="false" ht="15" hidden="false" customHeight="false" outlineLevel="0" collapsed="false">
      <c r="A215" s="0" t="s">
        <v>6707</v>
      </c>
      <c r="B215" s="0" t="s">
        <v>6708</v>
      </c>
      <c r="C215" s="0" t="s">
        <v>6295</v>
      </c>
      <c r="D215" s="0" t="s">
        <v>2115</v>
      </c>
      <c r="E215" s="31" t="n">
        <v>45670</v>
      </c>
      <c r="F215" s="32" t="s">
        <v>6283</v>
      </c>
      <c r="G215" s="0" t="n">
        <v>11.5</v>
      </c>
      <c r="H215" s="0" t="n">
        <v>11.5</v>
      </c>
      <c r="I215" s="32" t="s">
        <v>2081</v>
      </c>
      <c r="J215" s="32" t="s">
        <v>2081</v>
      </c>
      <c r="K215" s="0" t="n">
        <v>0</v>
      </c>
      <c r="L215" s="32" t="s">
        <v>785</v>
      </c>
      <c r="M215" s="0" t="str">
        <f aca="false">IF(L215="GEN","GM",L215)</f>
        <v>RS</v>
      </c>
    </row>
    <row r="216" customFormat="false" ht="15" hidden="false" customHeight="false" outlineLevel="0" collapsed="false">
      <c r="A216" s="0" t="s">
        <v>6709</v>
      </c>
      <c r="B216" s="0" t="s">
        <v>6710</v>
      </c>
      <c r="C216" s="0" t="s">
        <v>6286</v>
      </c>
      <c r="D216" s="0" t="s">
        <v>2115</v>
      </c>
      <c r="E216" s="31" t="n">
        <v>45670</v>
      </c>
      <c r="F216" s="32" t="s">
        <v>6283</v>
      </c>
      <c r="G216" s="0" t="n">
        <v>11.5</v>
      </c>
      <c r="H216" s="0" t="n">
        <v>11.5</v>
      </c>
      <c r="I216" s="32" t="s">
        <v>2081</v>
      </c>
      <c r="J216" s="32" t="s">
        <v>2081</v>
      </c>
      <c r="K216" s="0" t="n">
        <v>0</v>
      </c>
      <c r="L216" s="32" t="s">
        <v>776</v>
      </c>
      <c r="M216" s="0" t="str">
        <f aca="false">IF(L216="GEN","GM",L216)</f>
        <v>GS</v>
      </c>
    </row>
    <row r="217" customFormat="false" ht="15" hidden="false" customHeight="false" outlineLevel="0" collapsed="false">
      <c r="A217" s="0" t="s">
        <v>6711</v>
      </c>
      <c r="B217" s="0" t="s">
        <v>6712</v>
      </c>
      <c r="C217" s="0" t="s">
        <v>6286</v>
      </c>
      <c r="D217" s="0" t="s">
        <v>2124</v>
      </c>
      <c r="E217" s="31" t="n">
        <v>45670</v>
      </c>
      <c r="F217" s="32" t="s">
        <v>6283</v>
      </c>
      <c r="G217" s="0" t="n">
        <v>11.5</v>
      </c>
      <c r="H217" s="0" t="n">
        <v>11.5</v>
      </c>
      <c r="I217" s="32" t="s">
        <v>2081</v>
      </c>
      <c r="J217" s="32" t="s">
        <v>2081</v>
      </c>
      <c r="K217" s="0" t="n">
        <v>0</v>
      </c>
      <c r="L217" s="32" t="s">
        <v>802</v>
      </c>
      <c r="M217" s="0" t="str">
        <f aca="false">IF(L217="GEN","GM",L217)</f>
        <v>GYN</v>
      </c>
    </row>
    <row r="218" customFormat="false" ht="15" hidden="false" customHeight="false" outlineLevel="0" collapsed="false">
      <c r="A218" s="0" t="s">
        <v>6713</v>
      </c>
      <c r="B218" s="0" t="s">
        <v>6714</v>
      </c>
      <c r="C218" s="0" t="s">
        <v>780</v>
      </c>
      <c r="D218" s="0" t="s">
        <v>2124</v>
      </c>
      <c r="E218" s="31" t="n">
        <v>45670</v>
      </c>
      <c r="F218" s="32" t="s">
        <v>6287</v>
      </c>
      <c r="G218" s="0" t="n">
        <v>7.5</v>
      </c>
      <c r="H218" s="0" t="n">
        <v>7.5</v>
      </c>
      <c r="I218" s="32" t="s">
        <v>2081</v>
      </c>
      <c r="J218" s="32" t="s">
        <v>2081</v>
      </c>
      <c r="K218" s="0" t="n">
        <v>0</v>
      </c>
      <c r="L218" s="32" t="s">
        <v>747</v>
      </c>
      <c r="M218" s="0" t="str">
        <f aca="false">IF(L218="GEN","GM",L218)</f>
        <v>GM</v>
      </c>
    </row>
    <row r="219" customFormat="false" ht="15" hidden="false" customHeight="false" outlineLevel="0" collapsed="false">
      <c r="A219" s="0" t="s">
        <v>6715</v>
      </c>
      <c r="B219" s="0" t="s">
        <v>6716</v>
      </c>
      <c r="C219" s="0" t="s">
        <v>6290</v>
      </c>
      <c r="D219" s="0" t="s">
        <v>2124</v>
      </c>
      <c r="E219" s="31" t="n">
        <v>45670</v>
      </c>
      <c r="F219" s="32" t="s">
        <v>1125</v>
      </c>
      <c r="G219" s="0" t="n">
        <v>12</v>
      </c>
      <c r="H219" s="0" t="n">
        <v>12</v>
      </c>
      <c r="I219" s="32" t="s">
        <v>2106</v>
      </c>
      <c r="J219" s="32" t="s">
        <v>2081</v>
      </c>
      <c r="K219" s="0" t="n">
        <v>0</v>
      </c>
      <c r="L219" s="32" t="s">
        <v>766</v>
      </c>
      <c r="M219" s="0" t="str">
        <f aca="false">IF(L219="GEN","GM",L219)</f>
        <v>OR</v>
      </c>
    </row>
    <row r="220" customFormat="false" ht="15" hidden="false" customHeight="false" outlineLevel="0" collapsed="false">
      <c r="A220" s="0" t="s">
        <v>6717</v>
      </c>
      <c r="B220" s="0" t="s">
        <v>6718</v>
      </c>
      <c r="C220" s="0" t="s">
        <v>6282</v>
      </c>
      <c r="D220" s="0" t="s">
        <v>2124</v>
      </c>
      <c r="E220" s="31" t="n">
        <v>45670</v>
      </c>
      <c r="F220" s="32" t="s">
        <v>1125</v>
      </c>
      <c r="G220" s="0" t="n">
        <v>12</v>
      </c>
      <c r="H220" s="0" t="n">
        <v>12</v>
      </c>
      <c r="I220" s="32" t="s">
        <v>2081</v>
      </c>
      <c r="J220" s="32" t="s">
        <v>2081</v>
      </c>
      <c r="K220" s="0" t="n">
        <v>0</v>
      </c>
      <c r="L220" s="32" t="s">
        <v>785</v>
      </c>
      <c r="M220" s="0" t="str">
        <f aca="false">IF(L220="GEN","GM",L220)</f>
        <v>RS</v>
      </c>
    </row>
    <row r="221" customFormat="false" ht="15" hidden="false" customHeight="false" outlineLevel="0" collapsed="false">
      <c r="A221" s="0" t="s">
        <v>6719</v>
      </c>
      <c r="B221" s="0" t="s">
        <v>6720</v>
      </c>
      <c r="C221" s="0" t="s">
        <v>6282</v>
      </c>
      <c r="D221" s="0" t="s">
        <v>2104</v>
      </c>
      <c r="E221" s="31" t="n">
        <v>45670</v>
      </c>
      <c r="F221" s="32" t="s">
        <v>6287</v>
      </c>
      <c r="G221" s="0" t="n">
        <v>7.5</v>
      </c>
      <c r="H221" s="0" t="n">
        <v>8.9</v>
      </c>
      <c r="I221" s="32" t="s">
        <v>2106</v>
      </c>
      <c r="J221" s="32" t="s">
        <v>2081</v>
      </c>
      <c r="K221" s="0" t="n">
        <v>1.4</v>
      </c>
      <c r="L221" s="32" t="s">
        <v>826</v>
      </c>
      <c r="M221" s="0" t="str">
        <f aca="false">IF(L221="GEN","GM",L221)</f>
        <v>RHE</v>
      </c>
    </row>
    <row r="222" customFormat="false" ht="15" hidden="false" customHeight="false" outlineLevel="0" collapsed="false">
      <c r="A222" s="0" t="s">
        <v>6721</v>
      </c>
      <c r="B222" s="0" t="s">
        <v>6722</v>
      </c>
      <c r="C222" s="0" t="s">
        <v>6295</v>
      </c>
      <c r="D222" s="0" t="s">
        <v>2104</v>
      </c>
      <c r="E222" s="31" t="n">
        <v>45670</v>
      </c>
      <c r="F222" s="32" t="s">
        <v>6287</v>
      </c>
      <c r="G222" s="0" t="n">
        <v>7.5</v>
      </c>
      <c r="H222" s="0" t="n">
        <v>10</v>
      </c>
      <c r="I222" s="32" t="s">
        <v>2081</v>
      </c>
      <c r="J222" s="32" t="s">
        <v>2081</v>
      </c>
      <c r="K222" s="0" t="n">
        <v>2.5</v>
      </c>
      <c r="L222" s="32" t="s">
        <v>747</v>
      </c>
      <c r="M222" s="0" t="str">
        <f aca="false">IF(L222="GEN","GM",L222)</f>
        <v>GM</v>
      </c>
    </row>
    <row r="223" customFormat="false" ht="15" hidden="false" customHeight="false" outlineLevel="0" collapsed="false">
      <c r="A223" s="0" t="s">
        <v>6723</v>
      </c>
      <c r="B223" s="0" t="s">
        <v>6724</v>
      </c>
      <c r="C223" s="0" t="s">
        <v>6295</v>
      </c>
      <c r="D223" s="0" t="s">
        <v>2104</v>
      </c>
      <c r="E223" s="31" t="n">
        <v>45670</v>
      </c>
      <c r="F223" s="32" t="s">
        <v>6283</v>
      </c>
      <c r="G223" s="0" t="n">
        <v>11.5</v>
      </c>
      <c r="H223" s="0" t="n">
        <v>11.5</v>
      </c>
      <c r="I223" s="32" t="s">
        <v>2106</v>
      </c>
      <c r="J223" s="32" t="s">
        <v>2081</v>
      </c>
      <c r="K223" s="0" t="n">
        <v>0</v>
      </c>
      <c r="L223" s="32" t="s">
        <v>766</v>
      </c>
      <c r="M223" s="0" t="str">
        <f aca="false">IF(L223="GEN","GM",L223)</f>
        <v>OR</v>
      </c>
    </row>
    <row r="224" customFormat="false" ht="15" hidden="false" customHeight="false" outlineLevel="0" collapsed="false">
      <c r="A224" s="0" t="s">
        <v>6725</v>
      </c>
      <c r="B224" s="0" t="s">
        <v>6726</v>
      </c>
      <c r="C224" s="0" t="s">
        <v>6295</v>
      </c>
      <c r="D224" s="0" t="s">
        <v>2104</v>
      </c>
      <c r="E224" s="31" t="n">
        <v>45670</v>
      </c>
      <c r="F224" s="32" t="s">
        <v>6287</v>
      </c>
      <c r="G224" s="0" t="n">
        <v>7.5</v>
      </c>
      <c r="H224" s="0" t="n">
        <v>7.5</v>
      </c>
      <c r="I224" s="32" t="s">
        <v>2081</v>
      </c>
      <c r="J224" s="32" t="s">
        <v>2081</v>
      </c>
      <c r="K224" s="0" t="n">
        <v>0</v>
      </c>
      <c r="L224" s="32" t="s">
        <v>776</v>
      </c>
      <c r="M224" s="0" t="str">
        <f aca="false">IF(L224="GEN","GM",L224)</f>
        <v>GS</v>
      </c>
    </row>
    <row r="225" customFormat="false" ht="15" hidden="false" customHeight="false" outlineLevel="0" collapsed="false">
      <c r="A225" s="0" t="s">
        <v>6727</v>
      </c>
      <c r="B225" s="0" t="s">
        <v>6728</v>
      </c>
      <c r="C225" s="0" t="s">
        <v>6290</v>
      </c>
      <c r="D225" s="0" t="s">
        <v>3035</v>
      </c>
      <c r="E225" s="31" t="n">
        <v>45670</v>
      </c>
      <c r="F225" s="32" t="s">
        <v>6287</v>
      </c>
      <c r="G225" s="0" t="n">
        <v>7.5</v>
      </c>
      <c r="H225" s="0" t="n">
        <v>7.5</v>
      </c>
      <c r="I225" s="32" t="s">
        <v>2081</v>
      </c>
      <c r="J225" s="32" t="s">
        <v>2081</v>
      </c>
      <c r="K225" s="0" t="n">
        <v>0</v>
      </c>
      <c r="L225" s="32" t="s">
        <v>747</v>
      </c>
      <c r="M225" s="0" t="str">
        <f aca="false">IF(L225="GEN","GM",L225)</f>
        <v>GM</v>
      </c>
    </row>
    <row r="226" customFormat="false" ht="15" hidden="false" customHeight="false" outlineLevel="0" collapsed="false">
      <c r="A226" s="0" t="s">
        <v>6729</v>
      </c>
      <c r="B226" s="0" t="s">
        <v>6730</v>
      </c>
      <c r="C226" s="0" t="s">
        <v>6286</v>
      </c>
      <c r="D226" s="0" t="s">
        <v>3035</v>
      </c>
      <c r="E226" s="31" t="n">
        <v>45670</v>
      </c>
      <c r="F226" s="32" t="s">
        <v>1125</v>
      </c>
      <c r="G226" s="0" t="n">
        <v>12</v>
      </c>
      <c r="H226" s="0" t="n">
        <v>12</v>
      </c>
      <c r="I226" s="32" t="s">
        <v>2081</v>
      </c>
      <c r="J226" s="32" t="s">
        <v>2106</v>
      </c>
      <c r="K226" s="0" t="n">
        <v>0</v>
      </c>
      <c r="L226" s="32" t="s">
        <v>793</v>
      </c>
      <c r="M226" s="0" t="str">
        <f aca="false">IF(L226="GEN","GM",L226)</f>
        <v>EM</v>
      </c>
    </row>
    <row r="227" customFormat="false" ht="15" hidden="false" customHeight="false" outlineLevel="0" collapsed="false">
      <c r="A227" s="0" t="s">
        <v>6731</v>
      </c>
      <c r="B227" s="0" t="s">
        <v>6732</v>
      </c>
      <c r="C227" s="0" t="s">
        <v>6290</v>
      </c>
      <c r="D227" s="0" t="s">
        <v>3035</v>
      </c>
      <c r="E227" s="31" t="n">
        <v>45670</v>
      </c>
      <c r="F227" s="32" t="s">
        <v>6287</v>
      </c>
      <c r="G227" s="0" t="n">
        <v>7.5</v>
      </c>
      <c r="H227" s="0" t="n">
        <v>7.5</v>
      </c>
      <c r="I227" s="32" t="s">
        <v>2081</v>
      </c>
      <c r="J227" s="32" t="s">
        <v>2081</v>
      </c>
      <c r="K227" s="0" t="n">
        <v>0</v>
      </c>
      <c r="L227" s="32" t="s">
        <v>747</v>
      </c>
      <c r="M227" s="0" t="str">
        <f aca="false">IF(L227="GEN","GM",L227)</f>
        <v>GM</v>
      </c>
    </row>
    <row r="228" customFormat="false" ht="15" hidden="false" customHeight="false" outlineLevel="0" collapsed="false">
      <c r="A228" s="0" t="s">
        <v>6733</v>
      </c>
      <c r="C228" s="0" t="s">
        <v>6282</v>
      </c>
      <c r="D228" s="0" t="s">
        <v>3035</v>
      </c>
      <c r="E228" s="31" t="n">
        <v>45670</v>
      </c>
      <c r="F228" s="32" t="s">
        <v>1125</v>
      </c>
      <c r="G228" s="0" t="n">
        <v>12</v>
      </c>
      <c r="H228" s="0" t="n">
        <v>12</v>
      </c>
      <c r="I228" s="32" t="s">
        <v>2106</v>
      </c>
      <c r="J228" s="32" t="s">
        <v>2081</v>
      </c>
      <c r="K228" s="0" t="n">
        <v>0</v>
      </c>
      <c r="L228" s="32" t="s">
        <v>785</v>
      </c>
      <c r="M228" s="0" t="str">
        <f aca="false">IF(L228="GEN","GM",L228)</f>
        <v>RS</v>
      </c>
    </row>
    <row r="229" customFormat="false" ht="15" hidden="false" customHeight="false" outlineLevel="0" collapsed="false">
      <c r="A229" s="0" t="s">
        <v>6734</v>
      </c>
      <c r="B229" s="0" t="s">
        <v>6735</v>
      </c>
      <c r="C229" s="0" t="s">
        <v>6295</v>
      </c>
      <c r="D229" s="0" t="s">
        <v>2088</v>
      </c>
      <c r="E229" s="31" t="n">
        <v>45671</v>
      </c>
      <c r="F229" s="32" t="s">
        <v>6283</v>
      </c>
      <c r="G229" s="0" t="n">
        <v>11.5</v>
      </c>
      <c r="H229" s="0" t="n">
        <v>10.6</v>
      </c>
      <c r="I229" s="32" t="s">
        <v>2106</v>
      </c>
      <c r="J229" s="32" t="s">
        <v>2081</v>
      </c>
      <c r="K229" s="0" t="n">
        <v>0</v>
      </c>
      <c r="L229" s="32" t="s">
        <v>747</v>
      </c>
      <c r="M229" s="0" t="str">
        <f aca="false">IF(L229="GEN","GM",L229)</f>
        <v>GM</v>
      </c>
    </row>
    <row r="230" customFormat="false" ht="15" hidden="false" customHeight="false" outlineLevel="0" collapsed="false">
      <c r="A230" s="0" t="s">
        <v>6736</v>
      </c>
      <c r="B230" s="0" t="s">
        <v>6737</v>
      </c>
      <c r="C230" s="0" t="s">
        <v>6295</v>
      </c>
      <c r="D230" s="0" t="s">
        <v>2088</v>
      </c>
      <c r="E230" s="31" t="n">
        <v>45671</v>
      </c>
      <c r="F230" s="32" t="s">
        <v>1125</v>
      </c>
      <c r="G230" s="0" t="n">
        <v>12</v>
      </c>
      <c r="H230" s="0" t="n">
        <v>12</v>
      </c>
      <c r="I230" s="32" t="s">
        <v>2106</v>
      </c>
      <c r="J230" s="32" t="s">
        <v>2081</v>
      </c>
      <c r="K230" s="0" t="n">
        <v>0</v>
      </c>
      <c r="L230" s="32" t="s">
        <v>766</v>
      </c>
      <c r="M230" s="0" t="str">
        <f aca="false">IF(L230="GEN","GM",L230)</f>
        <v>OR</v>
      </c>
    </row>
    <row r="231" customFormat="false" ht="15" hidden="false" customHeight="false" outlineLevel="0" collapsed="false">
      <c r="A231" s="0" t="s">
        <v>6738</v>
      </c>
      <c r="B231" s="0" t="s">
        <v>6739</v>
      </c>
      <c r="C231" s="0" t="s">
        <v>6295</v>
      </c>
      <c r="D231" s="0" t="s">
        <v>2088</v>
      </c>
      <c r="E231" s="31" t="n">
        <v>45671</v>
      </c>
      <c r="F231" s="32" t="s">
        <v>1125</v>
      </c>
      <c r="G231" s="0" t="n">
        <v>12</v>
      </c>
      <c r="H231" s="0" t="n">
        <v>12</v>
      </c>
      <c r="I231" s="32" t="s">
        <v>2081</v>
      </c>
      <c r="J231" s="32" t="s">
        <v>2081</v>
      </c>
      <c r="K231" s="0" t="n">
        <v>0</v>
      </c>
      <c r="L231" s="32" t="s">
        <v>776</v>
      </c>
      <c r="M231" s="0" t="str">
        <f aca="false">IF(L231="GEN","GM",L231)</f>
        <v>GS</v>
      </c>
    </row>
    <row r="232" customFormat="false" ht="15" hidden="false" customHeight="false" outlineLevel="0" collapsed="false">
      <c r="A232" s="0" t="s">
        <v>6740</v>
      </c>
      <c r="B232" s="0" t="s">
        <v>6741</v>
      </c>
      <c r="C232" s="0" t="s">
        <v>780</v>
      </c>
      <c r="D232" s="0" t="s">
        <v>2088</v>
      </c>
      <c r="E232" s="31" t="n">
        <v>45671</v>
      </c>
      <c r="F232" s="32" t="s">
        <v>6287</v>
      </c>
      <c r="G232" s="0" t="n">
        <v>7.5</v>
      </c>
      <c r="H232" s="0" t="n">
        <v>7.5</v>
      </c>
      <c r="I232" s="32" t="s">
        <v>2081</v>
      </c>
      <c r="J232" s="32" t="s">
        <v>2081</v>
      </c>
      <c r="K232" s="0" t="n">
        <v>0</v>
      </c>
      <c r="L232" s="32" t="s">
        <v>766</v>
      </c>
      <c r="M232" s="0" t="str">
        <f aca="false">IF(L232="GEN","GM",L232)</f>
        <v>OR</v>
      </c>
    </row>
    <row r="233" customFormat="false" ht="15" hidden="false" customHeight="false" outlineLevel="0" collapsed="false">
      <c r="A233" s="0" t="s">
        <v>6742</v>
      </c>
      <c r="B233" s="0" t="s">
        <v>6743</v>
      </c>
      <c r="C233" s="0" t="s">
        <v>6295</v>
      </c>
      <c r="D233" s="0" t="s">
        <v>2079</v>
      </c>
      <c r="E233" s="31" t="n">
        <v>45671</v>
      </c>
      <c r="F233" s="32" t="s">
        <v>1125</v>
      </c>
      <c r="G233" s="0" t="n">
        <v>12</v>
      </c>
      <c r="H233" s="0" t="n">
        <v>12.5</v>
      </c>
      <c r="I233" s="32" t="s">
        <v>2081</v>
      </c>
      <c r="J233" s="32" t="s">
        <v>2106</v>
      </c>
      <c r="K233" s="0" t="n">
        <v>0.5</v>
      </c>
      <c r="L233" s="32" t="s">
        <v>747</v>
      </c>
      <c r="M233" s="0" t="str">
        <f aca="false">IF(L233="GEN","GM",L233)</f>
        <v>GM</v>
      </c>
    </row>
    <row r="234" customFormat="false" ht="15" hidden="false" customHeight="false" outlineLevel="0" collapsed="false">
      <c r="A234" s="0" t="s">
        <v>6744</v>
      </c>
      <c r="B234" s="0" t="s">
        <v>6745</v>
      </c>
      <c r="C234" s="0" t="s">
        <v>780</v>
      </c>
      <c r="D234" s="0" t="s">
        <v>2079</v>
      </c>
      <c r="E234" s="31" t="n">
        <v>45671</v>
      </c>
      <c r="F234" s="32" t="s">
        <v>6287</v>
      </c>
      <c r="G234" s="0" t="n">
        <v>7.5</v>
      </c>
      <c r="H234" s="0" t="n">
        <v>7.5</v>
      </c>
      <c r="I234" s="32" t="s">
        <v>2081</v>
      </c>
      <c r="J234" s="32" t="s">
        <v>2081</v>
      </c>
      <c r="K234" s="0" t="n">
        <v>0</v>
      </c>
      <c r="L234" s="32" t="s">
        <v>747</v>
      </c>
      <c r="M234" s="0" t="str">
        <f aca="false">IF(L234="GEN","GM",L234)</f>
        <v>GM</v>
      </c>
    </row>
    <row r="235" customFormat="false" ht="15" hidden="false" customHeight="false" outlineLevel="0" collapsed="false">
      <c r="A235" s="0" t="s">
        <v>6746</v>
      </c>
      <c r="B235" s="0" t="s">
        <v>6747</v>
      </c>
      <c r="C235" s="0" t="s">
        <v>6295</v>
      </c>
      <c r="D235" s="0" t="s">
        <v>2079</v>
      </c>
      <c r="E235" s="31" t="n">
        <v>45671</v>
      </c>
      <c r="F235" s="32" t="s">
        <v>1125</v>
      </c>
      <c r="G235" s="0" t="n">
        <v>12</v>
      </c>
      <c r="H235" s="0" t="n">
        <v>11</v>
      </c>
      <c r="I235" s="32" t="s">
        <v>2081</v>
      </c>
      <c r="J235" s="32" t="s">
        <v>2081</v>
      </c>
      <c r="K235" s="0" t="n">
        <v>0</v>
      </c>
      <c r="L235" s="32" t="s">
        <v>766</v>
      </c>
      <c r="M235" s="0" t="str">
        <f aca="false">IF(L235="GEN","GM",L235)</f>
        <v>OR</v>
      </c>
    </row>
    <row r="236" customFormat="false" ht="15" hidden="false" customHeight="false" outlineLevel="0" collapsed="false">
      <c r="A236" s="0" t="s">
        <v>6748</v>
      </c>
      <c r="B236" s="0" t="s">
        <v>6749</v>
      </c>
      <c r="C236" s="0" t="s">
        <v>6295</v>
      </c>
      <c r="D236" s="0" t="s">
        <v>2099</v>
      </c>
      <c r="E236" s="31" t="n">
        <v>45671</v>
      </c>
      <c r="F236" s="32" t="s">
        <v>1125</v>
      </c>
      <c r="G236" s="0" t="n">
        <v>12</v>
      </c>
      <c r="H236" s="0" t="n">
        <v>12</v>
      </c>
      <c r="I236" s="32" t="s">
        <v>2081</v>
      </c>
      <c r="J236" s="32" t="s">
        <v>2081</v>
      </c>
      <c r="K236" s="0" t="n">
        <v>0</v>
      </c>
      <c r="L236" s="32" t="s">
        <v>785</v>
      </c>
      <c r="M236" s="0" t="str">
        <f aca="false">IF(L236="GEN","GM",L236)</f>
        <v>RS</v>
      </c>
    </row>
    <row r="237" customFormat="false" ht="15" hidden="false" customHeight="false" outlineLevel="0" collapsed="false">
      <c r="A237" s="0" t="s">
        <v>6750</v>
      </c>
      <c r="B237" s="0" t="s">
        <v>6751</v>
      </c>
      <c r="C237" s="0" t="s">
        <v>6286</v>
      </c>
      <c r="D237" s="0" t="s">
        <v>2099</v>
      </c>
      <c r="E237" s="31" t="n">
        <v>45671</v>
      </c>
      <c r="F237" s="32" t="s">
        <v>1125</v>
      </c>
      <c r="G237" s="0" t="n">
        <v>12</v>
      </c>
      <c r="H237" s="0" t="n">
        <v>12.7</v>
      </c>
      <c r="I237" s="32" t="s">
        <v>2081</v>
      </c>
      <c r="J237" s="32" t="s">
        <v>2081</v>
      </c>
      <c r="K237" s="0" t="n">
        <v>0.7</v>
      </c>
      <c r="L237" s="32" t="s">
        <v>802</v>
      </c>
      <c r="M237" s="0" t="str">
        <f aca="false">IF(L237="GEN","GM",L237)</f>
        <v>GYN</v>
      </c>
    </row>
    <row r="238" customFormat="false" ht="15" hidden="false" customHeight="false" outlineLevel="0" collapsed="false">
      <c r="A238" s="0" t="s">
        <v>6752</v>
      </c>
      <c r="B238" s="0" t="s">
        <v>6753</v>
      </c>
      <c r="C238" s="0" t="s">
        <v>6295</v>
      </c>
      <c r="D238" s="0" t="s">
        <v>2099</v>
      </c>
      <c r="E238" s="31" t="n">
        <v>45671</v>
      </c>
      <c r="F238" s="32" t="s">
        <v>6283</v>
      </c>
      <c r="G238" s="0" t="n">
        <v>11.5</v>
      </c>
      <c r="H238" s="0" t="n">
        <v>11.5</v>
      </c>
      <c r="I238" s="32" t="s">
        <v>2081</v>
      </c>
      <c r="J238" s="32" t="s">
        <v>2081</v>
      </c>
      <c r="K238" s="0" t="n">
        <v>0</v>
      </c>
      <c r="L238" s="32" t="s">
        <v>810</v>
      </c>
      <c r="M238" s="0" t="str">
        <f aca="false">IF(L238="GEN","GM",L238)</f>
        <v>URO</v>
      </c>
    </row>
    <row r="239" customFormat="false" ht="15" hidden="false" customHeight="false" outlineLevel="0" collapsed="false">
      <c r="A239" s="0" t="s">
        <v>6754</v>
      </c>
      <c r="B239" s="0" t="s">
        <v>6755</v>
      </c>
      <c r="C239" s="0" t="s">
        <v>6282</v>
      </c>
      <c r="D239" s="0" t="s">
        <v>2099</v>
      </c>
      <c r="E239" s="31" t="n">
        <v>45671</v>
      </c>
      <c r="F239" s="32" t="s">
        <v>6283</v>
      </c>
      <c r="G239" s="0" t="n">
        <v>11.5</v>
      </c>
      <c r="H239" s="0" t="n">
        <v>11.5</v>
      </c>
      <c r="I239" s="32" t="s">
        <v>2106</v>
      </c>
      <c r="J239" s="32" t="s">
        <v>2081</v>
      </c>
      <c r="K239" s="0" t="n">
        <v>0</v>
      </c>
      <c r="L239" s="32" t="s">
        <v>802</v>
      </c>
      <c r="M239" s="0" t="str">
        <f aca="false">IF(L239="GEN","GM",L239)</f>
        <v>GYN</v>
      </c>
    </row>
    <row r="240" customFormat="false" ht="15" hidden="false" customHeight="false" outlineLevel="0" collapsed="false">
      <c r="A240" s="0" t="s">
        <v>6756</v>
      </c>
      <c r="B240" s="0" t="s">
        <v>6757</v>
      </c>
      <c r="C240" s="0" t="s">
        <v>780</v>
      </c>
      <c r="D240" s="0" t="s">
        <v>2099</v>
      </c>
      <c r="E240" s="31" t="n">
        <v>45671</v>
      </c>
      <c r="F240" s="32" t="s">
        <v>6283</v>
      </c>
      <c r="G240" s="0" t="n">
        <v>11.5</v>
      </c>
      <c r="H240" s="0" t="n">
        <v>11.5</v>
      </c>
      <c r="I240" s="32" t="s">
        <v>2081</v>
      </c>
      <c r="J240" s="32" t="s">
        <v>2106</v>
      </c>
      <c r="K240" s="0" t="n">
        <v>0</v>
      </c>
      <c r="L240" s="32" t="s">
        <v>747</v>
      </c>
      <c r="M240" s="0" t="str">
        <f aca="false">IF(L240="GEN","GM",L240)</f>
        <v>GM</v>
      </c>
    </row>
    <row r="241" customFormat="false" ht="15" hidden="false" customHeight="false" outlineLevel="0" collapsed="false">
      <c r="A241" s="0" t="s">
        <v>6758</v>
      </c>
      <c r="B241" s="0" t="s">
        <v>6759</v>
      </c>
      <c r="C241" s="0" t="s">
        <v>6286</v>
      </c>
      <c r="D241" s="0" t="s">
        <v>2115</v>
      </c>
      <c r="E241" s="31" t="n">
        <v>45671</v>
      </c>
      <c r="F241" s="32" t="s">
        <v>6283</v>
      </c>
      <c r="G241" s="0" t="n">
        <v>11.5</v>
      </c>
      <c r="H241" s="0" t="n">
        <v>11.5</v>
      </c>
      <c r="I241" s="32" t="s">
        <v>2106</v>
      </c>
      <c r="J241" s="32" t="s">
        <v>2081</v>
      </c>
      <c r="K241" s="0" t="n">
        <v>0</v>
      </c>
      <c r="L241" s="32" t="s">
        <v>758</v>
      </c>
      <c r="M241" s="0" t="str">
        <f aca="false">IF(L241="GEN","GM",L241)</f>
        <v>CS</v>
      </c>
    </row>
    <row r="242" customFormat="false" ht="15" hidden="false" customHeight="false" outlineLevel="0" collapsed="false">
      <c r="A242" s="0" t="s">
        <v>6760</v>
      </c>
      <c r="B242" s="0" t="s">
        <v>6761</v>
      </c>
      <c r="C242" s="0" t="s">
        <v>6295</v>
      </c>
      <c r="D242" s="0" t="s">
        <v>2115</v>
      </c>
      <c r="E242" s="31" t="n">
        <v>45671</v>
      </c>
      <c r="F242" s="32" t="s">
        <v>6287</v>
      </c>
      <c r="G242" s="0" t="n">
        <v>7.5</v>
      </c>
      <c r="H242" s="0" t="n">
        <v>7.5</v>
      </c>
      <c r="I242" s="32" t="s">
        <v>2106</v>
      </c>
      <c r="J242" s="32" t="s">
        <v>2081</v>
      </c>
      <c r="K242" s="0" t="n">
        <v>0</v>
      </c>
      <c r="L242" s="32" t="s">
        <v>747</v>
      </c>
      <c r="M242" s="0" t="str">
        <f aca="false">IF(L242="GEN","GM",L242)</f>
        <v>GM</v>
      </c>
    </row>
    <row r="243" customFormat="false" ht="15" hidden="false" customHeight="false" outlineLevel="0" collapsed="false">
      <c r="A243" s="0" t="s">
        <v>6762</v>
      </c>
      <c r="B243" s="0" t="s">
        <v>6763</v>
      </c>
      <c r="C243" s="0" t="s">
        <v>780</v>
      </c>
      <c r="D243" s="0" t="s">
        <v>2115</v>
      </c>
      <c r="E243" s="31" t="n">
        <v>45671</v>
      </c>
      <c r="F243" s="32" t="s">
        <v>6283</v>
      </c>
      <c r="G243" s="0" t="n">
        <v>11.5</v>
      </c>
      <c r="H243" s="0" t="n">
        <v>11.5</v>
      </c>
      <c r="I243" s="32" t="s">
        <v>2081</v>
      </c>
      <c r="J243" s="32" t="s">
        <v>2106</v>
      </c>
      <c r="K243" s="0" t="n">
        <v>0</v>
      </c>
      <c r="L243" s="32" t="s">
        <v>826</v>
      </c>
      <c r="M243" s="0" t="str">
        <f aca="false">IF(L243="GEN","GM",L243)</f>
        <v>RHE</v>
      </c>
    </row>
    <row r="244" customFormat="false" ht="15" hidden="false" customHeight="false" outlineLevel="0" collapsed="false">
      <c r="A244" s="0" t="s">
        <v>6764</v>
      </c>
      <c r="B244" s="0" t="s">
        <v>6765</v>
      </c>
      <c r="C244" s="0" t="s">
        <v>6286</v>
      </c>
      <c r="D244" s="0" t="s">
        <v>2115</v>
      </c>
      <c r="E244" s="31" t="n">
        <v>45671</v>
      </c>
      <c r="F244" s="32" t="s">
        <v>6287</v>
      </c>
      <c r="G244" s="0" t="n">
        <v>7.5</v>
      </c>
      <c r="H244" s="0" t="n">
        <v>7.5</v>
      </c>
      <c r="I244" s="32" t="s">
        <v>2081</v>
      </c>
      <c r="J244" s="32" t="s">
        <v>2081</v>
      </c>
      <c r="K244" s="0" t="n">
        <v>0</v>
      </c>
      <c r="L244" s="32" t="s">
        <v>776</v>
      </c>
      <c r="M244" s="0" t="str">
        <f aca="false">IF(L244="GEN","GM",L244)</f>
        <v>GS</v>
      </c>
    </row>
    <row r="245" customFormat="false" ht="15" hidden="false" customHeight="false" outlineLevel="0" collapsed="false">
      <c r="A245" s="0" t="s">
        <v>6766</v>
      </c>
      <c r="B245" s="0" t="s">
        <v>6767</v>
      </c>
      <c r="C245" s="0" t="s">
        <v>6295</v>
      </c>
      <c r="D245" s="0" t="s">
        <v>2124</v>
      </c>
      <c r="E245" s="31" t="n">
        <v>45671</v>
      </c>
      <c r="F245" s="32" t="s">
        <v>6283</v>
      </c>
      <c r="G245" s="0" t="n">
        <v>11.5</v>
      </c>
      <c r="H245" s="0" t="n">
        <v>12.1</v>
      </c>
      <c r="I245" s="32" t="s">
        <v>2081</v>
      </c>
      <c r="J245" s="32" t="s">
        <v>2081</v>
      </c>
      <c r="K245" s="0" t="n">
        <v>0.6</v>
      </c>
      <c r="L245" s="32" t="s">
        <v>810</v>
      </c>
      <c r="M245" s="0" t="str">
        <f aca="false">IF(L245="GEN","GM",L245)</f>
        <v>URO</v>
      </c>
    </row>
    <row r="246" customFormat="false" ht="15" hidden="false" customHeight="false" outlineLevel="0" collapsed="false">
      <c r="A246" s="0" t="s">
        <v>6768</v>
      </c>
      <c r="B246" s="0" t="s">
        <v>6769</v>
      </c>
      <c r="C246" s="0" t="s">
        <v>6286</v>
      </c>
      <c r="D246" s="0" t="s">
        <v>2124</v>
      </c>
      <c r="E246" s="31" t="n">
        <v>45671</v>
      </c>
      <c r="F246" s="32" t="s">
        <v>6287</v>
      </c>
      <c r="G246" s="0" t="n">
        <v>7.5</v>
      </c>
      <c r="H246" s="0" t="n">
        <v>7.5</v>
      </c>
      <c r="I246" s="32" t="s">
        <v>2081</v>
      </c>
      <c r="J246" s="32" t="s">
        <v>2081</v>
      </c>
      <c r="K246" s="0" t="n">
        <v>0</v>
      </c>
      <c r="L246" s="32" t="s">
        <v>810</v>
      </c>
      <c r="M246" s="0" t="str">
        <f aca="false">IF(L246="GEN","GM",L246)</f>
        <v>URO</v>
      </c>
    </row>
    <row r="247" customFormat="false" ht="15" hidden="false" customHeight="false" outlineLevel="0" collapsed="false">
      <c r="A247" s="0" t="s">
        <v>6770</v>
      </c>
      <c r="B247" s="0" t="s">
        <v>6771</v>
      </c>
      <c r="C247" s="0" t="s">
        <v>6282</v>
      </c>
      <c r="D247" s="0" t="s">
        <v>2124</v>
      </c>
      <c r="E247" s="31" t="n">
        <v>45671</v>
      </c>
      <c r="F247" s="32" t="s">
        <v>1125</v>
      </c>
      <c r="G247" s="0" t="n">
        <v>12</v>
      </c>
      <c r="H247" s="0" t="n">
        <v>12</v>
      </c>
      <c r="I247" s="32" t="s">
        <v>2081</v>
      </c>
      <c r="J247" s="32" t="s">
        <v>2106</v>
      </c>
      <c r="K247" s="0" t="n">
        <v>0</v>
      </c>
      <c r="L247" s="32" t="s">
        <v>810</v>
      </c>
      <c r="M247" s="0" t="str">
        <f aca="false">IF(L247="GEN","GM",L247)</f>
        <v>URO</v>
      </c>
    </row>
    <row r="248" customFormat="false" ht="15" hidden="false" customHeight="false" outlineLevel="0" collapsed="false">
      <c r="A248" s="0" t="s">
        <v>6772</v>
      </c>
      <c r="B248" s="0" t="s">
        <v>6773</v>
      </c>
      <c r="C248" s="0" t="s">
        <v>6282</v>
      </c>
      <c r="D248" s="0" t="s">
        <v>2124</v>
      </c>
      <c r="E248" s="31" t="n">
        <v>45671</v>
      </c>
      <c r="F248" s="32" t="s">
        <v>6287</v>
      </c>
      <c r="G248" s="0" t="n">
        <v>7.5</v>
      </c>
      <c r="H248" s="0" t="n">
        <v>7.5</v>
      </c>
      <c r="I248" s="32" t="s">
        <v>2081</v>
      </c>
      <c r="J248" s="32" t="s">
        <v>2081</v>
      </c>
      <c r="K248" s="0" t="n">
        <v>0</v>
      </c>
      <c r="L248" s="32" t="s">
        <v>747</v>
      </c>
      <c r="M248" s="0" t="str">
        <f aca="false">IF(L248="GEN","GM",L248)</f>
        <v>GM</v>
      </c>
    </row>
    <row r="249" customFormat="false" ht="15" hidden="false" customHeight="false" outlineLevel="0" collapsed="false">
      <c r="A249" s="0" t="s">
        <v>6774</v>
      </c>
      <c r="B249" s="0" t="s">
        <v>6775</v>
      </c>
      <c r="C249" s="0" t="s">
        <v>6295</v>
      </c>
      <c r="D249" s="0" t="s">
        <v>2124</v>
      </c>
      <c r="E249" s="31" t="n">
        <v>45671</v>
      </c>
      <c r="F249" s="32" t="s">
        <v>1125</v>
      </c>
      <c r="G249" s="0" t="n">
        <v>12</v>
      </c>
      <c r="H249" s="0" t="n">
        <v>12</v>
      </c>
      <c r="I249" s="32" t="s">
        <v>2081</v>
      </c>
      <c r="J249" s="32" t="s">
        <v>2081</v>
      </c>
      <c r="K249" s="0" t="n">
        <v>0</v>
      </c>
      <c r="L249" s="32" t="s">
        <v>826</v>
      </c>
      <c r="M249" s="0" t="str">
        <f aca="false">IF(L249="GEN","GM",L249)</f>
        <v>RHE</v>
      </c>
    </row>
    <row r="250" customFormat="false" ht="15" hidden="false" customHeight="false" outlineLevel="0" collapsed="false">
      <c r="A250" s="0" t="s">
        <v>6776</v>
      </c>
      <c r="B250" s="0" t="s">
        <v>6777</v>
      </c>
      <c r="C250" s="0" t="s">
        <v>780</v>
      </c>
      <c r="D250" s="0" t="s">
        <v>2104</v>
      </c>
      <c r="E250" s="31" t="n">
        <v>45671</v>
      </c>
      <c r="F250" s="32" t="s">
        <v>6287</v>
      </c>
      <c r="G250" s="0" t="n">
        <v>7.5</v>
      </c>
      <c r="H250" s="0" t="n">
        <v>7.5</v>
      </c>
      <c r="I250" s="32" t="s">
        <v>2106</v>
      </c>
      <c r="J250" s="32" t="s">
        <v>2081</v>
      </c>
      <c r="K250" s="0" t="n">
        <v>0</v>
      </c>
      <c r="L250" s="32" t="s">
        <v>785</v>
      </c>
      <c r="M250" s="0" t="str">
        <f aca="false">IF(L250="GEN","GM",L250)</f>
        <v>RS</v>
      </c>
    </row>
    <row r="251" customFormat="false" ht="15" hidden="false" customHeight="false" outlineLevel="0" collapsed="false">
      <c r="A251" s="0" t="s">
        <v>6778</v>
      </c>
      <c r="B251" s="0" t="s">
        <v>6779</v>
      </c>
      <c r="C251" s="0" t="s">
        <v>6295</v>
      </c>
      <c r="D251" s="0" t="s">
        <v>2104</v>
      </c>
      <c r="E251" s="31" t="n">
        <v>45671</v>
      </c>
      <c r="F251" s="32" t="s">
        <v>6287</v>
      </c>
      <c r="G251" s="0" t="n">
        <v>7.5</v>
      </c>
      <c r="H251" s="0" t="n">
        <v>7.5</v>
      </c>
      <c r="I251" s="32" t="s">
        <v>2081</v>
      </c>
      <c r="J251" s="32" t="s">
        <v>2081</v>
      </c>
      <c r="K251" s="0" t="n">
        <v>0</v>
      </c>
      <c r="L251" s="32" t="s">
        <v>785</v>
      </c>
      <c r="M251" s="0" t="str">
        <f aca="false">IF(L251="GEN","GM",L251)</f>
        <v>RS</v>
      </c>
    </row>
    <row r="252" customFormat="false" ht="15" hidden="false" customHeight="false" outlineLevel="0" collapsed="false">
      <c r="A252" s="0" t="s">
        <v>6780</v>
      </c>
      <c r="B252" s="0" t="s">
        <v>6781</v>
      </c>
      <c r="C252" s="0" t="s">
        <v>6290</v>
      </c>
      <c r="D252" s="0" t="s">
        <v>2104</v>
      </c>
      <c r="E252" s="31" t="n">
        <v>45671</v>
      </c>
      <c r="F252" s="32" t="s">
        <v>6287</v>
      </c>
      <c r="G252" s="0" t="n">
        <v>7.5</v>
      </c>
      <c r="H252" s="0" t="n">
        <v>7.5</v>
      </c>
      <c r="I252" s="32" t="s">
        <v>2081</v>
      </c>
      <c r="J252" s="32" t="s">
        <v>2081</v>
      </c>
      <c r="K252" s="0" t="n">
        <v>0</v>
      </c>
      <c r="L252" s="32" t="s">
        <v>758</v>
      </c>
      <c r="M252" s="0" t="str">
        <f aca="false">IF(L252="GEN","GM",L252)</f>
        <v>CS</v>
      </c>
    </row>
    <row r="253" customFormat="false" ht="15" hidden="false" customHeight="false" outlineLevel="0" collapsed="false">
      <c r="A253" s="0" t="s">
        <v>6782</v>
      </c>
      <c r="B253" s="0" t="s">
        <v>6783</v>
      </c>
      <c r="C253" s="0" t="s">
        <v>6282</v>
      </c>
      <c r="D253" s="0" t="s">
        <v>3035</v>
      </c>
      <c r="E253" s="31" t="n">
        <v>45671</v>
      </c>
      <c r="F253" s="32" t="s">
        <v>6287</v>
      </c>
      <c r="G253" s="0" t="n">
        <v>7.5</v>
      </c>
      <c r="H253" s="0" t="n">
        <v>7.5</v>
      </c>
      <c r="I253" s="32" t="s">
        <v>2081</v>
      </c>
      <c r="J253" s="32" t="s">
        <v>2081</v>
      </c>
      <c r="K253" s="0" t="n">
        <v>0</v>
      </c>
      <c r="L253" s="32" t="s">
        <v>747</v>
      </c>
      <c r="M253" s="0" t="str">
        <f aca="false">IF(L253="GEN","GM",L253)</f>
        <v>GM</v>
      </c>
    </row>
    <row r="254" customFormat="false" ht="15" hidden="false" customHeight="false" outlineLevel="0" collapsed="false">
      <c r="A254" s="0" t="s">
        <v>6784</v>
      </c>
      <c r="B254" s="0" t="s">
        <v>6785</v>
      </c>
      <c r="C254" s="0" t="s">
        <v>6282</v>
      </c>
      <c r="D254" s="0" t="s">
        <v>3035</v>
      </c>
      <c r="E254" s="31" t="n">
        <v>45671</v>
      </c>
      <c r="F254" s="32" t="s">
        <v>6287</v>
      </c>
      <c r="G254" s="0" t="n">
        <v>7.5</v>
      </c>
      <c r="H254" s="0" t="n">
        <v>7.5</v>
      </c>
      <c r="I254" s="32" t="s">
        <v>2081</v>
      </c>
      <c r="J254" s="32" t="s">
        <v>2081</v>
      </c>
      <c r="K254" s="0" t="n">
        <v>0</v>
      </c>
      <c r="L254" s="32" t="s">
        <v>785</v>
      </c>
      <c r="M254" s="0" t="str">
        <f aca="false">IF(L254="GEN","GM",L254)</f>
        <v>RS</v>
      </c>
    </row>
    <row r="255" customFormat="false" ht="15" hidden="false" customHeight="false" outlineLevel="0" collapsed="false">
      <c r="A255" s="0" t="s">
        <v>6786</v>
      </c>
      <c r="B255" s="0" t="s">
        <v>6787</v>
      </c>
      <c r="C255" s="0" t="s">
        <v>6295</v>
      </c>
      <c r="D255" s="0" t="s">
        <v>3035</v>
      </c>
      <c r="E255" s="31" t="n">
        <v>45671</v>
      </c>
      <c r="F255" s="32" t="s">
        <v>6287</v>
      </c>
      <c r="G255" s="0" t="n">
        <v>7.5</v>
      </c>
      <c r="H255" s="0" t="n">
        <v>9.5</v>
      </c>
      <c r="I255" s="32" t="s">
        <v>2106</v>
      </c>
      <c r="J255" s="32" t="s">
        <v>2081</v>
      </c>
      <c r="K255" s="0" t="n">
        <v>2</v>
      </c>
      <c r="L255" s="32" t="s">
        <v>758</v>
      </c>
      <c r="M255" s="0" t="str">
        <f aca="false">IF(L255="GEN","GM",L255)</f>
        <v>CS</v>
      </c>
    </row>
    <row r="256" customFormat="false" ht="15" hidden="false" customHeight="false" outlineLevel="0" collapsed="false">
      <c r="A256" s="0" t="s">
        <v>6788</v>
      </c>
      <c r="B256" s="0" t="s">
        <v>6789</v>
      </c>
      <c r="C256" s="0" t="s">
        <v>780</v>
      </c>
      <c r="D256" s="0" t="s">
        <v>2088</v>
      </c>
      <c r="E256" s="31" t="n">
        <v>45672</v>
      </c>
      <c r="F256" s="32" t="s">
        <v>6287</v>
      </c>
      <c r="G256" s="0" t="n">
        <v>7.5</v>
      </c>
      <c r="H256" s="0" t="n">
        <v>7.5</v>
      </c>
      <c r="I256" s="32" t="s">
        <v>2081</v>
      </c>
      <c r="J256" s="32" t="s">
        <v>2081</v>
      </c>
      <c r="K256" s="0" t="n">
        <v>0</v>
      </c>
      <c r="L256" s="32" t="s">
        <v>802</v>
      </c>
      <c r="M256" s="0" t="str">
        <f aca="false">IF(L256="GEN","GM",L256)</f>
        <v>GYN</v>
      </c>
    </row>
    <row r="257" customFormat="false" ht="15" hidden="false" customHeight="false" outlineLevel="0" collapsed="false">
      <c r="A257" s="0" t="s">
        <v>6790</v>
      </c>
      <c r="B257" s="0" t="s">
        <v>6791</v>
      </c>
      <c r="C257" s="0" t="s">
        <v>6282</v>
      </c>
      <c r="D257" s="0" t="s">
        <v>2088</v>
      </c>
      <c r="E257" s="31" t="n">
        <v>45672</v>
      </c>
      <c r="F257" s="32" t="s">
        <v>6283</v>
      </c>
      <c r="G257" s="0" t="n">
        <v>11.5</v>
      </c>
      <c r="H257" s="0" t="n">
        <v>11.5</v>
      </c>
      <c r="I257" s="32" t="s">
        <v>2081</v>
      </c>
      <c r="J257" s="32" t="s">
        <v>2081</v>
      </c>
      <c r="K257" s="0" t="n">
        <v>0</v>
      </c>
      <c r="L257" s="32" t="s">
        <v>826</v>
      </c>
      <c r="M257" s="0" t="str">
        <f aca="false">IF(L257="GEN","GM",L257)</f>
        <v>RHE</v>
      </c>
    </row>
    <row r="258" customFormat="false" ht="15" hidden="false" customHeight="false" outlineLevel="0" collapsed="false">
      <c r="A258" s="0" t="s">
        <v>6792</v>
      </c>
      <c r="C258" s="0" t="s">
        <v>6290</v>
      </c>
      <c r="D258" s="0" t="s">
        <v>2088</v>
      </c>
      <c r="E258" s="31" t="n">
        <v>45672</v>
      </c>
      <c r="F258" s="32" t="s">
        <v>6283</v>
      </c>
      <c r="G258" s="0" t="n">
        <v>11.5</v>
      </c>
      <c r="H258" s="0" t="n">
        <v>11.5</v>
      </c>
      <c r="I258" s="32" t="s">
        <v>2081</v>
      </c>
      <c r="J258" s="32" t="s">
        <v>2081</v>
      </c>
      <c r="K258" s="0" t="n">
        <v>0</v>
      </c>
      <c r="L258" s="32" t="s">
        <v>758</v>
      </c>
      <c r="M258" s="0" t="str">
        <f aca="false">IF(L258="GEN","GM",L258)</f>
        <v>CS</v>
      </c>
    </row>
    <row r="259" customFormat="false" ht="15" hidden="false" customHeight="false" outlineLevel="0" collapsed="false">
      <c r="A259" s="0" t="s">
        <v>6793</v>
      </c>
      <c r="B259" s="0" t="s">
        <v>6794</v>
      </c>
      <c r="C259" s="0" t="s">
        <v>6282</v>
      </c>
      <c r="D259" s="0" t="s">
        <v>2088</v>
      </c>
      <c r="E259" s="31" t="n">
        <v>45672</v>
      </c>
      <c r="F259" s="32" t="s">
        <v>6283</v>
      </c>
      <c r="G259" s="0" t="n">
        <v>11.5</v>
      </c>
      <c r="H259" s="0" t="n">
        <v>10.2</v>
      </c>
      <c r="I259" s="32" t="s">
        <v>2081</v>
      </c>
      <c r="J259" s="32" t="s">
        <v>2081</v>
      </c>
      <c r="K259" s="0" t="n">
        <v>0</v>
      </c>
      <c r="L259" s="32" t="s">
        <v>793</v>
      </c>
      <c r="M259" s="0" t="str">
        <f aca="false">IF(L259="GEN","GM",L259)</f>
        <v>EM</v>
      </c>
    </row>
    <row r="260" customFormat="false" ht="15" hidden="false" customHeight="false" outlineLevel="0" collapsed="false">
      <c r="A260" s="0" t="s">
        <v>6795</v>
      </c>
      <c r="B260" s="0" t="s">
        <v>6796</v>
      </c>
      <c r="C260" s="0" t="s">
        <v>6290</v>
      </c>
      <c r="D260" s="0" t="s">
        <v>2079</v>
      </c>
      <c r="E260" s="31" t="n">
        <v>45672</v>
      </c>
      <c r="F260" s="32" t="s">
        <v>6287</v>
      </c>
      <c r="G260" s="0" t="n">
        <v>7.5</v>
      </c>
      <c r="H260" s="0" t="n">
        <v>7.5</v>
      </c>
      <c r="I260" s="32" t="s">
        <v>2081</v>
      </c>
      <c r="J260" s="32" t="s">
        <v>2081</v>
      </c>
      <c r="K260" s="0" t="n">
        <v>0</v>
      </c>
      <c r="L260" s="32" t="s">
        <v>810</v>
      </c>
      <c r="M260" s="0" t="str">
        <f aca="false">IF(L260="GEN","GM",L260)</f>
        <v>URO</v>
      </c>
    </row>
    <row r="261" customFormat="false" ht="15" hidden="false" customHeight="false" outlineLevel="0" collapsed="false">
      <c r="A261" s="0" t="s">
        <v>6797</v>
      </c>
      <c r="B261" s="0" t="s">
        <v>6798</v>
      </c>
      <c r="C261" s="0" t="s">
        <v>6295</v>
      </c>
      <c r="D261" s="0" t="s">
        <v>2079</v>
      </c>
      <c r="E261" s="31" t="n">
        <v>45672</v>
      </c>
      <c r="F261" s="32" t="s">
        <v>6287</v>
      </c>
      <c r="G261" s="0" t="n">
        <v>7.5</v>
      </c>
      <c r="H261" s="0" t="n">
        <v>7.5</v>
      </c>
      <c r="I261" s="32" t="s">
        <v>2081</v>
      </c>
      <c r="J261" s="32" t="s">
        <v>2081</v>
      </c>
      <c r="K261" s="0" t="n">
        <v>0</v>
      </c>
      <c r="L261" s="32" t="s">
        <v>826</v>
      </c>
      <c r="M261" s="0" t="str">
        <f aca="false">IF(L261="GEN","GM",L261)</f>
        <v>RHE</v>
      </c>
    </row>
    <row r="262" customFormat="false" ht="15" hidden="false" customHeight="false" outlineLevel="0" collapsed="false">
      <c r="A262" s="0" t="s">
        <v>6799</v>
      </c>
      <c r="B262" s="0" t="s">
        <v>6800</v>
      </c>
      <c r="C262" s="0" t="s">
        <v>6286</v>
      </c>
      <c r="D262" s="0" t="s">
        <v>2079</v>
      </c>
      <c r="E262" s="31" t="n">
        <v>45672</v>
      </c>
      <c r="F262" s="32" t="s">
        <v>6287</v>
      </c>
      <c r="G262" s="0" t="n">
        <v>7.5</v>
      </c>
      <c r="H262" s="0" t="n">
        <v>7.5</v>
      </c>
      <c r="I262" s="32" t="s">
        <v>2081</v>
      </c>
      <c r="J262" s="32" t="s">
        <v>2081</v>
      </c>
      <c r="K262" s="0" t="n">
        <v>0</v>
      </c>
      <c r="L262" s="32" t="s">
        <v>747</v>
      </c>
      <c r="M262" s="0" t="str">
        <f aca="false">IF(L262="GEN","GM",L262)</f>
        <v>GM</v>
      </c>
    </row>
    <row r="263" customFormat="false" ht="15" hidden="false" customHeight="false" outlineLevel="0" collapsed="false">
      <c r="A263" s="0" t="s">
        <v>6801</v>
      </c>
      <c r="B263" s="0" t="s">
        <v>6802</v>
      </c>
      <c r="C263" s="0" t="s">
        <v>780</v>
      </c>
      <c r="D263" s="0" t="s">
        <v>2099</v>
      </c>
      <c r="E263" s="31" t="n">
        <v>45672</v>
      </c>
      <c r="F263" s="32" t="s">
        <v>1125</v>
      </c>
      <c r="G263" s="0" t="n">
        <v>12</v>
      </c>
      <c r="H263" s="0" t="n">
        <v>12</v>
      </c>
      <c r="I263" s="32" t="s">
        <v>2081</v>
      </c>
      <c r="J263" s="32" t="s">
        <v>2081</v>
      </c>
      <c r="K263" s="0" t="n">
        <v>0</v>
      </c>
      <c r="L263" s="32" t="s">
        <v>747</v>
      </c>
      <c r="M263" s="0" t="str">
        <f aca="false">IF(L263="GEN","GM",L263)</f>
        <v>GM</v>
      </c>
    </row>
    <row r="264" customFormat="false" ht="15" hidden="false" customHeight="false" outlineLevel="0" collapsed="false">
      <c r="A264" s="0" t="s">
        <v>6803</v>
      </c>
      <c r="B264" s="0" t="s">
        <v>6804</v>
      </c>
      <c r="C264" s="0" t="s">
        <v>6286</v>
      </c>
      <c r="D264" s="0" t="s">
        <v>2099</v>
      </c>
      <c r="E264" s="31" t="n">
        <v>45672</v>
      </c>
      <c r="F264" s="32" t="s">
        <v>6287</v>
      </c>
      <c r="G264" s="0" t="n">
        <v>7.5</v>
      </c>
      <c r="H264" s="0" t="n">
        <v>7.5</v>
      </c>
      <c r="I264" s="32" t="s">
        <v>2081</v>
      </c>
      <c r="J264" s="32" t="s">
        <v>2081</v>
      </c>
      <c r="K264" s="0" t="n">
        <v>0</v>
      </c>
      <c r="L264" s="32" t="s">
        <v>747</v>
      </c>
      <c r="M264" s="0" t="str">
        <f aca="false">IF(L264="GEN","GM",L264)</f>
        <v>GM</v>
      </c>
    </row>
    <row r="265" customFormat="false" ht="15" hidden="false" customHeight="false" outlineLevel="0" collapsed="false">
      <c r="A265" s="0" t="s">
        <v>6805</v>
      </c>
      <c r="B265" s="0" t="s">
        <v>6806</v>
      </c>
      <c r="C265" s="0" t="s">
        <v>6295</v>
      </c>
      <c r="D265" s="0" t="s">
        <v>2099</v>
      </c>
      <c r="E265" s="31" t="n">
        <v>45672</v>
      </c>
      <c r="F265" s="32" t="s">
        <v>6287</v>
      </c>
      <c r="G265" s="0" t="n">
        <v>7.5</v>
      </c>
      <c r="H265" s="0" t="n">
        <v>7.5</v>
      </c>
      <c r="I265" s="32" t="s">
        <v>2081</v>
      </c>
      <c r="J265" s="32" t="s">
        <v>2081</v>
      </c>
      <c r="K265" s="0" t="n">
        <v>0</v>
      </c>
      <c r="L265" s="32" t="s">
        <v>826</v>
      </c>
      <c r="M265" s="0" t="str">
        <f aca="false">IF(L265="GEN","GM",L265)</f>
        <v>RHE</v>
      </c>
    </row>
    <row r="266" customFormat="false" ht="15" hidden="false" customHeight="false" outlineLevel="0" collapsed="false">
      <c r="A266" s="0" t="s">
        <v>6807</v>
      </c>
      <c r="B266" s="0" t="s">
        <v>6808</v>
      </c>
      <c r="C266" s="0" t="s">
        <v>780</v>
      </c>
      <c r="D266" s="0" t="s">
        <v>2115</v>
      </c>
      <c r="E266" s="31" t="n">
        <v>45672</v>
      </c>
      <c r="F266" s="32" t="s">
        <v>6283</v>
      </c>
      <c r="G266" s="0" t="n">
        <v>11.5</v>
      </c>
      <c r="H266" s="0" t="n">
        <v>11.5</v>
      </c>
      <c r="I266" s="32" t="s">
        <v>2081</v>
      </c>
      <c r="J266" s="32" t="s">
        <v>2081</v>
      </c>
      <c r="K266" s="0" t="n">
        <v>0</v>
      </c>
      <c r="L266" s="32" t="s">
        <v>758</v>
      </c>
      <c r="M266" s="0" t="str">
        <f aca="false">IF(L266="GEN","GM",L266)</f>
        <v>CS</v>
      </c>
    </row>
    <row r="267" customFormat="false" ht="15" hidden="false" customHeight="false" outlineLevel="0" collapsed="false">
      <c r="A267" s="0" t="s">
        <v>6809</v>
      </c>
      <c r="B267" s="0" t="s">
        <v>6810</v>
      </c>
      <c r="C267" s="0" t="s">
        <v>6295</v>
      </c>
      <c r="D267" s="0" t="s">
        <v>2115</v>
      </c>
      <c r="E267" s="31" t="n">
        <v>45672</v>
      </c>
      <c r="F267" s="32" t="s">
        <v>6283</v>
      </c>
      <c r="G267" s="0" t="n">
        <v>11.5</v>
      </c>
      <c r="H267" s="0" t="n">
        <v>11.5</v>
      </c>
      <c r="I267" s="32" t="s">
        <v>2081</v>
      </c>
      <c r="J267" s="32" t="s">
        <v>2081</v>
      </c>
      <c r="K267" s="0" t="n">
        <v>0</v>
      </c>
      <c r="L267" s="32" t="s">
        <v>785</v>
      </c>
      <c r="M267" s="0" t="str">
        <f aca="false">IF(L267="GEN","GM",L267)</f>
        <v>RS</v>
      </c>
    </row>
    <row r="268" customFormat="false" ht="15" hidden="false" customHeight="false" outlineLevel="0" collapsed="false">
      <c r="A268" s="0" t="s">
        <v>6811</v>
      </c>
      <c r="B268" s="0" t="s">
        <v>6812</v>
      </c>
      <c r="C268" s="0" t="s">
        <v>6282</v>
      </c>
      <c r="D268" s="0" t="s">
        <v>2115</v>
      </c>
      <c r="E268" s="31" t="n">
        <v>45672</v>
      </c>
      <c r="F268" s="32" t="s">
        <v>6813</v>
      </c>
      <c r="G268" s="0" t="n">
        <v>7.5</v>
      </c>
      <c r="H268" s="0" t="n">
        <v>7.5</v>
      </c>
      <c r="I268" s="32" t="s">
        <v>2081</v>
      </c>
      <c r="J268" s="32" t="s">
        <v>2081</v>
      </c>
      <c r="K268" s="0" t="n">
        <v>0</v>
      </c>
      <c r="L268" s="32" t="s">
        <v>802</v>
      </c>
      <c r="M268" s="0" t="str">
        <f aca="false">IF(L268="GEN","GM",L268)</f>
        <v>GYN</v>
      </c>
    </row>
    <row r="269" customFormat="false" ht="15" hidden="false" customHeight="false" outlineLevel="0" collapsed="false">
      <c r="A269" s="0" t="s">
        <v>6814</v>
      </c>
      <c r="B269" s="0" t="s">
        <v>6815</v>
      </c>
      <c r="C269" s="0" t="s">
        <v>780</v>
      </c>
      <c r="D269" s="0" t="s">
        <v>2124</v>
      </c>
      <c r="E269" s="31" t="n">
        <v>45672</v>
      </c>
      <c r="F269" s="32" t="s">
        <v>1125</v>
      </c>
      <c r="G269" s="0" t="n">
        <v>12</v>
      </c>
      <c r="H269" s="0" t="n">
        <v>12.6</v>
      </c>
      <c r="I269" s="32" t="s">
        <v>2081</v>
      </c>
      <c r="J269" s="32" t="s">
        <v>2081</v>
      </c>
      <c r="K269" s="0" t="n">
        <v>0.6</v>
      </c>
      <c r="L269" s="32" t="s">
        <v>758</v>
      </c>
      <c r="M269" s="0" t="str">
        <f aca="false">IF(L269="GEN","GM",L269)</f>
        <v>CS</v>
      </c>
    </row>
    <row r="270" customFormat="false" ht="15" hidden="false" customHeight="false" outlineLevel="0" collapsed="false">
      <c r="A270" s="0" t="s">
        <v>6816</v>
      </c>
      <c r="B270" s="0" t="s">
        <v>6817</v>
      </c>
      <c r="C270" s="0" t="s">
        <v>6295</v>
      </c>
      <c r="D270" s="0" t="s">
        <v>2124</v>
      </c>
      <c r="E270" s="31" t="n">
        <v>45672</v>
      </c>
      <c r="F270" s="32" t="s">
        <v>6283</v>
      </c>
      <c r="G270" s="0" t="n">
        <v>11.5</v>
      </c>
      <c r="H270" s="0" t="n">
        <v>11.5</v>
      </c>
      <c r="I270" s="32" t="s">
        <v>2106</v>
      </c>
      <c r="J270" s="32" t="s">
        <v>2106</v>
      </c>
      <c r="K270" s="0" t="n">
        <v>0</v>
      </c>
      <c r="L270" s="32" t="s">
        <v>810</v>
      </c>
      <c r="M270" s="0" t="str">
        <f aca="false">IF(L270="GEN","GM",L270)</f>
        <v>URO</v>
      </c>
    </row>
    <row r="271" customFormat="false" ht="15" hidden="false" customHeight="false" outlineLevel="0" collapsed="false">
      <c r="A271" s="0" t="s">
        <v>6818</v>
      </c>
      <c r="B271" s="0" t="s">
        <v>6819</v>
      </c>
      <c r="C271" s="0" t="s">
        <v>780</v>
      </c>
      <c r="D271" s="0" t="s">
        <v>2124</v>
      </c>
      <c r="E271" s="31" t="n">
        <v>45672</v>
      </c>
      <c r="F271" s="32" t="s">
        <v>6287</v>
      </c>
      <c r="G271" s="0" t="n">
        <v>7.5</v>
      </c>
      <c r="H271" s="0" t="n">
        <v>7.5</v>
      </c>
      <c r="I271" s="32" t="s">
        <v>2081</v>
      </c>
      <c r="J271" s="32" t="s">
        <v>2081</v>
      </c>
      <c r="K271" s="0" t="n">
        <v>-1.3</v>
      </c>
      <c r="L271" s="32" t="s">
        <v>747</v>
      </c>
      <c r="M271" s="0" t="str">
        <f aca="false">IF(L271="GEN","GM",L271)</f>
        <v>GM</v>
      </c>
    </row>
    <row r="272" customFormat="false" ht="15" hidden="false" customHeight="false" outlineLevel="0" collapsed="false">
      <c r="A272" s="0" t="s">
        <v>6820</v>
      </c>
      <c r="B272" s="0" t="s">
        <v>6821</v>
      </c>
      <c r="C272" s="0" t="s">
        <v>780</v>
      </c>
      <c r="D272" s="0" t="s">
        <v>2124</v>
      </c>
      <c r="E272" s="31" t="n">
        <v>45672</v>
      </c>
      <c r="F272" s="32" t="s">
        <v>1125</v>
      </c>
      <c r="G272" s="0" t="n">
        <v>12</v>
      </c>
      <c r="H272" s="0" t="n">
        <v>12</v>
      </c>
      <c r="I272" s="32" t="s">
        <v>2081</v>
      </c>
      <c r="J272" s="32" t="s">
        <v>2081</v>
      </c>
      <c r="K272" s="0" t="n">
        <v>0</v>
      </c>
      <c r="L272" s="32" t="s">
        <v>758</v>
      </c>
      <c r="M272" s="0" t="str">
        <f aca="false">IF(L272="GEN","GM",L272)</f>
        <v>CS</v>
      </c>
    </row>
    <row r="273" customFormat="false" ht="15" hidden="false" customHeight="false" outlineLevel="0" collapsed="false">
      <c r="A273" s="0" t="s">
        <v>6822</v>
      </c>
      <c r="B273" s="0" t="s">
        <v>6823</v>
      </c>
      <c r="C273" s="0" t="s">
        <v>6295</v>
      </c>
      <c r="D273" s="0" t="s">
        <v>2104</v>
      </c>
      <c r="E273" s="31" t="n">
        <v>45672</v>
      </c>
      <c r="F273" s="32" t="s">
        <v>6287</v>
      </c>
      <c r="G273" s="0" t="n">
        <v>7.5</v>
      </c>
      <c r="H273" s="0" t="n">
        <v>7.5</v>
      </c>
      <c r="I273" s="32" t="s">
        <v>2106</v>
      </c>
      <c r="J273" s="32" t="s">
        <v>2081</v>
      </c>
      <c r="K273" s="0" t="n">
        <v>0</v>
      </c>
      <c r="L273" s="32" t="s">
        <v>747</v>
      </c>
      <c r="M273" s="0" t="str">
        <f aca="false">IF(L273="GEN","GM",L273)</f>
        <v>GM</v>
      </c>
    </row>
    <row r="274" customFormat="false" ht="15" hidden="false" customHeight="false" outlineLevel="0" collapsed="false">
      <c r="A274" s="0" t="s">
        <v>6824</v>
      </c>
      <c r="B274" s="0" t="s">
        <v>6825</v>
      </c>
      <c r="C274" s="0" t="s">
        <v>6286</v>
      </c>
      <c r="D274" s="0" t="s">
        <v>2104</v>
      </c>
      <c r="E274" s="31" t="n">
        <v>45672</v>
      </c>
      <c r="F274" s="32" t="s">
        <v>6287</v>
      </c>
      <c r="G274" s="0" t="n">
        <v>7.5</v>
      </c>
      <c r="H274" s="0" t="n">
        <v>7.5</v>
      </c>
      <c r="I274" s="32" t="s">
        <v>2081</v>
      </c>
      <c r="J274" s="32" t="s">
        <v>2081</v>
      </c>
      <c r="K274" s="0" t="n">
        <v>0</v>
      </c>
      <c r="L274" s="32" t="s">
        <v>826</v>
      </c>
      <c r="M274" s="0" t="str">
        <f aca="false">IF(L274="GEN","GM",L274)</f>
        <v>RHE</v>
      </c>
    </row>
    <row r="275" customFormat="false" ht="15" hidden="false" customHeight="false" outlineLevel="0" collapsed="false">
      <c r="A275" s="0" t="s">
        <v>6826</v>
      </c>
      <c r="B275" s="0" t="s">
        <v>6827</v>
      </c>
      <c r="C275" s="0" t="s">
        <v>6290</v>
      </c>
      <c r="D275" s="0" t="s">
        <v>2104</v>
      </c>
      <c r="E275" s="31" t="n">
        <v>45672</v>
      </c>
      <c r="F275" s="32" t="s">
        <v>6287</v>
      </c>
      <c r="G275" s="0" t="n">
        <v>7.5</v>
      </c>
      <c r="H275" s="0" t="n">
        <v>7</v>
      </c>
      <c r="I275" s="32" t="s">
        <v>2081</v>
      </c>
      <c r="J275" s="32" t="s">
        <v>2106</v>
      </c>
      <c r="K275" s="0" t="n">
        <v>0</v>
      </c>
      <c r="L275" s="32" t="s">
        <v>747</v>
      </c>
      <c r="M275" s="0" t="str">
        <f aca="false">IF(L275="GEN","GM",L275)</f>
        <v>GM</v>
      </c>
    </row>
    <row r="276" customFormat="false" ht="15" hidden="false" customHeight="false" outlineLevel="0" collapsed="false">
      <c r="A276" s="0" t="s">
        <v>6828</v>
      </c>
      <c r="B276" s="0" t="s">
        <v>6829</v>
      </c>
      <c r="C276" s="0" t="s">
        <v>6295</v>
      </c>
      <c r="D276" s="0" t="s">
        <v>2104</v>
      </c>
      <c r="E276" s="31" t="n">
        <v>45672</v>
      </c>
      <c r="F276" s="32" t="s">
        <v>6287</v>
      </c>
      <c r="G276" s="0" t="n">
        <v>7.5</v>
      </c>
      <c r="H276" s="0" t="n">
        <v>7.5</v>
      </c>
      <c r="I276" s="32" t="s">
        <v>2106</v>
      </c>
      <c r="J276" s="32" t="s">
        <v>2081</v>
      </c>
      <c r="K276" s="0" t="n">
        <v>0</v>
      </c>
      <c r="L276" s="32" t="s">
        <v>747</v>
      </c>
      <c r="M276" s="0" t="str">
        <f aca="false">IF(L276="GEN","GM",L276)</f>
        <v>GM</v>
      </c>
    </row>
    <row r="277" customFormat="false" ht="15" hidden="false" customHeight="false" outlineLevel="0" collapsed="false">
      <c r="A277" s="0" t="s">
        <v>6830</v>
      </c>
      <c r="B277" s="0" t="s">
        <v>6831</v>
      </c>
      <c r="C277" s="0" t="s">
        <v>6295</v>
      </c>
      <c r="D277" s="0" t="s">
        <v>3035</v>
      </c>
      <c r="E277" s="31" t="n">
        <v>45672</v>
      </c>
      <c r="F277" s="32" t="s">
        <v>6283</v>
      </c>
      <c r="G277" s="0" t="n">
        <v>11.5</v>
      </c>
      <c r="H277" s="0" t="n">
        <v>12.4</v>
      </c>
      <c r="I277" s="32" t="s">
        <v>2081</v>
      </c>
      <c r="J277" s="32" t="s">
        <v>2081</v>
      </c>
      <c r="K277" s="0" t="n">
        <v>0.9</v>
      </c>
      <c r="L277" s="32" t="s">
        <v>747</v>
      </c>
      <c r="M277" s="0" t="str">
        <f aca="false">IF(L277="GEN","GM",L277)</f>
        <v>GM</v>
      </c>
    </row>
    <row r="278" customFormat="false" ht="15" hidden="false" customHeight="false" outlineLevel="0" collapsed="false">
      <c r="A278" s="0" t="s">
        <v>6832</v>
      </c>
      <c r="B278" s="0" t="s">
        <v>6833</v>
      </c>
      <c r="C278" s="0" t="s">
        <v>6286</v>
      </c>
      <c r="D278" s="0" t="s">
        <v>3035</v>
      </c>
      <c r="E278" s="31" t="n">
        <v>45672</v>
      </c>
      <c r="F278" s="32" t="s">
        <v>6287</v>
      </c>
      <c r="G278" s="0" t="n">
        <v>7.5</v>
      </c>
      <c r="H278" s="0" t="n">
        <v>9.6</v>
      </c>
      <c r="I278" s="32" t="s">
        <v>2081</v>
      </c>
      <c r="J278" s="32" t="s">
        <v>2081</v>
      </c>
      <c r="K278" s="0" t="n">
        <v>2.1</v>
      </c>
      <c r="L278" s="32" t="s">
        <v>802</v>
      </c>
      <c r="M278" s="0" t="str">
        <f aca="false">IF(L278="GEN","GM",L278)</f>
        <v>GYN</v>
      </c>
    </row>
    <row r="279" customFormat="false" ht="15" hidden="false" customHeight="false" outlineLevel="0" collapsed="false">
      <c r="A279" s="0" t="s">
        <v>6834</v>
      </c>
      <c r="B279" s="0" t="s">
        <v>6835</v>
      </c>
      <c r="C279" s="0" t="s">
        <v>6282</v>
      </c>
      <c r="D279" s="0" t="s">
        <v>3035</v>
      </c>
      <c r="E279" s="31" t="n">
        <v>45672</v>
      </c>
      <c r="F279" s="32" t="s">
        <v>6287</v>
      </c>
      <c r="G279" s="0" t="n">
        <v>7.5</v>
      </c>
      <c r="H279" s="0" t="n">
        <v>7.5</v>
      </c>
      <c r="I279" s="32" t="s">
        <v>2081</v>
      </c>
      <c r="J279" s="32" t="s">
        <v>2081</v>
      </c>
      <c r="K279" s="0" t="n">
        <v>0</v>
      </c>
      <c r="L279" s="32" t="s">
        <v>747</v>
      </c>
      <c r="M279" s="0" t="str">
        <f aca="false">IF(L279="GEN","GM",L279)</f>
        <v>GM</v>
      </c>
    </row>
    <row r="280" customFormat="false" ht="15" hidden="false" customHeight="false" outlineLevel="0" collapsed="false">
      <c r="A280" s="0" t="s">
        <v>6836</v>
      </c>
      <c r="B280" s="0" t="s">
        <v>6837</v>
      </c>
      <c r="C280" s="0" t="s">
        <v>6295</v>
      </c>
      <c r="D280" s="0" t="s">
        <v>2088</v>
      </c>
      <c r="E280" s="31" t="n">
        <v>45673</v>
      </c>
      <c r="F280" s="32" t="s">
        <v>6283</v>
      </c>
      <c r="G280" s="0" t="n">
        <v>11.5</v>
      </c>
      <c r="H280" s="0" t="n">
        <v>13</v>
      </c>
      <c r="I280" s="32" t="s">
        <v>2081</v>
      </c>
      <c r="J280" s="32" t="s">
        <v>2081</v>
      </c>
      <c r="K280" s="0" t="n">
        <v>1.5</v>
      </c>
      <c r="L280" s="32" t="s">
        <v>758</v>
      </c>
      <c r="M280" s="0" t="str">
        <f aca="false">IF(L280="GEN","GM",L280)</f>
        <v>CS</v>
      </c>
    </row>
    <row r="281" customFormat="false" ht="15" hidden="false" customHeight="false" outlineLevel="0" collapsed="false">
      <c r="A281" s="0" t="s">
        <v>6838</v>
      </c>
      <c r="B281" s="0" t="s">
        <v>6839</v>
      </c>
      <c r="C281" s="0" t="s">
        <v>6295</v>
      </c>
      <c r="D281" s="0" t="s">
        <v>2088</v>
      </c>
      <c r="E281" s="31" t="n">
        <v>45673</v>
      </c>
      <c r="F281" s="32" t="s">
        <v>6283</v>
      </c>
      <c r="G281" s="0" t="n">
        <v>11.5</v>
      </c>
      <c r="H281" s="0" t="n">
        <v>11.5</v>
      </c>
      <c r="I281" s="32" t="s">
        <v>2081</v>
      </c>
      <c r="J281" s="32" t="s">
        <v>2081</v>
      </c>
      <c r="K281" s="0" t="n">
        <v>0</v>
      </c>
      <c r="L281" s="32" t="s">
        <v>785</v>
      </c>
      <c r="M281" s="0" t="str">
        <f aca="false">IF(L281="GEN","GM",L281)</f>
        <v>RS</v>
      </c>
    </row>
    <row r="282" customFormat="false" ht="15" hidden="false" customHeight="false" outlineLevel="0" collapsed="false">
      <c r="A282" s="0" t="s">
        <v>6840</v>
      </c>
      <c r="B282" s="0" t="s">
        <v>6841</v>
      </c>
      <c r="C282" s="0" t="s">
        <v>6295</v>
      </c>
      <c r="D282" s="0" t="s">
        <v>2088</v>
      </c>
      <c r="E282" s="31" t="n">
        <v>45673</v>
      </c>
      <c r="F282" s="32" t="s">
        <v>6287</v>
      </c>
      <c r="G282" s="0" t="n">
        <v>7.5</v>
      </c>
      <c r="H282" s="0" t="n">
        <v>9.6</v>
      </c>
      <c r="I282" s="32" t="s">
        <v>2081</v>
      </c>
      <c r="J282" s="32" t="s">
        <v>2081</v>
      </c>
      <c r="K282" s="0" t="n">
        <v>2.1</v>
      </c>
      <c r="L282" s="32" t="s">
        <v>747</v>
      </c>
      <c r="M282" s="0" t="str">
        <f aca="false">IF(L282="GEN","GM",L282)</f>
        <v>GM</v>
      </c>
    </row>
    <row r="283" customFormat="false" ht="15" hidden="false" customHeight="false" outlineLevel="0" collapsed="false">
      <c r="A283" s="0" t="s">
        <v>6842</v>
      </c>
      <c r="B283" s="0" t="s">
        <v>6843</v>
      </c>
      <c r="C283" s="0" t="s">
        <v>6286</v>
      </c>
      <c r="D283" s="0" t="s">
        <v>2079</v>
      </c>
      <c r="E283" s="31" t="n">
        <v>45673</v>
      </c>
      <c r="F283" s="32" t="s">
        <v>6287</v>
      </c>
      <c r="G283" s="0" t="n">
        <v>7.5</v>
      </c>
      <c r="H283" s="0" t="n">
        <v>7.5</v>
      </c>
      <c r="I283" s="32" t="s">
        <v>2081</v>
      </c>
      <c r="J283" s="32" t="s">
        <v>2081</v>
      </c>
      <c r="K283" s="0" t="n">
        <v>0</v>
      </c>
      <c r="L283" s="32" t="s">
        <v>810</v>
      </c>
      <c r="M283" s="0" t="str">
        <f aca="false">IF(L283="GEN","GM",L283)</f>
        <v>URO</v>
      </c>
    </row>
    <row r="284" customFormat="false" ht="15" hidden="false" customHeight="false" outlineLevel="0" collapsed="false">
      <c r="A284" s="0" t="s">
        <v>6844</v>
      </c>
      <c r="B284" s="0" t="s">
        <v>6845</v>
      </c>
      <c r="C284" s="0" t="s">
        <v>6286</v>
      </c>
      <c r="D284" s="0" t="s">
        <v>2079</v>
      </c>
      <c r="E284" s="31" t="n">
        <v>45673</v>
      </c>
      <c r="F284" s="32" t="s">
        <v>6283</v>
      </c>
      <c r="G284" s="0" t="n">
        <v>11.5</v>
      </c>
      <c r="H284" s="0" t="n">
        <v>11.5</v>
      </c>
      <c r="I284" s="32" t="s">
        <v>2081</v>
      </c>
      <c r="J284" s="32" t="s">
        <v>2081</v>
      </c>
      <c r="K284" s="0" t="n">
        <v>0</v>
      </c>
      <c r="L284" s="32" t="s">
        <v>802</v>
      </c>
      <c r="M284" s="0" t="str">
        <f aca="false">IF(L284="GEN","GM",L284)</f>
        <v>GYN</v>
      </c>
    </row>
    <row r="285" customFormat="false" ht="15" hidden="false" customHeight="false" outlineLevel="0" collapsed="false">
      <c r="A285" s="0" t="s">
        <v>6846</v>
      </c>
      <c r="B285" s="0" t="s">
        <v>6847</v>
      </c>
      <c r="C285" s="0" t="s">
        <v>6290</v>
      </c>
      <c r="D285" s="0" t="s">
        <v>2079</v>
      </c>
      <c r="E285" s="31" t="n">
        <v>45673</v>
      </c>
      <c r="F285" s="32" t="s">
        <v>1125</v>
      </c>
      <c r="G285" s="0" t="n">
        <v>12</v>
      </c>
      <c r="H285" s="0" t="n">
        <v>12</v>
      </c>
      <c r="I285" s="32" t="s">
        <v>2081</v>
      </c>
      <c r="J285" s="32" t="s">
        <v>2081</v>
      </c>
      <c r="K285" s="0" t="n">
        <v>0</v>
      </c>
      <c r="L285" s="32" t="s">
        <v>785</v>
      </c>
      <c r="M285" s="0" t="str">
        <f aca="false">IF(L285="GEN","GM",L285)</f>
        <v>RS</v>
      </c>
    </row>
    <row r="286" customFormat="false" ht="15" hidden="false" customHeight="false" outlineLevel="0" collapsed="false">
      <c r="A286" s="0" t="s">
        <v>6848</v>
      </c>
      <c r="B286" s="0" t="s">
        <v>6849</v>
      </c>
      <c r="C286" s="0" t="s">
        <v>6286</v>
      </c>
      <c r="D286" s="0" t="s">
        <v>2099</v>
      </c>
      <c r="E286" s="31" t="n">
        <v>45673</v>
      </c>
      <c r="F286" s="32" t="s">
        <v>6283</v>
      </c>
      <c r="G286" s="0" t="n">
        <v>11.5</v>
      </c>
      <c r="H286" s="0" t="n">
        <v>11.5</v>
      </c>
      <c r="I286" s="32" t="s">
        <v>2081</v>
      </c>
      <c r="J286" s="32" t="s">
        <v>2081</v>
      </c>
      <c r="K286" s="0" t="n">
        <v>0</v>
      </c>
      <c r="L286" s="32" t="s">
        <v>793</v>
      </c>
      <c r="M286" s="0" t="str">
        <f aca="false">IF(L286="GEN","GM",L286)</f>
        <v>EM</v>
      </c>
    </row>
    <row r="287" customFormat="false" ht="15" hidden="false" customHeight="false" outlineLevel="0" collapsed="false">
      <c r="A287" s="0" t="s">
        <v>6850</v>
      </c>
      <c r="B287" s="0" t="s">
        <v>6851</v>
      </c>
      <c r="C287" s="0" t="s">
        <v>6286</v>
      </c>
      <c r="D287" s="0" t="s">
        <v>2099</v>
      </c>
      <c r="E287" s="31" t="n">
        <v>45673</v>
      </c>
      <c r="F287" s="32" t="s">
        <v>1125</v>
      </c>
      <c r="G287" s="0" t="n">
        <v>12</v>
      </c>
      <c r="H287" s="0" t="n">
        <v>12.5</v>
      </c>
      <c r="I287" s="32" t="s">
        <v>2081</v>
      </c>
      <c r="J287" s="32" t="s">
        <v>2081</v>
      </c>
      <c r="K287" s="0" t="n">
        <v>0.5</v>
      </c>
      <c r="L287" s="32" t="s">
        <v>802</v>
      </c>
      <c r="M287" s="0" t="str">
        <f aca="false">IF(L287="GEN","GM",L287)</f>
        <v>GYN</v>
      </c>
    </row>
    <row r="288" customFormat="false" ht="15" hidden="false" customHeight="false" outlineLevel="0" collapsed="false">
      <c r="A288" s="0" t="s">
        <v>6852</v>
      </c>
      <c r="B288" s="0" t="s">
        <v>6853</v>
      </c>
      <c r="C288" s="0" t="s">
        <v>6295</v>
      </c>
      <c r="D288" s="0" t="s">
        <v>2099</v>
      </c>
      <c r="E288" s="31" t="n">
        <v>45673</v>
      </c>
      <c r="F288" s="32" t="s">
        <v>6283</v>
      </c>
      <c r="G288" s="0" t="n">
        <v>11.5</v>
      </c>
      <c r="H288" s="0" t="n">
        <v>11.5</v>
      </c>
      <c r="I288" s="32" t="s">
        <v>2081</v>
      </c>
      <c r="J288" s="32" t="s">
        <v>2081</v>
      </c>
      <c r="K288" s="0" t="n">
        <v>0</v>
      </c>
      <c r="L288" s="32" t="s">
        <v>747</v>
      </c>
      <c r="M288" s="0" t="str">
        <f aca="false">IF(L288="GEN","GM",L288)</f>
        <v>GM</v>
      </c>
    </row>
    <row r="289" customFormat="false" ht="15" hidden="false" customHeight="false" outlineLevel="0" collapsed="false">
      <c r="A289" s="0" t="s">
        <v>6854</v>
      </c>
      <c r="B289" s="0" t="s">
        <v>6855</v>
      </c>
      <c r="C289" s="0" t="s">
        <v>6282</v>
      </c>
      <c r="D289" s="0" t="s">
        <v>2115</v>
      </c>
      <c r="E289" s="31" t="n">
        <v>45673</v>
      </c>
      <c r="F289" s="32" t="s">
        <v>6287</v>
      </c>
      <c r="G289" s="0" t="n">
        <v>7.5</v>
      </c>
      <c r="H289" s="0" t="n">
        <v>7.5</v>
      </c>
      <c r="I289" s="32" t="s">
        <v>2081</v>
      </c>
      <c r="J289" s="32" t="s">
        <v>2081</v>
      </c>
      <c r="K289" s="0" t="n">
        <v>0</v>
      </c>
      <c r="L289" s="32" t="s">
        <v>826</v>
      </c>
      <c r="M289" s="0" t="str">
        <f aca="false">IF(L289="GEN","GM",L289)</f>
        <v>RHE</v>
      </c>
    </row>
    <row r="290" customFormat="false" ht="15" hidden="false" customHeight="false" outlineLevel="0" collapsed="false">
      <c r="A290" s="0" t="s">
        <v>6856</v>
      </c>
      <c r="B290" s="0" t="s">
        <v>6857</v>
      </c>
      <c r="C290" s="0" t="s">
        <v>6286</v>
      </c>
      <c r="D290" s="0" t="s">
        <v>2115</v>
      </c>
      <c r="E290" s="31" t="n">
        <v>45673</v>
      </c>
      <c r="F290" s="32" t="s">
        <v>6283</v>
      </c>
      <c r="G290" s="0" t="n">
        <v>11.5</v>
      </c>
      <c r="H290" s="0" t="n">
        <v>11.5</v>
      </c>
      <c r="I290" s="32" t="s">
        <v>2081</v>
      </c>
      <c r="J290" s="32" t="s">
        <v>2081</v>
      </c>
      <c r="K290" s="0" t="n">
        <v>0</v>
      </c>
      <c r="L290" s="32" t="s">
        <v>747</v>
      </c>
      <c r="M290" s="0" t="str">
        <f aca="false">IF(L290="GEN","GM",L290)</f>
        <v>GM</v>
      </c>
    </row>
    <row r="291" customFormat="false" ht="15" hidden="false" customHeight="false" outlineLevel="0" collapsed="false">
      <c r="A291" s="0" t="s">
        <v>6858</v>
      </c>
      <c r="B291" s="0" t="s">
        <v>6859</v>
      </c>
      <c r="C291" s="0" t="s">
        <v>6290</v>
      </c>
      <c r="D291" s="0" t="s">
        <v>2115</v>
      </c>
      <c r="E291" s="31" t="n">
        <v>45673</v>
      </c>
      <c r="F291" s="32" t="s">
        <v>1125</v>
      </c>
      <c r="G291" s="0" t="n">
        <v>12</v>
      </c>
      <c r="H291" s="0" t="n">
        <v>12</v>
      </c>
      <c r="I291" s="32" t="s">
        <v>2081</v>
      </c>
      <c r="J291" s="32" t="s">
        <v>2081</v>
      </c>
      <c r="K291" s="0" t="n">
        <v>0</v>
      </c>
      <c r="L291" s="32" t="s">
        <v>826</v>
      </c>
      <c r="M291" s="0" t="str">
        <f aca="false">IF(L291="GEN","GM",L291)</f>
        <v>RHE</v>
      </c>
    </row>
    <row r="292" customFormat="false" ht="15" hidden="false" customHeight="false" outlineLevel="0" collapsed="false">
      <c r="A292" s="0" t="s">
        <v>6860</v>
      </c>
      <c r="B292" s="0" t="s">
        <v>6861</v>
      </c>
      <c r="C292" s="0" t="s">
        <v>6295</v>
      </c>
      <c r="D292" s="0" t="s">
        <v>2115</v>
      </c>
      <c r="E292" s="31" t="n">
        <v>45673</v>
      </c>
      <c r="F292" s="32" t="s">
        <v>6287</v>
      </c>
      <c r="G292" s="0" t="n">
        <v>7.5</v>
      </c>
      <c r="H292" s="0" t="n">
        <v>7.5</v>
      </c>
      <c r="I292" s="32" t="s">
        <v>2081</v>
      </c>
      <c r="J292" s="32" t="s">
        <v>2081</v>
      </c>
      <c r="K292" s="0" t="n">
        <v>0</v>
      </c>
      <c r="L292" s="32" t="s">
        <v>747</v>
      </c>
      <c r="M292" s="0" t="str">
        <f aca="false">IF(L292="GEN","GM",L292)</f>
        <v>GM</v>
      </c>
    </row>
    <row r="293" customFormat="false" ht="15" hidden="false" customHeight="false" outlineLevel="0" collapsed="false">
      <c r="A293" s="0" t="s">
        <v>6862</v>
      </c>
      <c r="B293" s="0" t="s">
        <v>6863</v>
      </c>
      <c r="C293" s="0" t="s">
        <v>6295</v>
      </c>
      <c r="D293" s="0" t="s">
        <v>2115</v>
      </c>
      <c r="E293" s="31" t="n">
        <v>45673</v>
      </c>
      <c r="F293" s="32" t="s">
        <v>6283</v>
      </c>
      <c r="G293" s="0" t="n">
        <v>11.5</v>
      </c>
      <c r="H293" s="0" t="n">
        <v>12</v>
      </c>
      <c r="I293" s="32" t="s">
        <v>2081</v>
      </c>
      <c r="J293" s="32" t="s">
        <v>2106</v>
      </c>
      <c r="K293" s="0" t="n">
        <v>0.5</v>
      </c>
      <c r="L293" s="32" t="s">
        <v>785</v>
      </c>
      <c r="M293" s="0" t="str">
        <f aca="false">IF(L293="GEN","GM",L293)</f>
        <v>RS</v>
      </c>
    </row>
    <row r="294" customFormat="false" ht="15" hidden="false" customHeight="false" outlineLevel="0" collapsed="false">
      <c r="A294" s="0" t="s">
        <v>6864</v>
      </c>
      <c r="B294" s="0" t="s">
        <v>6865</v>
      </c>
      <c r="C294" s="0" t="s">
        <v>6286</v>
      </c>
      <c r="D294" s="0" t="s">
        <v>2124</v>
      </c>
      <c r="E294" s="31" t="n">
        <v>45673</v>
      </c>
      <c r="F294" s="32" t="s">
        <v>1125</v>
      </c>
      <c r="G294" s="0" t="n">
        <v>12</v>
      </c>
      <c r="H294" s="0" t="n">
        <v>12</v>
      </c>
      <c r="I294" s="32" t="s">
        <v>2081</v>
      </c>
      <c r="J294" s="32" t="s">
        <v>2081</v>
      </c>
      <c r="K294" s="0" t="n">
        <v>0</v>
      </c>
      <c r="L294" s="32" t="s">
        <v>776</v>
      </c>
      <c r="M294" s="0" t="str">
        <f aca="false">IF(L294="GEN","GM",L294)</f>
        <v>GS</v>
      </c>
    </row>
    <row r="295" customFormat="false" ht="15" hidden="false" customHeight="false" outlineLevel="0" collapsed="false">
      <c r="A295" s="0" t="s">
        <v>6866</v>
      </c>
      <c r="B295" s="0" t="s">
        <v>6867</v>
      </c>
      <c r="C295" s="0" t="s">
        <v>6286</v>
      </c>
      <c r="D295" s="0" t="s">
        <v>2124</v>
      </c>
      <c r="E295" s="31" t="n">
        <v>45673</v>
      </c>
      <c r="F295" s="32" t="s">
        <v>6283</v>
      </c>
      <c r="G295" s="0" t="n">
        <v>11.5</v>
      </c>
      <c r="H295" s="0" t="n">
        <v>11.5</v>
      </c>
      <c r="I295" s="32" t="s">
        <v>2081</v>
      </c>
      <c r="J295" s="32" t="s">
        <v>2081</v>
      </c>
      <c r="K295" s="0" t="n">
        <v>0</v>
      </c>
      <c r="L295" s="32" t="s">
        <v>766</v>
      </c>
      <c r="M295" s="0" t="str">
        <f aca="false">IF(L295="GEN","GM",L295)</f>
        <v>OR</v>
      </c>
    </row>
    <row r="296" customFormat="false" ht="15" hidden="false" customHeight="false" outlineLevel="0" collapsed="false">
      <c r="A296" s="0" t="s">
        <v>6868</v>
      </c>
      <c r="B296" s="0" t="s">
        <v>6869</v>
      </c>
      <c r="C296" s="0" t="s">
        <v>6290</v>
      </c>
      <c r="D296" s="0" t="s">
        <v>2124</v>
      </c>
      <c r="E296" s="31" t="n">
        <v>45673</v>
      </c>
      <c r="F296" s="32" t="s">
        <v>6283</v>
      </c>
      <c r="G296" s="0" t="n">
        <v>11.5</v>
      </c>
      <c r="H296" s="0" t="n">
        <v>11.5</v>
      </c>
      <c r="I296" s="32" t="s">
        <v>2081</v>
      </c>
      <c r="J296" s="32" t="s">
        <v>2081</v>
      </c>
      <c r="K296" s="0" t="n">
        <v>0</v>
      </c>
      <c r="L296" s="32" t="s">
        <v>747</v>
      </c>
      <c r="M296" s="0" t="str">
        <f aca="false">IF(L296="GEN","GM",L296)</f>
        <v>GM</v>
      </c>
    </row>
    <row r="297" customFormat="false" ht="15" hidden="false" customHeight="false" outlineLevel="0" collapsed="false">
      <c r="A297" s="0" t="s">
        <v>6870</v>
      </c>
      <c r="B297" s="0" t="s">
        <v>6871</v>
      </c>
      <c r="C297" s="0" t="s">
        <v>6286</v>
      </c>
      <c r="D297" s="0" t="s">
        <v>2104</v>
      </c>
      <c r="E297" s="31" t="n">
        <v>45673</v>
      </c>
      <c r="F297" s="32" t="s">
        <v>6283</v>
      </c>
      <c r="G297" s="0" t="n">
        <v>11.5</v>
      </c>
      <c r="H297" s="0" t="n">
        <v>11.5</v>
      </c>
      <c r="I297" s="32" t="s">
        <v>2081</v>
      </c>
      <c r="J297" s="32" t="s">
        <v>2081</v>
      </c>
      <c r="K297" s="0" t="n">
        <v>0</v>
      </c>
      <c r="L297" s="32" t="s">
        <v>802</v>
      </c>
      <c r="M297" s="0" t="str">
        <f aca="false">IF(L297="GEN","GM",L297)</f>
        <v>GYN</v>
      </c>
    </row>
    <row r="298" customFormat="false" ht="15" hidden="false" customHeight="false" outlineLevel="0" collapsed="false">
      <c r="A298" s="0" t="s">
        <v>6872</v>
      </c>
      <c r="B298" s="0" t="s">
        <v>6873</v>
      </c>
      <c r="C298" s="0" t="s">
        <v>6295</v>
      </c>
      <c r="D298" s="0" t="s">
        <v>2104</v>
      </c>
      <c r="E298" s="31" t="n">
        <v>45673</v>
      </c>
      <c r="F298" s="32" t="s">
        <v>1125</v>
      </c>
      <c r="G298" s="0" t="n">
        <v>12</v>
      </c>
      <c r="H298" s="0" t="n">
        <v>12</v>
      </c>
      <c r="I298" s="32" t="s">
        <v>2081</v>
      </c>
      <c r="J298" s="32" t="s">
        <v>2081</v>
      </c>
      <c r="K298" s="0" t="n">
        <v>0</v>
      </c>
      <c r="L298" s="32" t="s">
        <v>793</v>
      </c>
      <c r="M298" s="0" t="str">
        <f aca="false">IF(L298="GEN","GM",L298)</f>
        <v>EM</v>
      </c>
    </row>
    <row r="299" customFormat="false" ht="15" hidden="false" customHeight="false" outlineLevel="0" collapsed="false">
      <c r="A299" s="0" t="s">
        <v>6874</v>
      </c>
      <c r="B299" s="0" t="s">
        <v>6875</v>
      </c>
      <c r="C299" s="0" t="s">
        <v>6286</v>
      </c>
      <c r="D299" s="0" t="s">
        <v>2104</v>
      </c>
      <c r="E299" s="31" t="n">
        <v>45673</v>
      </c>
      <c r="F299" s="32" t="s">
        <v>6283</v>
      </c>
      <c r="G299" s="0" t="n">
        <v>11.5</v>
      </c>
      <c r="H299" s="0" t="n">
        <v>11.5</v>
      </c>
      <c r="I299" s="32" t="s">
        <v>2081</v>
      </c>
      <c r="J299" s="32" t="s">
        <v>2081</v>
      </c>
      <c r="K299" s="0" t="n">
        <v>0</v>
      </c>
      <c r="L299" s="32" t="s">
        <v>766</v>
      </c>
      <c r="M299" s="0" t="str">
        <f aca="false">IF(L299="GEN","GM",L299)</f>
        <v>OR</v>
      </c>
    </row>
    <row r="300" customFormat="false" ht="15" hidden="false" customHeight="false" outlineLevel="0" collapsed="false">
      <c r="A300" s="0" t="s">
        <v>6876</v>
      </c>
      <c r="B300" s="0" t="s">
        <v>6877</v>
      </c>
      <c r="C300" s="0" t="s">
        <v>6295</v>
      </c>
      <c r="D300" s="0" t="s">
        <v>3035</v>
      </c>
      <c r="E300" s="31" t="n">
        <v>45673</v>
      </c>
      <c r="F300" s="32" t="s">
        <v>1125</v>
      </c>
      <c r="G300" s="0" t="n">
        <v>12</v>
      </c>
      <c r="H300" s="0" t="n">
        <v>12</v>
      </c>
      <c r="I300" s="32" t="s">
        <v>2081</v>
      </c>
      <c r="J300" s="32" t="s">
        <v>2081</v>
      </c>
      <c r="K300" s="0" t="n">
        <v>0</v>
      </c>
      <c r="L300" s="32" t="s">
        <v>810</v>
      </c>
      <c r="M300" s="0" t="str">
        <f aca="false">IF(L300="GEN","GM",L300)</f>
        <v>URO</v>
      </c>
    </row>
    <row r="301" customFormat="false" ht="15" hidden="false" customHeight="false" outlineLevel="0" collapsed="false">
      <c r="A301" s="0" t="s">
        <v>6878</v>
      </c>
      <c r="B301" s="0" t="s">
        <v>6879</v>
      </c>
      <c r="C301" s="0" t="s">
        <v>6295</v>
      </c>
      <c r="D301" s="0" t="s">
        <v>3035</v>
      </c>
      <c r="E301" s="31" t="n">
        <v>45673</v>
      </c>
      <c r="F301" s="32" t="s">
        <v>6287</v>
      </c>
      <c r="G301" s="0" t="n">
        <v>7.5</v>
      </c>
      <c r="H301" s="0" t="n">
        <v>7.5</v>
      </c>
      <c r="I301" s="32" t="s">
        <v>2081</v>
      </c>
      <c r="J301" s="32" t="s">
        <v>2081</v>
      </c>
      <c r="K301" s="0" t="n">
        <v>0</v>
      </c>
      <c r="L301" s="32" t="s">
        <v>810</v>
      </c>
      <c r="M301" s="0" t="str">
        <f aca="false">IF(L301="GEN","GM",L301)</f>
        <v>URO</v>
      </c>
    </row>
    <row r="302" customFormat="false" ht="15" hidden="false" customHeight="false" outlineLevel="0" collapsed="false">
      <c r="A302" s="0" t="s">
        <v>6880</v>
      </c>
      <c r="B302" s="0" t="s">
        <v>6881</v>
      </c>
      <c r="C302" s="0" t="s">
        <v>6295</v>
      </c>
      <c r="D302" s="0" t="s">
        <v>3035</v>
      </c>
      <c r="E302" s="31" t="n">
        <v>45673</v>
      </c>
      <c r="F302" s="32" t="s">
        <v>6283</v>
      </c>
      <c r="G302" s="0" t="n">
        <v>11.5</v>
      </c>
      <c r="H302" s="0" t="n">
        <v>11.5</v>
      </c>
      <c r="I302" s="32" t="s">
        <v>2081</v>
      </c>
      <c r="J302" s="32" t="s">
        <v>2081</v>
      </c>
      <c r="K302" s="0" t="n">
        <v>0</v>
      </c>
      <c r="L302" s="32" t="s">
        <v>810</v>
      </c>
      <c r="M302" s="0" t="str">
        <f aca="false">IF(L302="GEN","GM",L302)</f>
        <v>URO</v>
      </c>
    </row>
    <row r="303" customFormat="false" ht="15" hidden="false" customHeight="false" outlineLevel="0" collapsed="false">
      <c r="A303" s="0" t="s">
        <v>6882</v>
      </c>
      <c r="B303" s="0" t="s">
        <v>6883</v>
      </c>
      <c r="C303" s="0" t="s">
        <v>6295</v>
      </c>
      <c r="D303" s="0" t="s">
        <v>3035</v>
      </c>
      <c r="E303" s="31" t="n">
        <v>45673</v>
      </c>
      <c r="F303" s="32" t="s">
        <v>6283</v>
      </c>
      <c r="G303" s="0" t="n">
        <v>11.5</v>
      </c>
      <c r="H303" s="0" t="n">
        <v>11.5</v>
      </c>
      <c r="I303" s="32" t="s">
        <v>2106</v>
      </c>
      <c r="J303" s="32" t="s">
        <v>2081</v>
      </c>
      <c r="K303" s="0" t="n">
        <v>0</v>
      </c>
      <c r="L303" s="32" t="s">
        <v>758</v>
      </c>
      <c r="M303" s="0" t="str">
        <f aca="false">IF(L303="GEN","GM",L303)</f>
        <v>CS</v>
      </c>
    </row>
    <row r="304" customFormat="false" ht="15" hidden="false" customHeight="false" outlineLevel="0" collapsed="false">
      <c r="A304" s="0" t="s">
        <v>6884</v>
      </c>
      <c r="B304" s="0" t="s">
        <v>6885</v>
      </c>
      <c r="C304" s="0" t="s">
        <v>6286</v>
      </c>
      <c r="D304" s="0" t="s">
        <v>3035</v>
      </c>
      <c r="E304" s="31" t="n">
        <v>45673</v>
      </c>
      <c r="F304" s="32" t="s">
        <v>6287</v>
      </c>
      <c r="G304" s="0" t="n">
        <v>7.5</v>
      </c>
      <c r="H304" s="0" t="n">
        <v>7.5</v>
      </c>
      <c r="I304" s="32" t="s">
        <v>2081</v>
      </c>
      <c r="J304" s="32" t="s">
        <v>2081</v>
      </c>
      <c r="K304" s="0" t="n">
        <v>0</v>
      </c>
      <c r="L304" s="32" t="s">
        <v>793</v>
      </c>
      <c r="M304" s="0" t="str">
        <f aca="false">IF(L304="GEN","GM",L304)</f>
        <v>EM</v>
      </c>
    </row>
    <row r="305" customFormat="false" ht="15" hidden="false" customHeight="false" outlineLevel="0" collapsed="false">
      <c r="A305" s="0" t="s">
        <v>6886</v>
      </c>
      <c r="B305" s="0" t="s">
        <v>6887</v>
      </c>
      <c r="C305" s="0" t="s">
        <v>6286</v>
      </c>
      <c r="D305" s="0" t="s">
        <v>2088</v>
      </c>
      <c r="E305" s="31" t="n">
        <v>45674</v>
      </c>
      <c r="F305" s="32" t="s">
        <v>6283</v>
      </c>
      <c r="G305" s="0" t="n">
        <v>11.5</v>
      </c>
      <c r="H305" s="0" t="n">
        <v>11.5</v>
      </c>
      <c r="I305" s="32" t="s">
        <v>2081</v>
      </c>
      <c r="J305" s="32" t="s">
        <v>2081</v>
      </c>
      <c r="K305" s="0" t="n">
        <v>0</v>
      </c>
      <c r="L305" s="32" t="s">
        <v>826</v>
      </c>
      <c r="M305" s="0" t="str">
        <f aca="false">IF(L305="GEN","GM",L305)</f>
        <v>RHE</v>
      </c>
    </row>
    <row r="306" customFormat="false" ht="15" hidden="false" customHeight="false" outlineLevel="0" collapsed="false">
      <c r="A306" s="0" t="s">
        <v>6888</v>
      </c>
      <c r="B306" s="0" t="s">
        <v>6889</v>
      </c>
      <c r="C306" s="0" t="s">
        <v>780</v>
      </c>
      <c r="D306" s="0" t="s">
        <v>2088</v>
      </c>
      <c r="E306" s="31" t="n">
        <v>45674</v>
      </c>
      <c r="F306" s="32" t="s">
        <v>1125</v>
      </c>
      <c r="G306" s="0" t="n">
        <v>12</v>
      </c>
      <c r="H306" s="0" t="n">
        <v>12</v>
      </c>
      <c r="I306" s="32" t="s">
        <v>2081</v>
      </c>
      <c r="J306" s="32" t="s">
        <v>2081</v>
      </c>
      <c r="K306" s="0" t="n">
        <v>0</v>
      </c>
      <c r="L306" s="32" t="s">
        <v>793</v>
      </c>
      <c r="M306" s="0" t="str">
        <f aca="false">IF(L306="GEN","GM",L306)</f>
        <v>EM</v>
      </c>
    </row>
    <row r="307" customFormat="false" ht="15" hidden="false" customHeight="false" outlineLevel="0" collapsed="false">
      <c r="A307" s="0" t="s">
        <v>6890</v>
      </c>
      <c r="B307" s="0" t="s">
        <v>6891</v>
      </c>
      <c r="C307" s="0" t="s">
        <v>6295</v>
      </c>
      <c r="D307" s="0" t="s">
        <v>2088</v>
      </c>
      <c r="E307" s="31" t="n">
        <v>45674</v>
      </c>
      <c r="F307" s="32" t="s">
        <v>1125</v>
      </c>
      <c r="G307" s="0" t="n">
        <v>12</v>
      </c>
      <c r="H307" s="0" t="n">
        <v>12</v>
      </c>
      <c r="I307" s="32" t="s">
        <v>2081</v>
      </c>
      <c r="J307" s="32" t="s">
        <v>2081</v>
      </c>
      <c r="K307" s="0" t="n">
        <v>0</v>
      </c>
      <c r="L307" s="32" t="s">
        <v>747</v>
      </c>
      <c r="M307" s="0" t="str">
        <f aca="false">IF(L307="GEN","GM",L307)</f>
        <v>GM</v>
      </c>
    </row>
    <row r="308" customFormat="false" ht="15" hidden="false" customHeight="false" outlineLevel="0" collapsed="false">
      <c r="A308" s="0" t="s">
        <v>6892</v>
      </c>
      <c r="B308" s="0" t="s">
        <v>6893</v>
      </c>
      <c r="C308" s="0" t="s">
        <v>6295</v>
      </c>
      <c r="D308" s="0" t="s">
        <v>2079</v>
      </c>
      <c r="E308" s="31" t="n">
        <v>45674</v>
      </c>
      <c r="F308" s="32" t="s">
        <v>6283</v>
      </c>
      <c r="G308" s="0" t="n">
        <v>11.5</v>
      </c>
      <c r="H308" s="0" t="n">
        <v>11.5</v>
      </c>
      <c r="I308" s="32" t="s">
        <v>2081</v>
      </c>
      <c r="J308" s="32" t="s">
        <v>2081</v>
      </c>
      <c r="K308" s="0" t="n">
        <v>0</v>
      </c>
      <c r="L308" s="32" t="s">
        <v>776</v>
      </c>
      <c r="M308" s="0" t="str">
        <f aca="false">IF(L308="GEN","GM",L308)</f>
        <v>GS</v>
      </c>
    </row>
    <row r="309" customFormat="false" ht="15" hidden="false" customHeight="false" outlineLevel="0" collapsed="false">
      <c r="A309" s="0" t="s">
        <v>6894</v>
      </c>
      <c r="B309" s="0" t="s">
        <v>6895</v>
      </c>
      <c r="C309" s="0" t="s">
        <v>6286</v>
      </c>
      <c r="D309" s="0" t="s">
        <v>2079</v>
      </c>
      <c r="E309" s="31" t="n">
        <v>45674</v>
      </c>
      <c r="F309" s="32" t="s">
        <v>6287</v>
      </c>
      <c r="G309" s="0" t="n">
        <v>7.5</v>
      </c>
      <c r="H309" s="0" t="n">
        <v>7.5</v>
      </c>
      <c r="I309" s="32" t="s">
        <v>2081</v>
      </c>
      <c r="J309" s="32" t="s">
        <v>2081</v>
      </c>
      <c r="K309" s="0" t="n">
        <v>0</v>
      </c>
      <c r="L309" s="32" t="s">
        <v>785</v>
      </c>
      <c r="M309" s="0" t="str">
        <f aca="false">IF(L309="GEN","GM",L309)</f>
        <v>RS</v>
      </c>
    </row>
    <row r="310" customFormat="false" ht="15" hidden="false" customHeight="false" outlineLevel="0" collapsed="false">
      <c r="A310" s="0" t="s">
        <v>6896</v>
      </c>
      <c r="B310" s="0" t="s">
        <v>6897</v>
      </c>
      <c r="C310" s="0" t="s">
        <v>780</v>
      </c>
      <c r="D310" s="0" t="s">
        <v>2079</v>
      </c>
      <c r="E310" s="31" t="n">
        <v>45674</v>
      </c>
      <c r="F310" s="32" t="s">
        <v>6283</v>
      </c>
      <c r="G310" s="0" t="n">
        <v>11.5</v>
      </c>
      <c r="H310" s="0" t="n">
        <v>11.5</v>
      </c>
      <c r="I310" s="32" t="s">
        <v>2106</v>
      </c>
      <c r="J310" s="32" t="s">
        <v>2081</v>
      </c>
      <c r="K310" s="0" t="n">
        <v>0</v>
      </c>
      <c r="L310" s="32" t="s">
        <v>826</v>
      </c>
      <c r="M310" s="0" t="str">
        <f aca="false">IF(L310="GEN","GM",L310)</f>
        <v>RHE</v>
      </c>
    </row>
    <row r="311" customFormat="false" ht="15" hidden="false" customHeight="false" outlineLevel="0" collapsed="false">
      <c r="A311" s="0" t="s">
        <v>6898</v>
      </c>
      <c r="B311" s="0" t="s">
        <v>6899</v>
      </c>
      <c r="C311" s="0" t="s">
        <v>6286</v>
      </c>
      <c r="D311" s="0" t="s">
        <v>2079</v>
      </c>
      <c r="E311" s="31" t="n">
        <v>45674</v>
      </c>
      <c r="F311" s="32" t="s">
        <v>6283</v>
      </c>
      <c r="G311" s="0" t="n">
        <v>11.5</v>
      </c>
      <c r="H311" s="0" t="n">
        <v>11.5</v>
      </c>
      <c r="I311" s="32" t="s">
        <v>2081</v>
      </c>
      <c r="J311" s="32" t="s">
        <v>2081</v>
      </c>
      <c r="K311" s="0" t="n">
        <v>0</v>
      </c>
      <c r="L311" s="32" t="s">
        <v>810</v>
      </c>
      <c r="M311" s="0" t="str">
        <f aca="false">IF(L311="GEN","GM",L311)</f>
        <v>URO</v>
      </c>
    </row>
    <row r="312" customFormat="false" ht="15" hidden="false" customHeight="false" outlineLevel="0" collapsed="false">
      <c r="A312" s="0" t="s">
        <v>6900</v>
      </c>
      <c r="B312" s="0" t="s">
        <v>6901</v>
      </c>
      <c r="C312" s="0" t="s">
        <v>6290</v>
      </c>
      <c r="D312" s="0" t="s">
        <v>2079</v>
      </c>
      <c r="E312" s="31" t="n">
        <v>45674</v>
      </c>
      <c r="F312" s="32" t="s">
        <v>6283</v>
      </c>
      <c r="G312" s="0" t="n">
        <v>11.5</v>
      </c>
      <c r="H312" s="0" t="n">
        <v>11.5</v>
      </c>
      <c r="I312" s="32" t="s">
        <v>2081</v>
      </c>
      <c r="J312" s="32" t="s">
        <v>2081</v>
      </c>
      <c r="K312" s="0" t="n">
        <v>0</v>
      </c>
      <c r="L312" s="32" t="s">
        <v>793</v>
      </c>
      <c r="M312" s="0" t="str">
        <f aca="false">IF(L312="GEN","GM",L312)</f>
        <v>EM</v>
      </c>
    </row>
    <row r="313" customFormat="false" ht="15" hidden="false" customHeight="false" outlineLevel="0" collapsed="false">
      <c r="A313" s="0" t="s">
        <v>6902</v>
      </c>
      <c r="B313" s="0" t="s">
        <v>6903</v>
      </c>
      <c r="C313" s="0" t="s">
        <v>6286</v>
      </c>
      <c r="D313" s="0" t="s">
        <v>2099</v>
      </c>
      <c r="E313" s="31" t="n">
        <v>45674</v>
      </c>
      <c r="F313" s="32" t="s">
        <v>6287</v>
      </c>
      <c r="G313" s="0" t="n">
        <v>7.5</v>
      </c>
      <c r="H313" s="0" t="n">
        <v>7.5</v>
      </c>
      <c r="I313" s="32" t="s">
        <v>2081</v>
      </c>
      <c r="J313" s="32" t="s">
        <v>2081</v>
      </c>
      <c r="K313" s="0" t="n">
        <v>0</v>
      </c>
      <c r="L313" s="32" t="s">
        <v>1391</v>
      </c>
      <c r="M313" s="0" t="str">
        <f aca="false">IF(L313="GEN","GM",L313)</f>
        <v>GM</v>
      </c>
    </row>
    <row r="314" customFormat="false" ht="15" hidden="false" customHeight="false" outlineLevel="0" collapsed="false">
      <c r="A314" s="0" t="s">
        <v>6904</v>
      </c>
      <c r="B314" s="0" t="s">
        <v>6905</v>
      </c>
      <c r="C314" s="0" t="s">
        <v>6295</v>
      </c>
      <c r="D314" s="0" t="s">
        <v>2099</v>
      </c>
      <c r="E314" s="31" t="n">
        <v>45674</v>
      </c>
      <c r="F314" s="32" t="s">
        <v>6283</v>
      </c>
      <c r="G314" s="0" t="n">
        <v>11.5</v>
      </c>
      <c r="H314" s="0" t="n">
        <v>11.5</v>
      </c>
      <c r="I314" s="32" t="s">
        <v>2081</v>
      </c>
      <c r="J314" s="32" t="s">
        <v>2081</v>
      </c>
      <c r="K314" s="0" t="n">
        <v>0</v>
      </c>
      <c r="L314" s="32" t="s">
        <v>747</v>
      </c>
      <c r="M314" s="0" t="str">
        <f aca="false">IF(L314="GEN","GM",L314)</f>
        <v>GM</v>
      </c>
    </row>
    <row r="315" customFormat="false" ht="15" hidden="false" customHeight="false" outlineLevel="0" collapsed="false">
      <c r="A315" s="0" t="s">
        <v>6906</v>
      </c>
      <c r="B315" s="0" t="s">
        <v>6907</v>
      </c>
      <c r="C315" s="0" t="s">
        <v>6295</v>
      </c>
      <c r="D315" s="0" t="s">
        <v>2099</v>
      </c>
      <c r="E315" s="31" t="n">
        <v>45674</v>
      </c>
      <c r="F315" s="32" t="s">
        <v>1125</v>
      </c>
      <c r="G315" s="0" t="n">
        <v>12</v>
      </c>
      <c r="H315" s="0" t="n">
        <v>12</v>
      </c>
      <c r="I315" s="32" t="s">
        <v>2081</v>
      </c>
      <c r="J315" s="32" t="s">
        <v>2081</v>
      </c>
      <c r="K315" s="0" t="n">
        <v>0</v>
      </c>
      <c r="L315" s="32" t="s">
        <v>747</v>
      </c>
      <c r="M315" s="0" t="str">
        <f aca="false">IF(L315="GEN","GM",L315)</f>
        <v>GM</v>
      </c>
    </row>
    <row r="316" customFormat="false" ht="15" hidden="false" customHeight="false" outlineLevel="0" collapsed="false">
      <c r="A316" s="0" t="s">
        <v>6908</v>
      </c>
      <c r="B316" s="0" t="s">
        <v>6909</v>
      </c>
      <c r="C316" s="0" t="s">
        <v>6286</v>
      </c>
      <c r="D316" s="0" t="s">
        <v>2099</v>
      </c>
      <c r="E316" s="31" t="n">
        <v>45674</v>
      </c>
      <c r="F316" s="32" t="s">
        <v>1125</v>
      </c>
      <c r="G316" s="0" t="n">
        <v>12</v>
      </c>
      <c r="H316" s="0" t="n">
        <v>12</v>
      </c>
      <c r="I316" s="32" t="s">
        <v>2106</v>
      </c>
      <c r="J316" s="32" t="s">
        <v>2106</v>
      </c>
      <c r="K316" s="0" t="n">
        <v>0</v>
      </c>
      <c r="L316" s="32" t="s">
        <v>793</v>
      </c>
      <c r="M316" s="0" t="str">
        <f aca="false">IF(L316="GEN","GM",L316)</f>
        <v>EM</v>
      </c>
    </row>
    <row r="317" customFormat="false" ht="15" hidden="false" customHeight="false" outlineLevel="0" collapsed="false">
      <c r="A317" s="0" t="s">
        <v>6910</v>
      </c>
      <c r="B317" s="0" t="s">
        <v>6911</v>
      </c>
      <c r="C317" s="0" t="s">
        <v>6286</v>
      </c>
      <c r="D317" s="0" t="s">
        <v>2115</v>
      </c>
      <c r="E317" s="31" t="n">
        <v>45674</v>
      </c>
      <c r="F317" s="32" t="s">
        <v>6283</v>
      </c>
      <c r="G317" s="0" t="n">
        <v>11.5</v>
      </c>
      <c r="H317" s="0" t="n">
        <v>11.5</v>
      </c>
      <c r="I317" s="32" t="s">
        <v>2081</v>
      </c>
      <c r="J317" s="32" t="s">
        <v>2081</v>
      </c>
      <c r="K317" s="0" t="n">
        <v>0</v>
      </c>
      <c r="L317" s="32" t="s">
        <v>747</v>
      </c>
      <c r="M317" s="0" t="str">
        <f aca="false">IF(L317="GEN","GM",L317)</f>
        <v>GM</v>
      </c>
    </row>
    <row r="318" customFormat="false" ht="15" hidden="false" customHeight="false" outlineLevel="0" collapsed="false">
      <c r="A318" s="0" t="s">
        <v>6912</v>
      </c>
      <c r="B318" s="0" t="s">
        <v>6913</v>
      </c>
      <c r="C318" s="0" t="s">
        <v>6295</v>
      </c>
      <c r="D318" s="0" t="s">
        <v>2115</v>
      </c>
      <c r="E318" s="31" t="n">
        <v>45674</v>
      </c>
      <c r="F318" s="32" t="s">
        <v>6287</v>
      </c>
      <c r="G318" s="0" t="n">
        <v>7.5</v>
      </c>
      <c r="H318" s="0" t="n">
        <v>7.5</v>
      </c>
      <c r="I318" s="32" t="s">
        <v>2081</v>
      </c>
      <c r="J318" s="32" t="s">
        <v>2081</v>
      </c>
      <c r="K318" s="0" t="n">
        <v>0</v>
      </c>
      <c r="L318" s="32" t="s">
        <v>810</v>
      </c>
      <c r="M318" s="0" t="str">
        <f aca="false">IF(L318="GEN","GM",L318)</f>
        <v>URO</v>
      </c>
    </row>
    <row r="319" customFormat="false" ht="15" hidden="false" customHeight="false" outlineLevel="0" collapsed="false">
      <c r="A319" s="0" t="s">
        <v>6914</v>
      </c>
      <c r="B319" s="0" t="s">
        <v>6915</v>
      </c>
      <c r="C319" s="0" t="s">
        <v>6286</v>
      </c>
      <c r="D319" s="0" t="s">
        <v>2115</v>
      </c>
      <c r="E319" s="31" t="n">
        <v>45674</v>
      </c>
      <c r="F319" s="32" t="s">
        <v>6283</v>
      </c>
      <c r="G319" s="0" t="n">
        <v>11.5</v>
      </c>
      <c r="H319" s="0" t="n">
        <v>11.5</v>
      </c>
      <c r="I319" s="32" t="s">
        <v>2081</v>
      </c>
      <c r="J319" s="32" t="s">
        <v>2081</v>
      </c>
      <c r="K319" s="0" t="n">
        <v>0</v>
      </c>
      <c r="L319" s="32" t="s">
        <v>747</v>
      </c>
      <c r="M319" s="0" t="str">
        <f aca="false">IF(L319="GEN","GM",L319)</f>
        <v>GM</v>
      </c>
    </row>
    <row r="320" customFormat="false" ht="15" hidden="false" customHeight="false" outlineLevel="0" collapsed="false">
      <c r="A320" s="0" t="s">
        <v>6916</v>
      </c>
      <c r="B320" s="0" t="s">
        <v>6917</v>
      </c>
      <c r="C320" s="0" t="s">
        <v>6295</v>
      </c>
      <c r="D320" s="0" t="s">
        <v>2115</v>
      </c>
      <c r="E320" s="31" t="n">
        <v>45674</v>
      </c>
      <c r="F320" s="32" t="s">
        <v>1125</v>
      </c>
      <c r="G320" s="0" t="n">
        <v>12</v>
      </c>
      <c r="H320" s="0" t="n">
        <v>12</v>
      </c>
      <c r="I320" s="32" t="s">
        <v>2081</v>
      </c>
      <c r="J320" s="32" t="s">
        <v>2081</v>
      </c>
      <c r="K320" s="0" t="n">
        <v>0</v>
      </c>
      <c r="L320" s="32" t="s">
        <v>826</v>
      </c>
      <c r="M320" s="0" t="str">
        <f aca="false">IF(L320="GEN","GM",L320)</f>
        <v>RHE</v>
      </c>
    </row>
    <row r="321" customFormat="false" ht="15" hidden="false" customHeight="false" outlineLevel="0" collapsed="false">
      <c r="A321" s="0" t="s">
        <v>6918</v>
      </c>
      <c r="B321" s="0" t="s">
        <v>6919</v>
      </c>
      <c r="C321" s="0" t="s">
        <v>6286</v>
      </c>
      <c r="D321" s="0" t="s">
        <v>2115</v>
      </c>
      <c r="E321" s="31" t="n">
        <v>45674</v>
      </c>
      <c r="F321" s="32" t="s">
        <v>6283</v>
      </c>
      <c r="G321" s="0" t="n">
        <v>11.5</v>
      </c>
      <c r="H321" s="0" t="n">
        <v>11.5</v>
      </c>
      <c r="I321" s="32" t="s">
        <v>2081</v>
      </c>
      <c r="J321" s="32" t="s">
        <v>2081</v>
      </c>
      <c r="K321" s="0" t="n">
        <v>0</v>
      </c>
      <c r="L321" s="32" t="s">
        <v>776</v>
      </c>
      <c r="M321" s="0" t="str">
        <f aca="false">IF(L321="GEN","GM",L321)</f>
        <v>GS</v>
      </c>
    </row>
    <row r="322" customFormat="false" ht="15" hidden="false" customHeight="false" outlineLevel="0" collapsed="false">
      <c r="A322" s="0" t="s">
        <v>6920</v>
      </c>
      <c r="B322" s="0" t="s">
        <v>6921</v>
      </c>
      <c r="C322" s="0" t="s">
        <v>6295</v>
      </c>
      <c r="D322" s="0" t="s">
        <v>2124</v>
      </c>
      <c r="E322" s="31" t="n">
        <v>45674</v>
      </c>
      <c r="F322" s="32" t="s">
        <v>6283</v>
      </c>
      <c r="G322" s="0" t="n">
        <v>11.5</v>
      </c>
      <c r="H322" s="0" t="n">
        <v>11.5</v>
      </c>
      <c r="I322" s="32" t="s">
        <v>2081</v>
      </c>
      <c r="J322" s="32" t="s">
        <v>2081</v>
      </c>
      <c r="K322" s="0" t="n">
        <v>0</v>
      </c>
      <c r="L322" s="32" t="s">
        <v>793</v>
      </c>
      <c r="M322" s="0" t="str">
        <f aca="false">IF(L322="GEN","GM",L322)</f>
        <v>EM</v>
      </c>
    </row>
    <row r="323" customFormat="false" ht="15" hidden="false" customHeight="false" outlineLevel="0" collapsed="false">
      <c r="A323" s="0" t="s">
        <v>6922</v>
      </c>
      <c r="B323" s="0" t="s">
        <v>6923</v>
      </c>
      <c r="C323" s="0" t="s">
        <v>6286</v>
      </c>
      <c r="D323" s="0" t="s">
        <v>2124</v>
      </c>
      <c r="E323" s="31" t="n">
        <v>45674</v>
      </c>
      <c r="F323" s="32" t="s">
        <v>6283</v>
      </c>
      <c r="G323" s="0" t="n">
        <v>11.5</v>
      </c>
      <c r="H323" s="0" t="n">
        <v>11.5</v>
      </c>
      <c r="I323" s="32" t="s">
        <v>2081</v>
      </c>
      <c r="J323" s="32" t="s">
        <v>2081</v>
      </c>
      <c r="K323" s="0" t="n">
        <v>0</v>
      </c>
      <c r="L323" s="32" t="s">
        <v>776</v>
      </c>
      <c r="M323" s="0" t="str">
        <f aca="false">IF(L323="GEN","GM",L323)</f>
        <v>GS</v>
      </c>
    </row>
    <row r="324" customFormat="false" ht="15" hidden="false" customHeight="false" outlineLevel="0" collapsed="false">
      <c r="A324" s="0" t="s">
        <v>6924</v>
      </c>
      <c r="B324" s="0" t="s">
        <v>6925</v>
      </c>
      <c r="C324" s="0" t="s">
        <v>6282</v>
      </c>
      <c r="D324" s="0" t="s">
        <v>2124</v>
      </c>
      <c r="E324" s="31" t="n">
        <v>45674</v>
      </c>
      <c r="F324" s="32" t="s">
        <v>1125</v>
      </c>
      <c r="G324" s="0" t="n">
        <v>12</v>
      </c>
      <c r="H324" s="0" t="n">
        <v>12</v>
      </c>
      <c r="I324" s="32" t="s">
        <v>2106</v>
      </c>
      <c r="J324" s="32" t="s">
        <v>2081</v>
      </c>
      <c r="K324" s="0" t="n">
        <v>0</v>
      </c>
      <c r="L324" s="32" t="s">
        <v>747</v>
      </c>
      <c r="M324" s="0" t="str">
        <f aca="false">IF(L324="GEN","GM",L324)</f>
        <v>GM</v>
      </c>
    </row>
    <row r="325" customFormat="false" ht="15" hidden="false" customHeight="false" outlineLevel="0" collapsed="false">
      <c r="A325" s="0" t="s">
        <v>6926</v>
      </c>
      <c r="B325" s="0" t="s">
        <v>6927</v>
      </c>
      <c r="C325" s="0" t="s">
        <v>6295</v>
      </c>
      <c r="D325" s="0" t="s">
        <v>2104</v>
      </c>
      <c r="E325" s="31" t="n">
        <v>45674</v>
      </c>
      <c r="F325" s="32" t="s">
        <v>6283</v>
      </c>
      <c r="G325" s="0" t="n">
        <v>11.5</v>
      </c>
      <c r="H325" s="0" t="n">
        <v>11.5</v>
      </c>
      <c r="I325" s="32" t="s">
        <v>2081</v>
      </c>
      <c r="J325" s="32" t="s">
        <v>2081</v>
      </c>
      <c r="K325" s="0" t="n">
        <v>0</v>
      </c>
      <c r="L325" s="32" t="s">
        <v>826</v>
      </c>
      <c r="M325" s="0" t="str">
        <f aca="false">IF(L325="GEN","GM",L325)</f>
        <v>RHE</v>
      </c>
    </row>
    <row r="326" customFormat="false" ht="15" hidden="false" customHeight="false" outlineLevel="0" collapsed="false">
      <c r="A326" s="0" t="s">
        <v>6928</v>
      </c>
      <c r="B326" s="0" t="s">
        <v>6929</v>
      </c>
      <c r="C326" s="0" t="s">
        <v>6295</v>
      </c>
      <c r="D326" s="0" t="s">
        <v>2104</v>
      </c>
      <c r="E326" s="31" t="n">
        <v>45674</v>
      </c>
      <c r="F326" s="32" t="s">
        <v>1125</v>
      </c>
      <c r="G326" s="0" t="n">
        <v>12</v>
      </c>
      <c r="H326" s="0" t="n">
        <v>12</v>
      </c>
      <c r="I326" s="32" t="s">
        <v>2081</v>
      </c>
      <c r="J326" s="32" t="s">
        <v>2081</v>
      </c>
      <c r="K326" s="0" t="n">
        <v>0</v>
      </c>
      <c r="L326" s="32" t="s">
        <v>810</v>
      </c>
      <c r="M326" s="0" t="str">
        <f aca="false">IF(L326="GEN","GM",L326)</f>
        <v>URO</v>
      </c>
    </row>
    <row r="327" customFormat="false" ht="15" hidden="false" customHeight="false" outlineLevel="0" collapsed="false">
      <c r="A327" s="0" t="s">
        <v>6930</v>
      </c>
      <c r="B327" s="0" t="s">
        <v>6931</v>
      </c>
      <c r="C327" s="0" t="s">
        <v>780</v>
      </c>
      <c r="D327" s="0" t="s">
        <v>2104</v>
      </c>
      <c r="E327" s="31" t="n">
        <v>45674</v>
      </c>
      <c r="F327" s="32" t="s">
        <v>6287</v>
      </c>
      <c r="G327" s="0" t="n">
        <v>7.5</v>
      </c>
      <c r="H327" s="0" t="n">
        <v>7.5</v>
      </c>
      <c r="I327" s="32" t="s">
        <v>2081</v>
      </c>
      <c r="J327" s="32" t="s">
        <v>2081</v>
      </c>
      <c r="K327" s="0" t="n">
        <v>0</v>
      </c>
      <c r="L327" s="32" t="s">
        <v>747</v>
      </c>
      <c r="M327" s="0" t="str">
        <f aca="false">IF(L327="GEN","GM",L327)</f>
        <v>GM</v>
      </c>
    </row>
    <row r="328" customFormat="false" ht="15" hidden="false" customHeight="false" outlineLevel="0" collapsed="false">
      <c r="A328" s="0" t="s">
        <v>6932</v>
      </c>
      <c r="B328" s="0" t="s">
        <v>6933</v>
      </c>
      <c r="C328" s="0" t="s">
        <v>6295</v>
      </c>
      <c r="D328" s="0" t="s">
        <v>2104</v>
      </c>
      <c r="E328" s="31" t="n">
        <v>45674</v>
      </c>
      <c r="F328" s="32" t="s">
        <v>6283</v>
      </c>
      <c r="G328" s="0" t="n">
        <v>11.5</v>
      </c>
      <c r="H328" s="0" t="n">
        <v>11.5</v>
      </c>
      <c r="I328" s="32" t="s">
        <v>2081</v>
      </c>
      <c r="J328" s="32" t="s">
        <v>2081</v>
      </c>
      <c r="K328" s="0" t="n">
        <v>0</v>
      </c>
      <c r="L328" s="32" t="s">
        <v>802</v>
      </c>
      <c r="M328" s="0" t="str">
        <f aca="false">IF(L328="GEN","GM",L328)</f>
        <v>GYN</v>
      </c>
    </row>
    <row r="329" customFormat="false" ht="15" hidden="false" customHeight="false" outlineLevel="0" collapsed="false">
      <c r="A329" s="0" t="s">
        <v>6934</v>
      </c>
      <c r="B329" s="0" t="s">
        <v>6935</v>
      </c>
      <c r="C329" s="0" t="s">
        <v>6295</v>
      </c>
      <c r="D329" s="0" t="s">
        <v>3035</v>
      </c>
      <c r="E329" s="31" t="n">
        <v>45674</v>
      </c>
      <c r="F329" s="32" t="s">
        <v>6283</v>
      </c>
      <c r="G329" s="0" t="n">
        <v>11.5</v>
      </c>
      <c r="H329" s="0" t="n">
        <v>11.5</v>
      </c>
      <c r="I329" s="32" t="s">
        <v>2081</v>
      </c>
      <c r="J329" s="32" t="s">
        <v>2081</v>
      </c>
      <c r="K329" s="0" t="n">
        <v>0</v>
      </c>
      <c r="L329" s="32" t="s">
        <v>776</v>
      </c>
      <c r="M329" s="0" t="str">
        <f aca="false">IF(L329="GEN","GM",L329)</f>
        <v>GS</v>
      </c>
    </row>
    <row r="330" customFormat="false" ht="15" hidden="false" customHeight="false" outlineLevel="0" collapsed="false">
      <c r="A330" s="0" t="s">
        <v>6936</v>
      </c>
      <c r="B330" s="0" t="s">
        <v>6937</v>
      </c>
      <c r="C330" s="0" t="s">
        <v>6295</v>
      </c>
      <c r="D330" s="0" t="s">
        <v>3035</v>
      </c>
      <c r="E330" s="31" t="n">
        <v>45674</v>
      </c>
      <c r="F330" s="32" t="s">
        <v>6283</v>
      </c>
      <c r="G330" s="0" t="n">
        <v>11.5</v>
      </c>
      <c r="H330" s="0" t="n">
        <v>11.5</v>
      </c>
      <c r="I330" s="32" t="s">
        <v>2081</v>
      </c>
      <c r="J330" s="32" t="s">
        <v>2081</v>
      </c>
      <c r="K330" s="0" t="n">
        <v>0</v>
      </c>
      <c r="L330" s="32" t="s">
        <v>747</v>
      </c>
      <c r="M330" s="0" t="str">
        <f aca="false">IF(L330="GEN","GM",L330)</f>
        <v>GM</v>
      </c>
    </row>
    <row r="331" customFormat="false" ht="15" hidden="false" customHeight="false" outlineLevel="0" collapsed="false">
      <c r="A331" s="0" t="s">
        <v>6938</v>
      </c>
      <c r="B331" s="0" t="s">
        <v>6939</v>
      </c>
      <c r="C331" s="0" t="s">
        <v>6286</v>
      </c>
      <c r="D331" s="0" t="s">
        <v>3035</v>
      </c>
      <c r="E331" s="31" t="n">
        <v>45674</v>
      </c>
      <c r="F331" s="32" t="s">
        <v>1125</v>
      </c>
      <c r="G331" s="0" t="n">
        <v>12</v>
      </c>
      <c r="H331" s="0" t="n">
        <v>12</v>
      </c>
      <c r="I331" s="32" t="s">
        <v>2106</v>
      </c>
      <c r="J331" s="32" t="s">
        <v>2081</v>
      </c>
      <c r="K331" s="0" t="n">
        <v>0</v>
      </c>
      <c r="L331" s="32" t="s">
        <v>810</v>
      </c>
      <c r="M331" s="0" t="str">
        <f aca="false">IF(L331="GEN","GM",L331)</f>
        <v>URO</v>
      </c>
    </row>
    <row r="332" customFormat="false" ht="15" hidden="false" customHeight="false" outlineLevel="0" collapsed="false">
      <c r="A332" s="0" t="s">
        <v>6940</v>
      </c>
      <c r="B332" s="0" t="s">
        <v>6941</v>
      </c>
      <c r="C332" s="0" t="s">
        <v>6282</v>
      </c>
      <c r="D332" s="0" t="s">
        <v>2088</v>
      </c>
      <c r="E332" s="31" t="n">
        <v>45675</v>
      </c>
      <c r="F332" s="32" t="s">
        <v>6283</v>
      </c>
      <c r="G332" s="0" t="n">
        <v>0</v>
      </c>
      <c r="H332" s="0" t="n">
        <v>11.5</v>
      </c>
      <c r="I332" s="32" t="s">
        <v>2106</v>
      </c>
      <c r="J332" s="32" t="s">
        <v>2081</v>
      </c>
      <c r="K332" s="0" t="n">
        <v>0</v>
      </c>
      <c r="L332" s="32" t="s">
        <v>747</v>
      </c>
      <c r="M332" s="0" t="str">
        <f aca="false">IF(L332="GEN","GM",L332)</f>
        <v>GM</v>
      </c>
    </row>
    <row r="333" customFormat="false" ht="15" hidden="false" customHeight="false" outlineLevel="0" collapsed="false">
      <c r="A333" s="0" t="s">
        <v>6942</v>
      </c>
      <c r="B333" s="0" t="s">
        <v>6943</v>
      </c>
      <c r="C333" s="0" t="s">
        <v>780</v>
      </c>
      <c r="D333" s="0" t="s">
        <v>2088</v>
      </c>
      <c r="E333" s="31" t="n">
        <v>45675</v>
      </c>
      <c r="F333" s="32" t="s">
        <v>1125</v>
      </c>
      <c r="G333" s="0" t="n">
        <v>12</v>
      </c>
      <c r="H333" s="0" t="n">
        <v>12</v>
      </c>
      <c r="I333" s="32" t="s">
        <v>2081</v>
      </c>
      <c r="J333" s="32" t="s">
        <v>2081</v>
      </c>
      <c r="K333" s="0" t="n">
        <v>0</v>
      </c>
      <c r="L333" s="32" t="s">
        <v>785</v>
      </c>
      <c r="M333" s="0" t="str">
        <f aca="false">IF(L333="GEN","GM",L333)</f>
        <v>RS</v>
      </c>
    </row>
    <row r="334" customFormat="false" ht="15" hidden="false" customHeight="false" outlineLevel="0" collapsed="false">
      <c r="A334" s="0" t="s">
        <v>6944</v>
      </c>
      <c r="B334" s="0" t="s">
        <v>6945</v>
      </c>
      <c r="C334" s="0" t="s">
        <v>6696</v>
      </c>
      <c r="D334" s="0" t="s">
        <v>2088</v>
      </c>
      <c r="E334" s="31" t="n">
        <v>45675</v>
      </c>
      <c r="F334" s="32" t="s">
        <v>6283</v>
      </c>
      <c r="G334" s="0" t="n">
        <v>11.5</v>
      </c>
      <c r="H334" s="0" t="n">
        <v>11.5</v>
      </c>
      <c r="I334" s="32" t="s">
        <v>2106</v>
      </c>
      <c r="J334" s="32" t="s">
        <v>2081</v>
      </c>
      <c r="K334" s="0" t="n">
        <v>0</v>
      </c>
      <c r="L334" s="32" t="s">
        <v>766</v>
      </c>
      <c r="M334" s="0" t="str">
        <f aca="false">IF(L334="GEN","GM",L334)</f>
        <v>OR</v>
      </c>
    </row>
    <row r="335" customFormat="false" ht="15" hidden="false" customHeight="false" outlineLevel="0" collapsed="false">
      <c r="A335" s="0" t="s">
        <v>6946</v>
      </c>
      <c r="B335" s="0" t="s">
        <v>6947</v>
      </c>
      <c r="C335" s="0" t="s">
        <v>6286</v>
      </c>
      <c r="D335" s="0" t="s">
        <v>2088</v>
      </c>
      <c r="E335" s="31" t="n">
        <v>45675</v>
      </c>
      <c r="F335" s="32" t="s">
        <v>1125</v>
      </c>
      <c r="G335" s="0" t="n">
        <v>12</v>
      </c>
      <c r="H335" s="0" t="n">
        <v>12</v>
      </c>
      <c r="I335" s="32" t="s">
        <v>2081</v>
      </c>
      <c r="J335" s="32" t="s">
        <v>2081</v>
      </c>
      <c r="K335" s="0" t="n">
        <v>0</v>
      </c>
      <c r="L335" s="32" t="s">
        <v>776</v>
      </c>
      <c r="M335" s="0" t="str">
        <f aca="false">IF(L335="GEN","GM",L335)</f>
        <v>GS</v>
      </c>
    </row>
    <row r="336" customFormat="false" ht="15" hidden="false" customHeight="false" outlineLevel="0" collapsed="false">
      <c r="A336" s="0" t="s">
        <v>6948</v>
      </c>
      <c r="B336" s="0" t="s">
        <v>6949</v>
      </c>
      <c r="C336" s="0" t="s">
        <v>6286</v>
      </c>
      <c r="D336" s="0" t="s">
        <v>2088</v>
      </c>
      <c r="E336" s="31" t="n">
        <v>45675</v>
      </c>
      <c r="F336" s="32" t="s">
        <v>6287</v>
      </c>
      <c r="G336" s="0" t="n">
        <v>7.5</v>
      </c>
      <c r="H336" s="0" t="n">
        <v>7.5</v>
      </c>
      <c r="I336" s="32" t="s">
        <v>2081</v>
      </c>
      <c r="J336" s="32" t="s">
        <v>2081</v>
      </c>
      <c r="K336" s="0" t="n">
        <v>0</v>
      </c>
      <c r="L336" s="32" t="s">
        <v>766</v>
      </c>
      <c r="M336" s="0" t="str">
        <f aca="false">IF(L336="GEN","GM",L336)</f>
        <v>OR</v>
      </c>
    </row>
    <row r="337" customFormat="false" ht="15" hidden="false" customHeight="false" outlineLevel="0" collapsed="false">
      <c r="A337" s="0" t="s">
        <v>6950</v>
      </c>
      <c r="B337" s="0" t="s">
        <v>6951</v>
      </c>
      <c r="C337" s="0" t="s">
        <v>6295</v>
      </c>
      <c r="D337" s="0" t="s">
        <v>2079</v>
      </c>
      <c r="E337" s="31" t="n">
        <v>45675</v>
      </c>
      <c r="F337" s="32" t="s">
        <v>6287</v>
      </c>
      <c r="G337" s="0" t="n">
        <v>7.5</v>
      </c>
      <c r="H337" s="0" t="n">
        <v>7.5</v>
      </c>
      <c r="I337" s="32" t="s">
        <v>2081</v>
      </c>
      <c r="J337" s="32" t="s">
        <v>2081</v>
      </c>
      <c r="K337" s="0" t="n">
        <v>0</v>
      </c>
      <c r="L337" s="32" t="s">
        <v>758</v>
      </c>
      <c r="M337" s="0" t="str">
        <f aca="false">IF(L337="GEN","GM",L337)</f>
        <v>CS</v>
      </c>
    </row>
    <row r="338" customFormat="false" ht="15" hidden="false" customHeight="false" outlineLevel="0" collapsed="false">
      <c r="A338" s="0" t="s">
        <v>6952</v>
      </c>
      <c r="B338" s="0" t="s">
        <v>6953</v>
      </c>
      <c r="C338" s="0" t="s">
        <v>6295</v>
      </c>
      <c r="D338" s="0" t="s">
        <v>2079</v>
      </c>
      <c r="E338" s="31" t="n">
        <v>45675</v>
      </c>
      <c r="F338" s="32" t="s">
        <v>6283</v>
      </c>
      <c r="G338" s="0" t="n">
        <v>11.5</v>
      </c>
      <c r="H338" s="0" t="n">
        <v>11.5</v>
      </c>
      <c r="I338" s="32" t="s">
        <v>2081</v>
      </c>
      <c r="J338" s="32" t="s">
        <v>2081</v>
      </c>
      <c r="K338" s="0" t="n">
        <v>0</v>
      </c>
      <c r="L338" s="32" t="s">
        <v>766</v>
      </c>
      <c r="M338" s="0" t="str">
        <f aca="false">IF(L338="GEN","GM",L338)</f>
        <v>OR</v>
      </c>
    </row>
    <row r="339" customFormat="false" ht="15" hidden="false" customHeight="false" outlineLevel="0" collapsed="false">
      <c r="A339" s="0" t="s">
        <v>6954</v>
      </c>
      <c r="B339" s="0" t="s">
        <v>6955</v>
      </c>
      <c r="C339" s="0" t="s">
        <v>6286</v>
      </c>
      <c r="D339" s="0" t="s">
        <v>2079</v>
      </c>
      <c r="E339" s="31" t="n">
        <v>45675</v>
      </c>
      <c r="F339" s="32" t="s">
        <v>1125</v>
      </c>
      <c r="G339" s="0" t="n">
        <v>12</v>
      </c>
      <c r="H339" s="0" t="n">
        <v>12</v>
      </c>
      <c r="I339" s="32" t="s">
        <v>2081</v>
      </c>
      <c r="J339" s="32" t="s">
        <v>2081</v>
      </c>
      <c r="K339" s="0" t="n">
        <v>0</v>
      </c>
      <c r="L339" s="32" t="s">
        <v>747</v>
      </c>
      <c r="M339" s="0" t="str">
        <f aca="false">IF(L339="GEN","GM",L339)</f>
        <v>GM</v>
      </c>
    </row>
    <row r="340" customFormat="false" ht="15" hidden="false" customHeight="false" outlineLevel="0" collapsed="false">
      <c r="A340" s="0" t="s">
        <v>6956</v>
      </c>
      <c r="B340" s="0" t="s">
        <v>6957</v>
      </c>
      <c r="C340" s="0" t="s">
        <v>6295</v>
      </c>
      <c r="D340" s="0" t="s">
        <v>2079</v>
      </c>
      <c r="E340" s="31" t="n">
        <v>45675</v>
      </c>
      <c r="F340" s="32" t="s">
        <v>6283</v>
      </c>
      <c r="G340" s="0" t="n">
        <v>11.5</v>
      </c>
      <c r="H340" s="0" t="n">
        <v>11.5</v>
      </c>
      <c r="I340" s="32" t="s">
        <v>2081</v>
      </c>
      <c r="J340" s="32" t="s">
        <v>2081</v>
      </c>
      <c r="K340" s="0" t="n">
        <v>0</v>
      </c>
      <c r="L340" s="32" t="s">
        <v>810</v>
      </c>
      <c r="M340" s="0" t="str">
        <f aca="false">IF(L340="GEN","GM",L340)</f>
        <v>URO</v>
      </c>
    </row>
    <row r="341" customFormat="false" ht="15" hidden="false" customHeight="false" outlineLevel="0" collapsed="false">
      <c r="A341" s="0" t="s">
        <v>6958</v>
      </c>
      <c r="B341" s="0" t="s">
        <v>6959</v>
      </c>
      <c r="C341" s="0" t="s">
        <v>6286</v>
      </c>
      <c r="D341" s="0" t="s">
        <v>2079</v>
      </c>
      <c r="E341" s="31" t="n">
        <v>45675</v>
      </c>
      <c r="F341" s="32" t="s">
        <v>6283</v>
      </c>
      <c r="G341" s="0" t="n">
        <v>11.5</v>
      </c>
      <c r="H341" s="0" t="n">
        <v>12</v>
      </c>
      <c r="I341" s="32" t="s">
        <v>2081</v>
      </c>
      <c r="J341" s="32" t="s">
        <v>2081</v>
      </c>
      <c r="K341" s="0" t="n">
        <v>0.5</v>
      </c>
      <c r="L341" s="32" t="s">
        <v>793</v>
      </c>
      <c r="M341" s="0" t="str">
        <f aca="false">IF(L341="GEN","GM",L341)</f>
        <v>EM</v>
      </c>
    </row>
    <row r="342" customFormat="false" ht="15" hidden="false" customHeight="false" outlineLevel="0" collapsed="false">
      <c r="A342" s="0" t="s">
        <v>6960</v>
      </c>
      <c r="B342" s="0" t="s">
        <v>6961</v>
      </c>
      <c r="C342" s="0" t="s">
        <v>6290</v>
      </c>
      <c r="D342" s="0" t="s">
        <v>2099</v>
      </c>
      <c r="E342" s="31" t="n">
        <v>45675</v>
      </c>
      <c r="F342" s="32" t="s">
        <v>1125</v>
      </c>
      <c r="G342" s="0" t="n">
        <v>12</v>
      </c>
      <c r="H342" s="0" t="n">
        <v>12.5</v>
      </c>
      <c r="I342" s="32" t="s">
        <v>2081</v>
      </c>
      <c r="J342" s="32" t="s">
        <v>2081</v>
      </c>
      <c r="K342" s="0" t="n">
        <v>0.5</v>
      </c>
      <c r="L342" s="32" t="s">
        <v>793</v>
      </c>
      <c r="M342" s="0" t="str">
        <f aca="false">IF(L342="GEN","GM",L342)</f>
        <v>EM</v>
      </c>
    </row>
    <row r="343" customFormat="false" ht="15" hidden="false" customHeight="false" outlineLevel="0" collapsed="false">
      <c r="A343" s="0" t="s">
        <v>6962</v>
      </c>
      <c r="B343" s="0" t="s">
        <v>6963</v>
      </c>
      <c r="C343" s="0" t="s">
        <v>6282</v>
      </c>
      <c r="D343" s="0" t="s">
        <v>2099</v>
      </c>
      <c r="E343" s="31" t="n">
        <v>45675</v>
      </c>
      <c r="F343" s="32" t="s">
        <v>1125</v>
      </c>
      <c r="G343" s="0" t="n">
        <v>12</v>
      </c>
      <c r="H343" s="0" t="n">
        <v>12</v>
      </c>
      <c r="I343" s="32" t="s">
        <v>2081</v>
      </c>
      <c r="J343" s="32" t="s">
        <v>2081</v>
      </c>
      <c r="K343" s="0" t="n">
        <v>0</v>
      </c>
      <c r="L343" s="32" t="s">
        <v>766</v>
      </c>
      <c r="M343" s="0" t="str">
        <f aca="false">IF(L343="GEN","GM",L343)</f>
        <v>OR</v>
      </c>
    </row>
    <row r="344" customFormat="false" ht="15" hidden="false" customHeight="false" outlineLevel="0" collapsed="false">
      <c r="A344" s="0" t="s">
        <v>6964</v>
      </c>
      <c r="B344" s="0" t="s">
        <v>6965</v>
      </c>
      <c r="C344" s="0" t="s">
        <v>6282</v>
      </c>
      <c r="D344" s="0" t="s">
        <v>2099</v>
      </c>
      <c r="E344" s="31" t="n">
        <v>45675</v>
      </c>
      <c r="F344" s="32" t="s">
        <v>1125</v>
      </c>
      <c r="G344" s="0" t="n">
        <v>12</v>
      </c>
      <c r="H344" s="0" t="n">
        <v>12</v>
      </c>
      <c r="I344" s="32" t="s">
        <v>2081</v>
      </c>
      <c r="J344" s="32" t="s">
        <v>2081</v>
      </c>
      <c r="K344" s="0" t="n">
        <v>0</v>
      </c>
      <c r="L344" s="32" t="s">
        <v>826</v>
      </c>
      <c r="M344" s="0" t="str">
        <f aca="false">IF(L344="GEN","GM",L344)</f>
        <v>RHE</v>
      </c>
    </row>
    <row r="345" customFormat="false" ht="15" hidden="false" customHeight="false" outlineLevel="0" collapsed="false">
      <c r="A345" s="0" t="s">
        <v>6966</v>
      </c>
      <c r="B345" s="0" t="s">
        <v>6967</v>
      </c>
      <c r="C345" s="0" t="s">
        <v>6295</v>
      </c>
      <c r="D345" s="0" t="s">
        <v>2099</v>
      </c>
      <c r="E345" s="31" t="n">
        <v>45675</v>
      </c>
      <c r="F345" s="32" t="s">
        <v>1125</v>
      </c>
      <c r="G345" s="0" t="n">
        <v>12</v>
      </c>
      <c r="H345" s="0" t="n">
        <v>12</v>
      </c>
      <c r="I345" s="32" t="s">
        <v>2081</v>
      </c>
      <c r="J345" s="32" t="s">
        <v>2081</v>
      </c>
      <c r="K345" s="0" t="n">
        <v>0</v>
      </c>
      <c r="L345" s="32" t="s">
        <v>793</v>
      </c>
      <c r="M345" s="0" t="str">
        <f aca="false">IF(L345="GEN","GM",L345)</f>
        <v>EM</v>
      </c>
    </row>
    <row r="346" customFormat="false" ht="15" hidden="false" customHeight="false" outlineLevel="0" collapsed="false">
      <c r="A346" s="0" t="s">
        <v>6968</v>
      </c>
      <c r="B346" s="0" t="s">
        <v>6969</v>
      </c>
      <c r="C346" s="0" t="s">
        <v>6286</v>
      </c>
      <c r="D346" s="0" t="s">
        <v>2115</v>
      </c>
      <c r="E346" s="31" t="n">
        <v>45675</v>
      </c>
      <c r="F346" s="32" t="s">
        <v>6283</v>
      </c>
      <c r="G346" s="0" t="n">
        <v>11.5</v>
      </c>
      <c r="H346" s="0" t="n">
        <v>11.5</v>
      </c>
      <c r="I346" s="32" t="s">
        <v>2106</v>
      </c>
      <c r="J346" s="32" t="s">
        <v>2106</v>
      </c>
      <c r="K346" s="0" t="n">
        <v>0</v>
      </c>
      <c r="L346" s="32" t="s">
        <v>793</v>
      </c>
      <c r="M346" s="0" t="str">
        <f aca="false">IF(L346="GEN","GM",L346)</f>
        <v>EM</v>
      </c>
    </row>
    <row r="347" customFormat="false" ht="15" hidden="false" customHeight="false" outlineLevel="0" collapsed="false">
      <c r="A347" s="0" t="s">
        <v>6970</v>
      </c>
      <c r="B347" s="0" t="s">
        <v>6971</v>
      </c>
      <c r="C347" s="0" t="s">
        <v>6282</v>
      </c>
      <c r="D347" s="0" t="s">
        <v>2115</v>
      </c>
      <c r="E347" s="31" t="n">
        <v>45675</v>
      </c>
      <c r="F347" s="32" t="s">
        <v>1125</v>
      </c>
      <c r="G347" s="0" t="n">
        <v>12</v>
      </c>
      <c r="H347" s="0" t="n">
        <v>12</v>
      </c>
      <c r="I347" s="32" t="s">
        <v>2081</v>
      </c>
      <c r="J347" s="32" t="s">
        <v>2081</v>
      </c>
      <c r="K347" s="0" t="n">
        <v>0</v>
      </c>
      <c r="L347" s="32" t="s">
        <v>758</v>
      </c>
      <c r="M347" s="0" t="str">
        <f aca="false">IF(L347="GEN","GM",L347)</f>
        <v>CS</v>
      </c>
    </row>
    <row r="348" customFormat="false" ht="15" hidden="false" customHeight="false" outlineLevel="0" collapsed="false">
      <c r="A348" s="0" t="s">
        <v>6972</v>
      </c>
      <c r="B348" s="0" t="s">
        <v>6973</v>
      </c>
      <c r="C348" s="0" t="s">
        <v>6295</v>
      </c>
      <c r="D348" s="0" t="s">
        <v>2115</v>
      </c>
      <c r="E348" s="31" t="n">
        <v>45675</v>
      </c>
      <c r="F348" s="32" t="s">
        <v>6283</v>
      </c>
      <c r="G348" s="0" t="n">
        <v>11.5</v>
      </c>
      <c r="H348" s="0" t="n">
        <v>11.5</v>
      </c>
      <c r="I348" s="32" t="s">
        <v>2081</v>
      </c>
      <c r="J348" s="32" t="s">
        <v>2081</v>
      </c>
      <c r="K348" s="0" t="n">
        <v>0</v>
      </c>
      <c r="L348" s="32" t="s">
        <v>758</v>
      </c>
      <c r="M348" s="0" t="str">
        <f aca="false">IF(L348="GEN","GM",L348)</f>
        <v>CS</v>
      </c>
    </row>
    <row r="349" customFormat="false" ht="15" hidden="false" customHeight="false" outlineLevel="0" collapsed="false">
      <c r="A349" s="0" t="s">
        <v>6974</v>
      </c>
      <c r="B349" s="0" t="s">
        <v>6975</v>
      </c>
      <c r="C349" s="0" t="s">
        <v>6286</v>
      </c>
      <c r="D349" s="0" t="s">
        <v>2115</v>
      </c>
      <c r="E349" s="31" t="n">
        <v>45675</v>
      </c>
      <c r="F349" s="32" t="s">
        <v>1125</v>
      </c>
      <c r="G349" s="0" t="n">
        <v>12</v>
      </c>
      <c r="H349" s="0" t="n">
        <v>12.5</v>
      </c>
      <c r="I349" s="32" t="s">
        <v>2081</v>
      </c>
      <c r="J349" s="32" t="s">
        <v>2081</v>
      </c>
      <c r="K349" s="0" t="n">
        <v>0.5</v>
      </c>
      <c r="L349" s="32" t="s">
        <v>810</v>
      </c>
      <c r="M349" s="0" t="str">
        <f aca="false">IF(L349="GEN","GM",L349)</f>
        <v>URO</v>
      </c>
    </row>
    <row r="350" customFormat="false" ht="15" hidden="false" customHeight="false" outlineLevel="0" collapsed="false">
      <c r="A350" s="0" t="s">
        <v>6976</v>
      </c>
      <c r="B350" s="0" t="s">
        <v>6977</v>
      </c>
      <c r="C350" s="0" t="s">
        <v>6295</v>
      </c>
      <c r="D350" s="0" t="s">
        <v>2124</v>
      </c>
      <c r="E350" s="31" t="n">
        <v>45675</v>
      </c>
      <c r="F350" s="32" t="s">
        <v>6287</v>
      </c>
      <c r="G350" s="0" t="n">
        <v>7.5</v>
      </c>
      <c r="H350" s="0" t="n">
        <v>7.5</v>
      </c>
      <c r="I350" s="32" t="s">
        <v>2081</v>
      </c>
      <c r="J350" s="32" t="s">
        <v>2081</v>
      </c>
      <c r="K350" s="0" t="n">
        <v>0</v>
      </c>
      <c r="L350" s="32" t="s">
        <v>793</v>
      </c>
      <c r="M350" s="0" t="str">
        <f aca="false">IF(L350="GEN","GM",L350)</f>
        <v>EM</v>
      </c>
    </row>
    <row r="351" customFormat="false" ht="15" hidden="false" customHeight="false" outlineLevel="0" collapsed="false">
      <c r="A351" s="0" t="s">
        <v>6978</v>
      </c>
      <c r="B351" s="0" t="s">
        <v>6979</v>
      </c>
      <c r="C351" s="0" t="s">
        <v>6286</v>
      </c>
      <c r="D351" s="0" t="s">
        <v>2124</v>
      </c>
      <c r="E351" s="31" t="n">
        <v>45675</v>
      </c>
      <c r="F351" s="32" t="s">
        <v>1125</v>
      </c>
      <c r="G351" s="0" t="n">
        <v>12</v>
      </c>
      <c r="H351" s="0" t="n">
        <v>12</v>
      </c>
      <c r="I351" s="32" t="s">
        <v>2081</v>
      </c>
      <c r="J351" s="32" t="s">
        <v>2081</v>
      </c>
      <c r="K351" s="0" t="n">
        <v>0</v>
      </c>
      <c r="L351" s="32" t="s">
        <v>826</v>
      </c>
      <c r="M351" s="0" t="str">
        <f aca="false">IF(L351="GEN","GM",L351)</f>
        <v>RHE</v>
      </c>
    </row>
    <row r="352" customFormat="false" ht="15" hidden="false" customHeight="false" outlineLevel="0" collapsed="false">
      <c r="A352" s="0" t="s">
        <v>6980</v>
      </c>
      <c r="B352" s="0" t="s">
        <v>6981</v>
      </c>
      <c r="C352" s="0" t="s">
        <v>780</v>
      </c>
      <c r="D352" s="0" t="s">
        <v>2124</v>
      </c>
      <c r="E352" s="31" t="n">
        <v>45675</v>
      </c>
      <c r="F352" s="32" t="s">
        <v>6283</v>
      </c>
      <c r="G352" s="0" t="n">
        <v>11.5</v>
      </c>
      <c r="H352" s="0" t="n">
        <v>11.5</v>
      </c>
      <c r="I352" s="32" t="s">
        <v>2081</v>
      </c>
      <c r="J352" s="32" t="s">
        <v>2081</v>
      </c>
      <c r="K352" s="0" t="n">
        <v>0</v>
      </c>
      <c r="L352" s="32" t="s">
        <v>776</v>
      </c>
      <c r="M352" s="0" t="str">
        <f aca="false">IF(L352="GEN","GM",L352)</f>
        <v>GS</v>
      </c>
    </row>
    <row r="353" customFormat="false" ht="15" hidden="false" customHeight="false" outlineLevel="0" collapsed="false">
      <c r="A353" s="0" t="s">
        <v>6982</v>
      </c>
      <c r="B353" s="0" t="s">
        <v>6983</v>
      </c>
      <c r="C353" s="0" t="s">
        <v>6295</v>
      </c>
      <c r="D353" s="0" t="s">
        <v>2124</v>
      </c>
      <c r="E353" s="31" t="n">
        <v>45675</v>
      </c>
      <c r="F353" s="32" t="s">
        <v>1125</v>
      </c>
      <c r="G353" s="0" t="n">
        <v>12</v>
      </c>
      <c r="H353" s="0" t="n">
        <v>12</v>
      </c>
      <c r="I353" s="32" t="s">
        <v>2081</v>
      </c>
      <c r="J353" s="32" t="s">
        <v>2081</v>
      </c>
      <c r="K353" s="0" t="n">
        <v>0</v>
      </c>
      <c r="L353" s="32" t="s">
        <v>785</v>
      </c>
      <c r="M353" s="0" t="str">
        <f aca="false">IF(L353="GEN","GM",L353)</f>
        <v>RS</v>
      </c>
    </row>
    <row r="354" customFormat="false" ht="15" hidden="false" customHeight="false" outlineLevel="0" collapsed="false">
      <c r="A354" s="0" t="s">
        <v>6984</v>
      </c>
      <c r="B354" s="0" t="s">
        <v>6985</v>
      </c>
      <c r="C354" s="0" t="s">
        <v>780</v>
      </c>
      <c r="D354" s="0" t="s">
        <v>2104</v>
      </c>
      <c r="E354" s="31" t="n">
        <v>45675</v>
      </c>
      <c r="F354" s="32" t="s">
        <v>6287</v>
      </c>
      <c r="G354" s="0" t="n">
        <v>7.5</v>
      </c>
      <c r="H354" s="0" t="n">
        <v>9</v>
      </c>
      <c r="I354" s="32" t="s">
        <v>2081</v>
      </c>
      <c r="J354" s="32" t="s">
        <v>2081</v>
      </c>
      <c r="K354" s="0" t="n">
        <v>1.5</v>
      </c>
      <c r="L354" s="32" t="s">
        <v>826</v>
      </c>
      <c r="M354" s="0" t="str">
        <f aca="false">IF(L354="GEN","GM",L354)</f>
        <v>RHE</v>
      </c>
    </row>
    <row r="355" customFormat="false" ht="15" hidden="false" customHeight="false" outlineLevel="0" collapsed="false">
      <c r="A355" s="0" t="s">
        <v>6986</v>
      </c>
      <c r="B355" s="0" t="s">
        <v>6987</v>
      </c>
      <c r="C355" s="0" t="s">
        <v>6286</v>
      </c>
      <c r="D355" s="0" t="s">
        <v>2104</v>
      </c>
      <c r="E355" s="31" t="n">
        <v>45675</v>
      </c>
      <c r="F355" s="32" t="s">
        <v>6287</v>
      </c>
      <c r="G355" s="0" t="n">
        <v>7.5</v>
      </c>
      <c r="H355" s="0" t="n">
        <v>7.5</v>
      </c>
      <c r="I355" s="32" t="s">
        <v>2081</v>
      </c>
      <c r="J355" s="32" t="s">
        <v>2081</v>
      </c>
      <c r="K355" s="0" t="n">
        <v>0</v>
      </c>
      <c r="L355" s="32" t="s">
        <v>766</v>
      </c>
      <c r="M355" s="0" t="str">
        <f aca="false">IF(L355="GEN","GM",L355)</f>
        <v>OR</v>
      </c>
    </row>
    <row r="356" customFormat="false" ht="15" hidden="false" customHeight="false" outlineLevel="0" collapsed="false">
      <c r="A356" s="0" t="s">
        <v>6988</v>
      </c>
      <c r="B356" s="0" t="s">
        <v>6989</v>
      </c>
      <c r="C356" s="0" t="s">
        <v>6286</v>
      </c>
      <c r="D356" s="0" t="s">
        <v>2104</v>
      </c>
      <c r="E356" s="31" t="n">
        <v>45675</v>
      </c>
      <c r="F356" s="32" t="s">
        <v>6283</v>
      </c>
      <c r="G356" s="0" t="n">
        <v>11.5</v>
      </c>
      <c r="H356" s="0" t="n">
        <v>11.5</v>
      </c>
      <c r="I356" s="32" t="s">
        <v>2081</v>
      </c>
      <c r="J356" s="32" t="s">
        <v>2081</v>
      </c>
      <c r="K356" s="0" t="n">
        <v>0</v>
      </c>
      <c r="L356" s="32" t="s">
        <v>826</v>
      </c>
      <c r="M356" s="0" t="str">
        <f aca="false">IF(L356="GEN","GM",L356)</f>
        <v>RHE</v>
      </c>
    </row>
    <row r="357" customFormat="false" ht="15" hidden="false" customHeight="false" outlineLevel="0" collapsed="false">
      <c r="A357" s="0" t="s">
        <v>6990</v>
      </c>
      <c r="B357" s="0" t="s">
        <v>6991</v>
      </c>
      <c r="C357" s="0" t="s">
        <v>780</v>
      </c>
      <c r="D357" s="0" t="s">
        <v>2104</v>
      </c>
      <c r="E357" s="31" t="n">
        <v>45675</v>
      </c>
      <c r="F357" s="32" t="s">
        <v>6287</v>
      </c>
      <c r="G357" s="0" t="n">
        <v>7.5</v>
      </c>
      <c r="H357" s="0" t="n">
        <v>9.1</v>
      </c>
      <c r="I357" s="32" t="s">
        <v>2081</v>
      </c>
      <c r="J357" s="32" t="s">
        <v>2081</v>
      </c>
      <c r="K357" s="0" t="n">
        <v>1.6</v>
      </c>
      <c r="L357" s="32" t="s">
        <v>810</v>
      </c>
      <c r="M357" s="0" t="str">
        <f aca="false">IF(L357="GEN","GM",L357)</f>
        <v>URO</v>
      </c>
    </row>
    <row r="358" customFormat="false" ht="15" hidden="false" customHeight="false" outlineLevel="0" collapsed="false">
      <c r="A358" s="0" t="s">
        <v>6992</v>
      </c>
      <c r="B358" s="0" t="s">
        <v>6993</v>
      </c>
      <c r="C358" s="0" t="s">
        <v>6282</v>
      </c>
      <c r="D358" s="0" t="s">
        <v>3035</v>
      </c>
      <c r="E358" s="31" t="n">
        <v>45675</v>
      </c>
      <c r="F358" s="32" t="s">
        <v>6287</v>
      </c>
      <c r="G358" s="0" t="n">
        <v>7.5</v>
      </c>
      <c r="H358" s="0" t="n">
        <v>7.5</v>
      </c>
      <c r="I358" s="32" t="s">
        <v>2106</v>
      </c>
      <c r="J358" s="32" t="s">
        <v>2081</v>
      </c>
      <c r="K358" s="0" t="n">
        <v>0</v>
      </c>
      <c r="L358" s="32" t="s">
        <v>766</v>
      </c>
      <c r="M358" s="0" t="str">
        <f aca="false">IF(L358="GEN","GM",L358)</f>
        <v>OR</v>
      </c>
    </row>
    <row r="359" customFormat="false" ht="15" hidden="false" customHeight="false" outlineLevel="0" collapsed="false">
      <c r="A359" s="0" t="s">
        <v>6994</v>
      </c>
      <c r="B359" s="0" t="s">
        <v>6995</v>
      </c>
      <c r="C359" s="0" t="s">
        <v>6295</v>
      </c>
      <c r="D359" s="0" t="s">
        <v>3035</v>
      </c>
      <c r="E359" s="31" t="n">
        <v>45675</v>
      </c>
      <c r="F359" s="32" t="s">
        <v>1125</v>
      </c>
      <c r="G359" s="0" t="n">
        <v>12</v>
      </c>
      <c r="H359" s="0" t="n">
        <v>12</v>
      </c>
      <c r="I359" s="32" t="s">
        <v>2081</v>
      </c>
      <c r="J359" s="32" t="s">
        <v>2081</v>
      </c>
      <c r="K359" s="0" t="n">
        <v>0</v>
      </c>
      <c r="L359" s="32" t="s">
        <v>766</v>
      </c>
      <c r="M359" s="0" t="str">
        <f aca="false">IF(L359="GEN","GM",L359)</f>
        <v>OR</v>
      </c>
    </row>
    <row r="360" customFormat="false" ht="15" hidden="false" customHeight="false" outlineLevel="0" collapsed="false">
      <c r="A360" s="0" t="s">
        <v>6996</v>
      </c>
      <c r="B360" s="0" t="s">
        <v>6997</v>
      </c>
      <c r="C360" s="0" t="s">
        <v>6290</v>
      </c>
      <c r="D360" s="0" t="s">
        <v>3035</v>
      </c>
      <c r="E360" s="31" t="n">
        <v>45675</v>
      </c>
      <c r="F360" s="32" t="s">
        <v>6283</v>
      </c>
      <c r="G360" s="0" t="n">
        <v>11.5</v>
      </c>
      <c r="H360" s="0" t="n">
        <v>11.5</v>
      </c>
      <c r="I360" s="32" t="s">
        <v>2081</v>
      </c>
      <c r="J360" s="32" t="s">
        <v>2081</v>
      </c>
      <c r="K360" s="0" t="n">
        <v>0</v>
      </c>
      <c r="L360" s="32" t="s">
        <v>758</v>
      </c>
      <c r="M360" s="0" t="str">
        <f aca="false">IF(L360="GEN","GM",L360)</f>
        <v>CS</v>
      </c>
    </row>
    <row r="361" customFormat="false" ht="15" hidden="false" customHeight="false" outlineLevel="0" collapsed="false">
      <c r="A361" s="0" t="s">
        <v>6998</v>
      </c>
      <c r="B361" s="0" t="s">
        <v>6999</v>
      </c>
      <c r="C361" s="0" t="s">
        <v>6286</v>
      </c>
      <c r="D361" s="0" t="s">
        <v>3035</v>
      </c>
      <c r="E361" s="31" t="n">
        <v>45675</v>
      </c>
      <c r="F361" s="32" t="s">
        <v>6283</v>
      </c>
      <c r="G361" s="0" t="n">
        <v>11.5</v>
      </c>
      <c r="H361" s="0" t="n">
        <v>11.5</v>
      </c>
      <c r="I361" s="32" t="s">
        <v>2081</v>
      </c>
      <c r="J361" s="32" t="s">
        <v>2081</v>
      </c>
      <c r="K361" s="0" t="n">
        <v>0</v>
      </c>
      <c r="L361" s="32" t="s">
        <v>747</v>
      </c>
      <c r="M361" s="0" t="str">
        <f aca="false">IF(L361="GEN","GM",L361)</f>
        <v>GM</v>
      </c>
    </row>
    <row r="362" customFormat="false" ht="15" hidden="false" customHeight="false" outlineLevel="0" collapsed="false">
      <c r="A362" s="0" t="s">
        <v>7000</v>
      </c>
      <c r="B362" s="0" t="s">
        <v>7001</v>
      </c>
      <c r="C362" s="0" t="s">
        <v>6286</v>
      </c>
      <c r="D362" s="0" t="s">
        <v>2088</v>
      </c>
      <c r="E362" s="31" t="n">
        <v>45676</v>
      </c>
      <c r="F362" s="32" t="s">
        <v>6287</v>
      </c>
      <c r="G362" s="0" t="n">
        <v>7.5</v>
      </c>
      <c r="H362" s="0" t="n">
        <v>7.5</v>
      </c>
      <c r="I362" s="32" t="s">
        <v>2081</v>
      </c>
      <c r="J362" s="32" t="s">
        <v>2081</v>
      </c>
      <c r="K362" s="0" t="n">
        <v>0</v>
      </c>
      <c r="L362" s="32" t="s">
        <v>810</v>
      </c>
      <c r="M362" s="0" t="str">
        <f aca="false">IF(L362="GEN","GM",L362)</f>
        <v>URO</v>
      </c>
    </row>
    <row r="363" customFormat="false" ht="15" hidden="false" customHeight="false" outlineLevel="0" collapsed="false">
      <c r="A363" s="0" t="s">
        <v>7002</v>
      </c>
      <c r="B363" s="0" t="s">
        <v>7003</v>
      </c>
      <c r="C363" s="0" t="s">
        <v>6295</v>
      </c>
      <c r="D363" s="0" t="s">
        <v>2088</v>
      </c>
      <c r="E363" s="31" t="n">
        <v>45676</v>
      </c>
      <c r="F363" s="32" t="s">
        <v>1125</v>
      </c>
      <c r="G363" s="0" t="n">
        <v>12</v>
      </c>
      <c r="H363" s="0" t="n">
        <v>12</v>
      </c>
      <c r="I363" s="32" t="s">
        <v>2081</v>
      </c>
      <c r="J363" s="32" t="s">
        <v>2081</v>
      </c>
      <c r="K363" s="0" t="n">
        <v>0</v>
      </c>
      <c r="L363" s="32" t="s">
        <v>826</v>
      </c>
      <c r="M363" s="0" t="str">
        <f aca="false">IF(L363="GEN","GM",L363)</f>
        <v>RHE</v>
      </c>
    </row>
    <row r="364" customFormat="false" ht="15" hidden="false" customHeight="false" outlineLevel="0" collapsed="false">
      <c r="A364" s="0" t="s">
        <v>7004</v>
      </c>
      <c r="B364" s="0" t="s">
        <v>7005</v>
      </c>
      <c r="C364" s="0" t="s">
        <v>780</v>
      </c>
      <c r="D364" s="0" t="s">
        <v>2088</v>
      </c>
      <c r="E364" s="31" t="n">
        <v>45676</v>
      </c>
      <c r="F364" s="32" t="s">
        <v>6283</v>
      </c>
      <c r="G364" s="0" t="n">
        <v>11.5</v>
      </c>
      <c r="H364" s="0" t="n">
        <v>10.5</v>
      </c>
      <c r="I364" s="32" t="s">
        <v>2081</v>
      </c>
      <c r="J364" s="32" t="s">
        <v>2081</v>
      </c>
      <c r="K364" s="0" t="n">
        <v>0</v>
      </c>
      <c r="L364" s="32" t="s">
        <v>747</v>
      </c>
      <c r="M364" s="0" t="str">
        <f aca="false">IF(L364="GEN","GM",L364)</f>
        <v>GM</v>
      </c>
    </row>
    <row r="365" customFormat="false" ht="15" hidden="false" customHeight="false" outlineLevel="0" collapsed="false">
      <c r="A365" s="0" t="s">
        <v>7006</v>
      </c>
      <c r="B365" s="0" t="s">
        <v>7007</v>
      </c>
      <c r="C365" s="0" t="s">
        <v>6295</v>
      </c>
      <c r="D365" s="0" t="s">
        <v>2088</v>
      </c>
      <c r="E365" s="31" t="n">
        <v>45676</v>
      </c>
      <c r="F365" s="32" t="s">
        <v>6283</v>
      </c>
      <c r="G365" s="0" t="n">
        <v>11.5</v>
      </c>
      <c r="H365" s="0" t="n">
        <v>11.5</v>
      </c>
      <c r="I365" s="32" t="s">
        <v>2106</v>
      </c>
      <c r="J365" s="32" t="s">
        <v>2081</v>
      </c>
      <c r="K365" s="0" t="n">
        <v>0</v>
      </c>
      <c r="L365" s="32" t="s">
        <v>747</v>
      </c>
      <c r="M365" s="0" t="str">
        <f aca="false">IF(L365="GEN","GM",L365)</f>
        <v>GM</v>
      </c>
    </row>
    <row r="366" customFormat="false" ht="15" hidden="false" customHeight="false" outlineLevel="0" collapsed="false">
      <c r="A366" s="0" t="s">
        <v>7008</v>
      </c>
      <c r="B366" s="0" t="s">
        <v>7009</v>
      </c>
      <c r="C366" s="0" t="s">
        <v>6286</v>
      </c>
      <c r="D366" s="0" t="s">
        <v>2088</v>
      </c>
      <c r="E366" s="31" t="n">
        <v>45676</v>
      </c>
      <c r="F366" s="32" t="s">
        <v>1125</v>
      </c>
      <c r="G366" s="0" t="n">
        <v>12</v>
      </c>
      <c r="H366" s="0" t="n">
        <v>12</v>
      </c>
      <c r="I366" s="32" t="s">
        <v>2081</v>
      </c>
      <c r="J366" s="32" t="s">
        <v>2081</v>
      </c>
      <c r="K366" s="0" t="n">
        <v>0</v>
      </c>
      <c r="L366" s="32" t="s">
        <v>747</v>
      </c>
      <c r="M366" s="0" t="str">
        <f aca="false">IF(L366="GEN","GM",L366)</f>
        <v>GM</v>
      </c>
    </row>
    <row r="367" customFormat="false" ht="15" hidden="false" customHeight="false" outlineLevel="0" collapsed="false">
      <c r="A367" s="0" t="s">
        <v>7010</v>
      </c>
      <c r="B367" s="0" t="s">
        <v>7011</v>
      </c>
      <c r="C367" s="0" t="s">
        <v>6295</v>
      </c>
      <c r="D367" s="0" t="s">
        <v>2079</v>
      </c>
      <c r="E367" s="31" t="n">
        <v>45676</v>
      </c>
      <c r="F367" s="32" t="s">
        <v>6287</v>
      </c>
      <c r="G367" s="0" t="n">
        <v>7.5</v>
      </c>
      <c r="H367" s="0" t="n">
        <v>7.5</v>
      </c>
      <c r="I367" s="32" t="s">
        <v>2106</v>
      </c>
      <c r="J367" s="32" t="s">
        <v>2081</v>
      </c>
      <c r="K367" s="0" t="n">
        <v>0</v>
      </c>
      <c r="L367" s="32" t="s">
        <v>793</v>
      </c>
      <c r="M367" s="0" t="str">
        <f aca="false">IF(L367="GEN","GM",L367)</f>
        <v>EM</v>
      </c>
    </row>
    <row r="368" customFormat="false" ht="15" hidden="false" customHeight="false" outlineLevel="0" collapsed="false">
      <c r="A368" s="0" t="s">
        <v>7012</v>
      </c>
      <c r="B368" s="0" t="s">
        <v>7013</v>
      </c>
      <c r="C368" s="0" t="s">
        <v>6290</v>
      </c>
      <c r="D368" s="0" t="s">
        <v>2079</v>
      </c>
      <c r="E368" s="31" t="n">
        <v>45676</v>
      </c>
      <c r="F368" s="32" t="s">
        <v>6283</v>
      </c>
      <c r="G368" s="0" t="n">
        <v>11.5</v>
      </c>
      <c r="H368" s="0" t="n">
        <v>11.5</v>
      </c>
      <c r="I368" s="32" t="s">
        <v>2081</v>
      </c>
      <c r="J368" s="32" t="s">
        <v>2081</v>
      </c>
      <c r="K368" s="0" t="n">
        <v>0</v>
      </c>
      <c r="L368" s="32" t="s">
        <v>776</v>
      </c>
      <c r="M368" s="0" t="str">
        <f aca="false">IF(L368="GEN","GM",L368)</f>
        <v>GS</v>
      </c>
    </row>
    <row r="369" customFormat="false" ht="15" hidden="false" customHeight="false" outlineLevel="0" collapsed="false">
      <c r="A369" s="0" t="s">
        <v>7014</v>
      </c>
      <c r="B369" s="0" t="s">
        <v>7015</v>
      </c>
      <c r="C369" s="0" t="s">
        <v>6286</v>
      </c>
      <c r="D369" s="0" t="s">
        <v>2079</v>
      </c>
      <c r="E369" s="31" t="n">
        <v>45676</v>
      </c>
      <c r="F369" s="32" t="s">
        <v>1125</v>
      </c>
      <c r="G369" s="0" t="n">
        <v>12</v>
      </c>
      <c r="H369" s="0" t="n">
        <v>12</v>
      </c>
      <c r="I369" s="32" t="s">
        <v>2106</v>
      </c>
      <c r="J369" s="32" t="s">
        <v>2081</v>
      </c>
      <c r="K369" s="0" t="n">
        <v>0</v>
      </c>
      <c r="L369" s="32" t="s">
        <v>747</v>
      </c>
      <c r="M369" s="0" t="str">
        <f aca="false">IF(L369="GEN","GM",L369)</f>
        <v>GM</v>
      </c>
    </row>
    <row r="370" customFormat="false" ht="15" hidden="false" customHeight="false" outlineLevel="0" collapsed="false">
      <c r="A370" s="0" t="s">
        <v>7016</v>
      </c>
      <c r="B370" s="0" t="s">
        <v>7017</v>
      </c>
      <c r="C370" s="0" t="s">
        <v>6282</v>
      </c>
      <c r="D370" s="0" t="s">
        <v>2099</v>
      </c>
      <c r="E370" s="31" t="n">
        <v>45676</v>
      </c>
      <c r="F370" s="32" t="s">
        <v>6287</v>
      </c>
      <c r="G370" s="0" t="n">
        <v>7.5</v>
      </c>
      <c r="H370" s="0" t="n">
        <v>7.5</v>
      </c>
      <c r="I370" s="32" t="s">
        <v>2081</v>
      </c>
      <c r="J370" s="32" t="s">
        <v>2081</v>
      </c>
      <c r="K370" s="0" t="n">
        <v>0</v>
      </c>
      <c r="L370" s="32" t="s">
        <v>747</v>
      </c>
      <c r="M370" s="0" t="str">
        <f aca="false">IF(L370="GEN","GM",L370)</f>
        <v>GM</v>
      </c>
    </row>
    <row r="371" customFormat="false" ht="15" hidden="false" customHeight="false" outlineLevel="0" collapsed="false">
      <c r="A371" s="0" t="s">
        <v>7018</v>
      </c>
      <c r="B371" s="0" t="s">
        <v>7019</v>
      </c>
      <c r="C371" s="0" t="s">
        <v>6286</v>
      </c>
      <c r="D371" s="0" t="s">
        <v>2099</v>
      </c>
      <c r="E371" s="31" t="n">
        <v>45676</v>
      </c>
      <c r="F371" s="32" t="s">
        <v>6283</v>
      </c>
      <c r="G371" s="0" t="n">
        <v>11.5</v>
      </c>
      <c r="H371" s="0" t="n">
        <v>11.5</v>
      </c>
      <c r="I371" s="32" t="s">
        <v>2081</v>
      </c>
      <c r="J371" s="32" t="s">
        <v>2081</v>
      </c>
      <c r="K371" s="0" t="n">
        <v>0</v>
      </c>
      <c r="L371" s="32" t="s">
        <v>785</v>
      </c>
      <c r="M371" s="0" t="str">
        <f aca="false">IF(L371="GEN","GM",L371)</f>
        <v>RS</v>
      </c>
    </row>
    <row r="372" customFormat="false" ht="15" hidden="false" customHeight="false" outlineLevel="0" collapsed="false">
      <c r="A372" s="0" t="s">
        <v>7020</v>
      </c>
      <c r="B372" s="0" t="s">
        <v>7021</v>
      </c>
      <c r="C372" s="0" t="s">
        <v>6282</v>
      </c>
      <c r="D372" s="0" t="s">
        <v>2099</v>
      </c>
      <c r="E372" s="31" t="n">
        <v>45676</v>
      </c>
      <c r="F372" s="32" t="s">
        <v>6283</v>
      </c>
      <c r="G372" s="0" t="n">
        <v>11.5</v>
      </c>
      <c r="H372" s="0" t="n">
        <v>11.5</v>
      </c>
      <c r="I372" s="32" t="s">
        <v>2106</v>
      </c>
      <c r="J372" s="32" t="s">
        <v>2081</v>
      </c>
      <c r="K372" s="0" t="n">
        <v>0</v>
      </c>
      <c r="L372" s="32" t="s">
        <v>776</v>
      </c>
      <c r="M372" s="0" t="str">
        <f aca="false">IF(L372="GEN","GM",L372)</f>
        <v>GS</v>
      </c>
    </row>
    <row r="373" customFormat="false" ht="15" hidden="false" customHeight="false" outlineLevel="0" collapsed="false">
      <c r="A373" s="0" t="s">
        <v>7022</v>
      </c>
      <c r="B373" s="0" t="s">
        <v>7023</v>
      </c>
      <c r="C373" s="0" t="s">
        <v>6286</v>
      </c>
      <c r="D373" s="0" t="s">
        <v>2115</v>
      </c>
      <c r="E373" s="31" t="n">
        <v>45676</v>
      </c>
      <c r="F373" s="32" t="s">
        <v>6287</v>
      </c>
      <c r="G373" s="0" t="n">
        <v>7.5</v>
      </c>
      <c r="H373" s="0" t="n">
        <v>7.5</v>
      </c>
      <c r="I373" s="32" t="s">
        <v>2081</v>
      </c>
      <c r="J373" s="32" t="s">
        <v>2081</v>
      </c>
      <c r="K373" s="0" t="n">
        <v>0</v>
      </c>
      <c r="L373" s="32" t="s">
        <v>810</v>
      </c>
      <c r="M373" s="0" t="str">
        <f aca="false">IF(L373="GEN","GM",L373)</f>
        <v>URO</v>
      </c>
    </row>
    <row r="374" customFormat="false" ht="15" hidden="false" customHeight="false" outlineLevel="0" collapsed="false">
      <c r="A374" s="0" t="s">
        <v>7024</v>
      </c>
      <c r="B374" s="0" t="s">
        <v>7025</v>
      </c>
      <c r="C374" s="0" t="s">
        <v>6290</v>
      </c>
      <c r="D374" s="0" t="s">
        <v>2115</v>
      </c>
      <c r="E374" s="31" t="n">
        <v>45676</v>
      </c>
      <c r="F374" s="32" t="s">
        <v>6287</v>
      </c>
      <c r="G374" s="0" t="n">
        <v>7.5</v>
      </c>
      <c r="H374" s="0" t="n">
        <v>7.5</v>
      </c>
      <c r="I374" s="32" t="s">
        <v>2081</v>
      </c>
      <c r="J374" s="32" t="s">
        <v>2081</v>
      </c>
      <c r="K374" s="0" t="n">
        <v>0</v>
      </c>
      <c r="L374" s="32" t="s">
        <v>747</v>
      </c>
      <c r="M374" s="0" t="str">
        <f aca="false">IF(L374="GEN","GM",L374)</f>
        <v>GM</v>
      </c>
    </row>
    <row r="375" customFormat="false" ht="15" hidden="false" customHeight="false" outlineLevel="0" collapsed="false">
      <c r="A375" s="0" t="s">
        <v>7026</v>
      </c>
      <c r="B375" s="0" t="s">
        <v>7027</v>
      </c>
      <c r="C375" s="0" t="s">
        <v>6282</v>
      </c>
      <c r="D375" s="0" t="s">
        <v>2115</v>
      </c>
      <c r="E375" s="31" t="n">
        <v>45676</v>
      </c>
      <c r="F375" s="32" t="s">
        <v>1125</v>
      </c>
      <c r="G375" s="0" t="n">
        <v>12</v>
      </c>
      <c r="H375" s="0" t="n">
        <v>12</v>
      </c>
      <c r="I375" s="32" t="s">
        <v>2081</v>
      </c>
      <c r="J375" s="32" t="s">
        <v>2081</v>
      </c>
      <c r="K375" s="0" t="n">
        <v>0</v>
      </c>
      <c r="L375" s="32" t="s">
        <v>793</v>
      </c>
      <c r="M375" s="0" t="str">
        <f aca="false">IF(L375="GEN","GM",L375)</f>
        <v>EM</v>
      </c>
    </row>
    <row r="376" customFormat="false" ht="15" hidden="false" customHeight="false" outlineLevel="0" collapsed="false">
      <c r="A376" s="0" t="s">
        <v>7028</v>
      </c>
      <c r="B376" s="0" t="s">
        <v>7029</v>
      </c>
      <c r="C376" s="0" t="s">
        <v>6295</v>
      </c>
      <c r="D376" s="0" t="s">
        <v>2115</v>
      </c>
      <c r="E376" s="31" t="n">
        <v>45676</v>
      </c>
      <c r="F376" s="32" t="s">
        <v>1125</v>
      </c>
      <c r="G376" s="0" t="n">
        <v>12</v>
      </c>
      <c r="H376" s="0" t="n">
        <v>12</v>
      </c>
      <c r="I376" s="32" t="s">
        <v>2106</v>
      </c>
      <c r="J376" s="32" t="s">
        <v>2081</v>
      </c>
      <c r="K376" s="0" t="n">
        <v>0</v>
      </c>
      <c r="L376" s="32" t="s">
        <v>747</v>
      </c>
      <c r="M376" s="0" t="str">
        <f aca="false">IF(L376="GEN","GM",L376)</f>
        <v>GM</v>
      </c>
    </row>
    <row r="377" customFormat="false" ht="15" hidden="false" customHeight="false" outlineLevel="0" collapsed="false">
      <c r="A377" s="0" t="s">
        <v>7030</v>
      </c>
      <c r="B377" s="0" t="s">
        <v>7031</v>
      </c>
      <c r="C377" s="0" t="s">
        <v>6282</v>
      </c>
      <c r="D377" s="0" t="s">
        <v>2124</v>
      </c>
      <c r="E377" s="31" t="n">
        <v>45676</v>
      </c>
      <c r="F377" s="32" t="s">
        <v>1125</v>
      </c>
      <c r="G377" s="0" t="n">
        <v>12</v>
      </c>
      <c r="H377" s="0" t="n">
        <v>12</v>
      </c>
      <c r="I377" s="32" t="s">
        <v>2081</v>
      </c>
      <c r="J377" s="32" t="s">
        <v>2081</v>
      </c>
      <c r="K377" s="0" t="n">
        <v>0</v>
      </c>
      <c r="L377" s="32" t="s">
        <v>776</v>
      </c>
      <c r="M377" s="0" t="str">
        <f aca="false">IF(L377="GEN","GM",L377)</f>
        <v>GS</v>
      </c>
    </row>
    <row r="378" customFormat="false" ht="15" hidden="false" customHeight="false" outlineLevel="0" collapsed="false">
      <c r="A378" s="0" t="s">
        <v>7032</v>
      </c>
      <c r="B378" s="0" t="s">
        <v>7033</v>
      </c>
      <c r="C378" s="0" t="s">
        <v>6286</v>
      </c>
      <c r="D378" s="0" t="s">
        <v>2124</v>
      </c>
      <c r="E378" s="31" t="n">
        <v>45676</v>
      </c>
      <c r="F378" s="32" t="s">
        <v>6283</v>
      </c>
      <c r="G378" s="0" t="n">
        <v>11.5</v>
      </c>
      <c r="H378" s="0" t="n">
        <v>11.5</v>
      </c>
      <c r="I378" s="32" t="s">
        <v>2081</v>
      </c>
      <c r="J378" s="32" t="s">
        <v>2081</v>
      </c>
      <c r="K378" s="0" t="n">
        <v>0</v>
      </c>
      <c r="L378" s="32" t="s">
        <v>1391</v>
      </c>
      <c r="M378" s="0" t="str">
        <f aca="false">IF(L378="GEN","GM",L378)</f>
        <v>GM</v>
      </c>
    </row>
    <row r="379" customFormat="false" ht="15" hidden="false" customHeight="false" outlineLevel="0" collapsed="false">
      <c r="A379" s="0" t="s">
        <v>7034</v>
      </c>
      <c r="B379" s="0" t="s">
        <v>7035</v>
      </c>
      <c r="C379" s="0" t="s">
        <v>6295</v>
      </c>
      <c r="D379" s="0" t="s">
        <v>2124</v>
      </c>
      <c r="E379" s="31" t="n">
        <v>45676</v>
      </c>
      <c r="F379" s="32" t="s">
        <v>1125</v>
      </c>
      <c r="G379" s="0" t="n">
        <v>12</v>
      </c>
      <c r="H379" s="0" t="n">
        <v>12</v>
      </c>
      <c r="I379" s="32" t="s">
        <v>2081</v>
      </c>
      <c r="J379" s="32" t="s">
        <v>2081</v>
      </c>
      <c r="K379" s="0" t="n">
        <v>0</v>
      </c>
      <c r="L379" s="32" t="s">
        <v>802</v>
      </c>
      <c r="M379" s="0" t="str">
        <f aca="false">IF(L379="GEN","GM",L379)</f>
        <v>GYN</v>
      </c>
    </row>
    <row r="380" customFormat="false" ht="15" hidden="false" customHeight="false" outlineLevel="0" collapsed="false">
      <c r="A380" s="0" t="s">
        <v>7036</v>
      </c>
      <c r="B380" s="0" t="s">
        <v>7037</v>
      </c>
      <c r="C380" s="0" t="s">
        <v>6295</v>
      </c>
      <c r="D380" s="0" t="s">
        <v>2124</v>
      </c>
      <c r="E380" s="31" t="n">
        <v>45676</v>
      </c>
      <c r="F380" s="32" t="s">
        <v>6283</v>
      </c>
      <c r="G380" s="0" t="n">
        <v>11.5</v>
      </c>
      <c r="H380" s="0" t="n">
        <v>11.5</v>
      </c>
      <c r="I380" s="32" t="s">
        <v>2081</v>
      </c>
      <c r="J380" s="32" t="s">
        <v>2081</v>
      </c>
      <c r="K380" s="0" t="n">
        <v>0</v>
      </c>
      <c r="L380" s="32" t="s">
        <v>747</v>
      </c>
      <c r="M380" s="0" t="str">
        <f aca="false">IF(L380="GEN","GM",L380)</f>
        <v>GM</v>
      </c>
    </row>
    <row r="381" customFormat="false" ht="15" hidden="false" customHeight="false" outlineLevel="0" collapsed="false">
      <c r="A381" s="0" t="s">
        <v>7038</v>
      </c>
      <c r="B381" s="0" t="s">
        <v>7039</v>
      </c>
      <c r="C381" s="0" t="s">
        <v>6282</v>
      </c>
      <c r="D381" s="0" t="s">
        <v>2124</v>
      </c>
      <c r="E381" s="31" t="n">
        <v>45676</v>
      </c>
      <c r="F381" s="32" t="s">
        <v>6287</v>
      </c>
      <c r="G381" s="0" t="n">
        <v>7.5</v>
      </c>
      <c r="H381" s="0" t="n">
        <v>7.5</v>
      </c>
      <c r="I381" s="32" t="s">
        <v>2081</v>
      </c>
      <c r="J381" s="32" t="s">
        <v>2081</v>
      </c>
      <c r="K381" s="0" t="n">
        <v>0</v>
      </c>
      <c r="L381" s="32" t="s">
        <v>826</v>
      </c>
      <c r="M381" s="0" t="str">
        <f aca="false">IF(L381="GEN","GM",L381)</f>
        <v>RHE</v>
      </c>
    </row>
    <row r="382" customFormat="false" ht="15" hidden="false" customHeight="false" outlineLevel="0" collapsed="false">
      <c r="A382" s="0" t="s">
        <v>7040</v>
      </c>
      <c r="B382" s="0" t="s">
        <v>7041</v>
      </c>
      <c r="C382" s="0" t="s">
        <v>780</v>
      </c>
      <c r="D382" s="0" t="s">
        <v>2104</v>
      </c>
      <c r="E382" s="31" t="n">
        <v>45676</v>
      </c>
      <c r="F382" s="32" t="s">
        <v>6283</v>
      </c>
      <c r="G382" s="0" t="n">
        <v>11.5</v>
      </c>
      <c r="H382" s="0" t="n">
        <v>11.5</v>
      </c>
      <c r="I382" s="32" t="s">
        <v>2081</v>
      </c>
      <c r="J382" s="32" t="s">
        <v>2081</v>
      </c>
      <c r="K382" s="0" t="n">
        <v>0</v>
      </c>
      <c r="L382" s="32" t="s">
        <v>776</v>
      </c>
      <c r="M382" s="0" t="str">
        <f aca="false">IF(L382="GEN","GM",L382)</f>
        <v>GS</v>
      </c>
    </row>
    <row r="383" customFormat="false" ht="15" hidden="false" customHeight="false" outlineLevel="0" collapsed="false">
      <c r="A383" s="0" t="s">
        <v>7042</v>
      </c>
      <c r="B383" s="0" t="s">
        <v>7043</v>
      </c>
      <c r="C383" s="0" t="s">
        <v>6286</v>
      </c>
      <c r="D383" s="0" t="s">
        <v>2104</v>
      </c>
      <c r="E383" s="31" t="n">
        <v>45676</v>
      </c>
      <c r="F383" s="32" t="s">
        <v>6287</v>
      </c>
      <c r="G383" s="0" t="n">
        <v>7.5</v>
      </c>
      <c r="H383" s="0" t="n">
        <v>7.5</v>
      </c>
      <c r="I383" s="32" t="s">
        <v>2081</v>
      </c>
      <c r="J383" s="32" t="s">
        <v>2081</v>
      </c>
      <c r="K383" s="0" t="n">
        <v>0</v>
      </c>
      <c r="L383" s="32" t="s">
        <v>802</v>
      </c>
      <c r="M383" s="0" t="str">
        <f aca="false">IF(L383="GEN","GM",L383)</f>
        <v>GYN</v>
      </c>
    </row>
    <row r="384" customFormat="false" ht="15" hidden="false" customHeight="false" outlineLevel="0" collapsed="false">
      <c r="A384" s="0" t="s">
        <v>7044</v>
      </c>
      <c r="B384" s="0" t="s">
        <v>7045</v>
      </c>
      <c r="C384" s="0" t="s">
        <v>6286</v>
      </c>
      <c r="D384" s="0" t="s">
        <v>2104</v>
      </c>
      <c r="E384" s="31" t="n">
        <v>45676</v>
      </c>
      <c r="F384" s="32" t="s">
        <v>1125</v>
      </c>
      <c r="G384" s="0" t="n">
        <v>12</v>
      </c>
      <c r="H384" s="0" t="n">
        <v>12</v>
      </c>
      <c r="I384" s="32" t="s">
        <v>2106</v>
      </c>
      <c r="J384" s="32" t="s">
        <v>2081</v>
      </c>
      <c r="K384" s="0" t="n">
        <v>0</v>
      </c>
      <c r="L384" s="32" t="s">
        <v>826</v>
      </c>
      <c r="M384" s="0" t="str">
        <f aca="false">IF(L384="GEN","GM",L384)</f>
        <v>RHE</v>
      </c>
    </row>
    <row r="385" customFormat="false" ht="15" hidden="false" customHeight="false" outlineLevel="0" collapsed="false">
      <c r="A385" s="0" t="s">
        <v>7046</v>
      </c>
      <c r="B385" s="0" t="s">
        <v>7047</v>
      </c>
      <c r="C385" s="0" t="s">
        <v>6290</v>
      </c>
      <c r="D385" s="0" t="s">
        <v>2104</v>
      </c>
      <c r="E385" s="31" t="n">
        <v>45676</v>
      </c>
      <c r="F385" s="32" t="s">
        <v>6287</v>
      </c>
      <c r="G385" s="0" t="n">
        <v>7.5</v>
      </c>
      <c r="H385" s="0" t="n">
        <v>7.5</v>
      </c>
      <c r="I385" s="32" t="s">
        <v>2081</v>
      </c>
      <c r="J385" s="32" t="s">
        <v>2081</v>
      </c>
      <c r="K385" s="0" t="n">
        <v>0</v>
      </c>
      <c r="L385" s="32" t="s">
        <v>766</v>
      </c>
      <c r="M385" s="0" t="str">
        <f aca="false">IF(L385="GEN","GM",L385)</f>
        <v>OR</v>
      </c>
    </row>
    <row r="386" customFormat="false" ht="15" hidden="false" customHeight="false" outlineLevel="0" collapsed="false">
      <c r="A386" s="0" t="s">
        <v>7048</v>
      </c>
      <c r="B386" s="0" t="s">
        <v>7049</v>
      </c>
      <c r="C386" s="0" t="s">
        <v>6290</v>
      </c>
      <c r="D386" s="0" t="s">
        <v>2104</v>
      </c>
      <c r="E386" s="31" t="n">
        <v>45676</v>
      </c>
      <c r="F386" s="32" t="s">
        <v>6283</v>
      </c>
      <c r="G386" s="0" t="n">
        <v>11.5</v>
      </c>
      <c r="H386" s="0" t="n">
        <v>11.5</v>
      </c>
      <c r="I386" s="32" t="s">
        <v>2081</v>
      </c>
      <c r="J386" s="32" t="s">
        <v>2081</v>
      </c>
      <c r="K386" s="0" t="n">
        <v>0</v>
      </c>
      <c r="L386" s="32" t="s">
        <v>766</v>
      </c>
      <c r="M386" s="0" t="str">
        <f aca="false">IF(L386="GEN","GM",L386)</f>
        <v>OR</v>
      </c>
    </row>
    <row r="387" customFormat="false" ht="15" hidden="false" customHeight="false" outlineLevel="0" collapsed="false">
      <c r="A387" s="0" t="s">
        <v>7050</v>
      </c>
      <c r="B387" s="0" t="s">
        <v>7051</v>
      </c>
      <c r="C387" s="0" t="s">
        <v>6295</v>
      </c>
      <c r="D387" s="0" t="s">
        <v>3035</v>
      </c>
      <c r="E387" s="31" t="n">
        <v>45676</v>
      </c>
      <c r="F387" s="32" t="s">
        <v>6283</v>
      </c>
      <c r="G387" s="0" t="n">
        <v>11.5</v>
      </c>
      <c r="H387" s="0" t="n">
        <v>11.5</v>
      </c>
      <c r="I387" s="32" t="s">
        <v>2081</v>
      </c>
      <c r="J387" s="32" t="s">
        <v>2081</v>
      </c>
      <c r="K387" s="0" t="n">
        <v>0</v>
      </c>
      <c r="L387" s="32" t="s">
        <v>766</v>
      </c>
      <c r="M387" s="0" t="str">
        <f aca="false">IF(L387="GEN","GM",L387)</f>
        <v>OR</v>
      </c>
    </row>
    <row r="388" customFormat="false" ht="15" hidden="false" customHeight="false" outlineLevel="0" collapsed="false">
      <c r="A388" s="0" t="s">
        <v>7052</v>
      </c>
      <c r="C388" s="0" t="s">
        <v>6295</v>
      </c>
      <c r="D388" s="0" t="s">
        <v>3035</v>
      </c>
      <c r="E388" s="31" t="n">
        <v>45676</v>
      </c>
      <c r="F388" s="32" t="s">
        <v>6283</v>
      </c>
      <c r="G388" s="0" t="n">
        <v>11.5</v>
      </c>
      <c r="H388" s="0" t="n">
        <v>11.5</v>
      </c>
      <c r="I388" s="32" t="s">
        <v>2106</v>
      </c>
      <c r="J388" s="32" t="s">
        <v>2081</v>
      </c>
      <c r="K388" s="0" t="n">
        <v>0</v>
      </c>
      <c r="L388" s="32" t="s">
        <v>826</v>
      </c>
      <c r="M388" s="0" t="str">
        <f aca="false">IF(L388="GEN","GM",L388)</f>
        <v>RHE</v>
      </c>
    </row>
    <row r="389" customFormat="false" ht="15" hidden="false" customHeight="false" outlineLevel="0" collapsed="false">
      <c r="A389" s="0" t="s">
        <v>7053</v>
      </c>
      <c r="B389" s="0" t="s">
        <v>7054</v>
      </c>
      <c r="C389" s="0" t="s">
        <v>780</v>
      </c>
      <c r="D389" s="0" t="s">
        <v>3035</v>
      </c>
      <c r="E389" s="31" t="n">
        <v>45676</v>
      </c>
      <c r="F389" s="32" t="s">
        <v>6287</v>
      </c>
      <c r="G389" s="0" t="n">
        <v>7.5</v>
      </c>
      <c r="H389" s="0" t="n">
        <v>7.5</v>
      </c>
      <c r="I389" s="32" t="s">
        <v>2081</v>
      </c>
      <c r="J389" s="32" t="s">
        <v>2081</v>
      </c>
      <c r="K389" s="0" t="n">
        <v>0</v>
      </c>
      <c r="L389" s="32" t="s">
        <v>785</v>
      </c>
      <c r="M389" s="0" t="str">
        <f aca="false">IF(L389="GEN","GM",L389)</f>
        <v>RS</v>
      </c>
    </row>
    <row r="390" customFormat="false" ht="15" hidden="false" customHeight="false" outlineLevel="0" collapsed="false">
      <c r="A390" s="0" t="s">
        <v>7055</v>
      </c>
      <c r="B390" s="0" t="s">
        <v>7056</v>
      </c>
      <c r="C390" s="0" t="s">
        <v>6295</v>
      </c>
      <c r="D390" s="0" t="s">
        <v>2088</v>
      </c>
      <c r="E390" s="31" t="n">
        <v>45677</v>
      </c>
      <c r="F390" s="32" t="s">
        <v>6283</v>
      </c>
      <c r="G390" s="0" t="n">
        <v>11.5</v>
      </c>
      <c r="H390" s="0" t="n">
        <v>11.5</v>
      </c>
      <c r="I390" s="32" t="s">
        <v>2106</v>
      </c>
      <c r="J390" s="32" t="s">
        <v>2106</v>
      </c>
      <c r="K390" s="0" t="n">
        <v>0</v>
      </c>
      <c r="L390" s="32" t="s">
        <v>747</v>
      </c>
      <c r="M390" s="0" t="str">
        <f aca="false">IF(L390="GEN","GM",L390)</f>
        <v>GM</v>
      </c>
    </row>
    <row r="391" customFormat="false" ht="15" hidden="false" customHeight="false" outlineLevel="0" collapsed="false">
      <c r="A391" s="0" t="s">
        <v>7057</v>
      </c>
      <c r="B391" s="0" t="s">
        <v>7058</v>
      </c>
      <c r="C391" s="0" t="s">
        <v>6295</v>
      </c>
      <c r="D391" s="0" t="s">
        <v>2088</v>
      </c>
      <c r="E391" s="31" t="n">
        <v>45677</v>
      </c>
      <c r="F391" s="32" t="s">
        <v>6287</v>
      </c>
      <c r="G391" s="0" t="n">
        <v>7.5</v>
      </c>
      <c r="H391" s="0" t="n">
        <v>7.5</v>
      </c>
      <c r="I391" s="32" t="s">
        <v>2081</v>
      </c>
      <c r="J391" s="32" t="s">
        <v>2081</v>
      </c>
      <c r="K391" s="0" t="n">
        <v>0</v>
      </c>
      <c r="L391" s="32" t="s">
        <v>747</v>
      </c>
      <c r="M391" s="0" t="str">
        <f aca="false">IF(L391="GEN","GM",L391)</f>
        <v>GM</v>
      </c>
    </row>
    <row r="392" customFormat="false" ht="15" hidden="false" customHeight="false" outlineLevel="0" collapsed="false">
      <c r="A392" s="0" t="s">
        <v>7059</v>
      </c>
      <c r="B392" s="0" t="s">
        <v>7060</v>
      </c>
      <c r="C392" s="0" t="s">
        <v>6295</v>
      </c>
      <c r="D392" s="0" t="s">
        <v>2088</v>
      </c>
      <c r="E392" s="31" t="n">
        <v>45677</v>
      </c>
      <c r="F392" s="32" t="s">
        <v>1125</v>
      </c>
      <c r="G392" s="0" t="n">
        <v>12</v>
      </c>
      <c r="H392" s="0" t="n">
        <v>12</v>
      </c>
      <c r="I392" s="32" t="s">
        <v>2106</v>
      </c>
      <c r="J392" s="32" t="s">
        <v>2081</v>
      </c>
      <c r="K392" s="0" t="n">
        <v>0</v>
      </c>
      <c r="L392" s="32" t="s">
        <v>785</v>
      </c>
      <c r="M392" s="0" t="str">
        <f aca="false">IF(L392="GEN","GM",L392)</f>
        <v>RS</v>
      </c>
    </row>
    <row r="393" customFormat="false" ht="15" hidden="false" customHeight="false" outlineLevel="0" collapsed="false">
      <c r="A393" s="0" t="s">
        <v>7061</v>
      </c>
      <c r="B393" s="0" t="s">
        <v>7062</v>
      </c>
      <c r="C393" s="0" t="s">
        <v>6286</v>
      </c>
      <c r="D393" s="0" t="s">
        <v>2079</v>
      </c>
      <c r="E393" s="31" t="n">
        <v>45677</v>
      </c>
      <c r="F393" s="32" t="s">
        <v>6287</v>
      </c>
      <c r="G393" s="0" t="n">
        <v>7.5</v>
      </c>
      <c r="H393" s="0" t="n">
        <v>7.5</v>
      </c>
      <c r="I393" s="32" t="s">
        <v>2081</v>
      </c>
      <c r="J393" s="32" t="s">
        <v>2081</v>
      </c>
      <c r="K393" s="0" t="n">
        <v>0</v>
      </c>
      <c r="L393" s="32" t="s">
        <v>802</v>
      </c>
      <c r="M393" s="0" t="str">
        <f aca="false">IF(L393="GEN","GM",L393)</f>
        <v>GYN</v>
      </c>
    </row>
    <row r="394" customFormat="false" ht="15" hidden="false" customHeight="false" outlineLevel="0" collapsed="false">
      <c r="A394" s="0" t="s">
        <v>7063</v>
      </c>
      <c r="B394" s="0" t="s">
        <v>7064</v>
      </c>
      <c r="C394" s="0" t="s">
        <v>6290</v>
      </c>
      <c r="D394" s="0" t="s">
        <v>2079</v>
      </c>
      <c r="E394" s="31" t="n">
        <v>45677</v>
      </c>
      <c r="F394" s="32" t="s">
        <v>1125</v>
      </c>
      <c r="G394" s="0" t="n">
        <v>12</v>
      </c>
      <c r="H394" s="0" t="n">
        <v>12.5</v>
      </c>
      <c r="I394" s="32" t="s">
        <v>2081</v>
      </c>
      <c r="J394" s="32" t="s">
        <v>2081</v>
      </c>
      <c r="K394" s="0" t="n">
        <v>0.5</v>
      </c>
      <c r="L394" s="32" t="s">
        <v>776</v>
      </c>
      <c r="M394" s="0" t="str">
        <f aca="false">IF(L394="GEN","GM",L394)</f>
        <v>GS</v>
      </c>
    </row>
    <row r="395" customFormat="false" ht="15" hidden="false" customHeight="false" outlineLevel="0" collapsed="false">
      <c r="A395" s="0" t="s">
        <v>7065</v>
      </c>
      <c r="B395" s="0" t="s">
        <v>7066</v>
      </c>
      <c r="C395" s="0" t="s">
        <v>6286</v>
      </c>
      <c r="D395" s="0" t="s">
        <v>2079</v>
      </c>
      <c r="E395" s="31" t="n">
        <v>45677</v>
      </c>
      <c r="F395" s="32" t="s">
        <v>6283</v>
      </c>
      <c r="G395" s="0" t="n">
        <v>11.5</v>
      </c>
      <c r="H395" s="0" t="n">
        <v>11.5</v>
      </c>
      <c r="I395" s="32" t="s">
        <v>2081</v>
      </c>
      <c r="J395" s="32" t="s">
        <v>2081</v>
      </c>
      <c r="K395" s="0" t="n">
        <v>0</v>
      </c>
      <c r="L395" s="32" t="s">
        <v>826</v>
      </c>
      <c r="M395" s="0" t="str">
        <f aca="false">IF(L395="GEN","GM",L395)</f>
        <v>RHE</v>
      </c>
    </row>
    <row r="396" customFormat="false" ht="15" hidden="false" customHeight="false" outlineLevel="0" collapsed="false">
      <c r="A396" s="0" t="s">
        <v>7067</v>
      </c>
      <c r="B396" s="0" t="s">
        <v>7068</v>
      </c>
      <c r="C396" s="0" t="s">
        <v>6286</v>
      </c>
      <c r="D396" s="0" t="s">
        <v>2079</v>
      </c>
      <c r="E396" s="31" t="n">
        <v>45677</v>
      </c>
      <c r="F396" s="32" t="s">
        <v>6283</v>
      </c>
      <c r="G396" s="0" t="n">
        <v>11.5</v>
      </c>
      <c r="H396" s="0" t="n">
        <v>11.5</v>
      </c>
      <c r="I396" s="32" t="s">
        <v>2106</v>
      </c>
      <c r="J396" s="32" t="s">
        <v>2081</v>
      </c>
      <c r="K396" s="0" t="n">
        <v>0</v>
      </c>
      <c r="L396" s="32" t="s">
        <v>766</v>
      </c>
      <c r="M396" s="0" t="str">
        <f aca="false">IF(L396="GEN","GM",L396)</f>
        <v>OR</v>
      </c>
    </row>
    <row r="397" customFormat="false" ht="15" hidden="false" customHeight="false" outlineLevel="0" collapsed="false">
      <c r="A397" s="0" t="s">
        <v>7069</v>
      </c>
      <c r="B397" s="0" t="s">
        <v>7070</v>
      </c>
      <c r="C397" s="0" t="s">
        <v>6286</v>
      </c>
      <c r="D397" s="0" t="s">
        <v>2099</v>
      </c>
      <c r="E397" s="31" t="n">
        <v>45677</v>
      </c>
      <c r="F397" s="32" t="s">
        <v>6287</v>
      </c>
      <c r="G397" s="0" t="n">
        <v>7.5</v>
      </c>
      <c r="H397" s="0" t="n">
        <v>7.5</v>
      </c>
      <c r="I397" s="32" t="s">
        <v>2081</v>
      </c>
      <c r="J397" s="32" t="s">
        <v>2081</v>
      </c>
      <c r="K397" s="0" t="n">
        <v>0</v>
      </c>
      <c r="L397" s="32" t="s">
        <v>747</v>
      </c>
      <c r="M397" s="0" t="str">
        <f aca="false">IF(L397="GEN","GM",L397)</f>
        <v>GM</v>
      </c>
    </row>
    <row r="398" customFormat="false" ht="15" hidden="false" customHeight="false" outlineLevel="0" collapsed="false">
      <c r="A398" s="0" t="s">
        <v>7071</v>
      </c>
      <c r="B398" s="0" t="s">
        <v>7072</v>
      </c>
      <c r="C398" s="0" t="s">
        <v>6286</v>
      </c>
      <c r="D398" s="0" t="s">
        <v>2099</v>
      </c>
      <c r="E398" s="31" t="n">
        <v>45677</v>
      </c>
      <c r="F398" s="32" t="s">
        <v>6287</v>
      </c>
      <c r="G398" s="0" t="n">
        <v>7.5</v>
      </c>
      <c r="H398" s="0" t="n">
        <v>7.5</v>
      </c>
      <c r="I398" s="32" t="s">
        <v>2081</v>
      </c>
      <c r="J398" s="32" t="s">
        <v>2081</v>
      </c>
      <c r="K398" s="0" t="n">
        <v>0</v>
      </c>
      <c r="L398" s="32" t="s">
        <v>802</v>
      </c>
      <c r="M398" s="0" t="str">
        <f aca="false">IF(L398="GEN","GM",L398)</f>
        <v>GYN</v>
      </c>
    </row>
    <row r="399" customFormat="false" ht="15" hidden="false" customHeight="false" outlineLevel="0" collapsed="false">
      <c r="A399" s="0" t="s">
        <v>7073</v>
      </c>
      <c r="B399" s="0" t="s">
        <v>7074</v>
      </c>
      <c r="C399" s="0" t="s">
        <v>6286</v>
      </c>
      <c r="D399" s="0" t="s">
        <v>2099</v>
      </c>
      <c r="E399" s="31" t="n">
        <v>45677</v>
      </c>
      <c r="F399" s="32" t="s">
        <v>1125</v>
      </c>
      <c r="G399" s="0" t="n">
        <v>12</v>
      </c>
      <c r="H399" s="0" t="n">
        <v>12</v>
      </c>
      <c r="I399" s="32" t="s">
        <v>2081</v>
      </c>
      <c r="J399" s="32" t="s">
        <v>2081</v>
      </c>
      <c r="K399" s="0" t="n">
        <v>0</v>
      </c>
      <c r="L399" s="32" t="s">
        <v>802</v>
      </c>
      <c r="M399" s="0" t="str">
        <f aca="false">IF(L399="GEN","GM",L399)</f>
        <v>GYN</v>
      </c>
    </row>
    <row r="400" customFormat="false" ht="15" hidden="false" customHeight="false" outlineLevel="0" collapsed="false">
      <c r="A400" s="0" t="s">
        <v>7075</v>
      </c>
      <c r="B400" s="0" t="s">
        <v>7076</v>
      </c>
      <c r="C400" s="0" t="s">
        <v>780</v>
      </c>
      <c r="D400" s="0" t="s">
        <v>2099</v>
      </c>
      <c r="E400" s="31" t="n">
        <v>45677</v>
      </c>
      <c r="F400" s="32" t="s">
        <v>6287</v>
      </c>
      <c r="G400" s="0" t="n">
        <v>7.5</v>
      </c>
      <c r="H400" s="0" t="n">
        <v>7.5</v>
      </c>
      <c r="I400" s="32" t="s">
        <v>2106</v>
      </c>
      <c r="J400" s="32" t="s">
        <v>2081</v>
      </c>
      <c r="K400" s="0" t="n">
        <v>0</v>
      </c>
      <c r="L400" s="32" t="s">
        <v>758</v>
      </c>
      <c r="M400" s="0" t="str">
        <f aca="false">IF(L400="GEN","GM",L400)</f>
        <v>CS</v>
      </c>
    </row>
    <row r="401" customFormat="false" ht="15" hidden="false" customHeight="false" outlineLevel="0" collapsed="false">
      <c r="A401" s="0" t="s">
        <v>7077</v>
      </c>
      <c r="B401" s="0" t="s">
        <v>7078</v>
      </c>
      <c r="C401" s="0" t="s">
        <v>6286</v>
      </c>
      <c r="D401" s="0" t="s">
        <v>2099</v>
      </c>
      <c r="E401" s="31" t="n">
        <v>45677</v>
      </c>
      <c r="F401" s="32" t="s">
        <v>6283</v>
      </c>
      <c r="G401" s="0" t="n">
        <v>11.5</v>
      </c>
      <c r="H401" s="0" t="n">
        <v>11.5</v>
      </c>
      <c r="I401" s="32" t="s">
        <v>2081</v>
      </c>
      <c r="K401" s="0" t="n">
        <v>0</v>
      </c>
      <c r="L401" s="32" t="s">
        <v>776</v>
      </c>
      <c r="M401" s="0" t="str">
        <f aca="false">IF(L401="GEN","GM",L401)</f>
        <v>GS</v>
      </c>
    </row>
    <row r="402" customFormat="false" ht="15" hidden="false" customHeight="false" outlineLevel="0" collapsed="false">
      <c r="A402" s="0" t="s">
        <v>7079</v>
      </c>
      <c r="B402" s="0" t="s">
        <v>7080</v>
      </c>
      <c r="C402" s="0" t="s">
        <v>6295</v>
      </c>
      <c r="D402" s="0" t="s">
        <v>2115</v>
      </c>
      <c r="E402" s="31" t="n">
        <v>45677</v>
      </c>
      <c r="F402" s="32" t="s">
        <v>6283</v>
      </c>
      <c r="G402" s="0" t="n">
        <v>11.5</v>
      </c>
      <c r="H402" s="0" t="n">
        <v>11.5</v>
      </c>
      <c r="I402" s="32" t="s">
        <v>2081</v>
      </c>
      <c r="J402" s="32" t="s">
        <v>2081</v>
      </c>
      <c r="K402" s="0" t="n">
        <v>0</v>
      </c>
      <c r="L402" s="32" t="s">
        <v>747</v>
      </c>
      <c r="M402" s="0" t="str">
        <f aca="false">IF(L402="GEN","GM",L402)</f>
        <v>GM</v>
      </c>
    </row>
    <row r="403" customFormat="false" ht="15" hidden="false" customHeight="false" outlineLevel="0" collapsed="false">
      <c r="A403" s="0" t="s">
        <v>7081</v>
      </c>
      <c r="B403" s="0" t="s">
        <v>7082</v>
      </c>
      <c r="C403" s="0" t="s">
        <v>6295</v>
      </c>
      <c r="D403" s="0" t="s">
        <v>2115</v>
      </c>
      <c r="E403" s="31" t="n">
        <v>45677</v>
      </c>
      <c r="F403" s="32" t="s">
        <v>6287</v>
      </c>
      <c r="G403" s="0" t="n">
        <v>7.5</v>
      </c>
      <c r="H403" s="0" t="n">
        <v>8.4</v>
      </c>
      <c r="I403" s="32" t="s">
        <v>2081</v>
      </c>
      <c r="J403" s="32" t="s">
        <v>2081</v>
      </c>
      <c r="K403" s="0" t="n">
        <v>0.9</v>
      </c>
      <c r="L403" s="32" t="s">
        <v>758</v>
      </c>
      <c r="M403" s="0" t="str">
        <f aca="false">IF(L403="GEN","GM",L403)</f>
        <v>CS</v>
      </c>
    </row>
    <row r="404" customFormat="false" ht="15" hidden="false" customHeight="false" outlineLevel="0" collapsed="false">
      <c r="A404" s="0" t="s">
        <v>7083</v>
      </c>
      <c r="B404" s="0" t="s">
        <v>7084</v>
      </c>
      <c r="C404" s="0" t="s">
        <v>6286</v>
      </c>
      <c r="D404" s="0" t="s">
        <v>2115</v>
      </c>
      <c r="E404" s="31" t="n">
        <v>45677</v>
      </c>
      <c r="F404" s="32" t="s">
        <v>6287</v>
      </c>
      <c r="G404" s="0" t="n">
        <v>7.5</v>
      </c>
      <c r="H404" s="0" t="n">
        <v>7.5</v>
      </c>
      <c r="I404" s="32" t="s">
        <v>2081</v>
      </c>
      <c r="J404" s="32" t="s">
        <v>2081</v>
      </c>
      <c r="K404" s="0" t="n">
        <v>0</v>
      </c>
      <c r="L404" s="32" t="s">
        <v>747</v>
      </c>
      <c r="M404" s="0" t="str">
        <f aca="false">IF(L404="GEN","GM",L404)</f>
        <v>GM</v>
      </c>
    </row>
    <row r="405" customFormat="false" ht="15" hidden="false" customHeight="false" outlineLevel="0" collapsed="false">
      <c r="A405" s="0" t="s">
        <v>7085</v>
      </c>
      <c r="B405" s="0" t="s">
        <v>7086</v>
      </c>
      <c r="C405" s="0" t="s">
        <v>6295</v>
      </c>
      <c r="D405" s="0" t="s">
        <v>2124</v>
      </c>
      <c r="E405" s="31" t="n">
        <v>45677</v>
      </c>
      <c r="F405" s="32" t="s">
        <v>1125</v>
      </c>
      <c r="G405" s="0" t="n">
        <v>12</v>
      </c>
      <c r="H405" s="0" t="n">
        <v>12</v>
      </c>
      <c r="I405" s="32" t="s">
        <v>2081</v>
      </c>
      <c r="J405" s="32" t="s">
        <v>2081</v>
      </c>
      <c r="K405" s="0" t="n">
        <v>0</v>
      </c>
      <c r="L405" s="32" t="s">
        <v>793</v>
      </c>
      <c r="M405" s="0" t="str">
        <f aca="false">IF(L405="GEN","GM",L405)</f>
        <v>EM</v>
      </c>
    </row>
    <row r="406" customFormat="false" ht="15" hidden="false" customHeight="false" outlineLevel="0" collapsed="false">
      <c r="A406" s="0" t="s">
        <v>7087</v>
      </c>
      <c r="B406" s="0" t="s">
        <v>7088</v>
      </c>
      <c r="C406" s="0" t="s">
        <v>6290</v>
      </c>
      <c r="D406" s="0" t="s">
        <v>2124</v>
      </c>
      <c r="E406" s="31" t="n">
        <v>45677</v>
      </c>
      <c r="F406" s="32" t="s">
        <v>6287</v>
      </c>
      <c r="G406" s="0" t="n">
        <v>7.5</v>
      </c>
      <c r="H406" s="0" t="n">
        <v>7.5</v>
      </c>
      <c r="I406" s="32" t="s">
        <v>2081</v>
      </c>
      <c r="J406" s="32" t="s">
        <v>2081</v>
      </c>
      <c r="K406" s="0" t="n">
        <v>0</v>
      </c>
      <c r="L406" s="32" t="s">
        <v>747</v>
      </c>
      <c r="M406" s="0" t="str">
        <f aca="false">IF(L406="GEN","GM",L406)</f>
        <v>GM</v>
      </c>
    </row>
    <row r="407" customFormat="false" ht="15" hidden="false" customHeight="false" outlineLevel="0" collapsed="false">
      <c r="A407" s="0" t="s">
        <v>7089</v>
      </c>
      <c r="B407" s="0" t="s">
        <v>7090</v>
      </c>
      <c r="C407" s="0" t="s">
        <v>6290</v>
      </c>
      <c r="D407" s="0" t="s">
        <v>2124</v>
      </c>
      <c r="E407" s="31" t="n">
        <v>45677</v>
      </c>
      <c r="F407" s="32" t="s">
        <v>6287</v>
      </c>
      <c r="G407" s="0" t="n">
        <v>7.5</v>
      </c>
      <c r="H407" s="0" t="n">
        <v>9.5</v>
      </c>
      <c r="I407" s="32" t="s">
        <v>2081</v>
      </c>
      <c r="J407" s="32" t="s">
        <v>2081</v>
      </c>
      <c r="K407" s="0" t="n">
        <v>2</v>
      </c>
      <c r="L407" s="32" t="s">
        <v>747</v>
      </c>
      <c r="M407" s="0" t="str">
        <f aca="false">IF(L407="GEN","GM",L407)</f>
        <v>GM</v>
      </c>
    </row>
    <row r="408" customFormat="false" ht="15" hidden="false" customHeight="false" outlineLevel="0" collapsed="false">
      <c r="A408" s="0" t="s">
        <v>7091</v>
      </c>
      <c r="B408" s="0" t="s">
        <v>7092</v>
      </c>
      <c r="C408" s="0" t="s">
        <v>6290</v>
      </c>
      <c r="D408" s="0" t="s">
        <v>2124</v>
      </c>
      <c r="E408" s="31" t="n">
        <v>45677</v>
      </c>
      <c r="F408" s="32" t="s">
        <v>1125</v>
      </c>
      <c r="G408" s="0" t="n">
        <v>12</v>
      </c>
      <c r="H408" s="0" t="n">
        <v>12</v>
      </c>
      <c r="I408" s="32" t="s">
        <v>2106</v>
      </c>
      <c r="J408" s="32" t="s">
        <v>2081</v>
      </c>
      <c r="K408" s="0" t="n">
        <v>0</v>
      </c>
      <c r="L408" s="32" t="s">
        <v>776</v>
      </c>
      <c r="M408" s="0" t="str">
        <f aca="false">IF(L408="GEN","GM",L408)</f>
        <v>GS</v>
      </c>
    </row>
    <row r="409" customFormat="false" ht="15" hidden="false" customHeight="false" outlineLevel="0" collapsed="false">
      <c r="A409" s="0" t="s">
        <v>7093</v>
      </c>
      <c r="B409" s="0" t="s">
        <v>7094</v>
      </c>
      <c r="C409" s="0" t="s">
        <v>6295</v>
      </c>
      <c r="D409" s="0" t="s">
        <v>2104</v>
      </c>
      <c r="E409" s="31" t="n">
        <v>45677</v>
      </c>
      <c r="F409" s="32" t="s">
        <v>1125</v>
      </c>
      <c r="G409" s="0" t="n">
        <v>12</v>
      </c>
      <c r="H409" s="0" t="n">
        <v>12</v>
      </c>
      <c r="I409" s="32" t="s">
        <v>2081</v>
      </c>
      <c r="J409" s="32" t="s">
        <v>2081</v>
      </c>
      <c r="K409" s="0" t="n">
        <v>0</v>
      </c>
      <c r="L409" s="32" t="s">
        <v>802</v>
      </c>
      <c r="M409" s="0" t="str">
        <f aca="false">IF(L409="GEN","GM",L409)</f>
        <v>GYN</v>
      </c>
    </row>
    <row r="410" customFormat="false" ht="15" hidden="false" customHeight="false" outlineLevel="0" collapsed="false">
      <c r="A410" s="0" t="s">
        <v>7095</v>
      </c>
      <c r="B410" s="0" t="s">
        <v>7096</v>
      </c>
      <c r="C410" s="0" t="s">
        <v>6290</v>
      </c>
      <c r="D410" s="0" t="s">
        <v>2104</v>
      </c>
      <c r="E410" s="31" t="n">
        <v>45677</v>
      </c>
      <c r="F410" s="32" t="s">
        <v>6287</v>
      </c>
      <c r="G410" s="0" t="n">
        <v>7.5</v>
      </c>
      <c r="H410" s="0" t="n">
        <v>7.5</v>
      </c>
      <c r="I410" s="32" t="s">
        <v>2081</v>
      </c>
      <c r="J410" s="32" t="s">
        <v>2081</v>
      </c>
      <c r="K410" s="0" t="n">
        <v>0</v>
      </c>
      <c r="L410" s="32" t="s">
        <v>793</v>
      </c>
      <c r="M410" s="0" t="str">
        <f aca="false">IF(L410="GEN","GM",L410)</f>
        <v>EM</v>
      </c>
    </row>
    <row r="411" customFormat="false" ht="15" hidden="false" customHeight="false" outlineLevel="0" collapsed="false">
      <c r="A411" s="0" t="s">
        <v>7097</v>
      </c>
      <c r="B411" s="0" t="s">
        <v>7098</v>
      </c>
      <c r="C411" s="0" t="s">
        <v>6295</v>
      </c>
      <c r="D411" s="0" t="s">
        <v>2104</v>
      </c>
      <c r="E411" s="31" t="n">
        <v>45677</v>
      </c>
      <c r="F411" s="32" t="s">
        <v>6287</v>
      </c>
      <c r="G411" s="0" t="n">
        <v>7.5</v>
      </c>
      <c r="H411" s="0" t="n">
        <v>7.5</v>
      </c>
      <c r="I411" s="32" t="s">
        <v>2081</v>
      </c>
      <c r="J411" s="32" t="s">
        <v>2081</v>
      </c>
      <c r="K411" s="0" t="n">
        <v>0</v>
      </c>
      <c r="L411" s="32" t="s">
        <v>802</v>
      </c>
      <c r="M411" s="0" t="str">
        <f aca="false">IF(L411="GEN","GM",L411)</f>
        <v>GYN</v>
      </c>
    </row>
    <row r="412" customFormat="false" ht="15" hidden="false" customHeight="false" outlineLevel="0" collapsed="false">
      <c r="A412" s="0" t="s">
        <v>7099</v>
      </c>
      <c r="B412" s="0" t="s">
        <v>7100</v>
      </c>
      <c r="C412" s="0" t="s">
        <v>6295</v>
      </c>
      <c r="D412" s="0" t="s">
        <v>3035</v>
      </c>
      <c r="E412" s="31" t="n">
        <v>45677</v>
      </c>
      <c r="F412" s="32" t="s">
        <v>6287</v>
      </c>
      <c r="G412" s="0" t="n">
        <v>7.5</v>
      </c>
      <c r="H412" s="0" t="n">
        <v>7.5</v>
      </c>
      <c r="I412" s="32" t="s">
        <v>2106</v>
      </c>
      <c r="J412" s="32" t="s">
        <v>2106</v>
      </c>
      <c r="K412" s="0" t="n">
        <v>0</v>
      </c>
      <c r="L412" s="32" t="s">
        <v>776</v>
      </c>
      <c r="M412" s="0" t="str">
        <f aca="false">IF(L412="GEN","GM",L412)</f>
        <v>GS</v>
      </c>
    </row>
    <row r="413" customFormat="false" ht="15" hidden="false" customHeight="false" outlineLevel="0" collapsed="false">
      <c r="A413" s="0" t="s">
        <v>7101</v>
      </c>
      <c r="B413" s="0" t="s">
        <v>7102</v>
      </c>
      <c r="C413" s="0" t="s">
        <v>6295</v>
      </c>
      <c r="D413" s="0" t="s">
        <v>3035</v>
      </c>
      <c r="E413" s="31" t="n">
        <v>45677</v>
      </c>
      <c r="F413" s="32" t="s">
        <v>6287</v>
      </c>
      <c r="G413" s="0" t="n">
        <v>7.5</v>
      </c>
      <c r="H413" s="0" t="n">
        <v>7.5</v>
      </c>
      <c r="I413" s="32" t="s">
        <v>2106</v>
      </c>
      <c r="J413" s="32" t="s">
        <v>2081</v>
      </c>
      <c r="K413" s="0" t="n">
        <v>0</v>
      </c>
      <c r="L413" s="32" t="s">
        <v>810</v>
      </c>
      <c r="M413" s="0" t="str">
        <f aca="false">IF(L413="GEN","GM",L413)</f>
        <v>URO</v>
      </c>
    </row>
    <row r="414" customFormat="false" ht="15" hidden="false" customHeight="false" outlineLevel="0" collapsed="false">
      <c r="A414" s="0" t="s">
        <v>7103</v>
      </c>
      <c r="B414" s="0" t="s">
        <v>7104</v>
      </c>
      <c r="C414" s="0" t="s">
        <v>6295</v>
      </c>
      <c r="D414" s="0" t="s">
        <v>3035</v>
      </c>
      <c r="E414" s="31" t="n">
        <v>45677</v>
      </c>
      <c r="F414" s="32" t="s">
        <v>6287</v>
      </c>
      <c r="G414" s="0" t="n">
        <v>7.5</v>
      </c>
      <c r="H414" s="0" t="n">
        <v>7.5</v>
      </c>
      <c r="I414" s="32" t="s">
        <v>2106</v>
      </c>
      <c r="J414" s="32" t="s">
        <v>2081</v>
      </c>
      <c r="K414" s="0" t="n">
        <v>0</v>
      </c>
      <c r="L414" s="32" t="s">
        <v>776</v>
      </c>
      <c r="M414" s="0" t="str">
        <f aca="false">IF(L414="GEN","GM",L414)</f>
        <v>GS</v>
      </c>
    </row>
    <row r="415" customFormat="false" ht="15" hidden="false" customHeight="false" outlineLevel="0" collapsed="false">
      <c r="A415" s="0" t="s">
        <v>7105</v>
      </c>
      <c r="B415" s="0" t="s">
        <v>7106</v>
      </c>
      <c r="C415" s="0" t="s">
        <v>6295</v>
      </c>
      <c r="D415" s="0" t="s">
        <v>2088</v>
      </c>
      <c r="E415" s="31" t="n">
        <v>45678</v>
      </c>
      <c r="F415" s="32" t="s">
        <v>1125</v>
      </c>
      <c r="G415" s="0" t="n">
        <v>12</v>
      </c>
      <c r="H415" s="0" t="n">
        <v>12</v>
      </c>
      <c r="I415" s="32" t="s">
        <v>2081</v>
      </c>
      <c r="J415" s="32" t="s">
        <v>2081</v>
      </c>
      <c r="K415" s="0" t="n">
        <v>0</v>
      </c>
      <c r="L415" s="32" t="s">
        <v>793</v>
      </c>
      <c r="M415" s="0" t="str">
        <f aca="false">IF(L415="GEN","GM",L415)</f>
        <v>EM</v>
      </c>
    </row>
    <row r="416" customFormat="false" ht="15" hidden="false" customHeight="false" outlineLevel="0" collapsed="false">
      <c r="A416" s="0" t="s">
        <v>7107</v>
      </c>
      <c r="B416" s="0" t="s">
        <v>7108</v>
      </c>
      <c r="C416" s="0" t="s">
        <v>780</v>
      </c>
      <c r="D416" s="0" t="s">
        <v>2088</v>
      </c>
      <c r="E416" s="31" t="n">
        <v>45678</v>
      </c>
      <c r="F416" s="32" t="s">
        <v>1125</v>
      </c>
      <c r="G416" s="0" t="n">
        <v>12</v>
      </c>
      <c r="H416" s="0" t="n">
        <v>12.5</v>
      </c>
      <c r="I416" s="32" t="s">
        <v>2081</v>
      </c>
      <c r="J416" s="32" t="s">
        <v>2081</v>
      </c>
      <c r="K416" s="0" t="n">
        <v>0.5</v>
      </c>
      <c r="L416" s="32" t="s">
        <v>747</v>
      </c>
      <c r="M416" s="0" t="str">
        <f aca="false">IF(L416="GEN","GM",L416)</f>
        <v>GM</v>
      </c>
    </row>
    <row r="417" customFormat="false" ht="15" hidden="false" customHeight="false" outlineLevel="0" collapsed="false">
      <c r="A417" s="0" t="s">
        <v>7109</v>
      </c>
      <c r="B417" s="0" t="s">
        <v>7110</v>
      </c>
      <c r="C417" s="0" t="s">
        <v>6282</v>
      </c>
      <c r="D417" s="0" t="s">
        <v>2088</v>
      </c>
      <c r="E417" s="31" t="n">
        <v>45678</v>
      </c>
      <c r="F417" s="32" t="s">
        <v>1125</v>
      </c>
      <c r="G417" s="0" t="n">
        <v>12</v>
      </c>
      <c r="H417" s="0" t="n">
        <v>12</v>
      </c>
      <c r="I417" s="32" t="s">
        <v>2081</v>
      </c>
      <c r="J417" s="32" t="s">
        <v>2081</v>
      </c>
      <c r="K417" s="0" t="n">
        <v>0</v>
      </c>
      <c r="L417" s="32" t="s">
        <v>747</v>
      </c>
      <c r="M417" s="0" t="str">
        <f aca="false">IF(L417="GEN","GM",L417)</f>
        <v>GM</v>
      </c>
    </row>
    <row r="418" customFormat="false" ht="15" hidden="false" customHeight="false" outlineLevel="0" collapsed="false">
      <c r="A418" s="0" t="s">
        <v>7111</v>
      </c>
      <c r="B418" s="0" t="s">
        <v>7112</v>
      </c>
      <c r="C418" s="0" t="s">
        <v>780</v>
      </c>
      <c r="D418" s="0" t="s">
        <v>2088</v>
      </c>
      <c r="E418" s="31" t="n">
        <v>45678</v>
      </c>
      <c r="F418" s="32" t="s">
        <v>6287</v>
      </c>
      <c r="G418" s="0" t="n">
        <v>7.5</v>
      </c>
      <c r="H418" s="0" t="n">
        <v>7.5</v>
      </c>
      <c r="I418" s="32" t="s">
        <v>2106</v>
      </c>
      <c r="J418" s="32" t="s">
        <v>2081</v>
      </c>
      <c r="K418" s="0" t="n">
        <v>0</v>
      </c>
      <c r="L418" s="32" t="s">
        <v>785</v>
      </c>
      <c r="M418" s="0" t="str">
        <f aca="false">IF(L418="GEN","GM",L418)</f>
        <v>RS</v>
      </c>
    </row>
    <row r="419" customFormat="false" ht="15" hidden="false" customHeight="false" outlineLevel="0" collapsed="false">
      <c r="A419" s="0" t="s">
        <v>7113</v>
      </c>
      <c r="B419" s="0" t="s">
        <v>7114</v>
      </c>
      <c r="C419" s="0" t="s">
        <v>6286</v>
      </c>
      <c r="D419" s="0" t="s">
        <v>2079</v>
      </c>
      <c r="E419" s="31" t="n">
        <v>45678</v>
      </c>
      <c r="F419" s="32" t="s">
        <v>1125</v>
      </c>
      <c r="G419" s="0" t="n">
        <v>12</v>
      </c>
      <c r="H419" s="0" t="n">
        <v>12</v>
      </c>
      <c r="I419" s="32" t="s">
        <v>2081</v>
      </c>
      <c r="J419" s="32" t="s">
        <v>2081</v>
      </c>
      <c r="K419" s="0" t="n">
        <v>0</v>
      </c>
      <c r="L419" s="32" t="s">
        <v>810</v>
      </c>
      <c r="M419" s="0" t="str">
        <f aca="false">IF(L419="GEN","GM",L419)</f>
        <v>URO</v>
      </c>
    </row>
    <row r="420" customFormat="false" ht="15" hidden="false" customHeight="false" outlineLevel="0" collapsed="false">
      <c r="A420" s="0" t="s">
        <v>7115</v>
      </c>
      <c r="B420" s="0" t="s">
        <v>7116</v>
      </c>
      <c r="C420" s="0" t="s">
        <v>6282</v>
      </c>
      <c r="D420" s="0" t="s">
        <v>2079</v>
      </c>
      <c r="E420" s="31" t="n">
        <v>45678</v>
      </c>
      <c r="F420" s="32" t="s">
        <v>6287</v>
      </c>
      <c r="G420" s="0" t="n">
        <v>7.5</v>
      </c>
      <c r="H420" s="0" t="n">
        <v>9.6</v>
      </c>
      <c r="I420" s="32" t="s">
        <v>2081</v>
      </c>
      <c r="J420" s="32" t="s">
        <v>2081</v>
      </c>
      <c r="K420" s="0" t="n">
        <v>2.1</v>
      </c>
      <c r="L420" s="32" t="s">
        <v>776</v>
      </c>
      <c r="M420" s="0" t="str">
        <f aca="false">IF(L420="GEN","GM",L420)</f>
        <v>GS</v>
      </c>
    </row>
    <row r="421" customFormat="false" ht="15" hidden="false" customHeight="false" outlineLevel="0" collapsed="false">
      <c r="A421" s="0" t="s">
        <v>7117</v>
      </c>
      <c r="B421" s="0" t="s">
        <v>7118</v>
      </c>
      <c r="C421" s="0" t="s">
        <v>780</v>
      </c>
      <c r="D421" s="0" t="s">
        <v>2079</v>
      </c>
      <c r="E421" s="31" t="n">
        <v>45678</v>
      </c>
      <c r="F421" s="32" t="s">
        <v>6283</v>
      </c>
      <c r="G421" s="0" t="n">
        <v>11.5</v>
      </c>
      <c r="H421" s="0" t="n">
        <v>11.5</v>
      </c>
      <c r="I421" s="32" t="s">
        <v>2081</v>
      </c>
      <c r="J421" s="32" t="s">
        <v>2081</v>
      </c>
      <c r="K421" s="0" t="n">
        <v>0</v>
      </c>
      <c r="L421" s="32" t="s">
        <v>785</v>
      </c>
      <c r="M421" s="0" t="str">
        <f aca="false">IF(L421="GEN","GM",L421)</f>
        <v>RS</v>
      </c>
    </row>
    <row r="422" customFormat="false" ht="15" hidden="false" customHeight="false" outlineLevel="0" collapsed="false">
      <c r="A422" s="0" t="s">
        <v>7119</v>
      </c>
      <c r="B422" s="0" t="s">
        <v>7120</v>
      </c>
      <c r="C422" s="0" t="s">
        <v>6295</v>
      </c>
      <c r="D422" s="0" t="s">
        <v>2099</v>
      </c>
      <c r="E422" s="31" t="n">
        <v>45678</v>
      </c>
      <c r="F422" s="32" t="s">
        <v>6287</v>
      </c>
      <c r="G422" s="0" t="n">
        <v>7.5</v>
      </c>
      <c r="H422" s="0" t="n">
        <v>7.5</v>
      </c>
      <c r="I422" s="32" t="s">
        <v>2081</v>
      </c>
      <c r="J422" s="32" t="s">
        <v>2081</v>
      </c>
      <c r="K422" s="0" t="n">
        <v>0</v>
      </c>
      <c r="L422" s="32" t="s">
        <v>793</v>
      </c>
      <c r="M422" s="0" t="str">
        <f aca="false">IF(L422="GEN","GM",L422)</f>
        <v>EM</v>
      </c>
    </row>
    <row r="423" customFormat="false" ht="15" hidden="false" customHeight="false" outlineLevel="0" collapsed="false">
      <c r="A423" s="0" t="s">
        <v>7121</v>
      </c>
      <c r="B423" s="0" t="s">
        <v>7122</v>
      </c>
      <c r="C423" s="0" t="s">
        <v>6286</v>
      </c>
      <c r="D423" s="0" t="s">
        <v>2099</v>
      </c>
      <c r="E423" s="31" t="n">
        <v>45678</v>
      </c>
      <c r="F423" s="32" t="s">
        <v>1125</v>
      </c>
      <c r="G423" s="0" t="n">
        <v>12</v>
      </c>
      <c r="H423" s="0" t="n">
        <v>12</v>
      </c>
      <c r="I423" s="32" t="s">
        <v>2081</v>
      </c>
      <c r="J423" s="32" t="s">
        <v>2081</v>
      </c>
      <c r="K423" s="0" t="n">
        <v>0</v>
      </c>
      <c r="L423" s="32" t="s">
        <v>747</v>
      </c>
      <c r="M423" s="0" t="str">
        <f aca="false">IF(L423="GEN","GM",L423)</f>
        <v>GM</v>
      </c>
    </row>
    <row r="424" customFormat="false" ht="15" hidden="false" customHeight="false" outlineLevel="0" collapsed="false">
      <c r="A424" s="0" t="s">
        <v>7123</v>
      </c>
      <c r="B424" s="0" t="s">
        <v>7124</v>
      </c>
      <c r="C424" s="0" t="s">
        <v>6290</v>
      </c>
      <c r="D424" s="0" t="s">
        <v>2099</v>
      </c>
      <c r="E424" s="31" t="n">
        <v>45678</v>
      </c>
      <c r="F424" s="32" t="s">
        <v>2081</v>
      </c>
      <c r="G424" s="0" t="n">
        <v>11.5</v>
      </c>
      <c r="H424" s="0" t="n">
        <v>11.5</v>
      </c>
      <c r="I424" s="32" t="s">
        <v>2081</v>
      </c>
      <c r="J424" s="32" t="s">
        <v>2081</v>
      </c>
      <c r="K424" s="0" t="n">
        <v>0</v>
      </c>
      <c r="L424" s="32" t="s">
        <v>785</v>
      </c>
      <c r="M424" s="0" t="str">
        <f aca="false">IF(L424="GEN","GM",L424)</f>
        <v>RS</v>
      </c>
    </row>
    <row r="425" customFormat="false" ht="15" hidden="false" customHeight="false" outlineLevel="0" collapsed="false">
      <c r="A425" s="0" t="s">
        <v>7125</v>
      </c>
      <c r="B425" s="0" t="s">
        <v>7126</v>
      </c>
      <c r="C425" s="0" t="s">
        <v>780</v>
      </c>
      <c r="D425" s="0" t="s">
        <v>2099</v>
      </c>
      <c r="E425" s="31" t="n">
        <v>45678</v>
      </c>
      <c r="F425" s="32" t="s">
        <v>6283</v>
      </c>
      <c r="G425" s="0" t="n">
        <v>11.5</v>
      </c>
      <c r="H425" s="0" t="n">
        <v>11.5</v>
      </c>
      <c r="I425" s="32" t="s">
        <v>2081</v>
      </c>
      <c r="J425" s="32" t="s">
        <v>2081</v>
      </c>
      <c r="K425" s="0" t="n">
        <v>0</v>
      </c>
      <c r="L425" s="32" t="s">
        <v>747</v>
      </c>
      <c r="M425" s="0" t="str">
        <f aca="false">IF(L425="GEN","GM",L425)</f>
        <v>GM</v>
      </c>
    </row>
    <row r="426" customFormat="false" ht="15" hidden="false" customHeight="false" outlineLevel="0" collapsed="false">
      <c r="A426" s="0" t="s">
        <v>7127</v>
      </c>
      <c r="B426" s="0" t="s">
        <v>7128</v>
      </c>
      <c r="C426" s="0" t="s">
        <v>6282</v>
      </c>
      <c r="D426" s="0" t="s">
        <v>2099</v>
      </c>
      <c r="E426" s="31" t="n">
        <v>45678</v>
      </c>
      <c r="F426" s="32" t="s">
        <v>6287</v>
      </c>
      <c r="G426" s="0" t="n">
        <v>7.5</v>
      </c>
      <c r="H426" s="0" t="n">
        <v>7.5</v>
      </c>
      <c r="I426" s="32" t="s">
        <v>2081</v>
      </c>
      <c r="J426" s="32" t="s">
        <v>2081</v>
      </c>
      <c r="K426" s="0" t="n">
        <v>0</v>
      </c>
      <c r="L426" s="32" t="s">
        <v>810</v>
      </c>
      <c r="M426" s="0" t="str">
        <f aca="false">IF(L426="GEN","GM",L426)</f>
        <v>URO</v>
      </c>
    </row>
    <row r="427" customFormat="false" ht="15" hidden="false" customHeight="false" outlineLevel="0" collapsed="false">
      <c r="A427" s="0" t="s">
        <v>7129</v>
      </c>
      <c r="B427" s="0" t="s">
        <v>7130</v>
      </c>
      <c r="C427" s="0" t="s">
        <v>780</v>
      </c>
      <c r="D427" s="0" t="s">
        <v>2115</v>
      </c>
      <c r="E427" s="31" t="n">
        <v>45678</v>
      </c>
      <c r="F427" s="32" t="s">
        <v>6283</v>
      </c>
      <c r="G427" s="0" t="n">
        <v>11.5</v>
      </c>
      <c r="H427" s="0" t="n">
        <v>11.5</v>
      </c>
      <c r="I427" s="32" t="s">
        <v>2081</v>
      </c>
      <c r="J427" s="32" t="s">
        <v>2081</v>
      </c>
      <c r="K427" s="0" t="n">
        <v>0</v>
      </c>
      <c r="L427" s="32" t="s">
        <v>826</v>
      </c>
      <c r="M427" s="0" t="str">
        <f aca="false">IF(L427="GEN","GM",L427)</f>
        <v>RHE</v>
      </c>
    </row>
    <row r="428" customFormat="false" ht="15" hidden="false" customHeight="false" outlineLevel="0" collapsed="false">
      <c r="A428" s="0" t="s">
        <v>7131</v>
      </c>
      <c r="B428" s="0" t="s">
        <v>7132</v>
      </c>
      <c r="C428" s="0" t="s">
        <v>6286</v>
      </c>
      <c r="D428" s="0" t="s">
        <v>2115</v>
      </c>
      <c r="E428" s="31" t="n">
        <v>45678</v>
      </c>
      <c r="F428" s="32" t="s">
        <v>6283</v>
      </c>
      <c r="G428" s="0" t="n">
        <v>11.5</v>
      </c>
      <c r="H428" s="0" t="n">
        <v>11.5</v>
      </c>
      <c r="I428" s="32" t="s">
        <v>2081</v>
      </c>
      <c r="J428" s="32" t="s">
        <v>2081</v>
      </c>
      <c r="K428" s="0" t="n">
        <v>0</v>
      </c>
      <c r="L428" s="32" t="s">
        <v>776</v>
      </c>
      <c r="M428" s="0" t="str">
        <f aca="false">IF(L428="GEN","GM",L428)</f>
        <v>GS</v>
      </c>
    </row>
    <row r="429" customFormat="false" ht="15" hidden="false" customHeight="false" outlineLevel="0" collapsed="false">
      <c r="A429" s="0" t="s">
        <v>7133</v>
      </c>
      <c r="B429" s="0" t="s">
        <v>7134</v>
      </c>
      <c r="C429" s="0" t="s">
        <v>6286</v>
      </c>
      <c r="D429" s="0" t="s">
        <v>2115</v>
      </c>
      <c r="E429" s="31" t="n">
        <v>45678</v>
      </c>
      <c r="F429" s="32" t="s">
        <v>6283</v>
      </c>
      <c r="G429" s="0" t="n">
        <v>11.5</v>
      </c>
      <c r="H429" s="0" t="n">
        <v>11.5</v>
      </c>
      <c r="I429" s="32" t="s">
        <v>2081</v>
      </c>
      <c r="J429" s="32" t="s">
        <v>2081</v>
      </c>
      <c r="K429" s="0" t="n">
        <v>0</v>
      </c>
      <c r="L429" s="32" t="s">
        <v>826</v>
      </c>
      <c r="M429" s="0" t="str">
        <f aca="false">IF(L429="GEN","GM",L429)</f>
        <v>RHE</v>
      </c>
    </row>
    <row r="430" customFormat="false" ht="15" hidden="false" customHeight="false" outlineLevel="0" collapsed="false">
      <c r="A430" s="0" t="s">
        <v>7135</v>
      </c>
      <c r="B430" s="0" t="s">
        <v>7136</v>
      </c>
      <c r="C430" s="0" t="s">
        <v>6286</v>
      </c>
      <c r="D430" s="0" t="s">
        <v>2115</v>
      </c>
      <c r="E430" s="31" t="n">
        <v>45678</v>
      </c>
      <c r="F430" s="32" t="s">
        <v>6287</v>
      </c>
      <c r="G430" s="0" t="n">
        <v>7.5</v>
      </c>
      <c r="H430" s="0" t="n">
        <v>7.5</v>
      </c>
      <c r="I430" s="32" t="s">
        <v>2081</v>
      </c>
      <c r="J430" s="32" t="s">
        <v>2081</v>
      </c>
      <c r="K430" s="0" t="n">
        <v>0</v>
      </c>
      <c r="L430" s="32" t="s">
        <v>747</v>
      </c>
      <c r="M430" s="0" t="str">
        <f aca="false">IF(L430="GEN","GM",L430)</f>
        <v>GM</v>
      </c>
    </row>
    <row r="431" customFormat="false" ht="15" hidden="false" customHeight="false" outlineLevel="0" collapsed="false">
      <c r="A431" s="0" t="s">
        <v>7137</v>
      </c>
      <c r="B431" s="0" t="s">
        <v>7138</v>
      </c>
      <c r="C431" s="0" t="s">
        <v>780</v>
      </c>
      <c r="D431" s="0" t="s">
        <v>2124</v>
      </c>
      <c r="E431" s="31" t="n">
        <v>45678</v>
      </c>
      <c r="F431" s="32" t="s">
        <v>1125</v>
      </c>
      <c r="G431" s="0" t="n">
        <v>12</v>
      </c>
      <c r="H431" s="0" t="n">
        <v>12.5</v>
      </c>
      <c r="I431" s="32" t="s">
        <v>2081</v>
      </c>
      <c r="J431" s="32" t="s">
        <v>2081</v>
      </c>
      <c r="K431" s="0" t="n">
        <v>0.5</v>
      </c>
      <c r="L431" s="32" t="s">
        <v>785</v>
      </c>
      <c r="M431" s="0" t="str">
        <f aca="false">IF(L431="GEN","GM",L431)</f>
        <v>RS</v>
      </c>
    </row>
    <row r="432" customFormat="false" ht="15" hidden="false" customHeight="false" outlineLevel="0" collapsed="false">
      <c r="A432" s="0" t="s">
        <v>7139</v>
      </c>
      <c r="B432" s="0" t="s">
        <v>7140</v>
      </c>
      <c r="C432" s="0" t="s">
        <v>780</v>
      </c>
      <c r="D432" s="0" t="s">
        <v>2124</v>
      </c>
      <c r="E432" s="31" t="n">
        <v>45678</v>
      </c>
      <c r="F432" s="32" t="s">
        <v>1125</v>
      </c>
      <c r="G432" s="0" t="n">
        <v>12</v>
      </c>
      <c r="H432" s="0" t="n">
        <v>12</v>
      </c>
      <c r="I432" s="32" t="s">
        <v>2106</v>
      </c>
      <c r="J432" s="32" t="s">
        <v>2081</v>
      </c>
      <c r="K432" s="0" t="n">
        <v>0</v>
      </c>
      <c r="L432" s="32" t="s">
        <v>766</v>
      </c>
      <c r="M432" s="0" t="str">
        <f aca="false">IF(L432="GEN","GM",L432)</f>
        <v>OR</v>
      </c>
    </row>
    <row r="433" customFormat="false" ht="15" hidden="false" customHeight="false" outlineLevel="0" collapsed="false">
      <c r="A433" s="0" t="s">
        <v>7141</v>
      </c>
      <c r="B433" s="0" t="s">
        <v>7142</v>
      </c>
      <c r="C433" s="0" t="s">
        <v>6286</v>
      </c>
      <c r="D433" s="0" t="s">
        <v>2124</v>
      </c>
      <c r="E433" s="31" t="n">
        <v>45678</v>
      </c>
      <c r="F433" s="32" t="s">
        <v>6283</v>
      </c>
      <c r="G433" s="0" t="n">
        <v>11.5</v>
      </c>
      <c r="H433" s="0" t="n">
        <v>11.5</v>
      </c>
      <c r="I433" s="32" t="s">
        <v>2106</v>
      </c>
      <c r="J433" s="32" t="s">
        <v>2081</v>
      </c>
      <c r="K433" s="0" t="n">
        <v>0</v>
      </c>
      <c r="L433" s="32" t="s">
        <v>766</v>
      </c>
      <c r="M433" s="0" t="str">
        <f aca="false">IF(L433="GEN","GM",L433)</f>
        <v>OR</v>
      </c>
    </row>
    <row r="434" customFormat="false" ht="15" hidden="false" customHeight="false" outlineLevel="0" collapsed="false">
      <c r="A434" s="0" t="s">
        <v>7143</v>
      </c>
      <c r="B434" s="0" t="s">
        <v>7144</v>
      </c>
      <c r="C434" s="0" t="s">
        <v>6282</v>
      </c>
      <c r="D434" s="0" t="s">
        <v>2124</v>
      </c>
      <c r="E434" s="31" t="n">
        <v>45678</v>
      </c>
      <c r="F434" s="32" t="s">
        <v>6283</v>
      </c>
      <c r="G434" s="0" t="n">
        <v>11.5</v>
      </c>
      <c r="H434" s="0" t="n">
        <v>11.5</v>
      </c>
      <c r="I434" s="32" t="s">
        <v>2081</v>
      </c>
      <c r="J434" s="32" t="s">
        <v>2081</v>
      </c>
      <c r="K434" s="0" t="n">
        <v>0</v>
      </c>
      <c r="L434" s="32" t="s">
        <v>747</v>
      </c>
      <c r="M434" s="0" t="str">
        <f aca="false">IF(L434="GEN","GM",L434)</f>
        <v>GM</v>
      </c>
    </row>
    <row r="435" customFormat="false" ht="15" hidden="false" customHeight="false" outlineLevel="0" collapsed="false">
      <c r="A435" s="0" t="s">
        <v>7145</v>
      </c>
      <c r="B435" s="0" t="s">
        <v>7146</v>
      </c>
      <c r="C435" s="0" t="s">
        <v>6290</v>
      </c>
      <c r="D435" s="0" t="s">
        <v>2124</v>
      </c>
      <c r="E435" s="31" t="n">
        <v>45678</v>
      </c>
      <c r="F435" s="32" t="s">
        <v>6283</v>
      </c>
      <c r="G435" s="0" t="n">
        <v>11.5</v>
      </c>
      <c r="H435" s="0" t="n">
        <v>11.5</v>
      </c>
      <c r="I435" s="32" t="s">
        <v>2081</v>
      </c>
      <c r="J435" s="32" t="s">
        <v>2081</v>
      </c>
      <c r="K435" s="0" t="n">
        <v>-0.7</v>
      </c>
      <c r="L435" s="32" t="s">
        <v>766</v>
      </c>
      <c r="M435" s="0" t="str">
        <f aca="false">IF(L435="GEN","GM",L435)</f>
        <v>OR</v>
      </c>
    </row>
    <row r="436" customFormat="false" ht="15" hidden="false" customHeight="false" outlineLevel="0" collapsed="false">
      <c r="A436" s="0" t="s">
        <v>7147</v>
      </c>
      <c r="B436" s="0" t="s">
        <v>7148</v>
      </c>
      <c r="C436" s="0" t="s">
        <v>6286</v>
      </c>
      <c r="D436" s="0" t="s">
        <v>2104</v>
      </c>
      <c r="E436" s="31" t="n">
        <v>45678</v>
      </c>
      <c r="F436" s="32" t="s">
        <v>6287</v>
      </c>
      <c r="G436" s="0" t="n">
        <v>7.5</v>
      </c>
      <c r="H436" s="0" t="n">
        <v>7.5</v>
      </c>
      <c r="I436" s="32" t="s">
        <v>2081</v>
      </c>
      <c r="J436" s="32" t="s">
        <v>2081</v>
      </c>
      <c r="K436" s="0" t="n">
        <v>0</v>
      </c>
      <c r="L436" s="32" t="s">
        <v>826</v>
      </c>
      <c r="M436" s="0" t="str">
        <f aca="false">IF(L436="GEN","GM",L436)</f>
        <v>RHE</v>
      </c>
    </row>
    <row r="437" customFormat="false" ht="15" hidden="false" customHeight="false" outlineLevel="0" collapsed="false">
      <c r="A437" s="0" t="s">
        <v>7149</v>
      </c>
      <c r="B437" s="0" t="s">
        <v>7150</v>
      </c>
      <c r="C437" s="0" t="s">
        <v>6286</v>
      </c>
      <c r="D437" s="0" t="s">
        <v>2104</v>
      </c>
      <c r="E437" s="31" t="n">
        <v>45678</v>
      </c>
      <c r="F437" s="32" t="s">
        <v>6287</v>
      </c>
      <c r="G437" s="0" t="n">
        <v>7.5</v>
      </c>
      <c r="H437" s="0" t="n">
        <v>7.5</v>
      </c>
      <c r="I437" s="32" t="s">
        <v>2081</v>
      </c>
      <c r="J437" s="32" t="s">
        <v>2081</v>
      </c>
      <c r="K437" s="0" t="n">
        <v>0</v>
      </c>
      <c r="L437" s="32" t="s">
        <v>747</v>
      </c>
      <c r="M437" s="0" t="str">
        <f aca="false">IF(L437="GEN","GM",L437)</f>
        <v>GM</v>
      </c>
    </row>
    <row r="438" customFormat="false" ht="15" hidden="false" customHeight="false" outlineLevel="0" collapsed="false">
      <c r="A438" s="0" t="s">
        <v>7151</v>
      </c>
      <c r="B438" s="0" t="s">
        <v>7152</v>
      </c>
      <c r="C438" s="0" t="s">
        <v>6295</v>
      </c>
      <c r="D438" s="0" t="s">
        <v>2104</v>
      </c>
      <c r="E438" s="31" t="n">
        <v>45678</v>
      </c>
      <c r="F438" s="32" t="s">
        <v>6287</v>
      </c>
      <c r="G438" s="0" t="n">
        <v>7.5</v>
      </c>
      <c r="H438" s="0" t="n">
        <v>7.5</v>
      </c>
      <c r="I438" s="32" t="s">
        <v>2106</v>
      </c>
      <c r="J438" s="32" t="s">
        <v>2081</v>
      </c>
      <c r="K438" s="0" t="n">
        <v>0</v>
      </c>
      <c r="L438" s="32" t="s">
        <v>826</v>
      </c>
      <c r="M438" s="0" t="str">
        <f aca="false">IF(L438="GEN","GM",L438)</f>
        <v>RHE</v>
      </c>
    </row>
    <row r="439" customFormat="false" ht="15" hidden="false" customHeight="false" outlineLevel="0" collapsed="false">
      <c r="A439" s="0" t="s">
        <v>7153</v>
      </c>
      <c r="B439" s="0" t="s">
        <v>7154</v>
      </c>
      <c r="C439" s="0" t="s">
        <v>6295</v>
      </c>
      <c r="D439" s="0" t="s">
        <v>3035</v>
      </c>
      <c r="E439" s="31" t="n">
        <v>45678</v>
      </c>
      <c r="F439" s="32" t="s">
        <v>6283</v>
      </c>
      <c r="G439" s="0" t="n">
        <v>11.5</v>
      </c>
      <c r="H439" s="0" t="n">
        <v>11.5</v>
      </c>
      <c r="I439" s="32" t="s">
        <v>2081</v>
      </c>
      <c r="J439" s="32" t="s">
        <v>2081</v>
      </c>
      <c r="K439" s="0" t="n">
        <v>0</v>
      </c>
      <c r="L439" s="32" t="s">
        <v>785</v>
      </c>
      <c r="M439" s="0" t="str">
        <f aca="false">IF(L439="GEN","GM",L439)</f>
        <v>RS</v>
      </c>
    </row>
    <row r="440" customFormat="false" ht="15" hidden="false" customHeight="false" outlineLevel="0" collapsed="false">
      <c r="A440" s="0" t="s">
        <v>7155</v>
      </c>
      <c r="B440" s="0" t="s">
        <v>7156</v>
      </c>
      <c r="C440" s="0" t="s">
        <v>6295</v>
      </c>
      <c r="D440" s="0" t="s">
        <v>3035</v>
      </c>
      <c r="E440" s="31" t="n">
        <v>45678</v>
      </c>
      <c r="F440" s="32" t="s">
        <v>1125</v>
      </c>
      <c r="G440" s="0" t="n">
        <v>12</v>
      </c>
      <c r="H440" s="0" t="n">
        <v>12</v>
      </c>
      <c r="I440" s="32" t="s">
        <v>2081</v>
      </c>
      <c r="J440" s="32" t="s">
        <v>2081</v>
      </c>
      <c r="K440" s="0" t="n">
        <v>0</v>
      </c>
      <c r="L440" s="32" t="s">
        <v>793</v>
      </c>
      <c r="M440" s="0" t="str">
        <f aca="false">IF(L440="GEN","GM",L440)</f>
        <v>EM</v>
      </c>
    </row>
    <row r="441" customFormat="false" ht="15" hidden="false" customHeight="false" outlineLevel="0" collapsed="false">
      <c r="A441" s="0" t="s">
        <v>7157</v>
      </c>
      <c r="B441" s="0" t="s">
        <v>7158</v>
      </c>
      <c r="C441" s="0" t="s">
        <v>780</v>
      </c>
      <c r="D441" s="0" t="s">
        <v>3035</v>
      </c>
      <c r="E441" s="31" t="n">
        <v>45678</v>
      </c>
      <c r="F441" s="32" t="s">
        <v>6287</v>
      </c>
      <c r="G441" s="0" t="n">
        <v>7.5</v>
      </c>
      <c r="H441" s="0" t="n">
        <v>7.5</v>
      </c>
      <c r="I441" s="32" t="s">
        <v>2081</v>
      </c>
      <c r="J441" s="32" t="s">
        <v>2081</v>
      </c>
      <c r="K441" s="0" t="n">
        <v>0</v>
      </c>
      <c r="L441" s="32" t="s">
        <v>785</v>
      </c>
      <c r="M441" s="0" t="str">
        <f aca="false">IF(L441="GEN","GM",L441)</f>
        <v>RS</v>
      </c>
    </row>
    <row r="442" customFormat="false" ht="15" hidden="false" customHeight="false" outlineLevel="0" collapsed="false">
      <c r="A442" s="0" t="s">
        <v>7159</v>
      </c>
      <c r="B442" s="0" t="s">
        <v>7160</v>
      </c>
      <c r="C442" s="0" t="s">
        <v>6295</v>
      </c>
      <c r="D442" s="0" t="s">
        <v>3035</v>
      </c>
      <c r="E442" s="31" t="n">
        <v>45678</v>
      </c>
      <c r="F442" s="32" t="s">
        <v>6287</v>
      </c>
      <c r="G442" s="0" t="n">
        <v>7.5</v>
      </c>
      <c r="H442" s="0" t="n">
        <v>8.1</v>
      </c>
      <c r="I442" s="32" t="s">
        <v>2106</v>
      </c>
      <c r="J442" s="32" t="s">
        <v>2081</v>
      </c>
      <c r="K442" s="0" t="n">
        <v>0.6</v>
      </c>
      <c r="L442" s="32" t="s">
        <v>747</v>
      </c>
      <c r="M442" s="0" t="str">
        <f aca="false">IF(L442="GEN","GM",L442)</f>
        <v>GM</v>
      </c>
    </row>
    <row r="443" customFormat="false" ht="15" hidden="false" customHeight="false" outlineLevel="0" collapsed="false">
      <c r="A443" s="0" t="s">
        <v>7161</v>
      </c>
      <c r="B443" s="0" t="s">
        <v>7162</v>
      </c>
      <c r="C443" s="0" t="s">
        <v>6290</v>
      </c>
      <c r="D443" s="0" t="s">
        <v>3035</v>
      </c>
      <c r="E443" s="31" t="n">
        <v>45678</v>
      </c>
      <c r="F443" s="32" t="s">
        <v>6283</v>
      </c>
      <c r="G443" s="0" t="n">
        <v>11.5</v>
      </c>
      <c r="H443" s="0" t="n">
        <v>11.5</v>
      </c>
      <c r="I443" s="32" t="s">
        <v>2081</v>
      </c>
      <c r="J443" s="32" t="s">
        <v>2081</v>
      </c>
      <c r="K443" s="0" t="n">
        <v>0</v>
      </c>
      <c r="L443" s="32" t="s">
        <v>747</v>
      </c>
      <c r="M443" s="0" t="str">
        <f aca="false">IF(L443="GEN","GM",L443)</f>
        <v>GM</v>
      </c>
    </row>
    <row r="444" customFormat="false" ht="15" hidden="false" customHeight="false" outlineLevel="0" collapsed="false">
      <c r="A444" s="0" t="s">
        <v>7163</v>
      </c>
      <c r="B444" s="0" t="s">
        <v>7164</v>
      </c>
      <c r="C444" s="0" t="s">
        <v>780</v>
      </c>
      <c r="D444" s="0" t="s">
        <v>2088</v>
      </c>
      <c r="E444" s="31" t="n">
        <v>45679</v>
      </c>
      <c r="F444" s="32" t="s">
        <v>6287</v>
      </c>
      <c r="G444" s="0" t="n">
        <v>7.5</v>
      </c>
      <c r="H444" s="0" t="n">
        <v>7.5</v>
      </c>
      <c r="I444" s="32" t="s">
        <v>2081</v>
      </c>
      <c r="J444" s="32" t="s">
        <v>2081</v>
      </c>
      <c r="K444" s="0" t="n">
        <v>0</v>
      </c>
      <c r="L444" s="32" t="s">
        <v>747</v>
      </c>
      <c r="M444" s="0" t="str">
        <f aca="false">IF(L444="GEN","GM",L444)</f>
        <v>GM</v>
      </c>
    </row>
    <row r="445" customFormat="false" ht="15" hidden="false" customHeight="false" outlineLevel="0" collapsed="false">
      <c r="A445" s="0" t="s">
        <v>7165</v>
      </c>
      <c r="B445" s="0" t="s">
        <v>7166</v>
      </c>
      <c r="C445" s="0" t="s">
        <v>6282</v>
      </c>
      <c r="D445" s="0" t="s">
        <v>2088</v>
      </c>
      <c r="E445" s="31" t="n">
        <v>45679</v>
      </c>
      <c r="F445" s="32" t="s">
        <v>1125</v>
      </c>
      <c r="G445" s="0" t="n">
        <v>12</v>
      </c>
      <c r="H445" s="0" t="n">
        <v>12</v>
      </c>
      <c r="I445" s="32" t="s">
        <v>2081</v>
      </c>
      <c r="J445" s="32" t="s">
        <v>2081</v>
      </c>
      <c r="K445" s="0" t="n">
        <v>0</v>
      </c>
      <c r="L445" s="32" t="s">
        <v>766</v>
      </c>
      <c r="M445" s="0" t="str">
        <f aca="false">IF(L445="GEN","GM",L445)</f>
        <v>OR</v>
      </c>
    </row>
    <row r="446" customFormat="false" ht="15" hidden="false" customHeight="false" outlineLevel="0" collapsed="false">
      <c r="A446" s="0" t="s">
        <v>7167</v>
      </c>
      <c r="B446" s="0" t="s">
        <v>7168</v>
      </c>
      <c r="C446" s="0" t="s">
        <v>6282</v>
      </c>
      <c r="D446" s="0" t="s">
        <v>2088</v>
      </c>
      <c r="E446" s="31" t="n">
        <v>45679</v>
      </c>
      <c r="F446" s="32" t="s">
        <v>6283</v>
      </c>
      <c r="G446" s="0" t="n">
        <v>11.5</v>
      </c>
      <c r="H446" s="0" t="n">
        <v>11.5</v>
      </c>
      <c r="I446" s="32" t="s">
        <v>2081</v>
      </c>
      <c r="J446" s="32" t="s">
        <v>2081</v>
      </c>
      <c r="K446" s="0" t="n">
        <v>0</v>
      </c>
      <c r="L446" s="32" t="s">
        <v>802</v>
      </c>
      <c r="M446" s="0" t="str">
        <f aca="false">IF(L446="GEN","GM",L446)</f>
        <v>GYN</v>
      </c>
    </row>
    <row r="447" customFormat="false" ht="15" hidden="false" customHeight="false" outlineLevel="0" collapsed="false">
      <c r="A447" s="0" t="s">
        <v>7169</v>
      </c>
      <c r="B447" s="0" t="s">
        <v>7170</v>
      </c>
      <c r="C447" s="0" t="s">
        <v>6290</v>
      </c>
      <c r="D447" s="0" t="s">
        <v>2079</v>
      </c>
      <c r="E447" s="31" t="n">
        <v>45679</v>
      </c>
      <c r="F447" s="32" t="s">
        <v>6287</v>
      </c>
      <c r="G447" s="0" t="n">
        <v>7.5</v>
      </c>
      <c r="H447" s="0" t="n">
        <v>8.1</v>
      </c>
      <c r="I447" s="32" t="s">
        <v>2081</v>
      </c>
      <c r="J447" s="32" t="s">
        <v>2081</v>
      </c>
      <c r="K447" s="0" t="n">
        <v>0.6</v>
      </c>
      <c r="L447" s="32" t="s">
        <v>826</v>
      </c>
      <c r="M447" s="0" t="str">
        <f aca="false">IF(L447="GEN","GM",L447)</f>
        <v>RHE</v>
      </c>
    </row>
    <row r="448" customFormat="false" ht="15" hidden="false" customHeight="false" outlineLevel="0" collapsed="false">
      <c r="A448" s="0" t="s">
        <v>7171</v>
      </c>
      <c r="B448" s="0" t="s">
        <v>7172</v>
      </c>
      <c r="C448" s="0" t="s">
        <v>6282</v>
      </c>
      <c r="D448" s="0" t="s">
        <v>2079</v>
      </c>
      <c r="E448" s="31" t="n">
        <v>45679</v>
      </c>
      <c r="F448" s="32" t="s">
        <v>6287</v>
      </c>
      <c r="G448" s="0" t="n">
        <v>7.5</v>
      </c>
      <c r="H448" s="0" t="n">
        <v>7.5</v>
      </c>
      <c r="I448" s="32" t="s">
        <v>2106</v>
      </c>
      <c r="J448" s="32" t="s">
        <v>2081</v>
      </c>
      <c r="K448" s="0" t="n">
        <v>0</v>
      </c>
      <c r="L448" s="32" t="s">
        <v>802</v>
      </c>
      <c r="M448" s="0" t="str">
        <f aca="false">IF(L448="GEN","GM",L448)</f>
        <v>GYN</v>
      </c>
    </row>
    <row r="449" customFormat="false" ht="15" hidden="false" customHeight="false" outlineLevel="0" collapsed="false">
      <c r="A449" s="0" t="s">
        <v>7173</v>
      </c>
      <c r="B449" s="0" t="s">
        <v>7174</v>
      </c>
      <c r="C449" s="0" t="s">
        <v>6295</v>
      </c>
      <c r="D449" s="0" t="s">
        <v>2079</v>
      </c>
      <c r="E449" s="31" t="n">
        <v>45679</v>
      </c>
      <c r="F449" s="32" t="s">
        <v>6283</v>
      </c>
      <c r="G449" s="0" t="n">
        <v>11.5</v>
      </c>
      <c r="H449" s="0" t="n">
        <v>11.5</v>
      </c>
      <c r="I449" s="32" t="s">
        <v>2081</v>
      </c>
      <c r="J449" s="32" t="s">
        <v>2081</v>
      </c>
      <c r="K449" s="0" t="n">
        <v>0</v>
      </c>
      <c r="L449" s="32" t="s">
        <v>747</v>
      </c>
      <c r="M449" s="0" t="str">
        <f aca="false">IF(L449="GEN","GM",L449)</f>
        <v>GM</v>
      </c>
    </row>
    <row r="450" customFormat="false" ht="15" hidden="false" customHeight="false" outlineLevel="0" collapsed="false">
      <c r="A450" s="0" t="s">
        <v>7175</v>
      </c>
      <c r="B450" s="0" t="s">
        <v>7176</v>
      </c>
      <c r="C450" s="0" t="s">
        <v>780</v>
      </c>
      <c r="D450" s="0" t="s">
        <v>2079</v>
      </c>
      <c r="E450" s="31" t="n">
        <v>45679</v>
      </c>
      <c r="F450" s="32" t="s">
        <v>6287</v>
      </c>
      <c r="G450" s="0" t="n">
        <v>7.5</v>
      </c>
      <c r="H450" s="0" t="n">
        <v>7.5</v>
      </c>
      <c r="I450" s="32" t="s">
        <v>2081</v>
      </c>
      <c r="J450" s="32" t="s">
        <v>2081</v>
      </c>
      <c r="K450" s="0" t="n">
        <v>0</v>
      </c>
      <c r="L450" s="32" t="s">
        <v>766</v>
      </c>
      <c r="M450" s="0" t="str">
        <f aca="false">IF(L450="GEN","GM",L450)</f>
        <v>OR</v>
      </c>
    </row>
    <row r="451" customFormat="false" ht="15" hidden="false" customHeight="false" outlineLevel="0" collapsed="false">
      <c r="A451" s="0" t="s">
        <v>7177</v>
      </c>
      <c r="B451" s="0" t="s">
        <v>7178</v>
      </c>
      <c r="C451" s="0" t="s">
        <v>6295</v>
      </c>
      <c r="D451" s="0" t="s">
        <v>2079</v>
      </c>
      <c r="E451" s="31" t="n">
        <v>45679</v>
      </c>
      <c r="F451" s="32" t="s">
        <v>6287</v>
      </c>
      <c r="G451" s="0" t="n">
        <v>7.5</v>
      </c>
      <c r="H451" s="0" t="n">
        <v>9</v>
      </c>
      <c r="I451" s="32" t="s">
        <v>2081</v>
      </c>
      <c r="J451" s="32" t="s">
        <v>2081</v>
      </c>
      <c r="K451" s="0" t="n">
        <v>1.5</v>
      </c>
      <c r="L451" s="32" t="s">
        <v>826</v>
      </c>
      <c r="M451" s="0" t="str">
        <f aca="false">IF(L451="GEN","GM",L451)</f>
        <v>RHE</v>
      </c>
    </row>
    <row r="452" customFormat="false" ht="15" hidden="false" customHeight="false" outlineLevel="0" collapsed="false">
      <c r="A452" s="0" t="s">
        <v>7179</v>
      </c>
      <c r="B452" s="0" t="s">
        <v>7180</v>
      </c>
      <c r="C452" s="0" t="s">
        <v>6282</v>
      </c>
      <c r="D452" s="0" t="s">
        <v>2099</v>
      </c>
      <c r="E452" s="31" t="n">
        <v>45679</v>
      </c>
      <c r="F452" s="32" t="s">
        <v>6287</v>
      </c>
      <c r="G452" s="0" t="n">
        <v>7.5</v>
      </c>
      <c r="H452" s="0" t="n">
        <v>7.5</v>
      </c>
      <c r="I452" s="32" t="s">
        <v>2081</v>
      </c>
      <c r="J452" s="32" t="s">
        <v>2081</v>
      </c>
      <c r="K452" s="0" t="n">
        <v>0</v>
      </c>
      <c r="L452" s="32" t="s">
        <v>1391</v>
      </c>
      <c r="M452" s="0" t="str">
        <f aca="false">IF(L452="GEN","GM",L452)</f>
        <v>GM</v>
      </c>
    </row>
    <row r="453" customFormat="false" ht="15" hidden="false" customHeight="false" outlineLevel="0" collapsed="false">
      <c r="A453" s="0" t="s">
        <v>7181</v>
      </c>
      <c r="B453" s="0" t="s">
        <v>7182</v>
      </c>
      <c r="C453" s="0" t="s">
        <v>6295</v>
      </c>
      <c r="D453" s="0" t="s">
        <v>2099</v>
      </c>
      <c r="E453" s="31" t="n">
        <v>45679</v>
      </c>
      <c r="F453" s="32" t="s">
        <v>6287</v>
      </c>
      <c r="G453" s="0" t="n">
        <v>7.5</v>
      </c>
      <c r="H453" s="0" t="n">
        <v>7.5</v>
      </c>
      <c r="I453" s="32" t="s">
        <v>2081</v>
      </c>
      <c r="J453" s="32" t="s">
        <v>2081</v>
      </c>
      <c r="K453" s="0" t="n">
        <v>0</v>
      </c>
      <c r="L453" s="32" t="s">
        <v>826</v>
      </c>
      <c r="M453" s="0" t="str">
        <f aca="false">IF(L453="GEN","GM",L453)</f>
        <v>RHE</v>
      </c>
    </row>
    <row r="454" customFormat="false" ht="15" hidden="false" customHeight="false" outlineLevel="0" collapsed="false">
      <c r="A454" s="0" t="s">
        <v>7183</v>
      </c>
      <c r="B454" s="0" t="s">
        <v>7184</v>
      </c>
      <c r="C454" s="0" t="s">
        <v>780</v>
      </c>
      <c r="D454" s="0" t="s">
        <v>2099</v>
      </c>
      <c r="E454" s="31" t="n">
        <v>45679</v>
      </c>
      <c r="F454" s="32" t="s">
        <v>6287</v>
      </c>
      <c r="G454" s="0" t="n">
        <v>7.5</v>
      </c>
      <c r="H454" s="0" t="n">
        <v>7.5</v>
      </c>
      <c r="I454" s="32" t="s">
        <v>2081</v>
      </c>
      <c r="J454" s="32" t="s">
        <v>2081</v>
      </c>
      <c r="K454" s="0" t="n">
        <v>0</v>
      </c>
      <c r="L454" s="32" t="s">
        <v>793</v>
      </c>
      <c r="M454" s="0" t="str">
        <f aca="false">IF(L454="GEN","GM",L454)</f>
        <v>EM</v>
      </c>
    </row>
    <row r="455" customFormat="false" ht="15" hidden="false" customHeight="false" outlineLevel="0" collapsed="false">
      <c r="A455" s="0" t="s">
        <v>7185</v>
      </c>
      <c r="B455" s="0" t="s">
        <v>7186</v>
      </c>
      <c r="C455" s="0" t="s">
        <v>6295</v>
      </c>
      <c r="D455" s="0" t="s">
        <v>2115</v>
      </c>
      <c r="E455" s="31" t="n">
        <v>45679</v>
      </c>
      <c r="F455" s="32" t="s">
        <v>1125</v>
      </c>
      <c r="G455" s="0" t="n">
        <v>12</v>
      </c>
      <c r="H455" s="0" t="n">
        <v>12</v>
      </c>
      <c r="I455" s="32" t="s">
        <v>2081</v>
      </c>
      <c r="J455" s="32" t="s">
        <v>2081</v>
      </c>
      <c r="K455" s="0" t="n">
        <v>0</v>
      </c>
      <c r="L455" s="32" t="s">
        <v>776</v>
      </c>
      <c r="M455" s="0" t="str">
        <f aca="false">IF(L455="GEN","GM",L455)</f>
        <v>GS</v>
      </c>
    </row>
    <row r="456" customFormat="false" ht="15" hidden="false" customHeight="false" outlineLevel="0" collapsed="false">
      <c r="A456" s="0" t="s">
        <v>7187</v>
      </c>
      <c r="B456" s="0" t="s">
        <v>7188</v>
      </c>
      <c r="C456" s="0" t="s">
        <v>6295</v>
      </c>
      <c r="D456" s="0" t="s">
        <v>2115</v>
      </c>
      <c r="E456" s="31" t="n">
        <v>45679</v>
      </c>
      <c r="F456" s="32" t="s">
        <v>1125</v>
      </c>
      <c r="G456" s="0" t="n">
        <v>12</v>
      </c>
      <c r="H456" s="0" t="n">
        <v>12</v>
      </c>
      <c r="I456" s="32" t="s">
        <v>2106</v>
      </c>
      <c r="J456" s="32" t="s">
        <v>2081</v>
      </c>
      <c r="K456" s="0" t="n">
        <v>0</v>
      </c>
      <c r="L456" s="32" t="s">
        <v>758</v>
      </c>
      <c r="M456" s="0" t="str">
        <f aca="false">IF(L456="GEN","GM",L456)</f>
        <v>CS</v>
      </c>
    </row>
    <row r="457" customFormat="false" ht="15" hidden="false" customHeight="false" outlineLevel="0" collapsed="false">
      <c r="A457" s="0" t="s">
        <v>7189</v>
      </c>
      <c r="B457" s="0" t="s">
        <v>7190</v>
      </c>
      <c r="C457" s="0" t="s">
        <v>780</v>
      </c>
      <c r="D457" s="0" t="s">
        <v>2115</v>
      </c>
      <c r="E457" s="31" t="n">
        <v>45679</v>
      </c>
      <c r="F457" s="32" t="s">
        <v>1125</v>
      </c>
      <c r="G457" s="0" t="n">
        <v>12</v>
      </c>
      <c r="H457" s="0" t="n">
        <v>12</v>
      </c>
      <c r="I457" s="32" t="s">
        <v>2081</v>
      </c>
      <c r="J457" s="32" t="s">
        <v>2081</v>
      </c>
      <c r="K457" s="0" t="n">
        <v>0</v>
      </c>
      <c r="L457" s="32" t="s">
        <v>810</v>
      </c>
      <c r="M457" s="0" t="str">
        <f aca="false">IF(L457="GEN","GM",L457)</f>
        <v>URO</v>
      </c>
    </row>
    <row r="458" customFormat="false" ht="15" hidden="false" customHeight="false" outlineLevel="0" collapsed="false">
      <c r="A458" s="0" t="s">
        <v>7191</v>
      </c>
      <c r="B458" s="0" t="s">
        <v>7192</v>
      </c>
      <c r="C458" s="0" t="s">
        <v>6295</v>
      </c>
      <c r="D458" s="0" t="s">
        <v>2124</v>
      </c>
      <c r="E458" s="31" t="n">
        <v>45679</v>
      </c>
      <c r="F458" s="32" t="s">
        <v>6287</v>
      </c>
      <c r="G458" s="0" t="n">
        <v>7.5</v>
      </c>
      <c r="H458" s="0" t="n">
        <v>7.5</v>
      </c>
      <c r="I458" s="32" t="s">
        <v>2081</v>
      </c>
      <c r="J458" s="32" t="s">
        <v>2081</v>
      </c>
      <c r="K458" s="0" t="n">
        <v>0</v>
      </c>
      <c r="L458" s="32" t="s">
        <v>776</v>
      </c>
      <c r="M458" s="0" t="str">
        <f aca="false">IF(L458="GEN","GM",L458)</f>
        <v>GS</v>
      </c>
    </row>
    <row r="459" customFormat="false" ht="15" hidden="false" customHeight="false" outlineLevel="0" collapsed="false">
      <c r="A459" s="0" t="s">
        <v>7193</v>
      </c>
      <c r="B459" s="0" t="s">
        <v>7194</v>
      </c>
      <c r="C459" s="0" t="s">
        <v>6286</v>
      </c>
      <c r="D459" s="0" t="s">
        <v>2124</v>
      </c>
      <c r="E459" s="31" t="n">
        <v>45679</v>
      </c>
      <c r="F459" s="32" t="s">
        <v>6283</v>
      </c>
      <c r="G459" s="0" t="n">
        <v>11.5</v>
      </c>
      <c r="H459" s="0" t="n">
        <v>11.5</v>
      </c>
      <c r="I459" s="32" t="s">
        <v>2081</v>
      </c>
      <c r="J459" s="32" t="s">
        <v>2081</v>
      </c>
      <c r="K459" s="0" t="n">
        <v>0</v>
      </c>
      <c r="L459" s="32" t="s">
        <v>785</v>
      </c>
      <c r="M459" s="0" t="str">
        <f aca="false">IF(L459="GEN","GM",L459)</f>
        <v>RS</v>
      </c>
    </row>
    <row r="460" customFormat="false" ht="15" hidden="false" customHeight="false" outlineLevel="0" collapsed="false">
      <c r="A460" s="0" t="s">
        <v>7195</v>
      </c>
      <c r="B460" s="0" t="s">
        <v>7196</v>
      </c>
      <c r="C460" s="0" t="s">
        <v>6295</v>
      </c>
      <c r="D460" s="0" t="s">
        <v>2124</v>
      </c>
      <c r="E460" s="31" t="n">
        <v>45679</v>
      </c>
      <c r="F460" s="32" t="s">
        <v>1125</v>
      </c>
      <c r="G460" s="0" t="n">
        <v>12</v>
      </c>
      <c r="H460" s="0" t="n">
        <v>12</v>
      </c>
      <c r="I460" s="32" t="s">
        <v>2081</v>
      </c>
      <c r="J460" s="32" t="s">
        <v>2081</v>
      </c>
      <c r="K460" s="0" t="n">
        <v>0</v>
      </c>
      <c r="L460" s="32" t="s">
        <v>826</v>
      </c>
      <c r="M460" s="0" t="str">
        <f aca="false">IF(L460="GEN","GM",L460)</f>
        <v>RHE</v>
      </c>
    </row>
    <row r="461" customFormat="false" ht="15" hidden="false" customHeight="false" outlineLevel="0" collapsed="false">
      <c r="A461" s="0" t="s">
        <v>7197</v>
      </c>
      <c r="B461" s="0" t="s">
        <v>7198</v>
      </c>
      <c r="C461" s="0" t="s">
        <v>6290</v>
      </c>
      <c r="D461" s="0" t="s">
        <v>2124</v>
      </c>
      <c r="E461" s="31" t="n">
        <v>45679</v>
      </c>
      <c r="F461" s="32" t="s">
        <v>6287</v>
      </c>
      <c r="G461" s="0" t="n">
        <v>7.5</v>
      </c>
      <c r="H461" s="0" t="n">
        <v>7.5</v>
      </c>
      <c r="I461" s="32" t="s">
        <v>2081</v>
      </c>
      <c r="J461" s="32" t="s">
        <v>2081</v>
      </c>
      <c r="K461" s="0" t="n">
        <v>0</v>
      </c>
      <c r="L461" s="32" t="s">
        <v>810</v>
      </c>
      <c r="M461" s="0" t="str">
        <f aca="false">IF(L461="GEN","GM",L461)</f>
        <v>URO</v>
      </c>
    </row>
    <row r="462" customFormat="false" ht="15" hidden="false" customHeight="false" outlineLevel="0" collapsed="false">
      <c r="A462" s="0" t="s">
        <v>7199</v>
      </c>
      <c r="B462" s="0" t="s">
        <v>7200</v>
      </c>
      <c r="C462" s="0" t="s">
        <v>6295</v>
      </c>
      <c r="D462" s="0" t="s">
        <v>2124</v>
      </c>
      <c r="E462" s="31" t="n">
        <v>45679</v>
      </c>
      <c r="F462" s="32" t="s">
        <v>6287</v>
      </c>
      <c r="G462" s="0" t="n">
        <v>7.5</v>
      </c>
      <c r="H462" s="0" t="n">
        <v>7.5</v>
      </c>
      <c r="I462" s="32" t="s">
        <v>2106</v>
      </c>
      <c r="J462" s="32" t="s">
        <v>2081</v>
      </c>
      <c r="K462" s="0" t="n">
        <v>0</v>
      </c>
      <c r="L462" s="32" t="s">
        <v>785</v>
      </c>
      <c r="M462" s="0" t="str">
        <f aca="false">IF(L462="GEN","GM",L462)</f>
        <v>RS</v>
      </c>
    </row>
    <row r="463" customFormat="false" ht="15" hidden="false" customHeight="false" outlineLevel="0" collapsed="false">
      <c r="A463" s="0" t="s">
        <v>7201</v>
      </c>
      <c r="B463" s="0" t="s">
        <v>7202</v>
      </c>
      <c r="C463" s="0" t="s">
        <v>6286</v>
      </c>
      <c r="D463" s="0" t="s">
        <v>2104</v>
      </c>
      <c r="E463" s="31" t="n">
        <v>45679</v>
      </c>
      <c r="F463" s="32" t="s">
        <v>6287</v>
      </c>
      <c r="G463" s="0" t="n">
        <v>7.5</v>
      </c>
      <c r="H463" s="0" t="n">
        <v>7.5</v>
      </c>
      <c r="I463" s="32" t="s">
        <v>2081</v>
      </c>
      <c r="J463" s="32" t="s">
        <v>2081</v>
      </c>
      <c r="K463" s="0" t="n">
        <v>0</v>
      </c>
      <c r="L463" s="32" t="s">
        <v>810</v>
      </c>
      <c r="M463" s="0" t="str">
        <f aca="false">IF(L463="GEN","GM",L463)</f>
        <v>URO</v>
      </c>
    </row>
    <row r="464" customFormat="false" ht="15" hidden="false" customHeight="false" outlineLevel="0" collapsed="false">
      <c r="A464" s="0" t="s">
        <v>7203</v>
      </c>
      <c r="B464" s="0" t="s">
        <v>7204</v>
      </c>
      <c r="C464" s="0" t="s">
        <v>6295</v>
      </c>
      <c r="D464" s="0" t="s">
        <v>2104</v>
      </c>
      <c r="E464" s="31" t="n">
        <v>45679</v>
      </c>
      <c r="F464" s="32" t="s">
        <v>6283</v>
      </c>
      <c r="G464" s="0" t="n">
        <v>11.5</v>
      </c>
      <c r="H464" s="0" t="n">
        <v>11.5</v>
      </c>
      <c r="I464" s="32" t="s">
        <v>2081</v>
      </c>
      <c r="J464" s="32" t="s">
        <v>2081</v>
      </c>
      <c r="K464" s="0" t="n">
        <v>0</v>
      </c>
      <c r="L464" s="32" t="s">
        <v>758</v>
      </c>
      <c r="M464" s="0" t="str">
        <f aca="false">IF(L464="GEN","GM",L464)</f>
        <v>CS</v>
      </c>
    </row>
    <row r="465" customFormat="false" ht="15" hidden="false" customHeight="false" outlineLevel="0" collapsed="false">
      <c r="A465" s="0" t="s">
        <v>7205</v>
      </c>
      <c r="B465" s="0" t="s">
        <v>7206</v>
      </c>
      <c r="C465" s="0" t="s">
        <v>6295</v>
      </c>
      <c r="D465" s="0" t="s">
        <v>2104</v>
      </c>
      <c r="E465" s="31" t="n">
        <v>45679</v>
      </c>
      <c r="F465" s="32" t="s">
        <v>6283</v>
      </c>
      <c r="G465" s="0" t="n">
        <v>11.5</v>
      </c>
      <c r="H465" s="0" t="n">
        <v>11.5</v>
      </c>
      <c r="I465" s="32" t="s">
        <v>2081</v>
      </c>
      <c r="J465" s="32" t="s">
        <v>2081</v>
      </c>
      <c r="K465" s="0" t="n">
        <v>0</v>
      </c>
      <c r="L465" s="32" t="s">
        <v>747</v>
      </c>
      <c r="M465" s="0" t="str">
        <f aca="false">IF(L465="GEN","GM",L465)</f>
        <v>GM</v>
      </c>
    </row>
    <row r="466" customFormat="false" ht="15" hidden="false" customHeight="false" outlineLevel="0" collapsed="false">
      <c r="A466" s="0" t="s">
        <v>7207</v>
      </c>
      <c r="B466" s="0" t="s">
        <v>7208</v>
      </c>
      <c r="C466" s="0" t="s">
        <v>6290</v>
      </c>
      <c r="D466" s="0" t="s">
        <v>2104</v>
      </c>
      <c r="E466" s="31" t="n">
        <v>45679</v>
      </c>
      <c r="F466" s="32" t="s">
        <v>6287</v>
      </c>
      <c r="G466" s="0" t="n">
        <v>7.5</v>
      </c>
      <c r="H466" s="0" t="n">
        <v>7.5</v>
      </c>
      <c r="I466" s="32" t="s">
        <v>2081</v>
      </c>
      <c r="J466" s="32" t="s">
        <v>2081</v>
      </c>
      <c r="K466" s="0" t="n">
        <v>0</v>
      </c>
      <c r="L466" s="32" t="s">
        <v>826</v>
      </c>
      <c r="M466" s="0" t="str">
        <f aca="false">IF(L466="GEN","GM",L466)</f>
        <v>RHE</v>
      </c>
    </row>
    <row r="467" customFormat="false" ht="15" hidden="false" customHeight="false" outlineLevel="0" collapsed="false">
      <c r="A467" s="0" t="s">
        <v>7209</v>
      </c>
      <c r="B467" s="0" t="s">
        <v>7210</v>
      </c>
      <c r="C467" s="0" t="s">
        <v>6286</v>
      </c>
      <c r="D467" s="0" t="s">
        <v>3035</v>
      </c>
      <c r="E467" s="31" t="n">
        <v>45679</v>
      </c>
      <c r="F467" s="32" t="s">
        <v>6287</v>
      </c>
      <c r="G467" s="0" t="n">
        <v>7.5</v>
      </c>
      <c r="H467" s="0" t="n">
        <v>7.5</v>
      </c>
      <c r="I467" s="32" t="s">
        <v>2081</v>
      </c>
      <c r="J467" s="32" t="s">
        <v>2081</v>
      </c>
      <c r="K467" s="0" t="n">
        <v>0</v>
      </c>
      <c r="L467" s="32" t="s">
        <v>747</v>
      </c>
      <c r="M467" s="0" t="str">
        <f aca="false">IF(L467="GEN","GM",L467)</f>
        <v>GM</v>
      </c>
    </row>
    <row r="468" customFormat="false" ht="15" hidden="false" customHeight="false" outlineLevel="0" collapsed="false">
      <c r="A468" s="0" t="s">
        <v>7211</v>
      </c>
      <c r="B468" s="0" t="s">
        <v>7212</v>
      </c>
      <c r="C468" s="0" t="s">
        <v>6295</v>
      </c>
      <c r="D468" s="0" t="s">
        <v>3035</v>
      </c>
      <c r="E468" s="31" t="n">
        <v>45679</v>
      </c>
      <c r="F468" s="32" t="s">
        <v>6283</v>
      </c>
      <c r="G468" s="0" t="n">
        <v>11.5</v>
      </c>
      <c r="H468" s="0" t="n">
        <v>11.5</v>
      </c>
      <c r="I468" s="32" t="s">
        <v>2081</v>
      </c>
      <c r="J468" s="32" t="s">
        <v>2081</v>
      </c>
      <c r="K468" s="0" t="n">
        <v>0</v>
      </c>
      <c r="L468" s="32" t="s">
        <v>826</v>
      </c>
      <c r="M468" s="0" t="str">
        <f aca="false">IF(L468="GEN","GM",L468)</f>
        <v>RHE</v>
      </c>
    </row>
    <row r="469" customFormat="false" ht="15" hidden="false" customHeight="false" outlineLevel="0" collapsed="false">
      <c r="A469" s="0" t="s">
        <v>7213</v>
      </c>
      <c r="B469" s="0" t="s">
        <v>7214</v>
      </c>
      <c r="C469" s="0" t="s">
        <v>6286</v>
      </c>
      <c r="D469" s="0" t="s">
        <v>3035</v>
      </c>
      <c r="E469" s="31" t="n">
        <v>45679</v>
      </c>
      <c r="F469" s="32" t="s">
        <v>6287</v>
      </c>
      <c r="G469" s="0" t="n">
        <v>7.5</v>
      </c>
      <c r="H469" s="0" t="n">
        <v>7.5</v>
      </c>
      <c r="I469" s="32" t="s">
        <v>2081</v>
      </c>
      <c r="J469" s="32" t="s">
        <v>2081</v>
      </c>
      <c r="K469" s="0" t="n">
        <v>0</v>
      </c>
      <c r="L469" s="32" t="s">
        <v>747</v>
      </c>
      <c r="M469" s="0" t="str">
        <f aca="false">IF(L469="GEN","GM",L469)</f>
        <v>GM</v>
      </c>
    </row>
    <row r="470" customFormat="false" ht="15" hidden="false" customHeight="false" outlineLevel="0" collapsed="false">
      <c r="A470" s="0" t="s">
        <v>7215</v>
      </c>
      <c r="B470" s="0" t="s">
        <v>7216</v>
      </c>
      <c r="C470" s="0" t="s">
        <v>6295</v>
      </c>
      <c r="D470" s="0" t="s">
        <v>3035</v>
      </c>
      <c r="E470" s="31" t="n">
        <v>45679</v>
      </c>
      <c r="F470" s="32" t="s">
        <v>6287</v>
      </c>
      <c r="G470" s="0" t="n">
        <v>7.5</v>
      </c>
      <c r="H470" s="0" t="n">
        <v>7.5</v>
      </c>
      <c r="I470" s="32" t="s">
        <v>2081</v>
      </c>
      <c r="J470" s="32" t="s">
        <v>2081</v>
      </c>
      <c r="K470" s="0" t="n">
        <v>0</v>
      </c>
      <c r="L470" s="32" t="s">
        <v>810</v>
      </c>
      <c r="M470" s="0" t="str">
        <f aca="false">IF(L470="GEN","GM",L470)</f>
        <v>URO</v>
      </c>
    </row>
    <row r="471" customFormat="false" ht="15" hidden="false" customHeight="false" outlineLevel="0" collapsed="false">
      <c r="A471" s="0" t="s">
        <v>7217</v>
      </c>
      <c r="B471" s="0" t="s">
        <v>7218</v>
      </c>
      <c r="C471" s="0" t="s">
        <v>6286</v>
      </c>
      <c r="D471" s="0" t="s">
        <v>2088</v>
      </c>
      <c r="E471" s="31" t="n">
        <v>45680</v>
      </c>
      <c r="F471" s="32" t="s">
        <v>1125</v>
      </c>
      <c r="G471" s="0" t="n">
        <v>12</v>
      </c>
      <c r="H471" s="0" t="n">
        <v>12</v>
      </c>
      <c r="I471" s="32" t="s">
        <v>2081</v>
      </c>
      <c r="J471" s="32" t="s">
        <v>2081</v>
      </c>
      <c r="K471" s="0" t="n">
        <v>0</v>
      </c>
      <c r="L471" s="32" t="s">
        <v>766</v>
      </c>
      <c r="M471" s="0" t="str">
        <f aca="false">IF(L471="GEN","GM",L471)</f>
        <v>OR</v>
      </c>
    </row>
    <row r="472" customFormat="false" ht="15" hidden="false" customHeight="false" outlineLevel="0" collapsed="false">
      <c r="A472" s="0" t="s">
        <v>7219</v>
      </c>
      <c r="B472" s="0" t="s">
        <v>7220</v>
      </c>
      <c r="C472" s="0" t="s">
        <v>6282</v>
      </c>
      <c r="D472" s="0" t="s">
        <v>2088</v>
      </c>
      <c r="E472" s="31" t="n">
        <v>45680</v>
      </c>
      <c r="F472" s="32" t="s">
        <v>1125</v>
      </c>
      <c r="G472" s="0" t="n">
        <v>12</v>
      </c>
      <c r="H472" s="0" t="n">
        <v>12</v>
      </c>
      <c r="I472" s="32" t="s">
        <v>2081</v>
      </c>
      <c r="J472" s="32" t="s">
        <v>2081</v>
      </c>
      <c r="K472" s="0" t="n">
        <v>0</v>
      </c>
      <c r="L472" s="32" t="s">
        <v>785</v>
      </c>
      <c r="M472" s="0" t="str">
        <f aca="false">IF(L472="GEN","GM",L472)</f>
        <v>RS</v>
      </c>
    </row>
    <row r="473" customFormat="false" ht="15" hidden="false" customHeight="false" outlineLevel="0" collapsed="false">
      <c r="A473" s="0" t="s">
        <v>7221</v>
      </c>
      <c r="B473" s="0" t="s">
        <v>7222</v>
      </c>
      <c r="C473" s="0" t="s">
        <v>6295</v>
      </c>
      <c r="D473" s="0" t="s">
        <v>2088</v>
      </c>
      <c r="E473" s="31" t="n">
        <v>45680</v>
      </c>
      <c r="F473" s="32" t="s">
        <v>1125</v>
      </c>
      <c r="G473" s="0" t="n">
        <v>12</v>
      </c>
      <c r="H473" s="0" t="n">
        <v>12.5</v>
      </c>
      <c r="I473" s="32" t="s">
        <v>2106</v>
      </c>
      <c r="J473" s="32" t="s">
        <v>2081</v>
      </c>
      <c r="K473" s="0" t="n">
        <v>0.5</v>
      </c>
      <c r="L473" s="32" t="s">
        <v>776</v>
      </c>
      <c r="M473" s="0" t="str">
        <f aca="false">IF(L473="GEN","GM",L473)</f>
        <v>GS</v>
      </c>
    </row>
    <row r="474" customFormat="false" ht="15" hidden="false" customHeight="false" outlineLevel="0" collapsed="false">
      <c r="A474" s="0" t="s">
        <v>7223</v>
      </c>
      <c r="B474" s="0" t="s">
        <v>7224</v>
      </c>
      <c r="C474" s="0" t="s">
        <v>6282</v>
      </c>
      <c r="D474" s="0" t="s">
        <v>2088</v>
      </c>
      <c r="E474" s="31" t="n">
        <v>45680</v>
      </c>
      <c r="F474" s="32" t="s">
        <v>6287</v>
      </c>
      <c r="G474" s="0" t="n">
        <v>7.5</v>
      </c>
      <c r="H474" s="0" t="n">
        <v>7.5</v>
      </c>
      <c r="I474" s="32" t="s">
        <v>2081</v>
      </c>
      <c r="J474" s="32" t="s">
        <v>2081</v>
      </c>
      <c r="K474" s="0" t="n">
        <v>0</v>
      </c>
      <c r="L474" s="32" t="s">
        <v>810</v>
      </c>
      <c r="M474" s="0" t="str">
        <f aca="false">IF(L474="GEN","GM",L474)</f>
        <v>URO</v>
      </c>
    </row>
    <row r="475" customFormat="false" ht="15" hidden="false" customHeight="false" outlineLevel="0" collapsed="false">
      <c r="A475" s="0" t="s">
        <v>7225</v>
      </c>
      <c r="B475" s="0" t="s">
        <v>7226</v>
      </c>
      <c r="C475" s="0" t="s">
        <v>6290</v>
      </c>
      <c r="D475" s="0" t="s">
        <v>2088</v>
      </c>
      <c r="E475" s="31" t="n">
        <v>45680</v>
      </c>
      <c r="F475" s="32" t="s">
        <v>1125</v>
      </c>
      <c r="G475" s="0" t="n">
        <v>12</v>
      </c>
      <c r="H475" s="0" t="n">
        <v>10.9</v>
      </c>
      <c r="I475" s="32" t="s">
        <v>2081</v>
      </c>
      <c r="J475" s="32" t="s">
        <v>2081</v>
      </c>
      <c r="K475" s="0" t="n">
        <v>0</v>
      </c>
      <c r="L475" s="32" t="s">
        <v>785</v>
      </c>
      <c r="M475" s="0" t="str">
        <f aca="false">IF(L475="GEN","GM",L475)</f>
        <v>RS</v>
      </c>
    </row>
    <row r="476" customFormat="false" ht="15" hidden="false" customHeight="false" outlineLevel="0" collapsed="false">
      <c r="A476" s="0" t="s">
        <v>7227</v>
      </c>
      <c r="B476" s="0" t="s">
        <v>7228</v>
      </c>
      <c r="C476" s="0" t="s">
        <v>780</v>
      </c>
      <c r="D476" s="0" t="s">
        <v>2079</v>
      </c>
      <c r="E476" s="31" t="n">
        <v>45680</v>
      </c>
      <c r="F476" s="32" t="s">
        <v>1125</v>
      </c>
      <c r="G476" s="0" t="n">
        <v>12</v>
      </c>
      <c r="H476" s="0" t="n">
        <v>12</v>
      </c>
      <c r="I476" s="32" t="s">
        <v>2081</v>
      </c>
      <c r="J476" s="32" t="s">
        <v>2081</v>
      </c>
      <c r="K476" s="0" t="n">
        <v>0</v>
      </c>
      <c r="L476" s="32" t="s">
        <v>826</v>
      </c>
      <c r="M476" s="0" t="str">
        <f aca="false">IF(L476="GEN","GM",L476)</f>
        <v>RHE</v>
      </c>
    </row>
    <row r="477" customFormat="false" ht="15" hidden="false" customHeight="false" outlineLevel="0" collapsed="false">
      <c r="A477" s="0" t="s">
        <v>7229</v>
      </c>
      <c r="B477" s="0" t="s">
        <v>7230</v>
      </c>
      <c r="C477" s="0" t="s">
        <v>6295</v>
      </c>
      <c r="D477" s="0" t="s">
        <v>2079</v>
      </c>
      <c r="E477" s="31" t="n">
        <v>45680</v>
      </c>
      <c r="F477" s="32" t="s">
        <v>6287</v>
      </c>
      <c r="G477" s="0" t="n">
        <v>7.5</v>
      </c>
      <c r="H477" s="0" t="n">
        <v>9.8</v>
      </c>
      <c r="I477" s="32" t="s">
        <v>2106</v>
      </c>
      <c r="J477" s="32" t="s">
        <v>2081</v>
      </c>
      <c r="K477" s="0" t="n">
        <v>2.3</v>
      </c>
      <c r="L477" s="32" t="s">
        <v>766</v>
      </c>
      <c r="M477" s="0" t="str">
        <f aca="false">IF(L477="GEN","GM",L477)</f>
        <v>OR</v>
      </c>
    </row>
    <row r="478" customFormat="false" ht="15" hidden="false" customHeight="false" outlineLevel="0" collapsed="false">
      <c r="A478" s="0" t="s">
        <v>7231</v>
      </c>
      <c r="B478" s="0" t="s">
        <v>7232</v>
      </c>
      <c r="C478" s="0" t="s">
        <v>6286</v>
      </c>
      <c r="D478" s="0" t="s">
        <v>2079</v>
      </c>
      <c r="E478" s="31" t="n">
        <v>45680</v>
      </c>
      <c r="F478" s="32" t="s">
        <v>1125</v>
      </c>
      <c r="G478" s="0" t="n">
        <v>12</v>
      </c>
      <c r="H478" s="0" t="n">
        <v>12</v>
      </c>
      <c r="I478" s="32" t="s">
        <v>2081</v>
      </c>
      <c r="J478" s="32" t="s">
        <v>2081</v>
      </c>
      <c r="K478" s="0" t="n">
        <v>0</v>
      </c>
      <c r="L478" s="32" t="s">
        <v>826</v>
      </c>
      <c r="M478" s="0" t="str">
        <f aca="false">IF(L478="GEN","GM",L478)</f>
        <v>RHE</v>
      </c>
    </row>
    <row r="479" customFormat="false" ht="15" hidden="false" customHeight="false" outlineLevel="0" collapsed="false">
      <c r="A479" s="0" t="s">
        <v>7233</v>
      </c>
      <c r="B479" s="0" t="s">
        <v>7234</v>
      </c>
      <c r="C479" s="0" t="s">
        <v>6282</v>
      </c>
      <c r="D479" s="0" t="s">
        <v>2099</v>
      </c>
      <c r="E479" s="31" t="n">
        <v>45680</v>
      </c>
      <c r="F479" s="32" t="s">
        <v>6283</v>
      </c>
      <c r="G479" s="0" t="n">
        <v>11.5</v>
      </c>
      <c r="H479" s="0" t="n">
        <v>10.8</v>
      </c>
      <c r="I479" s="32" t="s">
        <v>2081</v>
      </c>
      <c r="J479" s="32" t="s">
        <v>2081</v>
      </c>
      <c r="K479" s="0" t="n">
        <v>0</v>
      </c>
      <c r="L479" s="32" t="s">
        <v>747</v>
      </c>
      <c r="M479" s="0" t="str">
        <f aca="false">IF(L479="GEN","GM",L479)</f>
        <v>GM</v>
      </c>
    </row>
    <row r="480" customFormat="false" ht="15" hidden="false" customHeight="false" outlineLevel="0" collapsed="false">
      <c r="A480" s="0" t="s">
        <v>7235</v>
      </c>
      <c r="B480" s="0" t="s">
        <v>7236</v>
      </c>
      <c r="C480" s="0" t="s">
        <v>6295</v>
      </c>
      <c r="D480" s="0" t="s">
        <v>2099</v>
      </c>
      <c r="E480" s="31" t="n">
        <v>45680</v>
      </c>
      <c r="F480" s="32" t="s">
        <v>6283</v>
      </c>
      <c r="G480" s="0" t="n">
        <v>11.5</v>
      </c>
      <c r="H480" s="0" t="n">
        <v>11.5</v>
      </c>
      <c r="I480" s="32" t="s">
        <v>2081</v>
      </c>
      <c r="J480" s="32" t="s">
        <v>2081</v>
      </c>
      <c r="K480" s="0" t="n">
        <v>0</v>
      </c>
      <c r="L480" s="32" t="s">
        <v>758</v>
      </c>
      <c r="M480" s="0" t="str">
        <f aca="false">IF(L480="GEN","GM",L480)</f>
        <v>CS</v>
      </c>
    </row>
    <row r="481" customFormat="false" ht="15" hidden="false" customHeight="false" outlineLevel="0" collapsed="false">
      <c r="A481" s="0" t="s">
        <v>7237</v>
      </c>
      <c r="B481" s="0" t="s">
        <v>7238</v>
      </c>
      <c r="C481" s="0" t="s">
        <v>6286</v>
      </c>
      <c r="D481" s="0" t="s">
        <v>2099</v>
      </c>
      <c r="E481" s="31" t="n">
        <v>45680</v>
      </c>
      <c r="F481" s="32" t="s">
        <v>1125</v>
      </c>
      <c r="G481" s="0" t="n">
        <v>12</v>
      </c>
      <c r="H481" s="0" t="n">
        <v>12</v>
      </c>
      <c r="I481" s="32" t="s">
        <v>2081</v>
      </c>
      <c r="J481" s="32" t="s">
        <v>2081</v>
      </c>
      <c r="K481" s="0" t="n">
        <v>0</v>
      </c>
      <c r="L481" s="32" t="s">
        <v>826</v>
      </c>
      <c r="M481" s="0" t="str">
        <f aca="false">IF(L481="GEN","GM",L481)</f>
        <v>RHE</v>
      </c>
    </row>
    <row r="482" customFormat="false" ht="15" hidden="false" customHeight="false" outlineLevel="0" collapsed="false">
      <c r="A482" s="0" t="s">
        <v>7239</v>
      </c>
      <c r="B482" s="0" t="s">
        <v>7240</v>
      </c>
      <c r="C482" s="0" t="s">
        <v>6286</v>
      </c>
      <c r="D482" s="0" t="s">
        <v>2099</v>
      </c>
      <c r="E482" s="31" t="n">
        <v>45680</v>
      </c>
      <c r="F482" s="32" t="s">
        <v>6287</v>
      </c>
      <c r="G482" s="0" t="n">
        <v>7.5</v>
      </c>
      <c r="H482" s="0" t="n">
        <v>7.5</v>
      </c>
      <c r="I482" s="32" t="s">
        <v>2081</v>
      </c>
      <c r="J482" s="32" t="s">
        <v>2081</v>
      </c>
      <c r="K482" s="0" t="n">
        <v>0</v>
      </c>
      <c r="L482" s="32" t="s">
        <v>747</v>
      </c>
      <c r="M482" s="0" t="str">
        <f aca="false">IF(L482="GEN","GM",L482)</f>
        <v>GM</v>
      </c>
    </row>
    <row r="483" customFormat="false" ht="15" hidden="false" customHeight="false" outlineLevel="0" collapsed="false">
      <c r="A483" s="0" t="s">
        <v>7241</v>
      </c>
      <c r="B483" s="0" t="s">
        <v>7242</v>
      </c>
      <c r="C483" s="0" t="s">
        <v>6286</v>
      </c>
      <c r="D483" s="0" t="s">
        <v>2115</v>
      </c>
      <c r="E483" s="31" t="n">
        <v>45680</v>
      </c>
      <c r="F483" s="32" t="s">
        <v>6283</v>
      </c>
      <c r="G483" s="0" t="n">
        <v>11.5</v>
      </c>
      <c r="H483" s="0" t="n">
        <v>11.5</v>
      </c>
      <c r="I483" s="32" t="s">
        <v>2081</v>
      </c>
      <c r="J483" s="32" t="s">
        <v>2081</v>
      </c>
      <c r="K483" s="0" t="n">
        <v>0</v>
      </c>
      <c r="L483" s="32" t="s">
        <v>776</v>
      </c>
      <c r="M483" s="0" t="str">
        <f aca="false">IF(L483="GEN","GM",L483)</f>
        <v>GS</v>
      </c>
    </row>
    <row r="484" customFormat="false" ht="15" hidden="false" customHeight="false" outlineLevel="0" collapsed="false">
      <c r="A484" s="0" t="s">
        <v>7243</v>
      </c>
      <c r="B484" s="0" t="s">
        <v>7244</v>
      </c>
      <c r="C484" s="0" t="s">
        <v>780</v>
      </c>
      <c r="D484" s="0" t="s">
        <v>2115</v>
      </c>
      <c r="E484" s="31" t="n">
        <v>45680</v>
      </c>
      <c r="F484" s="32" t="s">
        <v>6283</v>
      </c>
      <c r="G484" s="0" t="n">
        <v>11.5</v>
      </c>
      <c r="H484" s="0" t="n">
        <v>12.2</v>
      </c>
      <c r="I484" s="32" t="s">
        <v>2106</v>
      </c>
      <c r="J484" s="32" t="s">
        <v>2081</v>
      </c>
      <c r="K484" s="0" t="n">
        <v>0.7</v>
      </c>
      <c r="L484" s="32" t="s">
        <v>747</v>
      </c>
      <c r="M484" s="0" t="str">
        <f aca="false">IF(L484="GEN","GM",L484)</f>
        <v>GM</v>
      </c>
    </row>
    <row r="485" customFormat="false" ht="15" hidden="false" customHeight="false" outlineLevel="0" collapsed="false">
      <c r="A485" s="0" t="s">
        <v>7245</v>
      </c>
      <c r="B485" s="0" t="s">
        <v>7246</v>
      </c>
      <c r="C485" s="0" t="s">
        <v>6295</v>
      </c>
      <c r="D485" s="0" t="s">
        <v>2115</v>
      </c>
      <c r="E485" s="31" t="n">
        <v>45680</v>
      </c>
      <c r="F485" s="32" t="s">
        <v>6287</v>
      </c>
      <c r="G485" s="0" t="n">
        <v>7.5</v>
      </c>
      <c r="H485" s="0" t="n">
        <v>7.5</v>
      </c>
      <c r="I485" s="32" t="s">
        <v>2081</v>
      </c>
      <c r="J485" s="32" t="s">
        <v>2081</v>
      </c>
      <c r="K485" s="0" t="n">
        <v>0</v>
      </c>
      <c r="L485" s="32" t="s">
        <v>802</v>
      </c>
      <c r="M485" s="0" t="str">
        <f aca="false">IF(L485="GEN","GM",L485)</f>
        <v>GYN</v>
      </c>
    </row>
    <row r="486" customFormat="false" ht="15" hidden="false" customHeight="false" outlineLevel="0" collapsed="false">
      <c r="A486" s="0" t="s">
        <v>7247</v>
      </c>
      <c r="B486" s="0" t="s">
        <v>7248</v>
      </c>
      <c r="C486" s="0" t="s">
        <v>6282</v>
      </c>
      <c r="D486" s="0" t="s">
        <v>2124</v>
      </c>
      <c r="E486" s="31" t="n">
        <v>45680</v>
      </c>
      <c r="F486" s="32" t="s">
        <v>6287</v>
      </c>
      <c r="G486" s="0" t="n">
        <v>7.5</v>
      </c>
      <c r="H486" s="0" t="n">
        <v>7.5</v>
      </c>
      <c r="I486" s="32" t="s">
        <v>2081</v>
      </c>
      <c r="J486" s="32" t="s">
        <v>2081</v>
      </c>
      <c r="K486" s="0" t="n">
        <v>0</v>
      </c>
      <c r="L486" s="32" t="s">
        <v>758</v>
      </c>
      <c r="M486" s="0" t="str">
        <f aca="false">IF(L486="GEN","GM",L486)</f>
        <v>CS</v>
      </c>
    </row>
    <row r="487" customFormat="false" ht="15" hidden="false" customHeight="false" outlineLevel="0" collapsed="false">
      <c r="A487" s="0" t="s">
        <v>7249</v>
      </c>
      <c r="B487" s="0" t="s">
        <v>7250</v>
      </c>
      <c r="C487" s="0" t="s">
        <v>6295</v>
      </c>
      <c r="D487" s="0" t="s">
        <v>2124</v>
      </c>
      <c r="E487" s="31" t="n">
        <v>45680</v>
      </c>
      <c r="F487" s="32" t="s">
        <v>1125</v>
      </c>
      <c r="G487" s="0" t="n">
        <v>12</v>
      </c>
      <c r="H487" s="0" t="n">
        <v>12</v>
      </c>
      <c r="I487" s="32" t="s">
        <v>2081</v>
      </c>
      <c r="J487" s="32" t="s">
        <v>2081</v>
      </c>
      <c r="K487" s="0" t="n">
        <v>0</v>
      </c>
      <c r="L487" s="32" t="s">
        <v>766</v>
      </c>
      <c r="M487" s="0" t="str">
        <f aca="false">IF(L487="GEN","GM",L487)</f>
        <v>OR</v>
      </c>
    </row>
    <row r="488" customFormat="false" ht="15" hidden="false" customHeight="false" outlineLevel="0" collapsed="false">
      <c r="A488" s="0" t="s">
        <v>7251</v>
      </c>
      <c r="B488" s="0" t="s">
        <v>7252</v>
      </c>
      <c r="C488" s="0" t="s">
        <v>6295</v>
      </c>
      <c r="D488" s="0" t="s">
        <v>2124</v>
      </c>
      <c r="E488" s="31" t="n">
        <v>45680</v>
      </c>
      <c r="F488" s="32" t="s">
        <v>6283</v>
      </c>
      <c r="G488" s="0" t="n">
        <v>11.5</v>
      </c>
      <c r="H488" s="0" t="n">
        <v>11.5</v>
      </c>
      <c r="I488" s="32" t="s">
        <v>2081</v>
      </c>
      <c r="J488" s="32" t="s">
        <v>2081</v>
      </c>
      <c r="K488" s="0" t="n">
        <v>0</v>
      </c>
      <c r="L488" s="32" t="s">
        <v>747</v>
      </c>
      <c r="M488" s="0" t="str">
        <f aca="false">IF(L488="GEN","GM",L488)</f>
        <v>GM</v>
      </c>
    </row>
    <row r="489" customFormat="false" ht="15" hidden="false" customHeight="false" outlineLevel="0" collapsed="false">
      <c r="A489" s="0" t="s">
        <v>7253</v>
      </c>
      <c r="B489" s="0" t="s">
        <v>7254</v>
      </c>
      <c r="C489" s="0" t="s">
        <v>6295</v>
      </c>
      <c r="D489" s="0" t="s">
        <v>2124</v>
      </c>
      <c r="E489" s="31" t="n">
        <v>45680</v>
      </c>
      <c r="F489" s="32" t="s">
        <v>6287</v>
      </c>
      <c r="G489" s="0" t="n">
        <v>7.5</v>
      </c>
      <c r="H489" s="0" t="n">
        <v>7.5</v>
      </c>
      <c r="I489" s="32" t="s">
        <v>2106</v>
      </c>
      <c r="J489" s="32" t="s">
        <v>2081</v>
      </c>
      <c r="K489" s="0" t="n">
        <v>0</v>
      </c>
      <c r="L489" s="32" t="s">
        <v>793</v>
      </c>
      <c r="M489" s="0" t="str">
        <f aca="false">IF(L489="GEN","GM",L489)</f>
        <v>EM</v>
      </c>
    </row>
    <row r="490" customFormat="false" ht="15" hidden="false" customHeight="false" outlineLevel="0" collapsed="false">
      <c r="A490" s="0" t="s">
        <v>7255</v>
      </c>
      <c r="B490" s="0" t="s">
        <v>7256</v>
      </c>
      <c r="C490" s="0" t="s">
        <v>780</v>
      </c>
      <c r="D490" s="0" t="s">
        <v>2104</v>
      </c>
      <c r="E490" s="31" t="n">
        <v>45680</v>
      </c>
      <c r="F490" s="32" t="s">
        <v>6287</v>
      </c>
      <c r="G490" s="0" t="n">
        <v>7.5</v>
      </c>
      <c r="H490" s="0" t="n">
        <v>7.5</v>
      </c>
      <c r="I490" s="32" t="s">
        <v>2106</v>
      </c>
      <c r="J490" s="32" t="s">
        <v>2081</v>
      </c>
      <c r="K490" s="0" t="n">
        <v>0</v>
      </c>
      <c r="L490" s="32" t="s">
        <v>826</v>
      </c>
      <c r="M490" s="0" t="str">
        <f aca="false">IF(L490="GEN","GM",L490)</f>
        <v>RHE</v>
      </c>
    </row>
    <row r="491" customFormat="false" ht="15" hidden="false" customHeight="false" outlineLevel="0" collapsed="false">
      <c r="A491" s="0" t="s">
        <v>7257</v>
      </c>
      <c r="B491" s="0" t="s">
        <v>7258</v>
      </c>
      <c r="C491" s="0" t="s">
        <v>6286</v>
      </c>
      <c r="D491" s="0" t="s">
        <v>2104</v>
      </c>
      <c r="E491" s="31" t="n">
        <v>45680</v>
      </c>
      <c r="F491" s="32" t="s">
        <v>6287</v>
      </c>
      <c r="G491" s="0" t="n">
        <v>7.5</v>
      </c>
      <c r="H491" s="0" t="n">
        <v>8.3</v>
      </c>
      <c r="I491" s="32" t="s">
        <v>2081</v>
      </c>
      <c r="J491" s="32" t="s">
        <v>2081</v>
      </c>
      <c r="K491" s="0" t="n">
        <v>0.8</v>
      </c>
      <c r="L491" s="32" t="s">
        <v>785</v>
      </c>
      <c r="M491" s="0" t="str">
        <f aca="false">IF(L491="GEN","GM",L491)</f>
        <v>RS</v>
      </c>
    </row>
    <row r="492" customFormat="false" ht="15" hidden="false" customHeight="false" outlineLevel="0" collapsed="false">
      <c r="A492" s="0" t="s">
        <v>7259</v>
      </c>
      <c r="B492" s="0" t="s">
        <v>7260</v>
      </c>
      <c r="C492" s="0" t="s">
        <v>780</v>
      </c>
      <c r="D492" s="0" t="s">
        <v>2104</v>
      </c>
      <c r="E492" s="31" t="n">
        <v>45680</v>
      </c>
      <c r="F492" s="32" t="s">
        <v>6287</v>
      </c>
      <c r="G492" s="0" t="n">
        <v>7.5</v>
      </c>
      <c r="H492" s="0" t="n">
        <v>7.5</v>
      </c>
      <c r="I492" s="32" t="s">
        <v>2081</v>
      </c>
      <c r="J492" s="32" t="s">
        <v>2081</v>
      </c>
      <c r="K492" s="0" t="n">
        <v>0</v>
      </c>
      <c r="L492" s="32" t="s">
        <v>785</v>
      </c>
      <c r="M492" s="0" t="str">
        <f aca="false">IF(L492="GEN","GM",L492)</f>
        <v>RS</v>
      </c>
    </row>
    <row r="493" customFormat="false" ht="15" hidden="false" customHeight="false" outlineLevel="0" collapsed="false">
      <c r="A493" s="0" t="s">
        <v>7261</v>
      </c>
      <c r="B493" s="0" t="s">
        <v>7262</v>
      </c>
      <c r="C493" s="0" t="s">
        <v>6282</v>
      </c>
      <c r="D493" s="0" t="s">
        <v>2104</v>
      </c>
      <c r="E493" s="31" t="n">
        <v>45680</v>
      </c>
      <c r="F493" s="32" t="s">
        <v>6287</v>
      </c>
      <c r="G493" s="0" t="n">
        <v>7.5</v>
      </c>
      <c r="H493" s="0" t="n">
        <v>7.5</v>
      </c>
      <c r="I493" s="32" t="s">
        <v>2081</v>
      </c>
      <c r="J493" s="32" t="s">
        <v>2081</v>
      </c>
      <c r="K493" s="0" t="n">
        <v>0</v>
      </c>
      <c r="L493" s="32" t="s">
        <v>826</v>
      </c>
      <c r="M493" s="0" t="str">
        <f aca="false">IF(L493="GEN","GM",L493)</f>
        <v>RHE</v>
      </c>
    </row>
    <row r="494" customFormat="false" ht="15" hidden="false" customHeight="false" outlineLevel="0" collapsed="false">
      <c r="A494" s="0" t="s">
        <v>7263</v>
      </c>
      <c r="B494" s="0" t="s">
        <v>7264</v>
      </c>
      <c r="C494" s="0" t="s">
        <v>6295</v>
      </c>
      <c r="D494" s="0" t="s">
        <v>2104</v>
      </c>
      <c r="E494" s="31" t="n">
        <v>45680</v>
      </c>
      <c r="F494" s="32" t="s">
        <v>6287</v>
      </c>
      <c r="G494" s="0" t="n">
        <v>7.5</v>
      </c>
      <c r="H494" s="0" t="n">
        <v>7.5</v>
      </c>
      <c r="I494" s="32" t="s">
        <v>2081</v>
      </c>
      <c r="J494" s="32" t="s">
        <v>2081</v>
      </c>
      <c r="K494" s="0" t="n">
        <v>0</v>
      </c>
      <c r="L494" s="32" t="s">
        <v>758</v>
      </c>
      <c r="M494" s="0" t="str">
        <f aca="false">IF(L494="GEN","GM",L494)</f>
        <v>CS</v>
      </c>
    </row>
    <row r="495" customFormat="false" ht="15" hidden="false" customHeight="false" outlineLevel="0" collapsed="false">
      <c r="A495" s="0" t="s">
        <v>7265</v>
      </c>
      <c r="B495" s="0" t="s">
        <v>7266</v>
      </c>
      <c r="C495" s="0" t="s">
        <v>6295</v>
      </c>
      <c r="D495" s="0" t="s">
        <v>3035</v>
      </c>
      <c r="E495" s="31" t="n">
        <v>45680</v>
      </c>
      <c r="F495" s="32" t="s">
        <v>6287</v>
      </c>
      <c r="G495" s="0" t="n">
        <v>7.5</v>
      </c>
      <c r="H495" s="0" t="n">
        <v>6.1</v>
      </c>
      <c r="I495" s="32" t="s">
        <v>2081</v>
      </c>
      <c r="J495" s="32" t="s">
        <v>2081</v>
      </c>
      <c r="K495" s="0" t="n">
        <v>0</v>
      </c>
      <c r="L495" s="32" t="s">
        <v>758</v>
      </c>
      <c r="M495" s="0" t="str">
        <f aca="false">IF(L495="GEN","GM",L495)</f>
        <v>CS</v>
      </c>
    </row>
    <row r="496" customFormat="false" ht="15" hidden="false" customHeight="false" outlineLevel="0" collapsed="false">
      <c r="A496" s="0" t="s">
        <v>7267</v>
      </c>
      <c r="B496" s="0" t="s">
        <v>7268</v>
      </c>
      <c r="C496" s="0" t="s">
        <v>6696</v>
      </c>
      <c r="D496" s="0" t="s">
        <v>3035</v>
      </c>
      <c r="E496" s="31" t="n">
        <v>45680</v>
      </c>
      <c r="F496" s="32" t="s">
        <v>6287</v>
      </c>
      <c r="G496" s="0" t="n">
        <v>7.5</v>
      </c>
      <c r="H496" s="0" t="n">
        <v>7.5</v>
      </c>
      <c r="I496" s="32" t="s">
        <v>2081</v>
      </c>
      <c r="J496" s="32" t="s">
        <v>2081</v>
      </c>
      <c r="K496" s="0" t="n">
        <v>0</v>
      </c>
      <c r="L496" s="32" t="s">
        <v>810</v>
      </c>
      <c r="M496" s="0" t="str">
        <f aca="false">IF(L496="GEN","GM",L496)</f>
        <v>URO</v>
      </c>
    </row>
    <row r="497" customFormat="false" ht="15" hidden="false" customHeight="false" outlineLevel="0" collapsed="false">
      <c r="A497" s="0" t="s">
        <v>7269</v>
      </c>
      <c r="B497" s="0" t="s">
        <v>7270</v>
      </c>
      <c r="C497" s="0" t="s">
        <v>6295</v>
      </c>
      <c r="D497" s="0" t="s">
        <v>3035</v>
      </c>
      <c r="E497" s="31" t="n">
        <v>45680</v>
      </c>
      <c r="F497" s="32" t="s">
        <v>6287</v>
      </c>
      <c r="G497" s="0" t="n">
        <v>7.5</v>
      </c>
      <c r="H497" s="0" t="n">
        <v>7.5</v>
      </c>
      <c r="I497" s="32" t="s">
        <v>2081</v>
      </c>
      <c r="J497" s="32" t="s">
        <v>2081</v>
      </c>
      <c r="K497" s="0" t="n">
        <v>0</v>
      </c>
      <c r="L497" s="32" t="s">
        <v>810</v>
      </c>
      <c r="M497" s="0" t="str">
        <f aca="false">IF(L497="GEN","GM",L497)</f>
        <v>URO</v>
      </c>
    </row>
    <row r="498" customFormat="false" ht="15" hidden="false" customHeight="false" outlineLevel="0" collapsed="false">
      <c r="A498" s="0" t="s">
        <v>7271</v>
      </c>
      <c r="B498" s="0" t="s">
        <v>7272</v>
      </c>
      <c r="C498" s="0" t="s">
        <v>780</v>
      </c>
      <c r="D498" s="0" t="s">
        <v>3035</v>
      </c>
      <c r="E498" s="31" t="n">
        <v>45680</v>
      </c>
      <c r="F498" s="32" t="s">
        <v>1125</v>
      </c>
      <c r="G498" s="0" t="n">
        <v>12</v>
      </c>
      <c r="H498" s="0" t="n">
        <v>12</v>
      </c>
      <c r="I498" s="32" t="s">
        <v>2081</v>
      </c>
      <c r="J498" s="32" t="s">
        <v>2081</v>
      </c>
      <c r="K498" s="0" t="n">
        <v>0</v>
      </c>
      <c r="L498" s="32" t="s">
        <v>747</v>
      </c>
      <c r="M498" s="0" t="str">
        <f aca="false">IF(L498="GEN","GM",L498)</f>
        <v>GM</v>
      </c>
    </row>
    <row r="499" customFormat="false" ht="15" hidden="false" customHeight="false" outlineLevel="0" collapsed="false">
      <c r="A499" s="0" t="s">
        <v>7273</v>
      </c>
      <c r="B499" s="0" t="s">
        <v>7274</v>
      </c>
      <c r="C499" s="0" t="s">
        <v>6282</v>
      </c>
      <c r="D499" s="0" t="s">
        <v>3035</v>
      </c>
      <c r="E499" s="31" t="n">
        <v>45680</v>
      </c>
      <c r="F499" s="32" t="s">
        <v>6283</v>
      </c>
      <c r="G499" s="0" t="n">
        <v>11.5</v>
      </c>
      <c r="H499" s="0" t="n">
        <v>11.5</v>
      </c>
      <c r="I499" s="32" t="s">
        <v>2106</v>
      </c>
      <c r="J499" s="32" t="s">
        <v>2081</v>
      </c>
      <c r="K499" s="0" t="n">
        <v>0</v>
      </c>
      <c r="L499" s="32" t="s">
        <v>793</v>
      </c>
      <c r="M499" s="0" t="str">
        <f aca="false">IF(L499="GEN","GM",L499)</f>
        <v>EM</v>
      </c>
    </row>
    <row r="500" customFormat="false" ht="15" hidden="false" customHeight="false" outlineLevel="0" collapsed="false">
      <c r="A500" s="0" t="s">
        <v>7275</v>
      </c>
      <c r="B500" s="0" t="s">
        <v>7276</v>
      </c>
      <c r="C500" s="0" t="s">
        <v>6286</v>
      </c>
      <c r="D500" s="0" t="s">
        <v>2088</v>
      </c>
      <c r="E500" s="31" t="n">
        <v>45681</v>
      </c>
      <c r="F500" s="32" t="s">
        <v>6287</v>
      </c>
      <c r="G500" s="0" t="n">
        <v>7.5</v>
      </c>
      <c r="H500" s="0" t="n">
        <v>9.2</v>
      </c>
      <c r="I500" s="32" t="s">
        <v>2081</v>
      </c>
      <c r="J500" s="32" t="s">
        <v>2081</v>
      </c>
      <c r="K500" s="0" t="n">
        <v>1.7</v>
      </c>
      <c r="L500" s="32" t="s">
        <v>810</v>
      </c>
      <c r="M500" s="0" t="str">
        <f aca="false">IF(L500="GEN","GM",L500)</f>
        <v>URO</v>
      </c>
    </row>
    <row r="501" customFormat="false" ht="15" hidden="false" customHeight="false" outlineLevel="0" collapsed="false">
      <c r="A501" s="0" t="s">
        <v>7277</v>
      </c>
      <c r="B501" s="0" t="s">
        <v>7278</v>
      </c>
      <c r="C501" s="0" t="s">
        <v>6295</v>
      </c>
      <c r="D501" s="0" t="s">
        <v>2088</v>
      </c>
      <c r="E501" s="31" t="n">
        <v>45681</v>
      </c>
      <c r="F501" s="32" t="s">
        <v>1125</v>
      </c>
      <c r="G501" s="0" t="n">
        <v>12</v>
      </c>
      <c r="H501" s="0" t="n">
        <v>12.5</v>
      </c>
      <c r="I501" s="32" t="s">
        <v>2081</v>
      </c>
      <c r="J501" s="32" t="s">
        <v>2081</v>
      </c>
      <c r="K501" s="0" t="n">
        <v>0.5</v>
      </c>
      <c r="L501" s="32" t="s">
        <v>826</v>
      </c>
      <c r="M501" s="0" t="str">
        <f aca="false">IF(L501="GEN","GM",L501)</f>
        <v>RHE</v>
      </c>
    </row>
    <row r="502" customFormat="false" ht="15" hidden="false" customHeight="false" outlineLevel="0" collapsed="false">
      <c r="A502" s="0" t="s">
        <v>7279</v>
      </c>
      <c r="B502" s="0" t="s">
        <v>7280</v>
      </c>
      <c r="C502" s="0" t="s">
        <v>6286</v>
      </c>
      <c r="D502" s="0" t="s">
        <v>2088</v>
      </c>
      <c r="E502" s="31" t="n">
        <v>45681</v>
      </c>
      <c r="F502" s="32" t="s">
        <v>1125</v>
      </c>
      <c r="G502" s="0" t="n">
        <v>12</v>
      </c>
      <c r="H502" s="0" t="n">
        <v>12</v>
      </c>
      <c r="I502" s="32" t="s">
        <v>2106</v>
      </c>
      <c r="J502" s="32" t="s">
        <v>2081</v>
      </c>
      <c r="K502" s="0" t="n">
        <v>0</v>
      </c>
      <c r="L502" s="32" t="s">
        <v>826</v>
      </c>
      <c r="M502" s="0" t="str">
        <f aca="false">IF(L502="GEN","GM",L502)</f>
        <v>RHE</v>
      </c>
    </row>
    <row r="503" customFormat="false" ht="15" hidden="false" customHeight="false" outlineLevel="0" collapsed="false">
      <c r="A503" s="0" t="s">
        <v>7281</v>
      </c>
      <c r="B503" s="0" t="s">
        <v>7282</v>
      </c>
      <c r="C503" s="0" t="s">
        <v>6286</v>
      </c>
      <c r="D503" s="0" t="s">
        <v>2088</v>
      </c>
      <c r="E503" s="31" t="n">
        <v>45681</v>
      </c>
      <c r="F503" s="32" t="s">
        <v>6287</v>
      </c>
      <c r="G503" s="0" t="n">
        <v>7.5</v>
      </c>
      <c r="H503" s="0" t="n">
        <v>7.5</v>
      </c>
      <c r="I503" s="32" t="s">
        <v>2081</v>
      </c>
      <c r="J503" s="32" t="s">
        <v>2081</v>
      </c>
      <c r="K503" s="0" t="n">
        <v>0</v>
      </c>
      <c r="L503" s="32" t="s">
        <v>793</v>
      </c>
      <c r="M503" s="0" t="str">
        <f aca="false">IF(L503="GEN","GM",L503)</f>
        <v>EM</v>
      </c>
    </row>
    <row r="504" customFormat="false" ht="15" hidden="false" customHeight="false" outlineLevel="0" collapsed="false">
      <c r="A504" s="0" t="s">
        <v>7283</v>
      </c>
      <c r="B504" s="0" t="s">
        <v>7284</v>
      </c>
      <c r="C504" s="0" t="s">
        <v>6286</v>
      </c>
      <c r="D504" s="0" t="s">
        <v>2079</v>
      </c>
      <c r="E504" s="31" t="n">
        <v>45681</v>
      </c>
      <c r="F504" s="32" t="s">
        <v>6283</v>
      </c>
      <c r="G504" s="0" t="n">
        <v>11.5</v>
      </c>
      <c r="H504" s="0" t="n">
        <v>11.5</v>
      </c>
      <c r="I504" s="32" t="s">
        <v>2081</v>
      </c>
      <c r="J504" s="32" t="s">
        <v>2081</v>
      </c>
      <c r="K504" s="0" t="n">
        <v>0</v>
      </c>
      <c r="L504" s="32" t="s">
        <v>826</v>
      </c>
      <c r="M504" s="0" t="str">
        <f aca="false">IF(L504="GEN","GM",L504)</f>
        <v>RHE</v>
      </c>
    </row>
    <row r="505" customFormat="false" ht="15" hidden="false" customHeight="false" outlineLevel="0" collapsed="false">
      <c r="A505" s="0" t="s">
        <v>7285</v>
      </c>
      <c r="B505" s="0" t="s">
        <v>7286</v>
      </c>
      <c r="C505" s="0" t="s">
        <v>6295</v>
      </c>
      <c r="D505" s="0" t="s">
        <v>2079</v>
      </c>
      <c r="E505" s="31" t="n">
        <v>45681</v>
      </c>
      <c r="F505" s="32" t="s">
        <v>6287</v>
      </c>
      <c r="G505" s="0" t="n">
        <v>7.5</v>
      </c>
      <c r="H505" s="0" t="n">
        <v>7.5</v>
      </c>
      <c r="I505" s="32" t="s">
        <v>2081</v>
      </c>
      <c r="J505" s="32" t="s">
        <v>2081</v>
      </c>
      <c r="K505" s="0" t="n">
        <v>0</v>
      </c>
      <c r="L505" s="32" t="s">
        <v>747</v>
      </c>
      <c r="M505" s="0" t="str">
        <f aca="false">IF(L505="GEN","GM",L505)</f>
        <v>GM</v>
      </c>
    </row>
    <row r="506" customFormat="false" ht="15" hidden="false" customHeight="false" outlineLevel="0" collapsed="false">
      <c r="A506" s="0" t="s">
        <v>7287</v>
      </c>
      <c r="B506" s="0" t="s">
        <v>7288</v>
      </c>
      <c r="C506" s="0" t="s">
        <v>6295</v>
      </c>
      <c r="D506" s="0" t="s">
        <v>2079</v>
      </c>
      <c r="E506" s="31" t="n">
        <v>45681</v>
      </c>
      <c r="F506" s="32" t="s">
        <v>1125</v>
      </c>
      <c r="G506" s="0" t="n">
        <v>12</v>
      </c>
      <c r="H506" s="0" t="n">
        <v>12</v>
      </c>
      <c r="I506" s="32" t="s">
        <v>2106</v>
      </c>
      <c r="J506" s="32" t="s">
        <v>2081</v>
      </c>
      <c r="K506" s="0" t="n">
        <v>0</v>
      </c>
      <c r="L506" s="32" t="s">
        <v>766</v>
      </c>
      <c r="M506" s="0" t="str">
        <f aca="false">IF(L506="GEN","GM",L506)</f>
        <v>OR</v>
      </c>
    </row>
    <row r="507" customFormat="false" ht="15" hidden="false" customHeight="false" outlineLevel="0" collapsed="false">
      <c r="A507" s="0" t="s">
        <v>7289</v>
      </c>
      <c r="B507" s="0" t="s">
        <v>7290</v>
      </c>
      <c r="C507" s="0" t="s">
        <v>6286</v>
      </c>
      <c r="D507" s="0" t="s">
        <v>2079</v>
      </c>
      <c r="E507" s="31" t="n">
        <v>45681</v>
      </c>
      <c r="F507" s="32" t="s">
        <v>6283</v>
      </c>
      <c r="G507" s="0" t="n">
        <v>11.5</v>
      </c>
      <c r="H507" s="0" t="n">
        <v>11.5</v>
      </c>
      <c r="I507" s="32" t="s">
        <v>2081</v>
      </c>
      <c r="J507" s="32" t="s">
        <v>2081</v>
      </c>
      <c r="K507" s="0" t="n">
        <v>0</v>
      </c>
      <c r="L507" s="32" t="s">
        <v>785</v>
      </c>
      <c r="M507" s="0" t="str">
        <f aca="false">IF(L507="GEN","GM",L507)</f>
        <v>RS</v>
      </c>
    </row>
    <row r="508" customFormat="false" ht="15" hidden="false" customHeight="false" outlineLevel="0" collapsed="false">
      <c r="A508" s="0" t="s">
        <v>7291</v>
      </c>
      <c r="B508" s="0" t="s">
        <v>7292</v>
      </c>
      <c r="C508" s="0" t="s">
        <v>6295</v>
      </c>
      <c r="D508" s="0" t="s">
        <v>2079</v>
      </c>
      <c r="E508" s="31" t="n">
        <v>45681</v>
      </c>
      <c r="F508" s="32" t="s">
        <v>6283</v>
      </c>
      <c r="G508" s="0" t="n">
        <v>11.5</v>
      </c>
      <c r="H508" s="0" t="n">
        <v>11.5</v>
      </c>
      <c r="I508" s="32" t="s">
        <v>2081</v>
      </c>
      <c r="J508" s="32" t="s">
        <v>2081</v>
      </c>
      <c r="K508" s="0" t="n">
        <v>0</v>
      </c>
      <c r="L508" s="32" t="s">
        <v>758</v>
      </c>
      <c r="M508" s="0" t="str">
        <f aca="false">IF(L508="GEN","GM",L508)</f>
        <v>CS</v>
      </c>
    </row>
    <row r="509" customFormat="false" ht="15" hidden="false" customHeight="false" outlineLevel="0" collapsed="false">
      <c r="A509" s="0" t="s">
        <v>7293</v>
      </c>
      <c r="B509" s="0" t="s">
        <v>7294</v>
      </c>
      <c r="C509" s="0" t="s">
        <v>6295</v>
      </c>
      <c r="D509" s="0" t="s">
        <v>2099</v>
      </c>
      <c r="E509" s="31" t="n">
        <v>45681</v>
      </c>
      <c r="F509" s="32" t="s">
        <v>1125</v>
      </c>
      <c r="G509" s="0" t="n">
        <v>12</v>
      </c>
      <c r="H509" s="0" t="n">
        <v>12</v>
      </c>
      <c r="I509" s="32" t="s">
        <v>2081</v>
      </c>
      <c r="J509" s="32" t="s">
        <v>2081</v>
      </c>
      <c r="K509" s="0" t="n">
        <v>0</v>
      </c>
      <c r="L509" s="32" t="s">
        <v>810</v>
      </c>
      <c r="M509" s="0" t="str">
        <f aca="false">IF(L509="GEN","GM",L509)</f>
        <v>URO</v>
      </c>
    </row>
    <row r="510" customFormat="false" ht="15" hidden="false" customHeight="false" outlineLevel="0" collapsed="false">
      <c r="A510" s="0" t="s">
        <v>7295</v>
      </c>
      <c r="B510" s="0" t="s">
        <v>7296</v>
      </c>
      <c r="C510" s="0" t="s">
        <v>6290</v>
      </c>
      <c r="D510" s="0" t="s">
        <v>2099</v>
      </c>
      <c r="E510" s="31" t="n">
        <v>45681</v>
      </c>
      <c r="F510" s="32" t="s">
        <v>1125</v>
      </c>
      <c r="G510" s="0" t="n">
        <v>12</v>
      </c>
      <c r="H510" s="0" t="n">
        <v>12</v>
      </c>
      <c r="I510" s="32" t="s">
        <v>2081</v>
      </c>
      <c r="J510" s="32" t="s">
        <v>2081</v>
      </c>
      <c r="K510" s="0" t="n">
        <v>0</v>
      </c>
      <c r="L510" s="32" t="s">
        <v>766</v>
      </c>
      <c r="M510" s="0" t="str">
        <f aca="false">IF(L510="GEN","GM",L510)</f>
        <v>OR</v>
      </c>
    </row>
    <row r="511" customFormat="false" ht="15" hidden="false" customHeight="false" outlineLevel="0" collapsed="false">
      <c r="A511" s="0" t="s">
        <v>7297</v>
      </c>
      <c r="B511" s="0" t="s">
        <v>7298</v>
      </c>
      <c r="C511" s="0" t="s">
        <v>6295</v>
      </c>
      <c r="D511" s="0" t="s">
        <v>2099</v>
      </c>
      <c r="E511" s="31" t="n">
        <v>45681</v>
      </c>
      <c r="F511" s="32" t="s">
        <v>1125</v>
      </c>
      <c r="G511" s="0" t="n">
        <v>12</v>
      </c>
      <c r="H511" s="0" t="n">
        <v>12</v>
      </c>
      <c r="I511" s="32" t="s">
        <v>2081</v>
      </c>
      <c r="J511" s="32" t="s">
        <v>2081</v>
      </c>
      <c r="K511" s="0" t="n">
        <v>0</v>
      </c>
      <c r="L511" s="32" t="s">
        <v>766</v>
      </c>
      <c r="M511" s="0" t="str">
        <f aca="false">IF(L511="GEN","GM",L511)</f>
        <v>OR</v>
      </c>
    </row>
    <row r="512" customFormat="false" ht="15" hidden="false" customHeight="false" outlineLevel="0" collapsed="false">
      <c r="A512" s="0" t="s">
        <v>7299</v>
      </c>
      <c r="B512" s="0" t="s">
        <v>7300</v>
      </c>
      <c r="C512" s="0" t="s">
        <v>6290</v>
      </c>
      <c r="D512" s="0" t="s">
        <v>2115</v>
      </c>
      <c r="E512" s="31" t="n">
        <v>45681</v>
      </c>
      <c r="F512" s="32" t="s">
        <v>6287</v>
      </c>
      <c r="G512" s="0" t="n">
        <v>7.5</v>
      </c>
      <c r="H512" s="0" t="n">
        <v>9.9</v>
      </c>
      <c r="I512" s="32" t="s">
        <v>2081</v>
      </c>
      <c r="J512" s="32" t="s">
        <v>2081</v>
      </c>
      <c r="K512" s="0" t="n">
        <v>2.4</v>
      </c>
      <c r="L512" s="32" t="s">
        <v>776</v>
      </c>
      <c r="M512" s="0" t="str">
        <f aca="false">IF(L512="GEN","GM",L512)</f>
        <v>GS</v>
      </c>
    </row>
    <row r="513" customFormat="false" ht="15" hidden="false" customHeight="false" outlineLevel="0" collapsed="false">
      <c r="A513" s="0" t="s">
        <v>7301</v>
      </c>
      <c r="B513" s="0" t="s">
        <v>7302</v>
      </c>
      <c r="C513" s="0" t="s">
        <v>6295</v>
      </c>
      <c r="D513" s="0" t="s">
        <v>2115</v>
      </c>
      <c r="E513" s="31" t="n">
        <v>45681</v>
      </c>
      <c r="F513" s="32" t="s">
        <v>1125</v>
      </c>
      <c r="G513" s="0" t="n">
        <v>12</v>
      </c>
      <c r="H513" s="0" t="n">
        <v>12</v>
      </c>
      <c r="I513" s="32" t="s">
        <v>2081</v>
      </c>
      <c r="J513" s="32" t="s">
        <v>2081</v>
      </c>
      <c r="K513" s="0" t="n">
        <v>0</v>
      </c>
      <c r="L513" s="32" t="s">
        <v>810</v>
      </c>
      <c r="M513" s="0" t="str">
        <f aca="false">IF(L513="GEN","GM",L513)</f>
        <v>URO</v>
      </c>
    </row>
    <row r="514" customFormat="false" ht="15" hidden="false" customHeight="false" outlineLevel="0" collapsed="false">
      <c r="A514" s="0" t="s">
        <v>7303</v>
      </c>
      <c r="B514" s="0" t="s">
        <v>7304</v>
      </c>
      <c r="C514" s="0" t="s">
        <v>780</v>
      </c>
      <c r="D514" s="0" t="s">
        <v>2115</v>
      </c>
      <c r="E514" s="31" t="n">
        <v>45681</v>
      </c>
      <c r="F514" s="32" t="s">
        <v>1125</v>
      </c>
      <c r="G514" s="0" t="n">
        <v>12</v>
      </c>
      <c r="H514" s="0" t="n">
        <v>12</v>
      </c>
      <c r="I514" s="32" t="s">
        <v>2081</v>
      </c>
      <c r="J514" s="32" t="s">
        <v>2081</v>
      </c>
      <c r="K514" s="0" t="n">
        <v>0</v>
      </c>
      <c r="L514" s="32" t="s">
        <v>785</v>
      </c>
      <c r="M514" s="0" t="str">
        <f aca="false">IF(L514="GEN","GM",L514)</f>
        <v>RS</v>
      </c>
    </row>
    <row r="515" customFormat="false" ht="15" hidden="false" customHeight="false" outlineLevel="0" collapsed="false">
      <c r="A515" s="0" t="s">
        <v>7305</v>
      </c>
      <c r="B515" s="0" t="s">
        <v>7306</v>
      </c>
      <c r="C515" s="0" t="s">
        <v>6295</v>
      </c>
      <c r="D515" s="0" t="s">
        <v>2124</v>
      </c>
      <c r="E515" s="31" t="n">
        <v>45681</v>
      </c>
      <c r="F515" s="32" t="s">
        <v>6287</v>
      </c>
      <c r="G515" s="0" t="n">
        <v>7.5</v>
      </c>
      <c r="H515" s="0" t="n">
        <v>7.5</v>
      </c>
      <c r="I515" s="32" t="s">
        <v>2081</v>
      </c>
      <c r="K515" s="0" t="n">
        <v>0</v>
      </c>
      <c r="L515" s="32" t="s">
        <v>776</v>
      </c>
      <c r="M515" s="0" t="str">
        <f aca="false">IF(L515="GEN","GM",L515)</f>
        <v>GS</v>
      </c>
    </row>
    <row r="516" customFormat="false" ht="15" hidden="false" customHeight="false" outlineLevel="0" collapsed="false">
      <c r="A516" s="0" t="s">
        <v>7307</v>
      </c>
      <c r="B516" s="0" t="s">
        <v>7308</v>
      </c>
      <c r="C516" s="0" t="s">
        <v>6290</v>
      </c>
      <c r="D516" s="0" t="s">
        <v>2124</v>
      </c>
      <c r="E516" s="31" t="n">
        <v>45681</v>
      </c>
      <c r="F516" s="32" t="s">
        <v>6287</v>
      </c>
      <c r="G516" s="0" t="n">
        <v>7.5</v>
      </c>
      <c r="H516" s="0" t="n">
        <v>7.5</v>
      </c>
      <c r="I516" s="32" t="s">
        <v>2081</v>
      </c>
      <c r="J516" s="32" t="s">
        <v>2081</v>
      </c>
      <c r="K516" s="0" t="n">
        <v>0</v>
      </c>
      <c r="L516" s="32" t="s">
        <v>826</v>
      </c>
      <c r="M516" s="0" t="str">
        <f aca="false">IF(L516="GEN","GM",L516)</f>
        <v>RHE</v>
      </c>
    </row>
    <row r="517" customFormat="false" ht="15" hidden="false" customHeight="false" outlineLevel="0" collapsed="false">
      <c r="A517" s="0" t="s">
        <v>7309</v>
      </c>
      <c r="B517" s="0" t="s">
        <v>7310</v>
      </c>
      <c r="C517" s="0" t="s">
        <v>6295</v>
      </c>
      <c r="D517" s="0" t="s">
        <v>2124</v>
      </c>
      <c r="E517" s="31" t="n">
        <v>45681</v>
      </c>
      <c r="F517" s="32" t="s">
        <v>1125</v>
      </c>
      <c r="G517" s="0" t="n">
        <v>12</v>
      </c>
      <c r="H517" s="0" t="n">
        <v>12</v>
      </c>
      <c r="I517" s="32" t="s">
        <v>2081</v>
      </c>
      <c r="J517" s="32" t="s">
        <v>2081</v>
      </c>
      <c r="K517" s="0" t="n">
        <v>0</v>
      </c>
      <c r="L517" s="32" t="s">
        <v>747</v>
      </c>
      <c r="M517" s="0" t="str">
        <f aca="false">IF(L517="GEN","GM",L517)</f>
        <v>GM</v>
      </c>
    </row>
    <row r="518" customFormat="false" ht="15" hidden="false" customHeight="false" outlineLevel="0" collapsed="false">
      <c r="A518" s="0" t="s">
        <v>7311</v>
      </c>
      <c r="B518" s="0" t="s">
        <v>7312</v>
      </c>
      <c r="C518" s="0" t="s">
        <v>780</v>
      </c>
      <c r="D518" s="0" t="s">
        <v>2124</v>
      </c>
      <c r="E518" s="31" t="n">
        <v>45681</v>
      </c>
      <c r="F518" s="32" t="s">
        <v>1125</v>
      </c>
      <c r="G518" s="0" t="n">
        <v>12</v>
      </c>
      <c r="H518" s="0" t="n">
        <v>12</v>
      </c>
      <c r="J518" s="32" t="s">
        <v>2081</v>
      </c>
      <c r="K518" s="0" t="n">
        <v>0</v>
      </c>
      <c r="L518" s="32" t="s">
        <v>747</v>
      </c>
      <c r="M518" s="0" t="str">
        <f aca="false">IF(L518="GEN","GM",L518)</f>
        <v>GM</v>
      </c>
    </row>
    <row r="519" customFormat="false" ht="15" hidden="false" customHeight="false" outlineLevel="0" collapsed="false">
      <c r="A519" s="0" t="s">
        <v>7313</v>
      </c>
      <c r="B519" s="0" t="s">
        <v>7314</v>
      </c>
      <c r="C519" s="0" t="s">
        <v>6295</v>
      </c>
      <c r="D519" s="0" t="s">
        <v>2104</v>
      </c>
      <c r="E519" s="31" t="n">
        <v>45681</v>
      </c>
      <c r="F519" s="32" t="s">
        <v>6287</v>
      </c>
      <c r="G519" s="0" t="n">
        <v>7.5</v>
      </c>
      <c r="H519" s="0" t="n">
        <v>7.5</v>
      </c>
      <c r="I519" s="32" t="s">
        <v>2106</v>
      </c>
      <c r="J519" s="32" t="s">
        <v>2081</v>
      </c>
      <c r="K519" s="0" t="n">
        <v>0</v>
      </c>
      <c r="L519" s="32" t="s">
        <v>766</v>
      </c>
      <c r="M519" s="0" t="str">
        <f aca="false">IF(L519="GEN","GM",L519)</f>
        <v>OR</v>
      </c>
    </row>
    <row r="520" customFormat="false" ht="15" hidden="false" customHeight="false" outlineLevel="0" collapsed="false">
      <c r="A520" s="0" t="s">
        <v>7315</v>
      </c>
      <c r="B520" s="0" t="s">
        <v>7316</v>
      </c>
      <c r="C520" s="0" t="s">
        <v>6286</v>
      </c>
      <c r="D520" s="0" t="s">
        <v>2104</v>
      </c>
      <c r="E520" s="31" t="n">
        <v>45681</v>
      </c>
      <c r="F520" s="32" t="s">
        <v>1125</v>
      </c>
      <c r="G520" s="0" t="n">
        <v>12</v>
      </c>
      <c r="H520" s="0" t="n">
        <v>12</v>
      </c>
      <c r="I520" s="32" t="s">
        <v>2081</v>
      </c>
      <c r="J520" s="32" t="s">
        <v>2081</v>
      </c>
      <c r="K520" s="0" t="n">
        <v>0</v>
      </c>
      <c r="L520" s="32" t="s">
        <v>793</v>
      </c>
      <c r="M520" s="0" t="str">
        <f aca="false">IF(L520="GEN","GM",L520)</f>
        <v>EM</v>
      </c>
    </row>
    <row r="521" customFormat="false" ht="15" hidden="false" customHeight="false" outlineLevel="0" collapsed="false">
      <c r="A521" s="0" t="s">
        <v>7317</v>
      </c>
      <c r="C521" s="0" t="s">
        <v>6286</v>
      </c>
      <c r="D521" s="0" t="s">
        <v>2104</v>
      </c>
      <c r="E521" s="31" t="n">
        <v>45681</v>
      </c>
      <c r="F521" s="32" t="s">
        <v>6287</v>
      </c>
      <c r="G521" s="0" t="n">
        <v>7.5</v>
      </c>
      <c r="H521" s="0" t="n">
        <v>7.5</v>
      </c>
      <c r="I521" s="32" t="s">
        <v>2081</v>
      </c>
      <c r="J521" s="32" t="s">
        <v>2081</v>
      </c>
      <c r="K521" s="0" t="n">
        <v>0</v>
      </c>
      <c r="L521" s="32" t="s">
        <v>826</v>
      </c>
      <c r="M521" s="0" t="str">
        <f aca="false">IF(L521="GEN","GM",L521)</f>
        <v>RHE</v>
      </c>
    </row>
    <row r="522" customFormat="false" ht="15" hidden="false" customHeight="false" outlineLevel="0" collapsed="false">
      <c r="A522" s="0" t="s">
        <v>7318</v>
      </c>
      <c r="B522" s="0" t="s">
        <v>7319</v>
      </c>
      <c r="C522" s="0" t="s">
        <v>6286</v>
      </c>
      <c r="D522" s="0" t="s">
        <v>2104</v>
      </c>
      <c r="E522" s="31" t="n">
        <v>45681</v>
      </c>
      <c r="F522" s="32" t="s">
        <v>6283</v>
      </c>
      <c r="G522" s="0" t="n">
        <v>11.5</v>
      </c>
      <c r="H522" s="0" t="n">
        <v>12.2</v>
      </c>
      <c r="I522" s="32" t="s">
        <v>2081</v>
      </c>
      <c r="J522" s="32" t="s">
        <v>2081</v>
      </c>
      <c r="K522" s="0" t="n">
        <v>0.7</v>
      </c>
      <c r="L522" s="32" t="s">
        <v>802</v>
      </c>
      <c r="M522" s="0" t="str">
        <f aca="false">IF(L522="GEN","GM",L522)</f>
        <v>GYN</v>
      </c>
    </row>
    <row r="523" customFormat="false" ht="15" hidden="false" customHeight="false" outlineLevel="0" collapsed="false">
      <c r="A523" s="0" t="s">
        <v>7320</v>
      </c>
      <c r="B523" s="0" t="s">
        <v>7321</v>
      </c>
      <c r="C523" s="0" t="s">
        <v>780</v>
      </c>
      <c r="D523" s="0" t="s">
        <v>2104</v>
      </c>
      <c r="E523" s="31" t="n">
        <v>45681</v>
      </c>
      <c r="F523" s="32" t="s">
        <v>6287</v>
      </c>
      <c r="G523" s="0" t="n">
        <v>7.5</v>
      </c>
      <c r="H523" s="0" t="n">
        <v>7.5</v>
      </c>
      <c r="I523" s="32" t="s">
        <v>2081</v>
      </c>
      <c r="J523" s="32" t="s">
        <v>2081</v>
      </c>
      <c r="K523" s="0" t="n">
        <v>0</v>
      </c>
      <c r="L523" s="32" t="s">
        <v>802</v>
      </c>
      <c r="M523" s="0" t="str">
        <f aca="false">IF(L523="GEN","GM",L523)</f>
        <v>GYN</v>
      </c>
    </row>
    <row r="524" customFormat="false" ht="15" hidden="false" customHeight="false" outlineLevel="0" collapsed="false">
      <c r="A524" s="0" t="s">
        <v>7322</v>
      </c>
      <c r="B524" s="0" t="s">
        <v>7323</v>
      </c>
      <c r="C524" s="0" t="s">
        <v>780</v>
      </c>
      <c r="D524" s="0" t="s">
        <v>3035</v>
      </c>
      <c r="E524" s="31" t="n">
        <v>45681</v>
      </c>
      <c r="F524" s="32" t="s">
        <v>1125</v>
      </c>
      <c r="G524" s="0" t="n">
        <v>12</v>
      </c>
      <c r="H524" s="0" t="n">
        <v>12.7</v>
      </c>
      <c r="I524" s="32" t="s">
        <v>2081</v>
      </c>
      <c r="J524" s="32" t="s">
        <v>2081</v>
      </c>
      <c r="K524" s="0" t="n">
        <v>0.7</v>
      </c>
      <c r="L524" s="32" t="s">
        <v>785</v>
      </c>
      <c r="M524" s="0" t="str">
        <f aca="false">IF(L524="GEN","GM",L524)</f>
        <v>RS</v>
      </c>
    </row>
    <row r="525" customFormat="false" ht="15" hidden="false" customHeight="false" outlineLevel="0" collapsed="false">
      <c r="A525" s="0" t="s">
        <v>7324</v>
      </c>
      <c r="B525" s="0" t="s">
        <v>7325</v>
      </c>
      <c r="C525" s="0" t="s">
        <v>6290</v>
      </c>
      <c r="D525" s="0" t="s">
        <v>3035</v>
      </c>
      <c r="E525" s="31" t="n">
        <v>45681</v>
      </c>
      <c r="F525" s="32" t="s">
        <v>6287</v>
      </c>
      <c r="G525" s="0" t="n">
        <v>7.5</v>
      </c>
      <c r="H525" s="0" t="n">
        <v>8.7</v>
      </c>
      <c r="I525" s="32" t="s">
        <v>2081</v>
      </c>
      <c r="J525" s="32" t="s">
        <v>2081</v>
      </c>
      <c r="K525" s="0" t="n">
        <v>1.2</v>
      </c>
      <c r="L525" s="32" t="s">
        <v>747</v>
      </c>
      <c r="M525" s="0" t="str">
        <f aca="false">IF(L525="GEN","GM",L525)</f>
        <v>GM</v>
      </c>
    </row>
    <row r="526" customFormat="false" ht="15" hidden="false" customHeight="false" outlineLevel="0" collapsed="false">
      <c r="A526" s="0" t="s">
        <v>7326</v>
      </c>
      <c r="B526" s="0" t="s">
        <v>7327</v>
      </c>
      <c r="C526" s="0" t="s">
        <v>6286</v>
      </c>
      <c r="D526" s="0" t="s">
        <v>3035</v>
      </c>
      <c r="E526" s="31" t="n">
        <v>45681</v>
      </c>
      <c r="F526" s="32" t="s">
        <v>6287</v>
      </c>
      <c r="G526" s="0" t="n">
        <v>7.5</v>
      </c>
      <c r="H526" s="0" t="n">
        <v>9.9</v>
      </c>
      <c r="I526" s="32" t="s">
        <v>2081</v>
      </c>
      <c r="J526" s="32" t="s">
        <v>2081</v>
      </c>
      <c r="K526" s="0" t="n">
        <v>2.4</v>
      </c>
      <c r="L526" s="32" t="s">
        <v>810</v>
      </c>
      <c r="M526" s="0" t="str">
        <f aca="false">IF(L526="GEN","GM",L526)</f>
        <v>URO</v>
      </c>
    </row>
    <row r="527" customFormat="false" ht="15" hidden="false" customHeight="false" outlineLevel="0" collapsed="false">
      <c r="A527" s="0" t="s">
        <v>7328</v>
      </c>
      <c r="B527" s="0" t="s">
        <v>7329</v>
      </c>
      <c r="C527" s="0" t="s">
        <v>6286</v>
      </c>
      <c r="D527" s="0" t="s">
        <v>3035</v>
      </c>
      <c r="E527" s="31" t="n">
        <v>45681</v>
      </c>
      <c r="F527" s="32" t="s">
        <v>6287</v>
      </c>
      <c r="G527" s="0" t="n">
        <v>7.5</v>
      </c>
      <c r="H527" s="0" t="n">
        <v>7.5</v>
      </c>
      <c r="I527" s="32" t="s">
        <v>2081</v>
      </c>
      <c r="J527" s="32" t="s">
        <v>2081</v>
      </c>
      <c r="K527" s="0" t="n">
        <v>0</v>
      </c>
      <c r="L527" s="32" t="s">
        <v>793</v>
      </c>
      <c r="M527" s="0" t="str">
        <f aca="false">IF(L527="GEN","GM",L527)</f>
        <v>EM</v>
      </c>
    </row>
    <row r="528" customFormat="false" ht="15" hidden="false" customHeight="false" outlineLevel="0" collapsed="false">
      <c r="A528" s="0" t="s">
        <v>7330</v>
      </c>
      <c r="B528" s="0" t="s">
        <v>7331</v>
      </c>
      <c r="C528" s="0" t="s">
        <v>6286</v>
      </c>
      <c r="D528" s="0" t="s">
        <v>2088</v>
      </c>
      <c r="E528" s="31" t="n">
        <v>45682</v>
      </c>
      <c r="F528" s="32" t="s">
        <v>1125</v>
      </c>
      <c r="G528" s="0" t="n">
        <v>12</v>
      </c>
      <c r="H528" s="0" t="n">
        <v>12</v>
      </c>
      <c r="I528" s="32" t="s">
        <v>2081</v>
      </c>
      <c r="J528" s="32" t="s">
        <v>2081</v>
      </c>
      <c r="K528" s="0" t="n">
        <v>0</v>
      </c>
      <c r="L528" s="32" t="s">
        <v>793</v>
      </c>
      <c r="M528" s="0" t="str">
        <f aca="false">IF(L528="GEN","GM",L528)</f>
        <v>EM</v>
      </c>
    </row>
    <row r="529" customFormat="false" ht="15" hidden="false" customHeight="false" outlineLevel="0" collapsed="false">
      <c r="A529" s="0" t="s">
        <v>7332</v>
      </c>
      <c r="B529" s="0" t="s">
        <v>7333</v>
      </c>
      <c r="C529" s="0" t="s">
        <v>6286</v>
      </c>
      <c r="D529" s="0" t="s">
        <v>2088</v>
      </c>
      <c r="E529" s="31" t="n">
        <v>45682</v>
      </c>
      <c r="F529" s="32" t="s">
        <v>6283</v>
      </c>
      <c r="G529" s="0" t="n">
        <v>11.5</v>
      </c>
      <c r="H529" s="0" t="n">
        <v>10.4</v>
      </c>
      <c r="I529" s="32" t="s">
        <v>2081</v>
      </c>
      <c r="J529" s="32" t="s">
        <v>2081</v>
      </c>
      <c r="K529" s="0" t="n">
        <v>0</v>
      </c>
      <c r="L529" s="32" t="s">
        <v>785</v>
      </c>
      <c r="M529" s="0" t="str">
        <f aca="false">IF(L529="GEN","GM",L529)</f>
        <v>RS</v>
      </c>
    </row>
    <row r="530" customFormat="false" ht="15" hidden="false" customHeight="false" outlineLevel="0" collapsed="false">
      <c r="A530" s="0" t="s">
        <v>7334</v>
      </c>
      <c r="B530" s="0" t="s">
        <v>7335</v>
      </c>
      <c r="C530" s="0" t="s">
        <v>6286</v>
      </c>
      <c r="D530" s="0" t="s">
        <v>2088</v>
      </c>
      <c r="E530" s="31" t="n">
        <v>45682</v>
      </c>
      <c r="F530" s="32" t="s">
        <v>6287</v>
      </c>
      <c r="G530" s="0" t="n">
        <v>7.5</v>
      </c>
      <c r="H530" s="0" t="n">
        <v>7.5</v>
      </c>
      <c r="I530" s="32" t="s">
        <v>2106</v>
      </c>
      <c r="J530" s="32" t="s">
        <v>2081</v>
      </c>
      <c r="K530" s="0" t="n">
        <v>0</v>
      </c>
      <c r="L530" s="32" t="s">
        <v>785</v>
      </c>
      <c r="M530" s="0" t="str">
        <f aca="false">IF(L530="GEN","GM",L530)</f>
        <v>RS</v>
      </c>
    </row>
    <row r="531" customFormat="false" ht="15" hidden="false" customHeight="false" outlineLevel="0" collapsed="false">
      <c r="A531" s="0" t="s">
        <v>7336</v>
      </c>
      <c r="B531" s="0" t="s">
        <v>7337</v>
      </c>
      <c r="C531" s="0" t="s">
        <v>6286</v>
      </c>
      <c r="D531" s="0" t="s">
        <v>2079</v>
      </c>
      <c r="E531" s="31" t="n">
        <v>45682</v>
      </c>
      <c r="F531" s="32" t="s">
        <v>6283</v>
      </c>
      <c r="G531" s="0" t="n">
        <v>11.5</v>
      </c>
      <c r="H531" s="0" t="n">
        <v>11.5</v>
      </c>
      <c r="I531" s="32" t="s">
        <v>2081</v>
      </c>
      <c r="J531" s="32" t="s">
        <v>2081</v>
      </c>
      <c r="K531" s="0" t="n">
        <v>0</v>
      </c>
      <c r="L531" s="32" t="s">
        <v>810</v>
      </c>
      <c r="M531" s="0" t="str">
        <f aca="false">IF(L531="GEN","GM",L531)</f>
        <v>URO</v>
      </c>
    </row>
    <row r="532" customFormat="false" ht="15" hidden="false" customHeight="false" outlineLevel="0" collapsed="false">
      <c r="A532" s="0" t="s">
        <v>7338</v>
      </c>
      <c r="B532" s="0" t="s">
        <v>7339</v>
      </c>
      <c r="C532" s="0" t="s">
        <v>6286</v>
      </c>
      <c r="D532" s="0" t="s">
        <v>2079</v>
      </c>
      <c r="E532" s="31" t="n">
        <v>45682</v>
      </c>
      <c r="F532" s="32" t="s">
        <v>6287</v>
      </c>
      <c r="G532" s="0" t="n">
        <v>7.5</v>
      </c>
      <c r="H532" s="0" t="n">
        <v>7.5</v>
      </c>
      <c r="I532" s="32" t="s">
        <v>2106</v>
      </c>
      <c r="J532" s="32" t="s">
        <v>2081</v>
      </c>
      <c r="K532" s="0" t="n">
        <v>0</v>
      </c>
      <c r="L532" s="32" t="s">
        <v>793</v>
      </c>
      <c r="M532" s="0" t="str">
        <f aca="false">IF(L532="GEN","GM",L532)</f>
        <v>EM</v>
      </c>
    </row>
    <row r="533" customFormat="false" ht="15" hidden="false" customHeight="false" outlineLevel="0" collapsed="false">
      <c r="A533" s="0" t="s">
        <v>7340</v>
      </c>
      <c r="B533" s="0" t="s">
        <v>7341</v>
      </c>
      <c r="C533" s="0" t="s">
        <v>6295</v>
      </c>
      <c r="D533" s="0" t="s">
        <v>2079</v>
      </c>
      <c r="E533" s="31" t="n">
        <v>45682</v>
      </c>
      <c r="F533" s="32" t="s">
        <v>6287</v>
      </c>
      <c r="G533" s="0" t="n">
        <v>7.5</v>
      </c>
      <c r="H533" s="0" t="n">
        <v>7.5</v>
      </c>
      <c r="I533" s="32" t="s">
        <v>2081</v>
      </c>
      <c r="J533" s="32" t="s">
        <v>2081</v>
      </c>
      <c r="K533" s="0" t="n">
        <v>0</v>
      </c>
      <c r="L533" s="32" t="s">
        <v>766</v>
      </c>
      <c r="M533" s="0" t="str">
        <f aca="false">IF(L533="GEN","GM",L533)</f>
        <v>OR</v>
      </c>
    </row>
    <row r="534" customFormat="false" ht="15" hidden="false" customHeight="false" outlineLevel="0" collapsed="false">
      <c r="A534" s="0" t="s">
        <v>7342</v>
      </c>
      <c r="B534" s="0" t="s">
        <v>7343</v>
      </c>
      <c r="C534" s="0" t="s">
        <v>6286</v>
      </c>
      <c r="D534" s="0" t="s">
        <v>2079</v>
      </c>
      <c r="E534" s="31" t="n">
        <v>45682</v>
      </c>
      <c r="F534" s="32" t="s">
        <v>6283</v>
      </c>
      <c r="G534" s="0" t="n">
        <v>11.5</v>
      </c>
      <c r="H534" s="0" t="n">
        <v>11.5</v>
      </c>
      <c r="I534" s="32" t="s">
        <v>2081</v>
      </c>
      <c r="J534" s="32" t="s">
        <v>2106</v>
      </c>
      <c r="K534" s="0" t="n">
        <v>0</v>
      </c>
      <c r="L534" s="32" t="s">
        <v>747</v>
      </c>
      <c r="M534" s="0" t="str">
        <f aca="false">IF(L534="GEN","GM",L534)</f>
        <v>GM</v>
      </c>
    </row>
    <row r="535" customFormat="false" ht="15" hidden="false" customHeight="false" outlineLevel="0" collapsed="false">
      <c r="A535" s="0" t="s">
        <v>7344</v>
      </c>
      <c r="B535" s="0" t="s">
        <v>7345</v>
      </c>
      <c r="C535" s="0" t="s">
        <v>6295</v>
      </c>
      <c r="D535" s="0" t="s">
        <v>2079</v>
      </c>
      <c r="E535" s="31" t="n">
        <v>45682</v>
      </c>
      <c r="F535" s="32" t="s">
        <v>6283</v>
      </c>
      <c r="G535" s="0" t="n">
        <v>11.5</v>
      </c>
      <c r="H535" s="0" t="n">
        <v>10.3</v>
      </c>
      <c r="I535" s="32" t="s">
        <v>2081</v>
      </c>
      <c r="J535" s="32" t="s">
        <v>2081</v>
      </c>
      <c r="K535" s="0" t="n">
        <v>0</v>
      </c>
      <c r="L535" s="32" t="s">
        <v>766</v>
      </c>
      <c r="M535" s="0" t="str">
        <f aca="false">IF(L535="GEN","GM",L535)</f>
        <v>OR</v>
      </c>
    </row>
    <row r="536" customFormat="false" ht="15" hidden="false" customHeight="false" outlineLevel="0" collapsed="false">
      <c r="A536" s="0" t="s">
        <v>7346</v>
      </c>
      <c r="B536" s="0" t="s">
        <v>6538</v>
      </c>
      <c r="C536" s="0" t="s">
        <v>6295</v>
      </c>
      <c r="D536" s="0" t="s">
        <v>2099</v>
      </c>
      <c r="E536" s="31" t="n">
        <v>45682</v>
      </c>
      <c r="F536" s="32" t="s">
        <v>6287</v>
      </c>
      <c r="G536" s="0" t="n">
        <v>7.5</v>
      </c>
      <c r="H536" s="0" t="n">
        <v>7.5</v>
      </c>
      <c r="I536" s="32" t="s">
        <v>2106</v>
      </c>
      <c r="J536" s="32" t="s">
        <v>2081</v>
      </c>
      <c r="K536" s="0" t="n">
        <v>0</v>
      </c>
      <c r="L536" s="32" t="s">
        <v>802</v>
      </c>
      <c r="M536" s="0" t="str">
        <f aca="false">IF(L536="GEN","GM",L536)</f>
        <v>GYN</v>
      </c>
    </row>
    <row r="537" customFormat="false" ht="15" hidden="false" customHeight="false" outlineLevel="0" collapsed="false">
      <c r="A537" s="0" t="s">
        <v>7347</v>
      </c>
      <c r="B537" s="0" t="s">
        <v>7348</v>
      </c>
      <c r="C537" s="0" t="s">
        <v>6295</v>
      </c>
      <c r="D537" s="0" t="s">
        <v>2099</v>
      </c>
      <c r="E537" s="31" t="n">
        <v>45682</v>
      </c>
      <c r="F537" s="32" t="s">
        <v>6287</v>
      </c>
      <c r="G537" s="0" t="n">
        <v>7.5</v>
      </c>
      <c r="H537" s="0" t="n">
        <v>7.5</v>
      </c>
      <c r="I537" s="32" t="s">
        <v>2106</v>
      </c>
      <c r="J537" s="32" t="s">
        <v>2081</v>
      </c>
      <c r="K537" s="0" t="n">
        <v>0</v>
      </c>
      <c r="L537" s="32" t="s">
        <v>747</v>
      </c>
      <c r="M537" s="0" t="str">
        <f aca="false">IF(L537="GEN","GM",L537)</f>
        <v>GM</v>
      </c>
    </row>
    <row r="538" customFormat="false" ht="15" hidden="false" customHeight="false" outlineLevel="0" collapsed="false">
      <c r="A538" s="0" t="s">
        <v>7349</v>
      </c>
      <c r="B538" s="0" t="s">
        <v>7350</v>
      </c>
      <c r="C538" s="0" t="s">
        <v>6282</v>
      </c>
      <c r="D538" s="0" t="s">
        <v>2099</v>
      </c>
      <c r="E538" s="31" t="n">
        <v>45682</v>
      </c>
      <c r="F538" s="32" t="s">
        <v>1125</v>
      </c>
      <c r="G538" s="0" t="n">
        <v>12</v>
      </c>
      <c r="H538" s="0" t="n">
        <v>12</v>
      </c>
      <c r="I538" s="32" t="s">
        <v>2106</v>
      </c>
      <c r="J538" s="32" t="s">
        <v>2081</v>
      </c>
      <c r="K538" s="0" t="n">
        <v>0</v>
      </c>
      <c r="L538" s="32" t="s">
        <v>747</v>
      </c>
      <c r="M538" s="0" t="str">
        <f aca="false">IF(L538="GEN","GM",L538)</f>
        <v>GM</v>
      </c>
    </row>
    <row r="539" customFormat="false" ht="15" hidden="false" customHeight="false" outlineLevel="0" collapsed="false">
      <c r="A539" s="0" t="s">
        <v>7351</v>
      </c>
      <c r="B539" s="0" t="s">
        <v>7352</v>
      </c>
      <c r="C539" s="0" t="s">
        <v>6290</v>
      </c>
      <c r="D539" s="0" t="s">
        <v>2099</v>
      </c>
      <c r="E539" s="31" t="n">
        <v>45682</v>
      </c>
      <c r="F539" s="32" t="s">
        <v>1125</v>
      </c>
      <c r="G539" s="0" t="n">
        <v>12</v>
      </c>
      <c r="H539" s="0" t="n">
        <v>12</v>
      </c>
      <c r="I539" s="32" t="s">
        <v>2081</v>
      </c>
      <c r="J539" s="32" t="s">
        <v>2081</v>
      </c>
      <c r="K539" s="0" t="n">
        <v>0</v>
      </c>
      <c r="L539" s="32" t="s">
        <v>758</v>
      </c>
      <c r="M539" s="0" t="str">
        <f aca="false">IF(L539="GEN","GM",L539)</f>
        <v>CS</v>
      </c>
    </row>
    <row r="540" customFormat="false" ht="15" hidden="false" customHeight="false" outlineLevel="0" collapsed="false">
      <c r="A540" s="0" t="s">
        <v>7353</v>
      </c>
      <c r="B540" s="0" t="s">
        <v>7354</v>
      </c>
      <c r="C540" s="0" t="s">
        <v>6286</v>
      </c>
      <c r="D540" s="0" t="s">
        <v>2115</v>
      </c>
      <c r="E540" s="31" t="n">
        <v>45682</v>
      </c>
      <c r="F540" s="32" t="s">
        <v>6287</v>
      </c>
      <c r="G540" s="0" t="n">
        <v>7.5</v>
      </c>
      <c r="H540" s="0" t="n">
        <v>7.5</v>
      </c>
      <c r="I540" s="32" t="s">
        <v>2081</v>
      </c>
      <c r="J540" s="32" t="s">
        <v>2081</v>
      </c>
      <c r="K540" s="0" t="n">
        <v>0</v>
      </c>
      <c r="L540" s="32" t="s">
        <v>793</v>
      </c>
      <c r="M540" s="0" t="str">
        <f aca="false">IF(L540="GEN","GM",L540)</f>
        <v>EM</v>
      </c>
    </row>
    <row r="541" customFormat="false" ht="15" hidden="false" customHeight="false" outlineLevel="0" collapsed="false">
      <c r="A541" s="0" t="s">
        <v>7355</v>
      </c>
      <c r="B541" s="0" t="s">
        <v>7356</v>
      </c>
      <c r="C541" s="0" t="s">
        <v>780</v>
      </c>
      <c r="D541" s="0" t="s">
        <v>2115</v>
      </c>
      <c r="E541" s="31" t="n">
        <v>45682</v>
      </c>
      <c r="F541" s="32" t="s">
        <v>6283</v>
      </c>
      <c r="G541" s="0" t="n">
        <v>11.5</v>
      </c>
      <c r="H541" s="0" t="n">
        <v>12</v>
      </c>
      <c r="I541" s="32" t="s">
        <v>2081</v>
      </c>
      <c r="J541" s="32" t="s">
        <v>2081</v>
      </c>
      <c r="K541" s="0" t="n">
        <v>0.5</v>
      </c>
      <c r="L541" s="32" t="s">
        <v>785</v>
      </c>
      <c r="M541" s="0" t="str">
        <f aca="false">IF(L541="GEN","GM",L541)</f>
        <v>RS</v>
      </c>
    </row>
    <row r="542" customFormat="false" ht="15" hidden="false" customHeight="false" outlineLevel="0" collapsed="false">
      <c r="A542" s="0" t="s">
        <v>7357</v>
      </c>
      <c r="B542" s="0" t="s">
        <v>7358</v>
      </c>
      <c r="C542" s="0" t="s">
        <v>6295</v>
      </c>
      <c r="D542" s="0" t="s">
        <v>2115</v>
      </c>
      <c r="E542" s="31" t="n">
        <v>45682</v>
      </c>
      <c r="F542" s="32" t="s">
        <v>1125</v>
      </c>
      <c r="G542" s="0" t="n">
        <v>12</v>
      </c>
      <c r="H542" s="0" t="n">
        <v>12</v>
      </c>
      <c r="I542" s="32" t="s">
        <v>2081</v>
      </c>
      <c r="J542" s="32" t="s">
        <v>2081</v>
      </c>
      <c r="K542" s="0" t="n">
        <v>0</v>
      </c>
      <c r="L542" s="32" t="s">
        <v>810</v>
      </c>
      <c r="M542" s="0" t="str">
        <f aca="false">IF(L542="GEN","GM",L542)</f>
        <v>URO</v>
      </c>
    </row>
    <row r="543" customFormat="false" ht="15" hidden="false" customHeight="false" outlineLevel="0" collapsed="false">
      <c r="A543" s="0" t="s">
        <v>7359</v>
      </c>
      <c r="B543" s="0" t="s">
        <v>7360</v>
      </c>
      <c r="C543" s="0" t="s">
        <v>6282</v>
      </c>
      <c r="D543" s="0" t="s">
        <v>2115</v>
      </c>
      <c r="E543" s="31" t="n">
        <v>45682</v>
      </c>
      <c r="F543" s="32" t="s">
        <v>6287</v>
      </c>
      <c r="G543" s="0" t="n">
        <v>7.5</v>
      </c>
      <c r="H543" s="0" t="n">
        <v>7.5</v>
      </c>
      <c r="I543" s="32" t="s">
        <v>2081</v>
      </c>
      <c r="J543" s="32" t="s">
        <v>2081</v>
      </c>
      <c r="K543" s="0" t="n">
        <v>0</v>
      </c>
      <c r="L543" s="32" t="s">
        <v>826</v>
      </c>
      <c r="M543" s="0" t="str">
        <f aca="false">IF(L543="GEN","GM",L543)</f>
        <v>RHE</v>
      </c>
    </row>
    <row r="544" customFormat="false" ht="15" hidden="false" customHeight="false" outlineLevel="0" collapsed="false">
      <c r="A544" s="0" t="s">
        <v>7361</v>
      </c>
      <c r="B544" s="0" t="s">
        <v>7362</v>
      </c>
      <c r="C544" s="0" t="s">
        <v>6290</v>
      </c>
      <c r="D544" s="0" t="s">
        <v>2115</v>
      </c>
      <c r="E544" s="31" t="n">
        <v>45682</v>
      </c>
      <c r="F544" s="32" t="s">
        <v>6287</v>
      </c>
      <c r="G544" s="0" t="n">
        <v>7.5</v>
      </c>
      <c r="H544" s="0" t="n">
        <v>7.5</v>
      </c>
      <c r="I544" s="32" t="s">
        <v>2106</v>
      </c>
      <c r="J544" s="32" t="s">
        <v>2081</v>
      </c>
      <c r="K544" s="0" t="n">
        <v>0</v>
      </c>
      <c r="L544" s="32" t="s">
        <v>802</v>
      </c>
      <c r="M544" s="0" t="str">
        <f aca="false">IF(L544="GEN","GM",L544)</f>
        <v>GYN</v>
      </c>
    </row>
    <row r="545" customFormat="false" ht="15" hidden="false" customHeight="false" outlineLevel="0" collapsed="false">
      <c r="A545" s="0" t="s">
        <v>7363</v>
      </c>
      <c r="B545" s="0" t="s">
        <v>7364</v>
      </c>
      <c r="C545" s="0" t="s">
        <v>6290</v>
      </c>
      <c r="D545" s="0" t="s">
        <v>2124</v>
      </c>
      <c r="E545" s="31" t="n">
        <v>45682</v>
      </c>
      <c r="F545" s="32" t="s">
        <v>6287</v>
      </c>
      <c r="G545" s="0" t="n">
        <v>7.5</v>
      </c>
      <c r="H545" s="0" t="n">
        <v>9.5</v>
      </c>
      <c r="I545" s="32" t="s">
        <v>2081</v>
      </c>
      <c r="J545" s="32" t="s">
        <v>2081</v>
      </c>
      <c r="K545" s="0" t="n">
        <v>2</v>
      </c>
      <c r="L545" s="32" t="s">
        <v>776</v>
      </c>
      <c r="M545" s="0" t="str">
        <f aca="false">IF(L545="GEN","GM",L545)</f>
        <v>GS</v>
      </c>
    </row>
    <row r="546" customFormat="false" ht="15" hidden="false" customHeight="false" outlineLevel="0" collapsed="false">
      <c r="A546" s="0" t="s">
        <v>7365</v>
      </c>
      <c r="B546" s="0" t="s">
        <v>7366</v>
      </c>
      <c r="C546" s="0" t="s">
        <v>6295</v>
      </c>
      <c r="D546" s="0" t="s">
        <v>2124</v>
      </c>
      <c r="E546" s="31" t="n">
        <v>45682</v>
      </c>
      <c r="F546" s="32" t="s">
        <v>6283</v>
      </c>
      <c r="G546" s="0" t="n">
        <v>11.5</v>
      </c>
      <c r="H546" s="0" t="n">
        <v>11.5</v>
      </c>
      <c r="I546" s="32" t="s">
        <v>2106</v>
      </c>
      <c r="J546" s="32" t="s">
        <v>2081</v>
      </c>
      <c r="K546" s="0" t="n">
        <v>0</v>
      </c>
      <c r="L546" s="32" t="s">
        <v>793</v>
      </c>
      <c r="M546" s="0" t="str">
        <f aca="false">IF(L546="GEN","GM",L546)</f>
        <v>EM</v>
      </c>
    </row>
    <row r="547" customFormat="false" ht="15" hidden="false" customHeight="false" outlineLevel="0" collapsed="false">
      <c r="A547" s="0" t="s">
        <v>7367</v>
      </c>
      <c r="B547" s="0" t="s">
        <v>7368</v>
      </c>
      <c r="C547" s="0" t="s">
        <v>6295</v>
      </c>
      <c r="D547" s="0" t="s">
        <v>2124</v>
      </c>
      <c r="E547" s="31" t="n">
        <v>45682</v>
      </c>
      <c r="F547" s="32" t="s">
        <v>1125</v>
      </c>
      <c r="G547" s="0" t="n">
        <v>12</v>
      </c>
      <c r="H547" s="0" t="n">
        <v>11.4</v>
      </c>
      <c r="I547" s="32" t="s">
        <v>2081</v>
      </c>
      <c r="J547" s="32" t="s">
        <v>2081</v>
      </c>
      <c r="K547" s="0" t="n">
        <v>0</v>
      </c>
      <c r="L547" s="32" t="s">
        <v>747</v>
      </c>
      <c r="M547" s="0" t="str">
        <f aca="false">IF(L547="GEN","GM",L547)</f>
        <v>GM</v>
      </c>
    </row>
    <row r="548" customFormat="false" ht="15" hidden="false" customHeight="false" outlineLevel="0" collapsed="false">
      <c r="A548" s="0" t="s">
        <v>7369</v>
      </c>
      <c r="B548" s="0" t="s">
        <v>6431</v>
      </c>
      <c r="C548" s="0" t="s">
        <v>6295</v>
      </c>
      <c r="D548" s="0" t="s">
        <v>2124</v>
      </c>
      <c r="E548" s="31" t="n">
        <v>45682</v>
      </c>
      <c r="F548" s="32" t="s">
        <v>6287</v>
      </c>
      <c r="G548" s="0" t="n">
        <v>7.5</v>
      </c>
      <c r="H548" s="0" t="n">
        <v>8.9</v>
      </c>
      <c r="I548" s="32" t="s">
        <v>2081</v>
      </c>
      <c r="J548" s="32" t="s">
        <v>2081</v>
      </c>
      <c r="K548" s="0" t="n">
        <v>1.4</v>
      </c>
      <c r="L548" s="32" t="s">
        <v>810</v>
      </c>
      <c r="M548" s="0" t="str">
        <f aca="false">IF(L548="GEN","GM",L548)</f>
        <v>URO</v>
      </c>
    </row>
    <row r="549" customFormat="false" ht="15" hidden="false" customHeight="false" outlineLevel="0" collapsed="false">
      <c r="A549" s="0" t="s">
        <v>7370</v>
      </c>
      <c r="B549" s="0" t="s">
        <v>7371</v>
      </c>
      <c r="C549" s="0" t="s">
        <v>6295</v>
      </c>
      <c r="D549" s="0" t="s">
        <v>2124</v>
      </c>
      <c r="E549" s="31" t="n">
        <v>45682</v>
      </c>
      <c r="F549" s="32" t="s">
        <v>6283</v>
      </c>
      <c r="G549" s="0" t="n">
        <v>11.5</v>
      </c>
      <c r="H549" s="0" t="n">
        <v>11.5</v>
      </c>
      <c r="I549" s="32" t="s">
        <v>2081</v>
      </c>
      <c r="J549" s="32" t="s">
        <v>2081</v>
      </c>
      <c r="K549" s="0" t="n">
        <v>0</v>
      </c>
      <c r="L549" s="32" t="s">
        <v>747</v>
      </c>
      <c r="M549" s="0" t="str">
        <f aca="false">IF(L549="GEN","GM",L549)</f>
        <v>GM</v>
      </c>
    </row>
    <row r="550" customFormat="false" ht="15" hidden="false" customHeight="false" outlineLevel="0" collapsed="false">
      <c r="A550" s="0" t="s">
        <v>7372</v>
      </c>
      <c r="B550" s="0" t="s">
        <v>7373</v>
      </c>
      <c r="C550" s="0" t="s">
        <v>6286</v>
      </c>
      <c r="D550" s="0" t="s">
        <v>2104</v>
      </c>
      <c r="E550" s="31" t="n">
        <v>45682</v>
      </c>
      <c r="F550" s="32" t="s">
        <v>6287</v>
      </c>
      <c r="G550" s="0" t="n">
        <v>7.5</v>
      </c>
      <c r="H550" s="0" t="n">
        <v>7.5</v>
      </c>
      <c r="I550" s="32" t="s">
        <v>2081</v>
      </c>
      <c r="J550" s="32" t="s">
        <v>2081</v>
      </c>
      <c r="K550" s="0" t="n">
        <v>0</v>
      </c>
      <c r="L550" s="32" t="s">
        <v>758</v>
      </c>
      <c r="M550" s="0" t="str">
        <f aca="false">IF(L550="GEN","GM",L550)</f>
        <v>CS</v>
      </c>
    </row>
    <row r="551" customFormat="false" ht="15" hidden="false" customHeight="false" outlineLevel="0" collapsed="false">
      <c r="A551" s="0" t="s">
        <v>7374</v>
      </c>
      <c r="B551" s="0" t="s">
        <v>7375</v>
      </c>
      <c r="C551" s="0" t="s">
        <v>780</v>
      </c>
      <c r="D551" s="0" t="s">
        <v>2104</v>
      </c>
      <c r="E551" s="31" t="n">
        <v>45682</v>
      </c>
      <c r="F551" s="32" t="s">
        <v>6287</v>
      </c>
      <c r="G551" s="0" t="n">
        <v>7.5</v>
      </c>
      <c r="H551" s="0" t="n">
        <v>7.5</v>
      </c>
      <c r="I551" s="32" t="s">
        <v>2081</v>
      </c>
      <c r="J551" s="32" t="s">
        <v>2081</v>
      </c>
      <c r="K551" s="0" t="n">
        <v>0</v>
      </c>
      <c r="L551" s="32" t="s">
        <v>785</v>
      </c>
      <c r="M551" s="0" t="str">
        <f aca="false">IF(L551="GEN","GM",L551)</f>
        <v>RS</v>
      </c>
    </row>
    <row r="552" customFormat="false" ht="15" hidden="false" customHeight="false" outlineLevel="0" collapsed="false">
      <c r="A552" s="0" t="s">
        <v>7376</v>
      </c>
      <c r="B552" s="0" t="s">
        <v>7377</v>
      </c>
      <c r="C552" s="0" t="s">
        <v>6282</v>
      </c>
      <c r="D552" s="0" t="s">
        <v>2104</v>
      </c>
      <c r="E552" s="31" t="n">
        <v>45682</v>
      </c>
      <c r="F552" s="32" t="s">
        <v>6287</v>
      </c>
      <c r="G552" s="0" t="n">
        <v>7.5</v>
      </c>
      <c r="H552" s="0" t="n">
        <v>7.5</v>
      </c>
      <c r="I552" s="32" t="s">
        <v>2081</v>
      </c>
      <c r="J552" s="32" t="s">
        <v>2081</v>
      </c>
      <c r="K552" s="0" t="n">
        <v>0</v>
      </c>
      <c r="L552" s="32" t="s">
        <v>810</v>
      </c>
      <c r="M552" s="0" t="str">
        <f aca="false">IF(L552="GEN","GM",L552)</f>
        <v>URO</v>
      </c>
    </row>
    <row r="553" customFormat="false" ht="15" hidden="false" customHeight="false" outlineLevel="0" collapsed="false">
      <c r="A553" s="0" t="s">
        <v>7378</v>
      </c>
      <c r="B553" s="0" t="s">
        <v>7379</v>
      </c>
      <c r="C553" s="0" t="s">
        <v>6286</v>
      </c>
      <c r="D553" s="0" t="s">
        <v>3035</v>
      </c>
      <c r="E553" s="31" t="n">
        <v>45682</v>
      </c>
      <c r="F553" s="32" t="s">
        <v>6287</v>
      </c>
      <c r="G553" s="0" t="n">
        <v>7.5</v>
      </c>
      <c r="H553" s="0" t="n">
        <v>7.5</v>
      </c>
      <c r="I553" s="32" t="s">
        <v>2106</v>
      </c>
      <c r="J553" s="32" t="s">
        <v>2106</v>
      </c>
      <c r="K553" s="0" t="n">
        <v>0</v>
      </c>
      <c r="L553" s="32" t="s">
        <v>802</v>
      </c>
      <c r="M553" s="0" t="str">
        <f aca="false">IF(L553="GEN","GM",L553)</f>
        <v>GYN</v>
      </c>
    </row>
    <row r="554" customFormat="false" ht="15" hidden="false" customHeight="false" outlineLevel="0" collapsed="false">
      <c r="A554" s="0" t="s">
        <v>7380</v>
      </c>
      <c r="B554" s="0" t="s">
        <v>7381</v>
      </c>
      <c r="C554" s="0" t="s">
        <v>6290</v>
      </c>
      <c r="D554" s="0" t="s">
        <v>3035</v>
      </c>
      <c r="E554" s="31" t="n">
        <v>45682</v>
      </c>
      <c r="F554" s="32" t="s">
        <v>6287</v>
      </c>
      <c r="G554" s="0" t="n">
        <v>7.5</v>
      </c>
      <c r="H554" s="0" t="n">
        <v>7.5</v>
      </c>
      <c r="I554" s="32" t="s">
        <v>2081</v>
      </c>
      <c r="J554" s="32" t="s">
        <v>2081</v>
      </c>
      <c r="K554" s="0" t="n">
        <v>0</v>
      </c>
      <c r="L554" s="32" t="s">
        <v>747</v>
      </c>
      <c r="M554" s="0" t="str">
        <f aca="false">IF(L554="GEN","GM",L554)</f>
        <v>GM</v>
      </c>
    </row>
    <row r="555" customFormat="false" ht="15" hidden="false" customHeight="false" outlineLevel="0" collapsed="false">
      <c r="A555" s="0" t="s">
        <v>7382</v>
      </c>
      <c r="B555" s="0" t="s">
        <v>7383</v>
      </c>
      <c r="C555" s="0" t="s">
        <v>6282</v>
      </c>
      <c r="D555" s="0" t="s">
        <v>3035</v>
      </c>
      <c r="E555" s="31" t="n">
        <v>45682</v>
      </c>
      <c r="F555" s="32" t="s">
        <v>6287</v>
      </c>
      <c r="G555" s="0" t="n">
        <v>7.5</v>
      </c>
      <c r="H555" s="0" t="n">
        <v>7.5</v>
      </c>
      <c r="I555" s="32" t="s">
        <v>2081</v>
      </c>
      <c r="J555" s="32" t="s">
        <v>2081</v>
      </c>
      <c r="K555" s="0" t="n">
        <v>0</v>
      </c>
      <c r="L555" s="32" t="s">
        <v>766</v>
      </c>
      <c r="M555" s="0" t="str">
        <f aca="false">IF(L555="GEN","GM",L555)</f>
        <v>OR</v>
      </c>
    </row>
    <row r="556" customFormat="false" ht="15" hidden="false" customHeight="false" outlineLevel="0" collapsed="false">
      <c r="A556" s="0" t="s">
        <v>7384</v>
      </c>
      <c r="B556" s="0" t="s">
        <v>7385</v>
      </c>
      <c r="C556" s="0" t="s">
        <v>6290</v>
      </c>
      <c r="D556" s="0" t="s">
        <v>2088</v>
      </c>
      <c r="E556" s="31" t="n">
        <v>45683</v>
      </c>
      <c r="F556" s="32" t="s">
        <v>6287</v>
      </c>
      <c r="G556" s="0" t="n">
        <v>7.5</v>
      </c>
      <c r="H556" s="0" t="n">
        <v>7.5</v>
      </c>
      <c r="I556" s="32" t="s">
        <v>2106</v>
      </c>
      <c r="J556" s="32" t="s">
        <v>2081</v>
      </c>
      <c r="K556" s="0" t="n">
        <v>0</v>
      </c>
      <c r="L556" s="32" t="s">
        <v>826</v>
      </c>
      <c r="M556" s="0" t="str">
        <f aca="false">IF(L556="GEN","GM",L556)</f>
        <v>RHE</v>
      </c>
    </row>
    <row r="557" customFormat="false" ht="15" hidden="false" customHeight="false" outlineLevel="0" collapsed="false">
      <c r="A557" s="0" t="s">
        <v>7386</v>
      </c>
      <c r="B557" s="0" t="s">
        <v>7387</v>
      </c>
      <c r="C557" s="0" t="s">
        <v>780</v>
      </c>
      <c r="D557" s="0" t="s">
        <v>2088</v>
      </c>
      <c r="E557" s="31" t="n">
        <v>45683</v>
      </c>
      <c r="F557" s="32" t="s">
        <v>6287</v>
      </c>
      <c r="G557" s="0" t="n">
        <v>7.5</v>
      </c>
      <c r="H557" s="0" t="n">
        <v>8.5</v>
      </c>
      <c r="I557" s="32" t="s">
        <v>2081</v>
      </c>
      <c r="J557" s="32" t="s">
        <v>2081</v>
      </c>
      <c r="K557" s="0" t="n">
        <v>1</v>
      </c>
      <c r="L557" s="32" t="s">
        <v>810</v>
      </c>
      <c r="M557" s="0" t="str">
        <f aca="false">IF(L557="GEN","GM",L557)</f>
        <v>URO</v>
      </c>
    </row>
    <row r="558" customFormat="false" ht="15" hidden="false" customHeight="false" outlineLevel="0" collapsed="false">
      <c r="A558" s="0" t="s">
        <v>7388</v>
      </c>
      <c r="B558" s="0" t="s">
        <v>7389</v>
      </c>
      <c r="C558" s="0" t="s">
        <v>6295</v>
      </c>
      <c r="D558" s="0" t="s">
        <v>2088</v>
      </c>
      <c r="E558" s="31" t="n">
        <v>45683</v>
      </c>
      <c r="F558" s="32" t="s">
        <v>6287</v>
      </c>
      <c r="G558" s="0" t="n">
        <v>7.5</v>
      </c>
      <c r="H558" s="0" t="n">
        <v>7.5</v>
      </c>
      <c r="I558" s="32" t="s">
        <v>2081</v>
      </c>
      <c r="J558" s="32" t="s">
        <v>2081</v>
      </c>
      <c r="K558" s="0" t="n">
        <v>0</v>
      </c>
      <c r="L558" s="32" t="s">
        <v>747</v>
      </c>
      <c r="M558" s="0" t="str">
        <f aca="false">IF(L558="GEN","GM",L558)</f>
        <v>GM</v>
      </c>
    </row>
    <row r="559" customFormat="false" ht="15" hidden="false" customHeight="false" outlineLevel="0" collapsed="false">
      <c r="A559" s="0" t="s">
        <v>7390</v>
      </c>
      <c r="B559" s="0" t="s">
        <v>7391</v>
      </c>
      <c r="C559" s="0" t="s">
        <v>6286</v>
      </c>
      <c r="D559" s="0" t="s">
        <v>2088</v>
      </c>
      <c r="E559" s="31" t="n">
        <v>45683</v>
      </c>
      <c r="F559" s="32" t="s">
        <v>6283</v>
      </c>
      <c r="G559" s="0" t="n">
        <v>11.5</v>
      </c>
      <c r="H559" s="0" t="n">
        <v>12</v>
      </c>
      <c r="I559" s="32" t="s">
        <v>2081</v>
      </c>
      <c r="J559" s="32" t="s">
        <v>2081</v>
      </c>
      <c r="K559" s="0" t="n">
        <v>0.5</v>
      </c>
      <c r="L559" s="32" t="s">
        <v>826</v>
      </c>
      <c r="M559" s="0" t="str">
        <f aca="false">IF(L559="GEN","GM",L559)</f>
        <v>RHE</v>
      </c>
    </row>
    <row r="560" customFormat="false" ht="15" hidden="false" customHeight="false" outlineLevel="0" collapsed="false">
      <c r="A560" s="0" t="s">
        <v>7392</v>
      </c>
      <c r="B560" s="0" t="s">
        <v>7393</v>
      </c>
      <c r="C560" s="0" t="s">
        <v>6295</v>
      </c>
      <c r="D560" s="0" t="s">
        <v>2079</v>
      </c>
      <c r="E560" s="31" t="n">
        <v>45683</v>
      </c>
      <c r="F560" s="32" t="s">
        <v>6287</v>
      </c>
      <c r="G560" s="0" t="n">
        <v>7.5</v>
      </c>
      <c r="H560" s="0" t="n">
        <v>7.5</v>
      </c>
      <c r="I560" s="32" t="s">
        <v>2081</v>
      </c>
      <c r="J560" s="32" t="s">
        <v>2081</v>
      </c>
      <c r="K560" s="0" t="n">
        <v>0</v>
      </c>
      <c r="L560" s="32" t="s">
        <v>785</v>
      </c>
      <c r="M560" s="0" t="str">
        <f aca="false">IF(L560="GEN","GM",L560)</f>
        <v>RS</v>
      </c>
    </row>
    <row r="561" customFormat="false" ht="15" hidden="false" customHeight="false" outlineLevel="0" collapsed="false">
      <c r="A561" s="0" t="s">
        <v>7394</v>
      </c>
      <c r="B561" s="0" t="s">
        <v>7395</v>
      </c>
      <c r="C561" s="0" t="s">
        <v>6295</v>
      </c>
      <c r="D561" s="0" t="s">
        <v>2079</v>
      </c>
      <c r="E561" s="31" t="n">
        <v>45683</v>
      </c>
      <c r="F561" s="32" t="s">
        <v>6287</v>
      </c>
      <c r="G561" s="0" t="n">
        <v>7.5</v>
      </c>
      <c r="H561" s="0" t="n">
        <v>7.5</v>
      </c>
      <c r="I561" s="32" t="s">
        <v>2106</v>
      </c>
      <c r="J561" s="32" t="s">
        <v>2081</v>
      </c>
      <c r="K561" s="0" t="n">
        <v>0</v>
      </c>
      <c r="L561" s="32" t="s">
        <v>776</v>
      </c>
      <c r="M561" s="0" t="str">
        <f aca="false">IF(L561="GEN","GM",L561)</f>
        <v>GS</v>
      </c>
    </row>
    <row r="562" customFormat="false" ht="15" hidden="false" customHeight="false" outlineLevel="0" collapsed="false">
      <c r="A562" s="0" t="s">
        <v>7396</v>
      </c>
      <c r="B562" s="0" t="s">
        <v>7397</v>
      </c>
      <c r="C562" s="0" t="s">
        <v>6282</v>
      </c>
      <c r="D562" s="0" t="s">
        <v>2079</v>
      </c>
      <c r="E562" s="31" t="n">
        <v>45683</v>
      </c>
      <c r="F562" s="32" t="s">
        <v>6287</v>
      </c>
      <c r="G562" s="0" t="n">
        <v>7.5</v>
      </c>
      <c r="H562" s="0" t="n">
        <v>7.5</v>
      </c>
      <c r="I562" s="32" t="s">
        <v>2081</v>
      </c>
      <c r="J562" s="32" t="s">
        <v>2081</v>
      </c>
      <c r="K562" s="0" t="n">
        <v>0</v>
      </c>
      <c r="L562" s="32" t="s">
        <v>810</v>
      </c>
      <c r="M562" s="0" t="str">
        <f aca="false">IF(L562="GEN","GM",L562)</f>
        <v>URO</v>
      </c>
    </row>
    <row r="563" customFormat="false" ht="15" hidden="false" customHeight="false" outlineLevel="0" collapsed="false">
      <c r="A563" s="0" t="s">
        <v>7398</v>
      </c>
      <c r="B563" s="0" t="s">
        <v>7399</v>
      </c>
      <c r="C563" s="0" t="s">
        <v>6295</v>
      </c>
      <c r="D563" s="0" t="s">
        <v>2079</v>
      </c>
      <c r="E563" s="31" t="n">
        <v>45683</v>
      </c>
      <c r="F563" s="32" t="s">
        <v>1125</v>
      </c>
      <c r="G563" s="0" t="n">
        <v>12</v>
      </c>
      <c r="H563" s="0" t="n">
        <v>12</v>
      </c>
      <c r="I563" s="32" t="s">
        <v>2081</v>
      </c>
      <c r="J563" s="32" t="s">
        <v>2081</v>
      </c>
      <c r="K563" s="0" t="n">
        <v>0</v>
      </c>
      <c r="L563" s="32" t="s">
        <v>810</v>
      </c>
      <c r="M563" s="0" t="str">
        <f aca="false">IF(L563="GEN","GM",L563)</f>
        <v>URO</v>
      </c>
    </row>
    <row r="564" customFormat="false" ht="15" hidden="false" customHeight="false" outlineLevel="0" collapsed="false">
      <c r="A564" s="0" t="s">
        <v>7400</v>
      </c>
      <c r="B564" s="0" t="s">
        <v>7401</v>
      </c>
      <c r="C564" s="0" t="s">
        <v>6295</v>
      </c>
      <c r="D564" s="0" t="s">
        <v>2099</v>
      </c>
      <c r="E564" s="31" t="n">
        <v>45683</v>
      </c>
      <c r="F564" s="32" t="s">
        <v>6287</v>
      </c>
      <c r="G564" s="0" t="n">
        <v>7.5</v>
      </c>
      <c r="H564" s="0" t="n">
        <v>7.5</v>
      </c>
      <c r="I564" s="32" t="s">
        <v>2081</v>
      </c>
      <c r="J564" s="32" t="s">
        <v>2081</v>
      </c>
      <c r="K564" s="0" t="n">
        <v>0</v>
      </c>
      <c r="L564" s="32" t="s">
        <v>785</v>
      </c>
      <c r="M564" s="0" t="str">
        <f aca="false">IF(L564="GEN","GM",L564)</f>
        <v>RS</v>
      </c>
    </row>
    <row r="565" customFormat="false" ht="15" hidden="false" customHeight="false" outlineLevel="0" collapsed="false">
      <c r="A565" s="0" t="s">
        <v>7402</v>
      </c>
      <c r="B565" s="0" t="s">
        <v>7403</v>
      </c>
      <c r="C565" s="0" t="s">
        <v>6286</v>
      </c>
      <c r="D565" s="0" t="s">
        <v>2099</v>
      </c>
      <c r="E565" s="31" t="n">
        <v>45683</v>
      </c>
      <c r="F565" s="32" t="s">
        <v>6283</v>
      </c>
      <c r="G565" s="0" t="n">
        <v>11.5</v>
      </c>
      <c r="H565" s="0" t="n">
        <v>11.5</v>
      </c>
      <c r="I565" s="32" t="s">
        <v>2081</v>
      </c>
      <c r="J565" s="32" t="s">
        <v>2081</v>
      </c>
      <c r="K565" s="0" t="n">
        <v>0</v>
      </c>
      <c r="L565" s="32" t="s">
        <v>826</v>
      </c>
      <c r="M565" s="0" t="str">
        <f aca="false">IF(L565="GEN","GM",L565)</f>
        <v>RHE</v>
      </c>
    </row>
    <row r="566" customFormat="false" ht="15" hidden="false" customHeight="false" outlineLevel="0" collapsed="false">
      <c r="A566" s="0" t="s">
        <v>7404</v>
      </c>
      <c r="B566" s="0" t="s">
        <v>7405</v>
      </c>
      <c r="C566" s="0" t="s">
        <v>6295</v>
      </c>
      <c r="D566" s="0" t="s">
        <v>2099</v>
      </c>
      <c r="E566" s="31" t="n">
        <v>45683</v>
      </c>
      <c r="F566" s="32" t="s">
        <v>6287</v>
      </c>
      <c r="G566" s="0" t="n">
        <v>7.5</v>
      </c>
      <c r="H566" s="0" t="n">
        <v>7.5</v>
      </c>
      <c r="I566" s="32" t="s">
        <v>2081</v>
      </c>
      <c r="J566" s="32" t="s">
        <v>2106</v>
      </c>
      <c r="K566" s="0" t="n">
        <v>0</v>
      </c>
      <c r="L566" s="32" t="s">
        <v>826</v>
      </c>
      <c r="M566" s="0" t="str">
        <f aca="false">IF(L566="GEN","GM",L566)</f>
        <v>RHE</v>
      </c>
    </row>
    <row r="567" customFormat="false" ht="15" hidden="false" customHeight="false" outlineLevel="0" collapsed="false">
      <c r="A567" s="0" t="s">
        <v>7406</v>
      </c>
      <c r="B567" s="0" t="s">
        <v>7407</v>
      </c>
      <c r="C567" s="0" t="s">
        <v>6286</v>
      </c>
      <c r="D567" s="0" t="s">
        <v>2115</v>
      </c>
      <c r="E567" s="31" t="n">
        <v>45683</v>
      </c>
      <c r="F567" s="32" t="s">
        <v>6283</v>
      </c>
      <c r="G567" s="0" t="n">
        <v>11.5</v>
      </c>
      <c r="H567" s="0" t="n">
        <v>11.5</v>
      </c>
      <c r="I567" s="32" t="s">
        <v>2106</v>
      </c>
      <c r="J567" s="32" t="s">
        <v>2081</v>
      </c>
      <c r="K567" s="0" t="n">
        <v>0</v>
      </c>
      <c r="L567" s="32" t="s">
        <v>802</v>
      </c>
      <c r="M567" s="0" t="str">
        <f aca="false">IF(L567="GEN","GM",L567)</f>
        <v>GYN</v>
      </c>
    </row>
    <row r="568" customFormat="false" ht="15" hidden="false" customHeight="false" outlineLevel="0" collapsed="false">
      <c r="A568" s="0" t="s">
        <v>7408</v>
      </c>
      <c r="B568" s="0" t="s">
        <v>7409</v>
      </c>
      <c r="C568" s="0" t="s">
        <v>6295</v>
      </c>
      <c r="D568" s="0" t="s">
        <v>2115</v>
      </c>
      <c r="E568" s="31" t="n">
        <v>45683</v>
      </c>
      <c r="F568" s="32" t="s">
        <v>6287</v>
      </c>
      <c r="G568" s="0" t="n">
        <v>7.5</v>
      </c>
      <c r="H568" s="0" t="n">
        <v>7.5</v>
      </c>
      <c r="I568" s="32" t="s">
        <v>2106</v>
      </c>
      <c r="J568" s="32" t="s">
        <v>2106</v>
      </c>
      <c r="K568" s="0" t="n">
        <v>0</v>
      </c>
      <c r="L568" s="32" t="s">
        <v>747</v>
      </c>
      <c r="M568" s="0" t="str">
        <f aca="false">IF(L568="GEN","GM",L568)</f>
        <v>GM</v>
      </c>
    </row>
    <row r="569" customFormat="false" ht="15" hidden="false" customHeight="false" outlineLevel="0" collapsed="false">
      <c r="A569" s="0" t="s">
        <v>7410</v>
      </c>
      <c r="B569" s="0" t="s">
        <v>7411</v>
      </c>
      <c r="C569" s="0" t="s">
        <v>780</v>
      </c>
      <c r="D569" s="0" t="s">
        <v>2115</v>
      </c>
      <c r="E569" s="31" t="n">
        <v>45683</v>
      </c>
      <c r="F569" s="32" t="s">
        <v>1125</v>
      </c>
      <c r="G569" s="0" t="n">
        <v>12</v>
      </c>
      <c r="H569" s="0" t="n">
        <v>12</v>
      </c>
      <c r="I569" s="32" t="s">
        <v>2106</v>
      </c>
      <c r="J569" s="32" t="s">
        <v>2081</v>
      </c>
      <c r="K569" s="0" t="n">
        <v>0</v>
      </c>
      <c r="L569" s="32" t="s">
        <v>766</v>
      </c>
      <c r="M569" s="0" t="str">
        <f aca="false">IF(L569="GEN","GM",L569)</f>
        <v>OR</v>
      </c>
    </row>
    <row r="570" customFormat="false" ht="15" hidden="false" customHeight="false" outlineLevel="0" collapsed="false">
      <c r="A570" s="0" t="s">
        <v>7412</v>
      </c>
      <c r="B570" s="0" t="s">
        <v>7413</v>
      </c>
      <c r="C570" s="0" t="s">
        <v>780</v>
      </c>
      <c r="D570" s="0" t="s">
        <v>2115</v>
      </c>
      <c r="E570" s="31" t="n">
        <v>45683</v>
      </c>
      <c r="F570" s="32" t="s">
        <v>6283</v>
      </c>
      <c r="G570" s="0" t="n">
        <v>11.5</v>
      </c>
      <c r="H570" s="0" t="n">
        <v>12.4</v>
      </c>
      <c r="I570" s="32" t="s">
        <v>2081</v>
      </c>
      <c r="J570" s="32" t="s">
        <v>2081</v>
      </c>
      <c r="K570" s="0" t="n">
        <v>0.9</v>
      </c>
      <c r="L570" s="32" t="s">
        <v>802</v>
      </c>
      <c r="M570" s="0" t="str">
        <f aca="false">IF(L570="GEN","GM",L570)</f>
        <v>GYN</v>
      </c>
    </row>
    <row r="571" customFormat="false" ht="15" hidden="false" customHeight="false" outlineLevel="0" collapsed="false">
      <c r="A571" s="0" t="s">
        <v>7414</v>
      </c>
      <c r="B571" s="0" t="s">
        <v>7415</v>
      </c>
      <c r="C571" s="0" t="s">
        <v>6295</v>
      </c>
      <c r="D571" s="0" t="s">
        <v>2124</v>
      </c>
      <c r="E571" s="31" t="n">
        <v>45683</v>
      </c>
      <c r="F571" s="32" t="s">
        <v>1125</v>
      </c>
      <c r="G571" s="0" t="n">
        <v>12</v>
      </c>
      <c r="H571" s="0" t="n">
        <v>12</v>
      </c>
      <c r="I571" s="32" t="s">
        <v>2106</v>
      </c>
      <c r="J571" s="32" t="s">
        <v>2081</v>
      </c>
      <c r="K571" s="0" t="n">
        <v>0</v>
      </c>
      <c r="L571" s="32" t="s">
        <v>810</v>
      </c>
      <c r="M571" s="0" t="str">
        <f aca="false">IF(L571="GEN","GM",L571)</f>
        <v>URO</v>
      </c>
    </row>
    <row r="572" customFormat="false" ht="15" hidden="false" customHeight="false" outlineLevel="0" collapsed="false">
      <c r="A572" s="0" t="s">
        <v>7416</v>
      </c>
      <c r="B572" s="0" t="s">
        <v>7417</v>
      </c>
      <c r="C572" s="0" t="s">
        <v>780</v>
      </c>
      <c r="D572" s="0" t="s">
        <v>2124</v>
      </c>
      <c r="E572" s="31" t="n">
        <v>45683</v>
      </c>
      <c r="F572" s="32" t="s">
        <v>6287</v>
      </c>
      <c r="G572" s="0" t="n">
        <v>7.5</v>
      </c>
      <c r="H572" s="0" t="n">
        <v>7.5</v>
      </c>
      <c r="I572" s="32" t="s">
        <v>2081</v>
      </c>
      <c r="J572" s="32" t="s">
        <v>2081</v>
      </c>
      <c r="K572" s="0" t="n">
        <v>0</v>
      </c>
      <c r="L572" s="32" t="s">
        <v>747</v>
      </c>
      <c r="M572" s="0" t="str">
        <f aca="false">IF(L572="GEN","GM",L572)</f>
        <v>GM</v>
      </c>
    </row>
    <row r="573" customFormat="false" ht="15" hidden="false" customHeight="false" outlineLevel="0" collapsed="false">
      <c r="A573" s="0" t="s">
        <v>7418</v>
      </c>
      <c r="B573" s="0" t="s">
        <v>7419</v>
      </c>
      <c r="C573" s="0" t="s">
        <v>6295</v>
      </c>
      <c r="D573" s="0" t="s">
        <v>2124</v>
      </c>
      <c r="E573" s="31" t="n">
        <v>45683</v>
      </c>
      <c r="F573" s="32" t="s">
        <v>6283</v>
      </c>
      <c r="G573" s="0" t="n">
        <v>11.5</v>
      </c>
      <c r="H573" s="0" t="n">
        <v>11.5</v>
      </c>
      <c r="I573" s="32" t="s">
        <v>2106</v>
      </c>
      <c r="J573" s="32" t="s">
        <v>2081</v>
      </c>
      <c r="K573" s="0" t="n">
        <v>0</v>
      </c>
      <c r="L573" s="32" t="s">
        <v>747</v>
      </c>
      <c r="M573" s="0" t="str">
        <f aca="false">IF(L573="GEN","GM",L573)</f>
        <v>GM</v>
      </c>
    </row>
    <row r="574" customFormat="false" ht="15" hidden="false" customHeight="false" outlineLevel="0" collapsed="false">
      <c r="A574" s="0" t="s">
        <v>7420</v>
      </c>
      <c r="B574" s="0" t="s">
        <v>7421</v>
      </c>
      <c r="C574" s="0" t="s">
        <v>6295</v>
      </c>
      <c r="D574" s="0" t="s">
        <v>2124</v>
      </c>
      <c r="E574" s="31" t="n">
        <v>45683</v>
      </c>
      <c r="F574" s="32" t="s">
        <v>6287</v>
      </c>
      <c r="G574" s="0" t="n">
        <v>7.5</v>
      </c>
      <c r="H574" s="0" t="n">
        <v>7.5</v>
      </c>
      <c r="I574" s="32" t="s">
        <v>2106</v>
      </c>
      <c r="J574" s="32" t="s">
        <v>2081</v>
      </c>
      <c r="K574" s="0" t="n">
        <v>0</v>
      </c>
      <c r="L574" s="32" t="s">
        <v>826</v>
      </c>
      <c r="M574" s="0" t="str">
        <f aca="false">IF(L574="GEN","GM",L574)</f>
        <v>RHE</v>
      </c>
    </row>
    <row r="575" customFormat="false" ht="15" hidden="false" customHeight="false" outlineLevel="0" collapsed="false">
      <c r="A575" s="0" t="s">
        <v>7422</v>
      </c>
      <c r="B575" s="0" t="s">
        <v>7423</v>
      </c>
      <c r="C575" s="0" t="s">
        <v>780</v>
      </c>
      <c r="D575" s="0" t="s">
        <v>2124</v>
      </c>
      <c r="E575" s="31" t="n">
        <v>45683</v>
      </c>
      <c r="F575" s="32" t="s">
        <v>6287</v>
      </c>
      <c r="G575" s="0" t="n">
        <v>7.5</v>
      </c>
      <c r="H575" s="0" t="n">
        <v>9.3</v>
      </c>
      <c r="I575" s="32" t="s">
        <v>2081</v>
      </c>
      <c r="J575" s="32" t="s">
        <v>2081</v>
      </c>
      <c r="K575" s="0" t="n">
        <v>1.8</v>
      </c>
      <c r="L575" s="32" t="s">
        <v>826</v>
      </c>
      <c r="M575" s="0" t="str">
        <f aca="false">IF(L575="GEN","GM",L575)</f>
        <v>RHE</v>
      </c>
    </row>
    <row r="576" customFormat="false" ht="15" hidden="false" customHeight="false" outlineLevel="0" collapsed="false">
      <c r="A576" s="0" t="s">
        <v>7424</v>
      </c>
      <c r="B576" s="0" t="s">
        <v>7425</v>
      </c>
      <c r="C576" s="0" t="s">
        <v>6290</v>
      </c>
      <c r="D576" s="0" t="s">
        <v>2104</v>
      </c>
      <c r="E576" s="31" t="n">
        <v>45683</v>
      </c>
      <c r="F576" s="32" t="s">
        <v>1125</v>
      </c>
      <c r="G576" s="0" t="n">
        <v>12</v>
      </c>
      <c r="H576" s="0" t="n">
        <v>12</v>
      </c>
      <c r="I576" s="32" t="s">
        <v>2081</v>
      </c>
      <c r="J576" s="32" t="s">
        <v>2081</v>
      </c>
      <c r="K576" s="0" t="n">
        <v>0</v>
      </c>
      <c r="L576" s="32" t="s">
        <v>766</v>
      </c>
      <c r="M576" s="0" t="str">
        <f aca="false">IF(L576="GEN","GM",L576)</f>
        <v>OR</v>
      </c>
    </row>
    <row r="577" customFormat="false" ht="15" hidden="false" customHeight="false" outlineLevel="0" collapsed="false">
      <c r="A577" s="0" t="s">
        <v>7426</v>
      </c>
      <c r="B577" s="0" t="s">
        <v>7427</v>
      </c>
      <c r="C577" s="0" t="s">
        <v>6295</v>
      </c>
      <c r="D577" s="0" t="s">
        <v>2104</v>
      </c>
      <c r="E577" s="31" t="n">
        <v>45683</v>
      </c>
      <c r="F577" s="32" t="s">
        <v>6287</v>
      </c>
      <c r="G577" s="0" t="n">
        <v>7.5</v>
      </c>
      <c r="H577" s="0" t="n">
        <v>7.5</v>
      </c>
      <c r="I577" s="32" t="s">
        <v>2081</v>
      </c>
      <c r="J577" s="32" t="s">
        <v>2081</v>
      </c>
      <c r="K577" s="0" t="n">
        <v>0</v>
      </c>
      <c r="L577" s="32" t="s">
        <v>747</v>
      </c>
      <c r="M577" s="0" t="str">
        <f aca="false">IF(L577="GEN","GM",L577)</f>
        <v>GM</v>
      </c>
    </row>
    <row r="578" customFormat="false" ht="15" hidden="false" customHeight="false" outlineLevel="0" collapsed="false">
      <c r="A578" s="0" t="s">
        <v>7428</v>
      </c>
      <c r="B578" s="0" t="s">
        <v>7429</v>
      </c>
      <c r="C578" s="0" t="s">
        <v>6295</v>
      </c>
      <c r="D578" s="0" t="s">
        <v>2104</v>
      </c>
      <c r="E578" s="31" t="n">
        <v>45683</v>
      </c>
      <c r="F578" s="32" t="s">
        <v>1125</v>
      </c>
      <c r="G578" s="0" t="n">
        <v>12</v>
      </c>
      <c r="H578" s="0" t="n">
        <v>12</v>
      </c>
      <c r="I578" s="32" t="s">
        <v>2081</v>
      </c>
      <c r="J578" s="32" t="s">
        <v>2081</v>
      </c>
      <c r="K578" s="0" t="n">
        <v>0</v>
      </c>
      <c r="L578" s="32" t="s">
        <v>802</v>
      </c>
      <c r="M578" s="0" t="str">
        <f aca="false">IF(L578="GEN","GM",L578)</f>
        <v>GYN</v>
      </c>
    </row>
    <row r="579" customFormat="false" ht="15" hidden="false" customHeight="false" outlineLevel="0" collapsed="false">
      <c r="A579" s="0" t="s">
        <v>7430</v>
      </c>
      <c r="B579" s="0" t="s">
        <v>7431</v>
      </c>
      <c r="C579" s="0" t="s">
        <v>6286</v>
      </c>
      <c r="D579" s="0" t="s">
        <v>2104</v>
      </c>
      <c r="E579" s="31" t="n">
        <v>45683</v>
      </c>
      <c r="F579" s="32" t="s">
        <v>6287</v>
      </c>
      <c r="G579" s="0" t="n">
        <v>7.5</v>
      </c>
      <c r="H579" s="0" t="n">
        <v>7.5</v>
      </c>
      <c r="I579" s="32" t="s">
        <v>2081</v>
      </c>
      <c r="J579" s="32" t="s">
        <v>2081</v>
      </c>
      <c r="K579" s="0" t="n">
        <v>0</v>
      </c>
      <c r="L579" s="32" t="s">
        <v>758</v>
      </c>
      <c r="M579" s="0" t="str">
        <f aca="false">IF(L579="GEN","GM",L579)</f>
        <v>CS</v>
      </c>
    </row>
    <row r="580" customFormat="false" ht="15" hidden="false" customHeight="false" outlineLevel="0" collapsed="false">
      <c r="A580" s="0" t="s">
        <v>7432</v>
      </c>
      <c r="B580" s="0" t="s">
        <v>7433</v>
      </c>
      <c r="C580" s="0" t="s">
        <v>6295</v>
      </c>
      <c r="D580" s="0" t="s">
        <v>2104</v>
      </c>
      <c r="E580" s="31" t="n">
        <v>45683</v>
      </c>
      <c r="F580" s="32" t="s">
        <v>6283</v>
      </c>
      <c r="G580" s="0" t="n">
        <v>11.5</v>
      </c>
      <c r="H580" s="0" t="n">
        <v>12</v>
      </c>
      <c r="I580" s="32" t="s">
        <v>2081</v>
      </c>
      <c r="J580" s="32" t="s">
        <v>2081</v>
      </c>
      <c r="K580" s="0" t="n">
        <v>0.5</v>
      </c>
      <c r="L580" s="32" t="s">
        <v>747</v>
      </c>
      <c r="M580" s="0" t="str">
        <f aca="false">IF(L580="GEN","GM",L580)</f>
        <v>GM</v>
      </c>
    </row>
    <row r="581" customFormat="false" ht="15" hidden="false" customHeight="false" outlineLevel="0" collapsed="false">
      <c r="A581" s="0" t="s">
        <v>7434</v>
      </c>
      <c r="B581" s="0" t="s">
        <v>7435</v>
      </c>
      <c r="C581" s="0" t="s">
        <v>6295</v>
      </c>
      <c r="D581" s="0" t="s">
        <v>3035</v>
      </c>
      <c r="E581" s="31" t="n">
        <v>45683</v>
      </c>
      <c r="F581" s="32" t="s">
        <v>6283</v>
      </c>
      <c r="G581" s="0" t="n">
        <v>11.5</v>
      </c>
      <c r="H581" s="0" t="n">
        <v>11.5</v>
      </c>
      <c r="I581" s="32" t="s">
        <v>2081</v>
      </c>
      <c r="J581" s="32" t="s">
        <v>2081</v>
      </c>
      <c r="K581" s="0" t="n">
        <v>0</v>
      </c>
      <c r="L581" s="32" t="s">
        <v>766</v>
      </c>
      <c r="M581" s="0" t="str">
        <f aca="false">IF(L581="GEN","GM",L581)</f>
        <v>OR</v>
      </c>
    </row>
    <row r="582" customFormat="false" ht="15" hidden="false" customHeight="false" outlineLevel="0" collapsed="false">
      <c r="A582" s="0" t="s">
        <v>7436</v>
      </c>
      <c r="B582" s="0" t="s">
        <v>7437</v>
      </c>
      <c r="C582" s="0" t="s">
        <v>6295</v>
      </c>
      <c r="D582" s="0" t="s">
        <v>3035</v>
      </c>
      <c r="E582" s="31" t="n">
        <v>45683</v>
      </c>
      <c r="F582" s="32" t="s">
        <v>6287</v>
      </c>
      <c r="G582" s="0" t="n">
        <v>7.5</v>
      </c>
      <c r="H582" s="0" t="n">
        <v>7.5</v>
      </c>
      <c r="I582" s="32" t="s">
        <v>2081</v>
      </c>
      <c r="J582" s="32" t="s">
        <v>2081</v>
      </c>
      <c r="K582" s="0" t="n">
        <v>0</v>
      </c>
      <c r="L582" s="32" t="s">
        <v>793</v>
      </c>
      <c r="M582" s="0" t="str">
        <f aca="false">IF(L582="GEN","GM",L582)</f>
        <v>EM</v>
      </c>
    </row>
    <row r="583" customFormat="false" ht="15" hidden="false" customHeight="false" outlineLevel="0" collapsed="false">
      <c r="A583" s="0" t="s">
        <v>7438</v>
      </c>
      <c r="B583" s="0" t="s">
        <v>7439</v>
      </c>
      <c r="C583" s="0" t="s">
        <v>6282</v>
      </c>
      <c r="D583" s="0" t="s">
        <v>3035</v>
      </c>
      <c r="E583" s="31" t="n">
        <v>45683</v>
      </c>
      <c r="F583" s="32" t="s">
        <v>6283</v>
      </c>
      <c r="G583" s="0" t="n">
        <v>11.5</v>
      </c>
      <c r="H583" s="0" t="n">
        <v>11.5</v>
      </c>
      <c r="I583" s="32" t="s">
        <v>2081</v>
      </c>
      <c r="J583" s="32" t="s">
        <v>2081</v>
      </c>
      <c r="K583" s="0" t="n">
        <v>0</v>
      </c>
      <c r="L583" s="32" t="s">
        <v>802</v>
      </c>
      <c r="M583" s="0" t="str">
        <f aca="false">IF(L583="GEN","GM",L583)</f>
        <v>GYN</v>
      </c>
    </row>
    <row r="584" customFormat="false" ht="15" hidden="false" customHeight="false" outlineLevel="0" collapsed="false">
      <c r="A584" s="0" t="s">
        <v>7440</v>
      </c>
      <c r="B584" s="0" t="s">
        <v>7441</v>
      </c>
      <c r="C584" s="0" t="s">
        <v>6295</v>
      </c>
      <c r="D584" s="0" t="s">
        <v>3035</v>
      </c>
      <c r="E584" s="31" t="n">
        <v>45683</v>
      </c>
      <c r="F584" s="32" t="s">
        <v>6287</v>
      </c>
      <c r="G584" s="0" t="n">
        <v>7.5</v>
      </c>
      <c r="H584" s="0" t="n">
        <v>7.5</v>
      </c>
      <c r="I584" s="32" t="s">
        <v>2106</v>
      </c>
      <c r="J584" s="32" t="s">
        <v>2081</v>
      </c>
      <c r="K584" s="0" t="n">
        <v>0</v>
      </c>
      <c r="L584" s="32" t="s">
        <v>802</v>
      </c>
      <c r="M584" s="0" t="str">
        <f aca="false">IF(L584="GEN","GM",L584)</f>
        <v>GYN</v>
      </c>
    </row>
    <row r="585" customFormat="false" ht="15" hidden="false" customHeight="false" outlineLevel="0" collapsed="false">
      <c r="A585" s="0" t="s">
        <v>7442</v>
      </c>
      <c r="B585" s="0" t="s">
        <v>7443</v>
      </c>
      <c r="C585" s="0" t="s">
        <v>780</v>
      </c>
      <c r="D585" s="0" t="s">
        <v>3035</v>
      </c>
      <c r="E585" s="31" t="n">
        <v>45683</v>
      </c>
      <c r="F585" s="32" t="s">
        <v>6287</v>
      </c>
      <c r="G585" s="0" t="n">
        <v>7.5</v>
      </c>
      <c r="H585" s="0" t="n">
        <v>7.5</v>
      </c>
      <c r="I585" s="32" t="s">
        <v>2081</v>
      </c>
      <c r="J585" s="32" t="s">
        <v>2081</v>
      </c>
      <c r="K585" s="0" t="n">
        <v>0</v>
      </c>
      <c r="L585" s="32" t="s">
        <v>793</v>
      </c>
      <c r="M585" s="0" t="str">
        <f aca="false">IF(L585="GEN","GM",L585)</f>
        <v>EM</v>
      </c>
    </row>
    <row r="586" customFormat="false" ht="15" hidden="false" customHeight="false" outlineLevel="0" collapsed="false">
      <c r="A586" s="0" t="s">
        <v>7444</v>
      </c>
      <c r="B586" s="0" t="s">
        <v>7445</v>
      </c>
      <c r="C586" s="0" t="s">
        <v>780</v>
      </c>
      <c r="D586" s="0" t="s">
        <v>2088</v>
      </c>
      <c r="E586" s="31" t="n">
        <v>45684</v>
      </c>
      <c r="F586" s="32" t="s">
        <v>1125</v>
      </c>
      <c r="G586" s="0" t="n">
        <v>12</v>
      </c>
      <c r="H586" s="0" t="n">
        <v>12</v>
      </c>
      <c r="I586" s="32" t="s">
        <v>2081</v>
      </c>
      <c r="J586" s="32" t="s">
        <v>2081</v>
      </c>
      <c r="K586" s="0" t="n">
        <v>0</v>
      </c>
      <c r="L586" s="32" t="s">
        <v>785</v>
      </c>
      <c r="M586" s="0" t="str">
        <f aca="false">IF(L586="GEN","GM",L586)</f>
        <v>RS</v>
      </c>
    </row>
    <row r="587" customFormat="false" ht="15" hidden="false" customHeight="false" outlineLevel="0" collapsed="false">
      <c r="A587" s="0" t="s">
        <v>7446</v>
      </c>
      <c r="B587" s="0" t="s">
        <v>7447</v>
      </c>
      <c r="C587" s="0" t="s">
        <v>6282</v>
      </c>
      <c r="D587" s="0" t="s">
        <v>2088</v>
      </c>
      <c r="E587" s="31" t="n">
        <v>45684</v>
      </c>
      <c r="F587" s="32" t="s">
        <v>6283</v>
      </c>
      <c r="G587" s="0" t="n">
        <v>11.5</v>
      </c>
      <c r="H587" s="0" t="n">
        <v>12</v>
      </c>
      <c r="I587" s="32" t="s">
        <v>2081</v>
      </c>
      <c r="J587" s="32" t="s">
        <v>2081</v>
      </c>
      <c r="K587" s="0" t="n">
        <v>0.5</v>
      </c>
      <c r="L587" s="32" t="s">
        <v>766</v>
      </c>
      <c r="M587" s="0" t="str">
        <f aca="false">IF(L587="GEN","GM",L587)</f>
        <v>OR</v>
      </c>
    </row>
    <row r="588" customFormat="false" ht="15" hidden="false" customHeight="false" outlineLevel="0" collapsed="false">
      <c r="A588" s="0" t="s">
        <v>7448</v>
      </c>
      <c r="B588" s="0" t="s">
        <v>7449</v>
      </c>
      <c r="C588" s="0" t="s">
        <v>6295</v>
      </c>
      <c r="D588" s="0" t="s">
        <v>2088</v>
      </c>
      <c r="E588" s="31" t="n">
        <v>45684</v>
      </c>
      <c r="F588" s="32" t="s">
        <v>6287</v>
      </c>
      <c r="G588" s="0" t="n">
        <v>7.5</v>
      </c>
      <c r="H588" s="0" t="n">
        <v>7.5</v>
      </c>
      <c r="I588" s="32" t="s">
        <v>2081</v>
      </c>
      <c r="J588" s="32" t="s">
        <v>2081</v>
      </c>
      <c r="K588" s="0" t="n">
        <v>0</v>
      </c>
      <c r="L588" s="32" t="s">
        <v>747</v>
      </c>
      <c r="M588" s="0" t="str">
        <f aca="false">IF(L588="GEN","GM",L588)</f>
        <v>GM</v>
      </c>
    </row>
    <row r="589" customFormat="false" ht="15" hidden="false" customHeight="false" outlineLevel="0" collapsed="false">
      <c r="A589" s="0" t="s">
        <v>7450</v>
      </c>
      <c r="B589" s="0" t="s">
        <v>7451</v>
      </c>
      <c r="C589" s="0" t="s">
        <v>6295</v>
      </c>
      <c r="D589" s="0" t="s">
        <v>2079</v>
      </c>
      <c r="E589" s="31" t="n">
        <v>45684</v>
      </c>
      <c r="F589" s="32" t="s">
        <v>1125</v>
      </c>
      <c r="G589" s="0" t="n">
        <v>12</v>
      </c>
      <c r="H589" s="0" t="n">
        <v>12</v>
      </c>
      <c r="I589" s="32" t="s">
        <v>2081</v>
      </c>
      <c r="J589" s="32" t="s">
        <v>2081</v>
      </c>
      <c r="K589" s="0" t="n">
        <v>0</v>
      </c>
      <c r="L589" s="32" t="s">
        <v>747</v>
      </c>
      <c r="M589" s="0" t="str">
        <f aca="false">IF(L589="GEN","GM",L589)</f>
        <v>GM</v>
      </c>
    </row>
    <row r="590" customFormat="false" ht="15" hidden="false" customHeight="false" outlineLevel="0" collapsed="false">
      <c r="A590" s="0" t="s">
        <v>7452</v>
      </c>
      <c r="B590" s="0" t="s">
        <v>7453</v>
      </c>
      <c r="C590" s="0" t="s">
        <v>6290</v>
      </c>
      <c r="D590" s="0" t="s">
        <v>2079</v>
      </c>
      <c r="E590" s="31" t="n">
        <v>45684</v>
      </c>
      <c r="F590" s="32" t="s">
        <v>1125</v>
      </c>
      <c r="G590" s="0" t="n">
        <v>12</v>
      </c>
      <c r="H590" s="0" t="n">
        <v>12</v>
      </c>
      <c r="I590" s="32" t="s">
        <v>2081</v>
      </c>
      <c r="J590" s="32" t="s">
        <v>2081</v>
      </c>
      <c r="K590" s="0" t="n">
        <v>0</v>
      </c>
      <c r="L590" s="32" t="s">
        <v>826</v>
      </c>
      <c r="M590" s="0" t="str">
        <f aca="false">IF(L590="GEN","GM",L590)</f>
        <v>RHE</v>
      </c>
    </row>
    <row r="591" customFormat="false" ht="15" hidden="false" customHeight="false" outlineLevel="0" collapsed="false">
      <c r="A591" s="0" t="s">
        <v>7454</v>
      </c>
      <c r="B591" s="0" t="s">
        <v>7455</v>
      </c>
      <c r="C591" s="0" t="s">
        <v>6282</v>
      </c>
      <c r="D591" s="0" t="s">
        <v>2079</v>
      </c>
      <c r="E591" s="31" t="n">
        <v>45684</v>
      </c>
      <c r="F591" s="32" t="s">
        <v>6283</v>
      </c>
      <c r="G591" s="0" t="n">
        <v>11.5</v>
      </c>
      <c r="H591" s="0" t="n">
        <v>11.5</v>
      </c>
      <c r="I591" s="32" t="s">
        <v>2081</v>
      </c>
      <c r="J591" s="32" t="s">
        <v>2081</v>
      </c>
      <c r="K591" s="0" t="n">
        <v>0</v>
      </c>
      <c r="L591" s="32" t="s">
        <v>785</v>
      </c>
      <c r="M591" s="0" t="str">
        <f aca="false">IF(L591="GEN","GM",L591)</f>
        <v>RS</v>
      </c>
    </row>
    <row r="592" customFormat="false" ht="15" hidden="false" customHeight="false" outlineLevel="0" collapsed="false">
      <c r="A592" s="0" t="s">
        <v>7456</v>
      </c>
      <c r="B592" s="0" t="s">
        <v>7457</v>
      </c>
      <c r="C592" s="0" t="s">
        <v>6295</v>
      </c>
      <c r="D592" s="0" t="s">
        <v>2079</v>
      </c>
      <c r="E592" s="31" t="n">
        <v>45684</v>
      </c>
      <c r="F592" s="32" t="s">
        <v>6287</v>
      </c>
      <c r="G592" s="0" t="n">
        <v>7.5</v>
      </c>
      <c r="H592" s="0" t="n">
        <v>7</v>
      </c>
      <c r="I592" s="32" t="s">
        <v>2081</v>
      </c>
      <c r="J592" s="32" t="s">
        <v>2081</v>
      </c>
      <c r="K592" s="0" t="n">
        <v>0</v>
      </c>
      <c r="L592" s="32" t="s">
        <v>747</v>
      </c>
      <c r="M592" s="0" t="str">
        <f aca="false">IF(L592="GEN","GM",L592)</f>
        <v>GM</v>
      </c>
    </row>
    <row r="593" customFormat="false" ht="15" hidden="false" customHeight="false" outlineLevel="0" collapsed="false">
      <c r="A593" s="0" t="s">
        <v>7458</v>
      </c>
      <c r="B593" s="0" t="s">
        <v>7459</v>
      </c>
      <c r="C593" s="0" t="s">
        <v>6295</v>
      </c>
      <c r="D593" s="0" t="s">
        <v>2079</v>
      </c>
      <c r="E593" s="31" t="n">
        <v>45684</v>
      </c>
      <c r="F593" s="32" t="s">
        <v>6287</v>
      </c>
      <c r="G593" s="0" t="n">
        <v>7.5</v>
      </c>
      <c r="H593" s="0" t="n">
        <v>7.5</v>
      </c>
      <c r="I593" s="32" t="s">
        <v>2081</v>
      </c>
      <c r="J593" s="32" t="s">
        <v>2081</v>
      </c>
      <c r="K593" s="0" t="n">
        <v>0</v>
      </c>
      <c r="L593" s="32" t="s">
        <v>810</v>
      </c>
      <c r="M593" s="0" t="str">
        <f aca="false">IF(L593="GEN","GM",L593)</f>
        <v>URO</v>
      </c>
    </row>
    <row r="594" customFormat="false" ht="15" hidden="false" customHeight="false" outlineLevel="0" collapsed="false">
      <c r="A594" s="0" t="s">
        <v>7460</v>
      </c>
      <c r="B594" s="0" t="s">
        <v>7461</v>
      </c>
      <c r="C594" s="0" t="s">
        <v>6282</v>
      </c>
      <c r="D594" s="0" t="s">
        <v>2099</v>
      </c>
      <c r="E594" s="31" t="n">
        <v>45684</v>
      </c>
      <c r="F594" s="32" t="s">
        <v>6287</v>
      </c>
      <c r="G594" s="0" t="n">
        <v>7.5</v>
      </c>
      <c r="H594" s="0" t="n">
        <v>10</v>
      </c>
      <c r="I594" s="32" t="s">
        <v>2081</v>
      </c>
      <c r="J594" s="32" t="s">
        <v>2106</v>
      </c>
      <c r="K594" s="0" t="n">
        <v>2.5</v>
      </c>
      <c r="L594" s="32" t="s">
        <v>785</v>
      </c>
      <c r="M594" s="0" t="str">
        <f aca="false">IF(L594="GEN","GM",L594)</f>
        <v>RS</v>
      </c>
    </row>
    <row r="595" customFormat="false" ht="15" hidden="false" customHeight="false" outlineLevel="0" collapsed="false">
      <c r="A595" s="0" t="s">
        <v>7462</v>
      </c>
      <c r="B595" s="0" t="s">
        <v>7463</v>
      </c>
      <c r="C595" s="0" t="s">
        <v>6286</v>
      </c>
      <c r="D595" s="0" t="s">
        <v>2099</v>
      </c>
      <c r="E595" s="31" t="n">
        <v>45684</v>
      </c>
      <c r="F595" s="32" t="s">
        <v>6283</v>
      </c>
      <c r="G595" s="0" t="n">
        <v>11.5</v>
      </c>
      <c r="H595" s="0" t="n">
        <v>12</v>
      </c>
      <c r="I595" s="32" t="s">
        <v>2106</v>
      </c>
      <c r="J595" s="32" t="s">
        <v>2081</v>
      </c>
      <c r="K595" s="0" t="n">
        <v>0.5</v>
      </c>
      <c r="L595" s="32" t="s">
        <v>747</v>
      </c>
      <c r="M595" s="0" t="str">
        <f aca="false">IF(L595="GEN","GM",L595)</f>
        <v>GM</v>
      </c>
    </row>
    <row r="596" customFormat="false" ht="15" hidden="false" customHeight="false" outlineLevel="0" collapsed="false">
      <c r="A596" s="0" t="s">
        <v>7464</v>
      </c>
      <c r="B596" s="0" t="s">
        <v>6299</v>
      </c>
      <c r="C596" s="0" t="s">
        <v>6286</v>
      </c>
      <c r="D596" s="0" t="s">
        <v>2099</v>
      </c>
      <c r="E596" s="31" t="n">
        <v>45684</v>
      </c>
      <c r="F596" s="32" t="s">
        <v>6287</v>
      </c>
      <c r="G596" s="0" t="n">
        <v>7.5</v>
      </c>
      <c r="H596" s="0" t="n">
        <v>7.5</v>
      </c>
      <c r="I596" s="32" t="s">
        <v>2081</v>
      </c>
      <c r="J596" s="32" t="s">
        <v>2081</v>
      </c>
      <c r="K596" s="0" t="n">
        <v>0</v>
      </c>
      <c r="L596" s="32" t="s">
        <v>793</v>
      </c>
      <c r="M596" s="0" t="str">
        <f aca="false">IF(L596="GEN","GM",L596)</f>
        <v>EM</v>
      </c>
    </row>
    <row r="597" customFormat="false" ht="15" hidden="false" customHeight="false" outlineLevel="0" collapsed="false">
      <c r="A597" s="0" t="s">
        <v>7465</v>
      </c>
      <c r="B597" s="0" t="s">
        <v>7466</v>
      </c>
      <c r="C597" s="0" t="s">
        <v>6295</v>
      </c>
      <c r="D597" s="0" t="s">
        <v>2099</v>
      </c>
      <c r="E597" s="31" t="n">
        <v>45684</v>
      </c>
      <c r="F597" s="32" t="s">
        <v>6287</v>
      </c>
      <c r="G597" s="0" t="n">
        <v>7.5</v>
      </c>
      <c r="H597" s="0" t="n">
        <v>7.5</v>
      </c>
      <c r="I597" s="32" t="s">
        <v>2081</v>
      </c>
      <c r="J597" s="32" t="s">
        <v>2106</v>
      </c>
      <c r="K597" s="0" t="n">
        <v>0</v>
      </c>
      <c r="L597" s="32" t="s">
        <v>785</v>
      </c>
      <c r="M597" s="0" t="str">
        <f aca="false">IF(L597="GEN","GM",L597)</f>
        <v>RS</v>
      </c>
    </row>
    <row r="598" customFormat="false" ht="15" hidden="false" customHeight="false" outlineLevel="0" collapsed="false">
      <c r="A598" s="0" t="s">
        <v>7467</v>
      </c>
      <c r="B598" s="0" t="s">
        <v>7468</v>
      </c>
      <c r="C598" s="0" t="s">
        <v>6295</v>
      </c>
      <c r="D598" s="0" t="s">
        <v>2099</v>
      </c>
      <c r="E598" s="31" t="n">
        <v>45684</v>
      </c>
      <c r="F598" s="32" t="s">
        <v>1125</v>
      </c>
      <c r="G598" s="0" t="n">
        <v>12</v>
      </c>
      <c r="H598" s="0" t="n">
        <v>12</v>
      </c>
      <c r="I598" s="32" t="s">
        <v>2081</v>
      </c>
      <c r="J598" s="32" t="s">
        <v>2081</v>
      </c>
      <c r="K598" s="0" t="n">
        <v>0</v>
      </c>
      <c r="L598" s="32" t="s">
        <v>776</v>
      </c>
      <c r="M598" s="0" t="str">
        <f aca="false">IF(L598="GEN","GM",L598)</f>
        <v>GS</v>
      </c>
    </row>
    <row r="599" customFormat="false" ht="15" hidden="false" customHeight="false" outlineLevel="0" collapsed="false">
      <c r="A599" s="0" t="s">
        <v>7469</v>
      </c>
      <c r="B599" s="0" t="s">
        <v>7470</v>
      </c>
      <c r="C599" s="0" t="s">
        <v>6286</v>
      </c>
      <c r="D599" s="0" t="s">
        <v>2115</v>
      </c>
      <c r="E599" s="31" t="n">
        <v>45684</v>
      </c>
      <c r="F599" s="32" t="s">
        <v>6283</v>
      </c>
      <c r="G599" s="0" t="n">
        <v>11.5</v>
      </c>
      <c r="H599" s="0" t="n">
        <v>11.5</v>
      </c>
      <c r="I599" s="32" t="s">
        <v>2081</v>
      </c>
      <c r="J599" s="32" t="s">
        <v>2081</v>
      </c>
      <c r="K599" s="0" t="n">
        <v>0</v>
      </c>
      <c r="L599" s="32" t="s">
        <v>776</v>
      </c>
      <c r="M599" s="0" t="str">
        <f aca="false">IF(L599="GEN","GM",L599)</f>
        <v>GS</v>
      </c>
    </row>
    <row r="600" customFormat="false" ht="15" hidden="false" customHeight="false" outlineLevel="0" collapsed="false">
      <c r="A600" s="0" t="s">
        <v>7471</v>
      </c>
      <c r="B600" s="0" t="s">
        <v>7472</v>
      </c>
      <c r="C600" s="0" t="s">
        <v>6290</v>
      </c>
      <c r="D600" s="0" t="s">
        <v>2115</v>
      </c>
      <c r="E600" s="31" t="n">
        <v>45684</v>
      </c>
      <c r="F600" s="32" t="s">
        <v>1125</v>
      </c>
      <c r="G600" s="0" t="n">
        <v>12</v>
      </c>
      <c r="H600" s="0" t="n">
        <v>12</v>
      </c>
      <c r="I600" s="32" t="s">
        <v>2081</v>
      </c>
      <c r="J600" s="32" t="s">
        <v>2081</v>
      </c>
      <c r="K600" s="0" t="n">
        <v>0</v>
      </c>
      <c r="L600" s="32" t="s">
        <v>793</v>
      </c>
      <c r="M600" s="0" t="str">
        <f aca="false">IF(L600="GEN","GM",L600)</f>
        <v>EM</v>
      </c>
    </row>
    <row r="601" customFormat="false" ht="15" hidden="false" customHeight="false" outlineLevel="0" collapsed="false">
      <c r="A601" s="0" t="s">
        <v>7473</v>
      </c>
      <c r="B601" s="0" t="s">
        <v>7474</v>
      </c>
      <c r="C601" s="0" t="s">
        <v>6282</v>
      </c>
      <c r="D601" s="0" t="s">
        <v>2115</v>
      </c>
      <c r="E601" s="31" t="n">
        <v>45684</v>
      </c>
      <c r="F601" s="32" t="s">
        <v>1125</v>
      </c>
      <c r="G601" s="0" t="n">
        <v>12</v>
      </c>
      <c r="H601" s="0" t="n">
        <v>12.5</v>
      </c>
      <c r="I601" s="32" t="s">
        <v>2081</v>
      </c>
      <c r="J601" s="32" t="s">
        <v>2081</v>
      </c>
      <c r="K601" s="0" t="n">
        <v>0.5</v>
      </c>
      <c r="L601" s="32" t="s">
        <v>793</v>
      </c>
      <c r="M601" s="0" t="str">
        <f aca="false">IF(L601="GEN","GM",L601)</f>
        <v>EM</v>
      </c>
    </row>
    <row r="602" customFormat="false" ht="15" hidden="false" customHeight="false" outlineLevel="0" collapsed="false">
      <c r="A602" s="0" t="s">
        <v>7475</v>
      </c>
      <c r="B602" s="0" t="s">
        <v>7476</v>
      </c>
      <c r="C602" s="0" t="s">
        <v>6286</v>
      </c>
      <c r="D602" s="0" t="s">
        <v>2115</v>
      </c>
      <c r="E602" s="31" t="n">
        <v>45684</v>
      </c>
      <c r="F602" s="32" t="s">
        <v>1125</v>
      </c>
      <c r="G602" s="0" t="n">
        <v>12</v>
      </c>
      <c r="H602" s="0" t="n">
        <v>10.5</v>
      </c>
      <c r="I602" s="32" t="s">
        <v>2081</v>
      </c>
      <c r="J602" s="32" t="s">
        <v>2081</v>
      </c>
      <c r="K602" s="0" t="n">
        <v>0</v>
      </c>
      <c r="L602" s="32" t="s">
        <v>747</v>
      </c>
      <c r="M602" s="0" t="str">
        <f aca="false">IF(L602="GEN","GM",L602)</f>
        <v>GM</v>
      </c>
    </row>
    <row r="603" customFormat="false" ht="15" hidden="false" customHeight="false" outlineLevel="0" collapsed="false">
      <c r="A603" s="0" t="s">
        <v>7477</v>
      </c>
      <c r="B603" s="0" t="s">
        <v>7478</v>
      </c>
      <c r="C603" s="0" t="s">
        <v>6696</v>
      </c>
      <c r="D603" s="0" t="s">
        <v>2115</v>
      </c>
      <c r="E603" s="31" t="n">
        <v>45684</v>
      </c>
      <c r="F603" s="32" t="s">
        <v>6287</v>
      </c>
      <c r="G603" s="0" t="n">
        <v>7.5</v>
      </c>
      <c r="H603" s="0" t="n">
        <v>7.5</v>
      </c>
      <c r="I603" s="32" t="s">
        <v>2081</v>
      </c>
      <c r="J603" s="32" t="s">
        <v>2081</v>
      </c>
      <c r="K603" s="0" t="n">
        <v>0</v>
      </c>
      <c r="L603" s="32" t="s">
        <v>785</v>
      </c>
      <c r="M603" s="0" t="str">
        <f aca="false">IF(L603="GEN","GM",L603)</f>
        <v>RS</v>
      </c>
    </row>
    <row r="604" customFormat="false" ht="15" hidden="false" customHeight="false" outlineLevel="0" collapsed="false">
      <c r="A604" s="0" t="s">
        <v>7479</v>
      </c>
      <c r="B604" s="0" t="s">
        <v>7480</v>
      </c>
      <c r="C604" s="0" t="s">
        <v>6295</v>
      </c>
      <c r="D604" s="0" t="s">
        <v>2124</v>
      </c>
      <c r="E604" s="31" t="n">
        <v>45684</v>
      </c>
      <c r="F604" s="32" t="s">
        <v>6287</v>
      </c>
      <c r="G604" s="0" t="n">
        <v>7.5</v>
      </c>
      <c r="H604" s="0" t="n">
        <v>7.5</v>
      </c>
      <c r="I604" s="32" t="s">
        <v>2081</v>
      </c>
      <c r="J604" s="32" t="s">
        <v>2081</v>
      </c>
      <c r="K604" s="0" t="n">
        <v>0</v>
      </c>
      <c r="L604" s="32" t="s">
        <v>793</v>
      </c>
      <c r="M604" s="0" t="str">
        <f aca="false">IF(L604="GEN","GM",L604)</f>
        <v>EM</v>
      </c>
    </row>
    <row r="605" customFormat="false" ht="15" hidden="false" customHeight="false" outlineLevel="0" collapsed="false">
      <c r="A605" s="0" t="s">
        <v>7481</v>
      </c>
      <c r="B605" s="0" t="s">
        <v>7482</v>
      </c>
      <c r="C605" s="0" t="s">
        <v>6295</v>
      </c>
      <c r="D605" s="0" t="s">
        <v>2124</v>
      </c>
      <c r="E605" s="31" t="n">
        <v>45684</v>
      </c>
      <c r="F605" s="32" t="s">
        <v>6283</v>
      </c>
      <c r="G605" s="0" t="n">
        <v>11.5</v>
      </c>
      <c r="H605" s="0" t="n">
        <v>11.5</v>
      </c>
      <c r="I605" s="32" t="s">
        <v>2081</v>
      </c>
      <c r="J605" s="32" t="s">
        <v>2081</v>
      </c>
      <c r="K605" s="0" t="n">
        <v>0</v>
      </c>
      <c r="L605" s="32" t="s">
        <v>826</v>
      </c>
      <c r="M605" s="0" t="str">
        <f aca="false">IF(L605="GEN","GM",L605)</f>
        <v>RHE</v>
      </c>
    </row>
    <row r="606" customFormat="false" ht="15" hidden="false" customHeight="false" outlineLevel="0" collapsed="false">
      <c r="A606" s="0" t="s">
        <v>7483</v>
      </c>
      <c r="B606" s="0" t="s">
        <v>7484</v>
      </c>
      <c r="C606" s="0" t="s">
        <v>6290</v>
      </c>
      <c r="D606" s="0" t="s">
        <v>2124</v>
      </c>
      <c r="E606" s="31" t="n">
        <v>45684</v>
      </c>
      <c r="F606" s="32" t="s">
        <v>1125</v>
      </c>
      <c r="G606" s="0" t="n">
        <v>12</v>
      </c>
      <c r="H606" s="0" t="n">
        <v>12.5</v>
      </c>
      <c r="I606" s="32" t="s">
        <v>2081</v>
      </c>
      <c r="J606" s="32" t="s">
        <v>2081</v>
      </c>
      <c r="K606" s="0" t="n">
        <v>0.5</v>
      </c>
      <c r="L606" s="32" t="s">
        <v>810</v>
      </c>
      <c r="M606" s="0" t="str">
        <f aca="false">IF(L606="GEN","GM",L606)</f>
        <v>URO</v>
      </c>
    </row>
    <row r="607" customFormat="false" ht="15" hidden="false" customHeight="false" outlineLevel="0" collapsed="false">
      <c r="A607" s="0" t="s">
        <v>7485</v>
      </c>
      <c r="B607" s="0" t="s">
        <v>7486</v>
      </c>
      <c r="C607" s="0" t="s">
        <v>6282</v>
      </c>
      <c r="D607" s="0" t="s">
        <v>2124</v>
      </c>
      <c r="E607" s="31" t="n">
        <v>45684</v>
      </c>
      <c r="F607" s="32" t="s">
        <v>6287</v>
      </c>
      <c r="G607" s="0" t="n">
        <v>7.5</v>
      </c>
      <c r="H607" s="0" t="n">
        <v>7.5</v>
      </c>
      <c r="I607" s="32" t="s">
        <v>2081</v>
      </c>
      <c r="J607" s="32" t="s">
        <v>2081</v>
      </c>
      <c r="K607" s="0" t="n">
        <v>0</v>
      </c>
      <c r="L607" s="32" t="s">
        <v>766</v>
      </c>
      <c r="M607" s="0" t="str">
        <f aca="false">IF(L607="GEN","GM",L607)</f>
        <v>OR</v>
      </c>
    </row>
    <row r="608" customFormat="false" ht="15" hidden="false" customHeight="false" outlineLevel="0" collapsed="false">
      <c r="A608" s="0" t="s">
        <v>7487</v>
      </c>
      <c r="B608" s="0" t="s">
        <v>7488</v>
      </c>
      <c r="C608" s="0" t="s">
        <v>6295</v>
      </c>
      <c r="D608" s="0" t="s">
        <v>2124</v>
      </c>
      <c r="E608" s="31" t="n">
        <v>45684</v>
      </c>
      <c r="F608" s="32" t="s">
        <v>6283</v>
      </c>
      <c r="G608" s="0" t="n">
        <v>11.5</v>
      </c>
      <c r="H608" s="0" t="n">
        <v>11.5</v>
      </c>
      <c r="I608" s="32" t="s">
        <v>2081</v>
      </c>
      <c r="J608" s="32" t="s">
        <v>2081</v>
      </c>
      <c r="K608" s="0" t="n">
        <v>0</v>
      </c>
      <c r="L608" s="32" t="s">
        <v>802</v>
      </c>
      <c r="M608" s="0" t="str">
        <f aca="false">IF(L608="GEN","GM",L608)</f>
        <v>GYN</v>
      </c>
    </row>
    <row r="609" customFormat="false" ht="15" hidden="false" customHeight="false" outlineLevel="0" collapsed="false">
      <c r="A609" s="0" t="s">
        <v>7489</v>
      </c>
      <c r="B609" s="0" t="s">
        <v>7490</v>
      </c>
      <c r="C609" s="0" t="s">
        <v>6286</v>
      </c>
      <c r="D609" s="0" t="s">
        <v>2104</v>
      </c>
      <c r="E609" s="31" t="n">
        <v>45684</v>
      </c>
      <c r="F609" s="32" t="s">
        <v>6287</v>
      </c>
      <c r="G609" s="0" t="n">
        <v>7.5</v>
      </c>
      <c r="H609" s="0" t="n">
        <v>7.5</v>
      </c>
      <c r="I609" s="32" t="s">
        <v>2081</v>
      </c>
      <c r="J609" s="32" t="s">
        <v>2081</v>
      </c>
      <c r="K609" s="0" t="n">
        <v>0</v>
      </c>
      <c r="L609" s="32" t="s">
        <v>785</v>
      </c>
      <c r="M609" s="0" t="str">
        <f aca="false">IF(L609="GEN","GM",L609)</f>
        <v>RS</v>
      </c>
    </row>
    <row r="610" customFormat="false" ht="15" hidden="false" customHeight="false" outlineLevel="0" collapsed="false">
      <c r="A610" s="0" t="s">
        <v>7491</v>
      </c>
      <c r="B610" s="0" t="s">
        <v>7492</v>
      </c>
      <c r="C610" s="0" t="s">
        <v>6295</v>
      </c>
      <c r="D610" s="0" t="s">
        <v>2104</v>
      </c>
      <c r="E610" s="31" t="n">
        <v>45684</v>
      </c>
      <c r="F610" s="32" t="s">
        <v>1125</v>
      </c>
      <c r="G610" s="0" t="n">
        <v>12</v>
      </c>
      <c r="H610" s="0" t="n">
        <v>12</v>
      </c>
      <c r="I610" s="32" t="s">
        <v>2081</v>
      </c>
      <c r="J610" s="32" t="s">
        <v>2081</v>
      </c>
      <c r="K610" s="0" t="n">
        <v>0</v>
      </c>
      <c r="L610" s="32" t="s">
        <v>810</v>
      </c>
      <c r="M610" s="0" t="str">
        <f aca="false">IF(L610="GEN","GM",L610)</f>
        <v>URO</v>
      </c>
    </row>
    <row r="611" customFormat="false" ht="15" hidden="false" customHeight="false" outlineLevel="0" collapsed="false">
      <c r="A611" s="0" t="s">
        <v>7493</v>
      </c>
      <c r="B611" s="0" t="s">
        <v>7494</v>
      </c>
      <c r="C611" s="0" t="s">
        <v>6286</v>
      </c>
      <c r="D611" s="0" t="s">
        <v>2104</v>
      </c>
      <c r="E611" s="31" t="n">
        <v>45684</v>
      </c>
      <c r="F611" s="32" t="s">
        <v>6287</v>
      </c>
      <c r="G611" s="0" t="n">
        <v>7.5</v>
      </c>
      <c r="H611" s="0" t="n">
        <v>7.5</v>
      </c>
      <c r="I611" s="32" t="s">
        <v>2106</v>
      </c>
      <c r="J611" s="32" t="s">
        <v>2081</v>
      </c>
      <c r="K611" s="0" t="n">
        <v>0</v>
      </c>
      <c r="L611" s="32" t="s">
        <v>793</v>
      </c>
      <c r="M611" s="0" t="str">
        <f aca="false">IF(L611="GEN","GM",L611)</f>
        <v>EM</v>
      </c>
    </row>
    <row r="612" customFormat="false" ht="15" hidden="false" customHeight="false" outlineLevel="0" collapsed="false">
      <c r="A612" s="0" t="s">
        <v>7495</v>
      </c>
      <c r="B612" s="0" t="s">
        <v>7496</v>
      </c>
      <c r="C612" s="0" t="s">
        <v>6295</v>
      </c>
      <c r="D612" s="0" t="s">
        <v>2104</v>
      </c>
      <c r="E612" s="31" t="n">
        <v>45684</v>
      </c>
      <c r="F612" s="32" t="s">
        <v>1125</v>
      </c>
      <c r="G612" s="0" t="n">
        <v>12</v>
      </c>
      <c r="H612" s="0" t="n">
        <v>12</v>
      </c>
      <c r="I612" s="32" t="s">
        <v>2081</v>
      </c>
      <c r="J612" s="32" t="s">
        <v>2081</v>
      </c>
      <c r="K612" s="0" t="n">
        <v>0</v>
      </c>
      <c r="L612" s="32" t="s">
        <v>826</v>
      </c>
      <c r="M612" s="0" t="str">
        <f aca="false">IF(L612="GEN","GM",L612)</f>
        <v>RHE</v>
      </c>
    </row>
    <row r="613" customFormat="false" ht="15" hidden="false" customHeight="false" outlineLevel="0" collapsed="false">
      <c r="A613" s="0" t="s">
        <v>7497</v>
      </c>
      <c r="B613" s="0" t="s">
        <v>7498</v>
      </c>
      <c r="C613" s="0" t="s">
        <v>6286</v>
      </c>
      <c r="D613" s="0" t="s">
        <v>2104</v>
      </c>
      <c r="E613" s="31" t="n">
        <v>45684</v>
      </c>
      <c r="F613" s="32" t="s">
        <v>1125</v>
      </c>
      <c r="G613" s="0" t="n">
        <v>12</v>
      </c>
      <c r="H613" s="0" t="n">
        <v>12</v>
      </c>
      <c r="I613" s="32" t="s">
        <v>2081</v>
      </c>
      <c r="J613" s="32" t="s">
        <v>2106</v>
      </c>
      <c r="K613" s="0" t="n">
        <v>0</v>
      </c>
      <c r="L613" s="32" t="s">
        <v>802</v>
      </c>
      <c r="M613" s="0" t="str">
        <f aca="false">IF(L613="GEN","GM",L613)</f>
        <v>GYN</v>
      </c>
    </row>
    <row r="614" customFormat="false" ht="15" hidden="false" customHeight="false" outlineLevel="0" collapsed="false">
      <c r="A614" s="0" t="s">
        <v>7499</v>
      </c>
      <c r="B614" s="0" t="s">
        <v>7500</v>
      </c>
      <c r="C614" s="0" t="s">
        <v>6295</v>
      </c>
      <c r="D614" s="0" t="s">
        <v>3035</v>
      </c>
      <c r="E614" s="31" t="n">
        <v>45684</v>
      </c>
      <c r="F614" s="32" t="s">
        <v>6283</v>
      </c>
      <c r="G614" s="0" t="n">
        <v>11.5</v>
      </c>
      <c r="H614" s="0" t="n">
        <v>12</v>
      </c>
      <c r="I614" s="32" t="s">
        <v>2081</v>
      </c>
      <c r="J614" s="32" t="s">
        <v>2081</v>
      </c>
      <c r="K614" s="0" t="n">
        <v>0.5</v>
      </c>
      <c r="L614" s="32" t="s">
        <v>766</v>
      </c>
      <c r="M614" s="0" t="str">
        <f aca="false">IF(L614="GEN","GM",L614)</f>
        <v>OR</v>
      </c>
    </row>
    <row r="615" customFormat="false" ht="15" hidden="false" customHeight="false" outlineLevel="0" collapsed="false">
      <c r="A615" s="0" t="s">
        <v>7501</v>
      </c>
      <c r="B615" s="0" t="s">
        <v>6759</v>
      </c>
      <c r="C615" s="0" t="s">
        <v>780</v>
      </c>
      <c r="D615" s="0" t="s">
        <v>3035</v>
      </c>
      <c r="E615" s="31" t="n">
        <v>45684</v>
      </c>
      <c r="F615" s="32" t="s">
        <v>6283</v>
      </c>
      <c r="G615" s="0" t="n">
        <v>11.5</v>
      </c>
      <c r="H615" s="0" t="n">
        <v>11.5</v>
      </c>
      <c r="I615" s="32" t="s">
        <v>2081</v>
      </c>
      <c r="J615" s="32" t="s">
        <v>2081</v>
      </c>
      <c r="K615" s="0" t="n">
        <v>0</v>
      </c>
      <c r="L615" s="32" t="s">
        <v>785</v>
      </c>
      <c r="M615" s="0" t="str">
        <f aca="false">IF(L615="GEN","GM",L615)</f>
        <v>RS</v>
      </c>
    </row>
    <row r="616" customFormat="false" ht="15" hidden="false" customHeight="false" outlineLevel="0" collapsed="false">
      <c r="A616" s="0" t="s">
        <v>7502</v>
      </c>
      <c r="B616" s="0" t="s">
        <v>7503</v>
      </c>
      <c r="C616" s="0" t="s">
        <v>6290</v>
      </c>
      <c r="D616" s="0" t="s">
        <v>3035</v>
      </c>
      <c r="E616" s="31" t="n">
        <v>45684</v>
      </c>
      <c r="F616" s="32" t="s">
        <v>6287</v>
      </c>
      <c r="G616" s="0" t="n">
        <v>7.5</v>
      </c>
      <c r="H616" s="0" t="n">
        <v>7.5</v>
      </c>
      <c r="I616" s="32" t="s">
        <v>2081</v>
      </c>
      <c r="J616" s="32" t="s">
        <v>2081</v>
      </c>
      <c r="K616" s="0" t="n">
        <v>0</v>
      </c>
      <c r="L616" s="32" t="s">
        <v>747</v>
      </c>
      <c r="M616" s="0" t="str">
        <f aca="false">IF(L616="GEN","GM",L616)</f>
        <v>GM</v>
      </c>
    </row>
    <row r="617" customFormat="false" ht="15" hidden="false" customHeight="false" outlineLevel="0" collapsed="false">
      <c r="A617" s="0" t="s">
        <v>7504</v>
      </c>
      <c r="B617" s="0" t="s">
        <v>7505</v>
      </c>
      <c r="C617" s="0" t="s">
        <v>6295</v>
      </c>
      <c r="D617" s="0" t="s">
        <v>2088</v>
      </c>
      <c r="E617" s="31" t="n">
        <v>45685</v>
      </c>
      <c r="F617" s="32" t="s">
        <v>6287</v>
      </c>
      <c r="G617" s="0" t="n">
        <v>7.5</v>
      </c>
      <c r="H617" s="0" t="n">
        <v>7.5</v>
      </c>
      <c r="I617" s="32" t="s">
        <v>2106</v>
      </c>
      <c r="K617" s="0" t="n">
        <v>0</v>
      </c>
      <c r="L617" s="32" t="s">
        <v>758</v>
      </c>
      <c r="M617" s="0" t="str">
        <f aca="false">IF(L617="GEN","GM",L617)</f>
        <v>CS</v>
      </c>
    </row>
    <row r="618" customFormat="false" ht="15" hidden="false" customHeight="false" outlineLevel="0" collapsed="false">
      <c r="A618" s="0" t="s">
        <v>7506</v>
      </c>
      <c r="B618" s="0" t="s">
        <v>7507</v>
      </c>
      <c r="C618" s="0" t="s">
        <v>6295</v>
      </c>
      <c r="D618" s="0" t="s">
        <v>2088</v>
      </c>
      <c r="E618" s="31" t="n">
        <v>45685</v>
      </c>
      <c r="F618" s="32" t="s">
        <v>1125</v>
      </c>
      <c r="G618" s="0" t="n">
        <v>12</v>
      </c>
      <c r="H618" s="0" t="n">
        <v>12</v>
      </c>
      <c r="I618" s="32" t="s">
        <v>2081</v>
      </c>
      <c r="J618" s="32" t="s">
        <v>2081</v>
      </c>
      <c r="K618" s="0" t="n">
        <v>0</v>
      </c>
      <c r="L618" s="32" t="s">
        <v>747</v>
      </c>
      <c r="M618" s="0" t="str">
        <f aca="false">IF(L618="GEN","GM",L618)</f>
        <v>GM</v>
      </c>
    </row>
    <row r="619" customFormat="false" ht="15" hidden="false" customHeight="false" outlineLevel="0" collapsed="false">
      <c r="A619" s="0" t="s">
        <v>7508</v>
      </c>
      <c r="B619" s="0" t="s">
        <v>7509</v>
      </c>
      <c r="C619" s="0" t="s">
        <v>6290</v>
      </c>
      <c r="D619" s="0" t="s">
        <v>2088</v>
      </c>
      <c r="E619" s="31" t="n">
        <v>45685</v>
      </c>
      <c r="F619" s="32" t="s">
        <v>1125</v>
      </c>
      <c r="G619" s="0" t="n">
        <v>12</v>
      </c>
      <c r="H619" s="0" t="n">
        <v>12</v>
      </c>
      <c r="I619" s="32" t="s">
        <v>2081</v>
      </c>
      <c r="J619" s="32" t="s">
        <v>2081</v>
      </c>
      <c r="K619" s="0" t="n">
        <v>0</v>
      </c>
      <c r="L619" s="32" t="s">
        <v>766</v>
      </c>
      <c r="M619" s="0" t="str">
        <f aca="false">IF(L619="GEN","GM",L619)</f>
        <v>OR</v>
      </c>
    </row>
    <row r="620" customFormat="false" ht="15" hidden="false" customHeight="false" outlineLevel="0" collapsed="false">
      <c r="A620" s="0" t="s">
        <v>7510</v>
      </c>
      <c r="B620" s="0" t="s">
        <v>7511</v>
      </c>
      <c r="C620" s="0" t="s">
        <v>6290</v>
      </c>
      <c r="D620" s="0" t="s">
        <v>2079</v>
      </c>
      <c r="E620" s="31" t="n">
        <v>45685</v>
      </c>
      <c r="F620" s="32" t="s">
        <v>1125</v>
      </c>
      <c r="G620" s="0" t="n">
        <v>12</v>
      </c>
      <c r="H620" s="0" t="n">
        <v>12</v>
      </c>
      <c r="I620" s="32" t="s">
        <v>2081</v>
      </c>
      <c r="J620" s="32" t="s">
        <v>2081</v>
      </c>
      <c r="K620" s="0" t="n">
        <v>0</v>
      </c>
      <c r="L620" s="32" t="s">
        <v>747</v>
      </c>
      <c r="M620" s="0" t="str">
        <f aca="false">IF(L620="GEN","GM",L620)</f>
        <v>GM</v>
      </c>
    </row>
    <row r="621" customFormat="false" ht="15" hidden="false" customHeight="false" outlineLevel="0" collapsed="false">
      <c r="A621" s="0" t="s">
        <v>7512</v>
      </c>
      <c r="B621" s="0" t="s">
        <v>7513</v>
      </c>
      <c r="C621" s="0" t="s">
        <v>6290</v>
      </c>
      <c r="D621" s="0" t="s">
        <v>2079</v>
      </c>
      <c r="E621" s="31" t="n">
        <v>45685</v>
      </c>
      <c r="F621" s="32" t="s">
        <v>6283</v>
      </c>
      <c r="G621" s="0" t="n">
        <v>11.5</v>
      </c>
      <c r="H621" s="0" t="n">
        <v>11.5</v>
      </c>
      <c r="I621" s="32" t="s">
        <v>2106</v>
      </c>
      <c r="J621" s="32" t="s">
        <v>2081</v>
      </c>
      <c r="K621" s="0" t="n">
        <v>0</v>
      </c>
      <c r="L621" s="32" t="s">
        <v>747</v>
      </c>
      <c r="M621" s="0" t="str">
        <f aca="false">IF(L621="GEN","GM",L621)</f>
        <v>GM</v>
      </c>
    </row>
    <row r="622" customFormat="false" ht="15" hidden="false" customHeight="false" outlineLevel="0" collapsed="false">
      <c r="A622" s="0" t="s">
        <v>7514</v>
      </c>
      <c r="B622" s="0" t="s">
        <v>7515</v>
      </c>
      <c r="C622" s="0" t="s">
        <v>6295</v>
      </c>
      <c r="D622" s="0" t="s">
        <v>2079</v>
      </c>
      <c r="E622" s="31" t="n">
        <v>45685</v>
      </c>
      <c r="F622" s="32" t="s">
        <v>1125</v>
      </c>
      <c r="G622" s="0" t="n">
        <v>12</v>
      </c>
      <c r="H622" s="0" t="n">
        <v>12</v>
      </c>
      <c r="I622" s="32" t="s">
        <v>2081</v>
      </c>
      <c r="J622" s="32" t="s">
        <v>2081</v>
      </c>
      <c r="K622" s="0" t="n">
        <v>0</v>
      </c>
      <c r="L622" s="32" t="s">
        <v>747</v>
      </c>
      <c r="M622" s="0" t="str">
        <f aca="false">IF(L622="GEN","GM",L622)</f>
        <v>GM</v>
      </c>
    </row>
    <row r="623" customFormat="false" ht="15" hidden="false" customHeight="false" outlineLevel="0" collapsed="false">
      <c r="A623" s="0" t="s">
        <v>7516</v>
      </c>
      <c r="B623" s="0" t="s">
        <v>7517</v>
      </c>
      <c r="C623" s="0" t="s">
        <v>6295</v>
      </c>
      <c r="D623" s="0" t="s">
        <v>2079</v>
      </c>
      <c r="E623" s="31" t="n">
        <v>45685</v>
      </c>
      <c r="F623" s="32" t="s">
        <v>1125</v>
      </c>
      <c r="G623" s="0" t="n">
        <v>12</v>
      </c>
      <c r="H623" s="0" t="n">
        <v>12</v>
      </c>
      <c r="I623" s="32" t="s">
        <v>2081</v>
      </c>
      <c r="J623" s="32" t="s">
        <v>2081</v>
      </c>
      <c r="K623" s="0" t="n">
        <v>0</v>
      </c>
      <c r="L623" s="32" t="s">
        <v>785</v>
      </c>
      <c r="M623" s="0" t="str">
        <f aca="false">IF(L623="GEN","GM",L623)</f>
        <v>RS</v>
      </c>
    </row>
    <row r="624" customFormat="false" ht="15" hidden="false" customHeight="false" outlineLevel="0" collapsed="false">
      <c r="A624" s="0" t="s">
        <v>7518</v>
      </c>
      <c r="B624" s="0" t="s">
        <v>7519</v>
      </c>
      <c r="C624" s="0" t="s">
        <v>6286</v>
      </c>
      <c r="D624" s="0" t="s">
        <v>2079</v>
      </c>
      <c r="E624" s="31" t="n">
        <v>45685</v>
      </c>
      <c r="F624" s="32" t="s">
        <v>6283</v>
      </c>
      <c r="G624" s="0" t="n">
        <v>11.5</v>
      </c>
      <c r="H624" s="0" t="n">
        <v>12.8</v>
      </c>
      <c r="I624" s="32" t="s">
        <v>2081</v>
      </c>
      <c r="J624" s="32" t="s">
        <v>2081</v>
      </c>
      <c r="K624" s="0" t="n">
        <v>1.3</v>
      </c>
      <c r="L624" s="32" t="s">
        <v>776</v>
      </c>
      <c r="M624" s="0" t="str">
        <f aca="false">IF(L624="GEN","GM",L624)</f>
        <v>GS</v>
      </c>
    </row>
    <row r="625" customFormat="false" ht="15" hidden="false" customHeight="false" outlineLevel="0" collapsed="false">
      <c r="A625" s="0" t="s">
        <v>7520</v>
      </c>
      <c r="B625" s="0" t="s">
        <v>7521</v>
      </c>
      <c r="C625" s="0" t="s">
        <v>6295</v>
      </c>
      <c r="D625" s="0" t="s">
        <v>2099</v>
      </c>
      <c r="E625" s="31" t="n">
        <v>45685</v>
      </c>
      <c r="F625" s="32" t="s">
        <v>1125</v>
      </c>
      <c r="G625" s="0" t="n">
        <v>12</v>
      </c>
      <c r="H625" s="0" t="n">
        <v>12</v>
      </c>
      <c r="I625" s="32" t="s">
        <v>2081</v>
      </c>
      <c r="J625" s="32" t="s">
        <v>2081</v>
      </c>
      <c r="K625" s="0" t="n">
        <v>0</v>
      </c>
      <c r="L625" s="32" t="s">
        <v>747</v>
      </c>
      <c r="M625" s="0" t="str">
        <f aca="false">IF(L625="GEN","GM",L625)</f>
        <v>GM</v>
      </c>
    </row>
    <row r="626" customFormat="false" ht="15" hidden="false" customHeight="false" outlineLevel="0" collapsed="false">
      <c r="A626" s="0" t="s">
        <v>7522</v>
      </c>
      <c r="C626" s="0" t="s">
        <v>6295</v>
      </c>
      <c r="D626" s="0" t="s">
        <v>2099</v>
      </c>
      <c r="E626" s="31" t="n">
        <v>45685</v>
      </c>
      <c r="F626" s="32" t="s">
        <v>6283</v>
      </c>
      <c r="G626" s="0" t="n">
        <v>11.5</v>
      </c>
      <c r="H626" s="0" t="n">
        <v>11.5</v>
      </c>
      <c r="I626" s="32" t="s">
        <v>2081</v>
      </c>
      <c r="J626" s="32" t="s">
        <v>2106</v>
      </c>
      <c r="K626" s="0" t="n">
        <v>0</v>
      </c>
      <c r="L626" s="32" t="s">
        <v>766</v>
      </c>
      <c r="M626" s="0" t="str">
        <f aca="false">IF(L626="GEN","GM",L626)</f>
        <v>OR</v>
      </c>
    </row>
    <row r="627" customFormat="false" ht="15" hidden="false" customHeight="false" outlineLevel="0" collapsed="false">
      <c r="A627" s="0" t="s">
        <v>7523</v>
      </c>
      <c r="B627" s="0" t="s">
        <v>7524</v>
      </c>
      <c r="C627" s="0" t="s">
        <v>6295</v>
      </c>
      <c r="D627" s="0" t="s">
        <v>2099</v>
      </c>
      <c r="E627" s="31" t="n">
        <v>45685</v>
      </c>
      <c r="F627" s="32" t="s">
        <v>6287</v>
      </c>
      <c r="G627" s="0" t="n">
        <v>7.5</v>
      </c>
      <c r="H627" s="0" t="n">
        <v>7.5</v>
      </c>
      <c r="I627" s="32" t="s">
        <v>2081</v>
      </c>
      <c r="J627" s="32" t="s">
        <v>2081</v>
      </c>
      <c r="K627" s="0" t="n">
        <v>0</v>
      </c>
      <c r="L627" s="32" t="s">
        <v>793</v>
      </c>
      <c r="M627" s="0" t="str">
        <f aca="false">IF(L627="GEN","GM",L627)</f>
        <v>EM</v>
      </c>
    </row>
    <row r="628" customFormat="false" ht="15" hidden="false" customHeight="false" outlineLevel="0" collapsed="false">
      <c r="A628" s="0" t="s">
        <v>7525</v>
      </c>
      <c r="B628" s="0" t="s">
        <v>7526</v>
      </c>
      <c r="C628" s="0" t="s">
        <v>6290</v>
      </c>
      <c r="D628" s="0" t="s">
        <v>2099</v>
      </c>
      <c r="E628" s="31" t="n">
        <v>45685</v>
      </c>
      <c r="F628" s="32" t="s">
        <v>6287</v>
      </c>
      <c r="G628" s="0" t="n">
        <v>7.5</v>
      </c>
      <c r="H628" s="0" t="n">
        <v>7.5</v>
      </c>
      <c r="I628" s="32" t="s">
        <v>2106</v>
      </c>
      <c r="J628" s="32" t="s">
        <v>2081</v>
      </c>
      <c r="K628" s="0" t="n">
        <v>0</v>
      </c>
      <c r="L628" s="32" t="s">
        <v>802</v>
      </c>
      <c r="M628" s="0" t="str">
        <f aca="false">IF(L628="GEN","GM",L628)</f>
        <v>GYN</v>
      </c>
    </row>
    <row r="629" customFormat="false" ht="15" hidden="false" customHeight="false" outlineLevel="0" collapsed="false">
      <c r="A629" s="0" t="s">
        <v>7527</v>
      </c>
      <c r="B629" s="0" t="s">
        <v>7528</v>
      </c>
      <c r="C629" s="0" t="s">
        <v>6286</v>
      </c>
      <c r="D629" s="0" t="s">
        <v>2115</v>
      </c>
      <c r="E629" s="31" t="n">
        <v>45685</v>
      </c>
      <c r="F629" s="32" t="s">
        <v>6287</v>
      </c>
      <c r="G629" s="0" t="n">
        <v>7.5</v>
      </c>
      <c r="H629" s="0" t="n">
        <v>7.5</v>
      </c>
      <c r="I629" s="32" t="s">
        <v>2081</v>
      </c>
      <c r="J629" s="32" t="s">
        <v>2106</v>
      </c>
      <c r="K629" s="0" t="n">
        <v>0</v>
      </c>
      <c r="L629" s="32" t="s">
        <v>826</v>
      </c>
      <c r="M629" s="0" t="str">
        <f aca="false">IF(L629="GEN","GM",L629)</f>
        <v>RHE</v>
      </c>
    </row>
    <row r="630" customFormat="false" ht="15" hidden="false" customHeight="false" outlineLevel="0" collapsed="false">
      <c r="A630" s="0" t="s">
        <v>7529</v>
      </c>
      <c r="B630" s="0" t="s">
        <v>7530</v>
      </c>
      <c r="C630" s="0" t="s">
        <v>780</v>
      </c>
      <c r="D630" s="0" t="s">
        <v>2115</v>
      </c>
      <c r="E630" s="31" t="n">
        <v>45685</v>
      </c>
      <c r="F630" s="32" t="s">
        <v>1125</v>
      </c>
      <c r="G630" s="0" t="n">
        <v>12</v>
      </c>
      <c r="H630" s="0" t="n">
        <v>12</v>
      </c>
      <c r="I630" s="32" t="s">
        <v>2081</v>
      </c>
      <c r="J630" s="32" t="s">
        <v>2081</v>
      </c>
      <c r="K630" s="0" t="n">
        <v>0</v>
      </c>
      <c r="L630" s="32" t="s">
        <v>810</v>
      </c>
      <c r="M630" s="0" t="str">
        <f aca="false">IF(L630="GEN","GM",L630)</f>
        <v>URO</v>
      </c>
    </row>
    <row r="631" customFormat="false" ht="15" hidden="false" customHeight="false" outlineLevel="0" collapsed="false">
      <c r="A631" s="0" t="s">
        <v>7531</v>
      </c>
      <c r="B631" s="0" t="s">
        <v>7532</v>
      </c>
      <c r="C631" s="0" t="s">
        <v>6282</v>
      </c>
      <c r="D631" s="0" t="s">
        <v>2115</v>
      </c>
      <c r="E631" s="31" t="n">
        <v>45685</v>
      </c>
      <c r="F631" s="32" t="s">
        <v>6283</v>
      </c>
      <c r="G631" s="0" t="n">
        <v>11.5</v>
      </c>
      <c r="H631" s="0" t="n">
        <v>11.5</v>
      </c>
      <c r="I631" s="32" t="s">
        <v>2081</v>
      </c>
      <c r="J631" s="32" t="s">
        <v>2081</v>
      </c>
      <c r="K631" s="0" t="n">
        <v>0</v>
      </c>
      <c r="L631" s="32" t="s">
        <v>776</v>
      </c>
      <c r="M631" s="0" t="str">
        <f aca="false">IF(L631="GEN","GM",L631)</f>
        <v>GS</v>
      </c>
    </row>
    <row r="632" customFormat="false" ht="15" hidden="false" customHeight="false" outlineLevel="0" collapsed="false">
      <c r="A632" s="0" t="s">
        <v>7533</v>
      </c>
      <c r="B632" s="0" t="s">
        <v>7534</v>
      </c>
      <c r="C632" s="0" t="s">
        <v>780</v>
      </c>
      <c r="D632" s="0" t="s">
        <v>2124</v>
      </c>
      <c r="E632" s="31" t="n">
        <v>45685</v>
      </c>
      <c r="F632" s="32" t="s">
        <v>6283</v>
      </c>
      <c r="G632" s="0" t="n">
        <v>11.5</v>
      </c>
      <c r="H632" s="0" t="n">
        <v>11.5</v>
      </c>
      <c r="I632" s="32" t="s">
        <v>2106</v>
      </c>
      <c r="J632" s="32" t="s">
        <v>2081</v>
      </c>
      <c r="K632" s="0" t="n">
        <v>0</v>
      </c>
      <c r="L632" s="32" t="s">
        <v>785</v>
      </c>
      <c r="M632" s="0" t="str">
        <f aca="false">IF(L632="GEN","GM",L632)</f>
        <v>RS</v>
      </c>
    </row>
    <row r="633" customFormat="false" ht="15" hidden="false" customHeight="false" outlineLevel="0" collapsed="false">
      <c r="A633" s="0" t="s">
        <v>7535</v>
      </c>
      <c r="B633" s="0" t="s">
        <v>7536</v>
      </c>
      <c r="C633" s="0" t="s">
        <v>6282</v>
      </c>
      <c r="D633" s="0" t="s">
        <v>2124</v>
      </c>
      <c r="E633" s="31" t="n">
        <v>45685</v>
      </c>
      <c r="F633" s="32" t="s">
        <v>6283</v>
      </c>
      <c r="G633" s="0" t="n">
        <v>11.5</v>
      </c>
      <c r="H633" s="0" t="n">
        <v>11.5</v>
      </c>
      <c r="I633" s="32" t="s">
        <v>2081</v>
      </c>
      <c r="J633" s="32" t="s">
        <v>2081</v>
      </c>
      <c r="K633" s="0" t="n">
        <v>0</v>
      </c>
      <c r="L633" s="32" t="s">
        <v>785</v>
      </c>
      <c r="M633" s="0" t="str">
        <f aca="false">IF(L633="GEN","GM",L633)</f>
        <v>RS</v>
      </c>
    </row>
    <row r="634" customFormat="false" ht="15" hidden="false" customHeight="false" outlineLevel="0" collapsed="false">
      <c r="A634" s="0" t="s">
        <v>7537</v>
      </c>
      <c r="B634" s="0" t="s">
        <v>7538</v>
      </c>
      <c r="C634" s="0" t="s">
        <v>6295</v>
      </c>
      <c r="D634" s="0" t="s">
        <v>2124</v>
      </c>
      <c r="E634" s="31" t="n">
        <v>45685</v>
      </c>
      <c r="F634" s="32" t="s">
        <v>6283</v>
      </c>
      <c r="G634" s="0" t="n">
        <v>11.5</v>
      </c>
      <c r="H634" s="0" t="n">
        <v>10.5</v>
      </c>
      <c r="I634" s="32" t="s">
        <v>2081</v>
      </c>
      <c r="J634" s="32" t="s">
        <v>2081</v>
      </c>
      <c r="K634" s="0" t="n">
        <v>0</v>
      </c>
      <c r="L634" s="32" t="s">
        <v>758</v>
      </c>
      <c r="M634" s="0" t="str">
        <f aca="false">IF(L634="GEN","GM",L634)</f>
        <v>CS</v>
      </c>
    </row>
    <row r="635" customFormat="false" ht="15" hidden="false" customHeight="false" outlineLevel="0" collapsed="false">
      <c r="A635" s="0" t="s">
        <v>7539</v>
      </c>
      <c r="B635" s="0" t="s">
        <v>7540</v>
      </c>
      <c r="C635" s="0" t="s">
        <v>6295</v>
      </c>
      <c r="D635" s="0" t="s">
        <v>2124</v>
      </c>
      <c r="E635" s="31" t="n">
        <v>45685</v>
      </c>
      <c r="F635" s="32" t="s">
        <v>1125</v>
      </c>
      <c r="G635" s="0" t="n">
        <v>12</v>
      </c>
      <c r="H635" s="0" t="n">
        <v>12</v>
      </c>
      <c r="I635" s="32" t="s">
        <v>2081</v>
      </c>
      <c r="J635" s="32" t="s">
        <v>2081</v>
      </c>
      <c r="K635" s="0" t="n">
        <v>0</v>
      </c>
      <c r="L635" s="32" t="s">
        <v>785</v>
      </c>
      <c r="M635" s="0" t="str">
        <f aca="false">IF(L635="GEN","GM",L635)</f>
        <v>RS</v>
      </c>
    </row>
    <row r="636" customFormat="false" ht="15" hidden="false" customHeight="false" outlineLevel="0" collapsed="false">
      <c r="A636" s="0" t="s">
        <v>7541</v>
      </c>
      <c r="B636" s="0" t="s">
        <v>7542</v>
      </c>
      <c r="C636" s="0" t="s">
        <v>780</v>
      </c>
      <c r="D636" s="0" t="s">
        <v>2124</v>
      </c>
      <c r="E636" s="31" t="n">
        <v>45685</v>
      </c>
      <c r="F636" s="32" t="s">
        <v>1125</v>
      </c>
      <c r="G636" s="0" t="n">
        <v>12</v>
      </c>
      <c r="H636" s="0" t="n">
        <v>12</v>
      </c>
      <c r="I636" s="32" t="s">
        <v>2081</v>
      </c>
      <c r="J636" s="32" t="s">
        <v>2081</v>
      </c>
      <c r="K636" s="0" t="n">
        <v>0</v>
      </c>
      <c r="L636" s="32" t="s">
        <v>758</v>
      </c>
      <c r="M636" s="0" t="str">
        <f aca="false">IF(L636="GEN","GM",L636)</f>
        <v>CS</v>
      </c>
    </row>
    <row r="637" customFormat="false" ht="15" hidden="false" customHeight="false" outlineLevel="0" collapsed="false">
      <c r="A637" s="0" t="s">
        <v>7543</v>
      </c>
      <c r="B637" s="0" t="s">
        <v>7544</v>
      </c>
      <c r="C637" s="0" t="s">
        <v>6286</v>
      </c>
      <c r="D637" s="0" t="s">
        <v>2104</v>
      </c>
      <c r="E637" s="31" t="n">
        <v>45685</v>
      </c>
      <c r="F637" s="32" t="s">
        <v>6287</v>
      </c>
      <c r="G637" s="0" t="n">
        <v>7.5</v>
      </c>
      <c r="H637" s="0" t="n">
        <v>7.5</v>
      </c>
      <c r="I637" s="32" t="s">
        <v>2081</v>
      </c>
      <c r="J637" s="32" t="s">
        <v>2081</v>
      </c>
      <c r="K637" s="0" t="n">
        <v>0</v>
      </c>
      <c r="L637" s="32" t="s">
        <v>810</v>
      </c>
      <c r="M637" s="0" t="str">
        <f aca="false">IF(L637="GEN","GM",L637)</f>
        <v>URO</v>
      </c>
    </row>
    <row r="638" customFormat="false" ht="15" hidden="false" customHeight="false" outlineLevel="0" collapsed="false">
      <c r="A638" s="0" t="s">
        <v>7545</v>
      </c>
      <c r="B638" s="0" t="s">
        <v>7546</v>
      </c>
      <c r="C638" s="0" t="s">
        <v>6290</v>
      </c>
      <c r="D638" s="0" t="s">
        <v>2104</v>
      </c>
      <c r="E638" s="31" t="n">
        <v>45685</v>
      </c>
      <c r="F638" s="32" t="s">
        <v>6287</v>
      </c>
      <c r="G638" s="0" t="n">
        <v>7.5</v>
      </c>
      <c r="H638" s="0" t="n">
        <v>7.5</v>
      </c>
      <c r="I638" s="32" t="s">
        <v>2106</v>
      </c>
      <c r="J638" s="32" t="s">
        <v>2081</v>
      </c>
      <c r="K638" s="0" t="n">
        <v>0</v>
      </c>
      <c r="L638" s="32" t="s">
        <v>793</v>
      </c>
      <c r="M638" s="0" t="str">
        <f aca="false">IF(L638="GEN","GM",L638)</f>
        <v>EM</v>
      </c>
    </row>
    <row r="639" customFormat="false" ht="15" hidden="false" customHeight="false" outlineLevel="0" collapsed="false">
      <c r="A639" s="0" t="s">
        <v>7547</v>
      </c>
      <c r="B639" s="0" t="s">
        <v>7548</v>
      </c>
      <c r="C639" s="0" t="s">
        <v>6295</v>
      </c>
      <c r="D639" s="0" t="s">
        <v>2104</v>
      </c>
      <c r="E639" s="31" t="n">
        <v>45685</v>
      </c>
      <c r="F639" s="32" t="s">
        <v>1125</v>
      </c>
      <c r="G639" s="0" t="n">
        <v>12</v>
      </c>
      <c r="H639" s="0" t="n">
        <v>12</v>
      </c>
      <c r="I639" s="32" t="s">
        <v>2081</v>
      </c>
      <c r="J639" s="32" t="s">
        <v>2081</v>
      </c>
      <c r="K639" s="0" t="n">
        <v>0</v>
      </c>
      <c r="L639" s="32" t="s">
        <v>747</v>
      </c>
      <c r="M639" s="0" t="str">
        <f aca="false">IF(L639="GEN","GM",L639)</f>
        <v>GM</v>
      </c>
    </row>
    <row r="640" customFormat="false" ht="15" hidden="false" customHeight="false" outlineLevel="0" collapsed="false">
      <c r="A640" s="0" t="s">
        <v>7549</v>
      </c>
      <c r="B640" s="0" t="s">
        <v>7550</v>
      </c>
      <c r="C640" s="0" t="s">
        <v>6286</v>
      </c>
      <c r="D640" s="0" t="s">
        <v>3035</v>
      </c>
      <c r="E640" s="31" t="n">
        <v>45685</v>
      </c>
      <c r="F640" s="32" t="s">
        <v>6287</v>
      </c>
      <c r="G640" s="0" t="n">
        <v>7.5</v>
      </c>
      <c r="H640" s="0" t="n">
        <v>7.5</v>
      </c>
      <c r="I640" s="32" t="s">
        <v>2081</v>
      </c>
      <c r="J640" s="32" t="s">
        <v>2081</v>
      </c>
      <c r="K640" s="0" t="n">
        <v>0</v>
      </c>
      <c r="L640" s="32" t="s">
        <v>776</v>
      </c>
      <c r="M640" s="0" t="str">
        <f aca="false">IF(L640="GEN","GM",L640)</f>
        <v>GS</v>
      </c>
    </row>
    <row r="641" customFormat="false" ht="15" hidden="false" customHeight="false" outlineLevel="0" collapsed="false">
      <c r="A641" s="0" t="s">
        <v>7551</v>
      </c>
      <c r="B641" s="0" t="s">
        <v>7552</v>
      </c>
      <c r="C641" s="0" t="s">
        <v>6295</v>
      </c>
      <c r="D641" s="0" t="s">
        <v>3035</v>
      </c>
      <c r="E641" s="31" t="n">
        <v>45685</v>
      </c>
      <c r="F641" s="32" t="s">
        <v>6287</v>
      </c>
      <c r="G641" s="0" t="n">
        <v>7.5</v>
      </c>
      <c r="H641" s="0" t="n">
        <v>7.5</v>
      </c>
      <c r="I641" s="32" t="s">
        <v>2081</v>
      </c>
      <c r="J641" s="32" t="s">
        <v>2081</v>
      </c>
      <c r="K641" s="0" t="n">
        <v>0</v>
      </c>
      <c r="L641" s="32" t="s">
        <v>785</v>
      </c>
      <c r="M641" s="0" t="str">
        <f aca="false">IF(L641="GEN","GM",L641)</f>
        <v>RS</v>
      </c>
    </row>
    <row r="642" customFormat="false" ht="15" hidden="false" customHeight="false" outlineLevel="0" collapsed="false">
      <c r="A642" s="0" t="s">
        <v>7553</v>
      </c>
      <c r="B642" s="0" t="s">
        <v>7554</v>
      </c>
      <c r="C642" s="0" t="s">
        <v>6282</v>
      </c>
      <c r="D642" s="0" t="s">
        <v>3035</v>
      </c>
      <c r="E642" s="31" t="n">
        <v>45685</v>
      </c>
      <c r="F642" s="32" t="s">
        <v>1125</v>
      </c>
      <c r="G642" s="0" t="n">
        <v>12</v>
      </c>
      <c r="H642" s="0" t="n">
        <v>12</v>
      </c>
      <c r="I642" s="32" t="s">
        <v>2081</v>
      </c>
      <c r="J642" s="32" t="s">
        <v>2081</v>
      </c>
      <c r="K642" s="0" t="n">
        <v>0</v>
      </c>
      <c r="L642" s="32" t="s">
        <v>747</v>
      </c>
      <c r="M642" s="0" t="str">
        <f aca="false">IF(L642="GEN","GM",L642)</f>
        <v>GM</v>
      </c>
    </row>
    <row r="643" customFormat="false" ht="15" hidden="false" customHeight="false" outlineLevel="0" collapsed="false">
      <c r="A643" s="0" t="s">
        <v>7555</v>
      </c>
      <c r="B643" s="0" t="s">
        <v>7556</v>
      </c>
      <c r="C643" s="0" t="s">
        <v>6295</v>
      </c>
      <c r="D643" s="0" t="s">
        <v>3035</v>
      </c>
      <c r="E643" s="31" t="n">
        <v>45685</v>
      </c>
      <c r="F643" s="32" t="s">
        <v>6283</v>
      </c>
      <c r="G643" s="0" t="n">
        <v>11.5</v>
      </c>
      <c r="H643" s="0" t="n">
        <v>11.5</v>
      </c>
      <c r="I643" s="32" t="s">
        <v>2081</v>
      </c>
      <c r="J643" s="32" t="s">
        <v>2081</v>
      </c>
      <c r="K643" s="0" t="n">
        <v>0</v>
      </c>
      <c r="L643" s="32" t="s">
        <v>758</v>
      </c>
      <c r="M643" s="0" t="str">
        <f aca="false">IF(L643="GEN","GM",L643)</f>
        <v>CS</v>
      </c>
    </row>
    <row r="644" customFormat="false" ht="15" hidden="false" customHeight="false" outlineLevel="0" collapsed="false">
      <c r="A644" s="0" t="s">
        <v>7557</v>
      </c>
      <c r="B644" s="0" t="s">
        <v>7558</v>
      </c>
      <c r="C644" s="0" t="s">
        <v>6295</v>
      </c>
      <c r="D644" s="0" t="s">
        <v>3035</v>
      </c>
      <c r="E644" s="31" t="n">
        <v>45685</v>
      </c>
      <c r="F644" s="32" t="s">
        <v>1125</v>
      </c>
      <c r="G644" s="0" t="n">
        <v>12</v>
      </c>
      <c r="H644" s="0" t="n">
        <v>12.5</v>
      </c>
      <c r="I644" s="32" t="s">
        <v>2081</v>
      </c>
      <c r="J644" s="32" t="s">
        <v>2081</v>
      </c>
      <c r="K644" s="0" t="n">
        <v>0.5</v>
      </c>
      <c r="L644" s="32" t="s">
        <v>785</v>
      </c>
      <c r="M644" s="0" t="str">
        <f aca="false">IF(L644="GEN","GM",L644)</f>
        <v>RS</v>
      </c>
    </row>
    <row r="645" customFormat="false" ht="15" hidden="false" customHeight="false" outlineLevel="0" collapsed="false">
      <c r="A645" s="0" t="s">
        <v>7559</v>
      </c>
      <c r="B645" s="0" t="s">
        <v>7560</v>
      </c>
      <c r="C645" s="0" t="s">
        <v>6286</v>
      </c>
      <c r="D645" s="0" t="s">
        <v>2088</v>
      </c>
      <c r="E645" s="31" t="n">
        <v>45686</v>
      </c>
      <c r="F645" s="32" t="s">
        <v>6283</v>
      </c>
      <c r="G645" s="0" t="n">
        <v>11.5</v>
      </c>
      <c r="H645" s="0" t="n">
        <v>11.5</v>
      </c>
      <c r="I645" s="32" t="s">
        <v>2081</v>
      </c>
      <c r="J645" s="32" t="s">
        <v>2081</v>
      </c>
      <c r="K645" s="0" t="n">
        <v>0</v>
      </c>
      <c r="L645" s="32" t="s">
        <v>793</v>
      </c>
      <c r="M645" s="0" t="str">
        <f aca="false">IF(L645="GEN","GM",L645)</f>
        <v>EM</v>
      </c>
    </row>
    <row r="646" customFormat="false" ht="15" hidden="false" customHeight="false" outlineLevel="0" collapsed="false">
      <c r="A646" s="0" t="s">
        <v>7561</v>
      </c>
      <c r="B646" s="0" t="s">
        <v>7562</v>
      </c>
      <c r="C646" s="0" t="s">
        <v>780</v>
      </c>
      <c r="D646" s="0" t="s">
        <v>2088</v>
      </c>
      <c r="E646" s="31" t="n">
        <v>45686</v>
      </c>
      <c r="F646" s="32" t="s">
        <v>6283</v>
      </c>
      <c r="G646" s="0" t="n">
        <v>11.5</v>
      </c>
      <c r="H646" s="0" t="n">
        <v>11.5</v>
      </c>
      <c r="I646" s="32" t="s">
        <v>2106</v>
      </c>
      <c r="J646" s="32" t="s">
        <v>2081</v>
      </c>
      <c r="K646" s="0" t="n">
        <v>0</v>
      </c>
      <c r="L646" s="32" t="s">
        <v>802</v>
      </c>
      <c r="M646" s="0" t="str">
        <f aca="false">IF(L646="GEN","GM",L646)</f>
        <v>GYN</v>
      </c>
    </row>
    <row r="647" customFormat="false" ht="15" hidden="false" customHeight="false" outlineLevel="0" collapsed="false">
      <c r="A647" s="0" t="s">
        <v>7563</v>
      </c>
      <c r="B647" s="0" t="s">
        <v>7564</v>
      </c>
      <c r="C647" s="0" t="s">
        <v>6295</v>
      </c>
      <c r="D647" s="0" t="s">
        <v>2088</v>
      </c>
      <c r="E647" s="31" t="n">
        <v>45686</v>
      </c>
      <c r="F647" s="32" t="s">
        <v>6287</v>
      </c>
      <c r="G647" s="0" t="n">
        <v>7.5</v>
      </c>
      <c r="H647" s="0" t="n">
        <v>7.5</v>
      </c>
      <c r="I647" s="32" t="s">
        <v>2081</v>
      </c>
      <c r="J647" s="32" t="s">
        <v>2081</v>
      </c>
      <c r="K647" s="0" t="n">
        <v>0</v>
      </c>
      <c r="L647" s="32" t="s">
        <v>810</v>
      </c>
      <c r="M647" s="0" t="str">
        <f aca="false">IF(L647="GEN","GM",L647)</f>
        <v>URO</v>
      </c>
    </row>
    <row r="648" customFormat="false" ht="15" hidden="false" customHeight="false" outlineLevel="0" collapsed="false">
      <c r="A648" s="0" t="s">
        <v>7565</v>
      </c>
      <c r="B648" s="0" t="s">
        <v>7566</v>
      </c>
      <c r="C648" s="0" t="s">
        <v>6295</v>
      </c>
      <c r="D648" s="0" t="s">
        <v>2088</v>
      </c>
      <c r="E648" s="31" t="n">
        <v>45686</v>
      </c>
      <c r="F648" s="32" t="s">
        <v>6287</v>
      </c>
      <c r="G648" s="0" t="n">
        <v>7.5</v>
      </c>
      <c r="H648" s="0" t="n">
        <v>7.5</v>
      </c>
      <c r="I648" s="32" t="s">
        <v>2081</v>
      </c>
      <c r="J648" s="32" t="s">
        <v>2081</v>
      </c>
      <c r="K648" s="0" t="n">
        <v>0</v>
      </c>
      <c r="L648" s="32" t="s">
        <v>776</v>
      </c>
      <c r="M648" s="0" t="str">
        <f aca="false">IF(L648="GEN","GM",L648)</f>
        <v>GS</v>
      </c>
    </row>
    <row r="649" customFormat="false" ht="15" hidden="false" customHeight="false" outlineLevel="0" collapsed="false">
      <c r="A649" s="0" t="s">
        <v>7567</v>
      </c>
      <c r="B649" s="0" t="s">
        <v>7568</v>
      </c>
      <c r="C649" s="0" t="s">
        <v>6295</v>
      </c>
      <c r="D649" s="0" t="s">
        <v>2079</v>
      </c>
      <c r="E649" s="31" t="n">
        <v>45686</v>
      </c>
      <c r="F649" s="32" t="s">
        <v>6287</v>
      </c>
      <c r="G649" s="0" t="n">
        <v>7.5</v>
      </c>
      <c r="H649" s="0" t="n">
        <v>7.5</v>
      </c>
      <c r="I649" s="32" t="s">
        <v>2106</v>
      </c>
      <c r="J649" s="32" t="s">
        <v>2081</v>
      </c>
      <c r="K649" s="0" t="n">
        <v>0</v>
      </c>
      <c r="L649" s="32" t="s">
        <v>766</v>
      </c>
      <c r="M649" s="0" t="str">
        <f aca="false">IF(L649="GEN","GM",L649)</f>
        <v>OR</v>
      </c>
    </row>
    <row r="650" customFormat="false" ht="15" hidden="false" customHeight="false" outlineLevel="0" collapsed="false">
      <c r="A650" s="0" t="s">
        <v>7569</v>
      </c>
      <c r="B650" s="0" t="s">
        <v>7570</v>
      </c>
      <c r="C650" s="0" t="s">
        <v>6295</v>
      </c>
      <c r="D650" s="0" t="s">
        <v>2079</v>
      </c>
      <c r="E650" s="31" t="n">
        <v>45686</v>
      </c>
      <c r="F650" s="32" t="s">
        <v>6287</v>
      </c>
      <c r="G650" s="0" t="n">
        <v>7.5</v>
      </c>
      <c r="H650" s="0" t="n">
        <v>7.5</v>
      </c>
      <c r="I650" s="32" t="s">
        <v>2081</v>
      </c>
      <c r="J650" s="32" t="s">
        <v>2081</v>
      </c>
      <c r="K650" s="0" t="n">
        <v>0</v>
      </c>
      <c r="L650" s="32" t="s">
        <v>802</v>
      </c>
      <c r="M650" s="0" t="str">
        <f aca="false">IF(L650="GEN","GM",L650)</f>
        <v>GYN</v>
      </c>
    </row>
    <row r="651" customFormat="false" ht="15" hidden="false" customHeight="false" outlineLevel="0" collapsed="false">
      <c r="A651" s="0" t="s">
        <v>7571</v>
      </c>
      <c r="B651" s="0" t="s">
        <v>7572</v>
      </c>
      <c r="C651" s="0" t="s">
        <v>6290</v>
      </c>
      <c r="D651" s="0" t="s">
        <v>2079</v>
      </c>
      <c r="E651" s="31" t="n">
        <v>45686</v>
      </c>
      <c r="F651" s="32" t="s">
        <v>1125</v>
      </c>
      <c r="G651" s="0" t="n">
        <v>12</v>
      </c>
      <c r="H651" s="0" t="n">
        <v>12</v>
      </c>
      <c r="I651" s="32" t="s">
        <v>2081</v>
      </c>
      <c r="J651" s="32" t="s">
        <v>2081</v>
      </c>
      <c r="K651" s="0" t="n">
        <v>0</v>
      </c>
      <c r="L651" s="32" t="s">
        <v>793</v>
      </c>
      <c r="M651" s="0" t="str">
        <f aca="false">IF(L651="GEN","GM",L651)</f>
        <v>EM</v>
      </c>
    </row>
    <row r="652" customFormat="false" ht="15" hidden="false" customHeight="false" outlineLevel="0" collapsed="false">
      <c r="A652" s="0" t="s">
        <v>7573</v>
      </c>
      <c r="B652" s="0" t="s">
        <v>7574</v>
      </c>
      <c r="C652" s="0" t="s">
        <v>6295</v>
      </c>
      <c r="D652" s="0" t="s">
        <v>2079</v>
      </c>
      <c r="E652" s="31" t="n">
        <v>45686</v>
      </c>
      <c r="F652" s="32" t="s">
        <v>1125</v>
      </c>
      <c r="G652" s="0" t="n">
        <v>12</v>
      </c>
      <c r="H652" s="0" t="n">
        <v>12</v>
      </c>
      <c r="I652" s="32" t="s">
        <v>2081</v>
      </c>
      <c r="J652" s="32" t="s">
        <v>2081</v>
      </c>
      <c r="K652" s="0" t="n">
        <v>0</v>
      </c>
      <c r="L652" s="32" t="s">
        <v>1391</v>
      </c>
      <c r="M652" s="0" t="str">
        <f aca="false">IF(L652="GEN","GM",L652)</f>
        <v>GM</v>
      </c>
    </row>
    <row r="653" customFormat="false" ht="15" hidden="false" customHeight="false" outlineLevel="0" collapsed="false">
      <c r="A653" s="0" t="s">
        <v>7575</v>
      </c>
      <c r="B653" s="0" t="s">
        <v>7576</v>
      </c>
      <c r="C653" s="0" t="s">
        <v>6295</v>
      </c>
      <c r="D653" s="0" t="s">
        <v>2079</v>
      </c>
      <c r="E653" s="31" t="n">
        <v>45686</v>
      </c>
      <c r="F653" s="32" t="s">
        <v>6283</v>
      </c>
      <c r="G653" s="0" t="n">
        <v>11.5</v>
      </c>
      <c r="H653" s="0" t="n">
        <v>11.5</v>
      </c>
      <c r="I653" s="32" t="s">
        <v>2081</v>
      </c>
      <c r="J653" s="32" t="s">
        <v>2081</v>
      </c>
      <c r="K653" s="0" t="n">
        <v>0</v>
      </c>
      <c r="L653" s="32" t="s">
        <v>766</v>
      </c>
      <c r="M653" s="0" t="str">
        <f aca="false">IF(L653="GEN","GM",L653)</f>
        <v>OR</v>
      </c>
    </row>
    <row r="654" customFormat="false" ht="15" hidden="false" customHeight="false" outlineLevel="0" collapsed="false">
      <c r="A654" s="0" t="s">
        <v>7577</v>
      </c>
      <c r="B654" s="0" t="s">
        <v>7578</v>
      </c>
      <c r="C654" s="0" t="s">
        <v>6295</v>
      </c>
      <c r="D654" s="0" t="s">
        <v>2099</v>
      </c>
      <c r="E654" s="31" t="n">
        <v>45686</v>
      </c>
      <c r="F654" s="32" t="s">
        <v>6287</v>
      </c>
      <c r="G654" s="0" t="n">
        <v>7.5</v>
      </c>
      <c r="H654" s="0" t="n">
        <v>9.4</v>
      </c>
      <c r="I654" s="32" t="s">
        <v>2081</v>
      </c>
      <c r="J654" s="32" t="s">
        <v>2081</v>
      </c>
      <c r="K654" s="0" t="n">
        <v>1.9</v>
      </c>
      <c r="L654" s="32" t="s">
        <v>766</v>
      </c>
      <c r="M654" s="0" t="str">
        <f aca="false">IF(L654="GEN","GM",L654)</f>
        <v>OR</v>
      </c>
    </row>
    <row r="655" customFormat="false" ht="15" hidden="false" customHeight="false" outlineLevel="0" collapsed="false">
      <c r="A655" s="0" t="s">
        <v>7579</v>
      </c>
      <c r="B655" s="0" t="s">
        <v>7580</v>
      </c>
      <c r="C655" s="0" t="s">
        <v>6295</v>
      </c>
      <c r="D655" s="0" t="s">
        <v>2099</v>
      </c>
      <c r="E655" s="31" t="n">
        <v>45686</v>
      </c>
      <c r="F655" s="32" t="s">
        <v>1125</v>
      </c>
      <c r="G655" s="0" t="n">
        <v>12</v>
      </c>
      <c r="H655" s="0" t="n">
        <v>12</v>
      </c>
      <c r="I655" s="32" t="s">
        <v>2081</v>
      </c>
      <c r="J655" s="32" t="s">
        <v>2081</v>
      </c>
      <c r="K655" s="0" t="n">
        <v>0</v>
      </c>
      <c r="L655" s="32" t="s">
        <v>747</v>
      </c>
      <c r="M655" s="0" t="str">
        <f aca="false">IF(L655="GEN","GM",L655)</f>
        <v>GM</v>
      </c>
    </row>
    <row r="656" customFormat="false" ht="15" hidden="false" customHeight="false" outlineLevel="0" collapsed="false">
      <c r="A656" s="0" t="s">
        <v>7581</v>
      </c>
      <c r="B656" s="0" t="s">
        <v>7582</v>
      </c>
      <c r="C656" s="0" t="s">
        <v>6286</v>
      </c>
      <c r="D656" s="0" t="s">
        <v>2099</v>
      </c>
      <c r="E656" s="31" t="n">
        <v>45686</v>
      </c>
      <c r="F656" s="32" t="s">
        <v>6287</v>
      </c>
      <c r="G656" s="0" t="n">
        <v>7.5</v>
      </c>
      <c r="H656" s="0" t="n">
        <v>7.5</v>
      </c>
      <c r="I656" s="32" t="s">
        <v>2081</v>
      </c>
      <c r="J656" s="32" t="s">
        <v>2081</v>
      </c>
      <c r="K656" s="0" t="n">
        <v>0</v>
      </c>
      <c r="L656" s="32" t="s">
        <v>785</v>
      </c>
      <c r="M656" s="0" t="str">
        <f aca="false">IF(L656="GEN","GM",L656)</f>
        <v>RS</v>
      </c>
    </row>
    <row r="657" customFormat="false" ht="15" hidden="false" customHeight="false" outlineLevel="0" collapsed="false">
      <c r="A657" s="0" t="s">
        <v>7583</v>
      </c>
      <c r="B657" s="0" t="s">
        <v>7584</v>
      </c>
      <c r="C657" s="0" t="s">
        <v>6295</v>
      </c>
      <c r="D657" s="0" t="s">
        <v>2099</v>
      </c>
      <c r="E657" s="31" t="n">
        <v>45686</v>
      </c>
      <c r="F657" s="32" t="s">
        <v>6287</v>
      </c>
      <c r="G657" s="0" t="n">
        <v>7.5</v>
      </c>
      <c r="H657" s="0" t="n">
        <v>7.5</v>
      </c>
      <c r="I657" s="32" t="s">
        <v>2081</v>
      </c>
      <c r="J657" s="32" t="s">
        <v>2081</v>
      </c>
      <c r="K657" s="0" t="n">
        <v>0</v>
      </c>
      <c r="L657" s="32" t="s">
        <v>793</v>
      </c>
      <c r="M657" s="0" t="str">
        <f aca="false">IF(L657="GEN","GM",L657)</f>
        <v>EM</v>
      </c>
    </row>
    <row r="658" customFormat="false" ht="15" hidden="false" customHeight="false" outlineLevel="0" collapsed="false">
      <c r="A658" s="0" t="s">
        <v>7585</v>
      </c>
      <c r="B658" s="0" t="s">
        <v>7586</v>
      </c>
      <c r="C658" s="0" t="s">
        <v>6696</v>
      </c>
      <c r="D658" s="0" t="s">
        <v>2115</v>
      </c>
      <c r="E658" s="31" t="n">
        <v>45686</v>
      </c>
      <c r="F658" s="32" t="s">
        <v>1125</v>
      </c>
      <c r="G658" s="0" t="n">
        <v>12</v>
      </c>
      <c r="H658" s="0" t="n">
        <v>12</v>
      </c>
      <c r="I658" s="32" t="s">
        <v>2081</v>
      </c>
      <c r="J658" s="32" t="s">
        <v>2081</v>
      </c>
      <c r="K658" s="0" t="n">
        <v>0</v>
      </c>
      <c r="L658" s="32" t="s">
        <v>793</v>
      </c>
      <c r="M658" s="0" t="str">
        <f aca="false">IF(L658="GEN","GM",L658)</f>
        <v>EM</v>
      </c>
    </row>
    <row r="659" customFormat="false" ht="15" hidden="false" customHeight="false" outlineLevel="0" collapsed="false">
      <c r="A659" s="0" t="s">
        <v>7587</v>
      </c>
      <c r="B659" s="0" t="s">
        <v>7588</v>
      </c>
      <c r="C659" s="0" t="s">
        <v>780</v>
      </c>
      <c r="D659" s="0" t="s">
        <v>2115</v>
      </c>
      <c r="E659" s="31" t="n">
        <v>45686</v>
      </c>
      <c r="F659" s="32" t="s">
        <v>1125</v>
      </c>
      <c r="G659" s="0" t="n">
        <v>12</v>
      </c>
      <c r="H659" s="0" t="n">
        <v>12</v>
      </c>
      <c r="I659" s="32" t="s">
        <v>2081</v>
      </c>
      <c r="J659" s="32" t="s">
        <v>2081</v>
      </c>
      <c r="K659" s="0" t="n">
        <v>0</v>
      </c>
      <c r="L659" s="32" t="s">
        <v>785</v>
      </c>
      <c r="M659" s="0" t="str">
        <f aca="false">IF(L659="GEN","GM",L659)</f>
        <v>RS</v>
      </c>
    </row>
    <row r="660" customFormat="false" ht="15" hidden="false" customHeight="false" outlineLevel="0" collapsed="false">
      <c r="A660" s="0" t="s">
        <v>7589</v>
      </c>
      <c r="B660" s="0" t="s">
        <v>7590</v>
      </c>
      <c r="C660" s="0" t="s">
        <v>6282</v>
      </c>
      <c r="D660" s="0" t="s">
        <v>2115</v>
      </c>
      <c r="E660" s="31" t="n">
        <v>45686</v>
      </c>
      <c r="F660" s="32" t="s">
        <v>6283</v>
      </c>
      <c r="G660" s="0" t="n">
        <v>11.5</v>
      </c>
      <c r="H660" s="0" t="n">
        <v>11.5</v>
      </c>
      <c r="I660" s="32" t="s">
        <v>2106</v>
      </c>
      <c r="J660" s="32" t="s">
        <v>2081</v>
      </c>
      <c r="K660" s="0" t="n">
        <v>0</v>
      </c>
      <c r="L660" s="32" t="s">
        <v>747</v>
      </c>
      <c r="M660" s="0" t="str">
        <f aca="false">IF(L660="GEN","GM",L660)</f>
        <v>GM</v>
      </c>
    </row>
    <row r="661" customFormat="false" ht="15" hidden="false" customHeight="false" outlineLevel="0" collapsed="false">
      <c r="A661" s="0" t="s">
        <v>7591</v>
      </c>
      <c r="B661" s="0" t="s">
        <v>7592</v>
      </c>
      <c r="C661" s="0" t="s">
        <v>780</v>
      </c>
      <c r="D661" s="0" t="s">
        <v>2115</v>
      </c>
      <c r="E661" s="31" t="n">
        <v>45686</v>
      </c>
      <c r="F661" s="32" t="s">
        <v>6283</v>
      </c>
      <c r="G661" s="0" t="n">
        <v>11.5</v>
      </c>
      <c r="H661" s="0" t="n">
        <v>11.5</v>
      </c>
      <c r="I661" s="32" t="s">
        <v>2081</v>
      </c>
      <c r="J661" s="32" t="s">
        <v>2081</v>
      </c>
      <c r="K661" s="0" t="n">
        <v>0</v>
      </c>
      <c r="L661" s="32" t="s">
        <v>793</v>
      </c>
      <c r="M661" s="0" t="str">
        <f aca="false">IF(L661="GEN","GM",L661)</f>
        <v>EM</v>
      </c>
    </row>
    <row r="662" customFormat="false" ht="15" hidden="false" customHeight="false" outlineLevel="0" collapsed="false">
      <c r="A662" s="0" t="s">
        <v>7593</v>
      </c>
      <c r="B662" s="0" t="s">
        <v>7594</v>
      </c>
      <c r="C662" s="0" t="s">
        <v>6282</v>
      </c>
      <c r="D662" s="0" t="s">
        <v>2124</v>
      </c>
      <c r="E662" s="31" t="n">
        <v>45686</v>
      </c>
      <c r="F662" s="32" t="s">
        <v>6283</v>
      </c>
      <c r="G662" s="0" t="n">
        <v>11.5</v>
      </c>
      <c r="H662" s="0" t="n">
        <v>11.5</v>
      </c>
      <c r="I662" s="32" t="s">
        <v>2081</v>
      </c>
      <c r="J662" s="32" t="s">
        <v>2081</v>
      </c>
      <c r="K662" s="0" t="n">
        <v>0</v>
      </c>
      <c r="L662" s="32" t="s">
        <v>785</v>
      </c>
      <c r="M662" s="0" t="str">
        <f aca="false">IF(L662="GEN","GM",L662)</f>
        <v>RS</v>
      </c>
    </row>
    <row r="663" customFormat="false" ht="15" hidden="false" customHeight="false" outlineLevel="0" collapsed="false">
      <c r="A663" s="0" t="s">
        <v>7595</v>
      </c>
      <c r="B663" s="0" t="s">
        <v>7596</v>
      </c>
      <c r="C663" s="0" t="s">
        <v>6290</v>
      </c>
      <c r="D663" s="0" t="s">
        <v>2124</v>
      </c>
      <c r="E663" s="31" t="n">
        <v>45686</v>
      </c>
      <c r="F663" s="32" t="s">
        <v>1125</v>
      </c>
      <c r="G663" s="0" t="n">
        <v>12</v>
      </c>
      <c r="H663" s="0" t="n">
        <v>12</v>
      </c>
      <c r="I663" s="32" t="s">
        <v>2081</v>
      </c>
      <c r="J663" s="32" t="s">
        <v>2081</v>
      </c>
      <c r="K663" s="0" t="n">
        <v>0</v>
      </c>
      <c r="L663" s="32" t="s">
        <v>776</v>
      </c>
      <c r="M663" s="0" t="str">
        <f aca="false">IF(L663="GEN","GM",L663)</f>
        <v>GS</v>
      </c>
    </row>
    <row r="664" customFormat="false" ht="15" hidden="false" customHeight="false" outlineLevel="0" collapsed="false">
      <c r="A664" s="0" t="s">
        <v>7597</v>
      </c>
      <c r="B664" s="0" t="s">
        <v>7598</v>
      </c>
      <c r="C664" s="0" t="s">
        <v>6295</v>
      </c>
      <c r="D664" s="0" t="s">
        <v>2124</v>
      </c>
      <c r="E664" s="31" t="n">
        <v>45686</v>
      </c>
      <c r="F664" s="32" t="s">
        <v>6287</v>
      </c>
      <c r="G664" s="0" t="n">
        <v>7.5</v>
      </c>
      <c r="H664" s="0" t="n">
        <v>7.5</v>
      </c>
      <c r="I664" s="32" t="s">
        <v>2081</v>
      </c>
      <c r="J664" s="32" t="s">
        <v>2106</v>
      </c>
      <c r="K664" s="0" t="n">
        <v>0</v>
      </c>
      <c r="L664" s="32" t="s">
        <v>785</v>
      </c>
      <c r="M664" s="0" t="str">
        <f aca="false">IF(L664="GEN","GM",L664)</f>
        <v>RS</v>
      </c>
    </row>
    <row r="665" customFormat="false" ht="15" hidden="false" customHeight="false" outlineLevel="0" collapsed="false">
      <c r="A665" s="0" t="s">
        <v>7599</v>
      </c>
      <c r="B665" s="0" t="s">
        <v>7600</v>
      </c>
      <c r="C665" s="0" t="s">
        <v>6286</v>
      </c>
      <c r="D665" s="0" t="s">
        <v>2104</v>
      </c>
      <c r="E665" s="31" t="n">
        <v>45686</v>
      </c>
      <c r="F665" s="32" t="s">
        <v>6283</v>
      </c>
      <c r="G665" s="0" t="n">
        <v>11.5</v>
      </c>
      <c r="H665" s="0" t="n">
        <v>11.5</v>
      </c>
      <c r="I665" s="32" t="s">
        <v>2081</v>
      </c>
      <c r="J665" s="32" t="s">
        <v>2081</v>
      </c>
      <c r="K665" s="0" t="n">
        <v>0</v>
      </c>
      <c r="L665" s="32" t="s">
        <v>826</v>
      </c>
      <c r="M665" s="0" t="str">
        <f aca="false">IF(L665="GEN","GM",L665)</f>
        <v>RHE</v>
      </c>
    </row>
    <row r="666" customFormat="false" ht="15" hidden="false" customHeight="false" outlineLevel="0" collapsed="false">
      <c r="A666" s="0" t="s">
        <v>7601</v>
      </c>
      <c r="B666" s="0" t="s">
        <v>7602</v>
      </c>
      <c r="C666" s="0" t="s">
        <v>6286</v>
      </c>
      <c r="D666" s="0" t="s">
        <v>2104</v>
      </c>
      <c r="E666" s="31" t="n">
        <v>45686</v>
      </c>
      <c r="F666" s="32" t="s">
        <v>1125</v>
      </c>
      <c r="G666" s="0" t="n">
        <v>12</v>
      </c>
      <c r="H666" s="0" t="n">
        <v>12</v>
      </c>
      <c r="I666" s="32" t="s">
        <v>2081</v>
      </c>
      <c r="J666" s="32" t="s">
        <v>2081</v>
      </c>
      <c r="K666" s="0" t="n">
        <v>0</v>
      </c>
      <c r="L666" s="32" t="s">
        <v>747</v>
      </c>
      <c r="M666" s="0" t="str">
        <f aca="false">IF(L666="GEN","GM",L666)</f>
        <v>GM</v>
      </c>
    </row>
    <row r="667" customFormat="false" ht="15" hidden="false" customHeight="false" outlineLevel="0" collapsed="false">
      <c r="A667" s="0" t="s">
        <v>7603</v>
      </c>
      <c r="B667" s="0" t="s">
        <v>7604</v>
      </c>
      <c r="C667" s="0" t="s">
        <v>6282</v>
      </c>
      <c r="D667" s="0" t="s">
        <v>2104</v>
      </c>
      <c r="E667" s="31" t="n">
        <v>45686</v>
      </c>
      <c r="F667" s="32" t="s">
        <v>6287</v>
      </c>
      <c r="G667" s="0" t="n">
        <v>7.5</v>
      </c>
      <c r="H667" s="0" t="n">
        <v>7.5</v>
      </c>
      <c r="I667" s="32" t="s">
        <v>2081</v>
      </c>
      <c r="J667" s="32" t="s">
        <v>2081</v>
      </c>
      <c r="K667" s="0" t="n">
        <v>0</v>
      </c>
      <c r="L667" s="32" t="s">
        <v>810</v>
      </c>
      <c r="M667" s="0" t="str">
        <f aca="false">IF(L667="GEN","GM",L667)</f>
        <v>URO</v>
      </c>
    </row>
    <row r="668" customFormat="false" ht="15" hidden="false" customHeight="false" outlineLevel="0" collapsed="false">
      <c r="A668" s="0" t="s">
        <v>7605</v>
      </c>
      <c r="B668" s="0" t="s">
        <v>7606</v>
      </c>
      <c r="C668" s="0" t="s">
        <v>6282</v>
      </c>
      <c r="D668" s="0" t="s">
        <v>2104</v>
      </c>
      <c r="E668" s="31" t="n">
        <v>45686</v>
      </c>
      <c r="F668" s="32" t="s">
        <v>6283</v>
      </c>
      <c r="G668" s="0" t="n">
        <v>11.5</v>
      </c>
      <c r="H668" s="0" t="n">
        <v>11.5</v>
      </c>
      <c r="I668" s="32" t="s">
        <v>2081</v>
      </c>
      <c r="J668" s="32" t="s">
        <v>2081</v>
      </c>
      <c r="K668" s="0" t="n">
        <v>0</v>
      </c>
      <c r="L668" s="32" t="s">
        <v>758</v>
      </c>
      <c r="M668" s="0" t="str">
        <f aca="false">IF(L668="GEN","GM",L668)</f>
        <v>CS</v>
      </c>
    </row>
    <row r="669" customFormat="false" ht="15" hidden="false" customHeight="false" outlineLevel="0" collapsed="false">
      <c r="A669" s="0" t="s">
        <v>7607</v>
      </c>
      <c r="B669" s="0" t="s">
        <v>7608</v>
      </c>
      <c r="C669" s="0" t="s">
        <v>6286</v>
      </c>
      <c r="D669" s="0" t="s">
        <v>2104</v>
      </c>
      <c r="E669" s="31" t="n">
        <v>45686</v>
      </c>
      <c r="F669" s="32" t="s">
        <v>1125</v>
      </c>
      <c r="G669" s="0" t="n">
        <v>12</v>
      </c>
      <c r="H669" s="0" t="n">
        <v>12</v>
      </c>
      <c r="I669" s="32" t="s">
        <v>2106</v>
      </c>
      <c r="J669" s="32" t="s">
        <v>2081</v>
      </c>
      <c r="K669" s="0" t="n">
        <v>0</v>
      </c>
      <c r="L669" s="32" t="s">
        <v>758</v>
      </c>
      <c r="M669" s="0" t="str">
        <f aca="false">IF(L669="GEN","GM",L669)</f>
        <v>CS</v>
      </c>
    </row>
    <row r="670" customFormat="false" ht="15" hidden="false" customHeight="false" outlineLevel="0" collapsed="false">
      <c r="A670" s="0" t="s">
        <v>7609</v>
      </c>
      <c r="B670" s="0" t="s">
        <v>7610</v>
      </c>
      <c r="C670" s="0" t="s">
        <v>6295</v>
      </c>
      <c r="D670" s="0" t="s">
        <v>3035</v>
      </c>
      <c r="E670" s="31" t="n">
        <v>45686</v>
      </c>
      <c r="F670" s="32" t="s">
        <v>6287</v>
      </c>
      <c r="G670" s="0" t="n">
        <v>7.5</v>
      </c>
      <c r="H670" s="0" t="n">
        <v>7.5</v>
      </c>
      <c r="I670" s="32" t="s">
        <v>2081</v>
      </c>
      <c r="J670" s="32" t="s">
        <v>2081</v>
      </c>
      <c r="K670" s="0" t="n">
        <v>0</v>
      </c>
      <c r="L670" s="32" t="s">
        <v>793</v>
      </c>
      <c r="M670" s="0" t="str">
        <f aca="false">IF(L670="GEN","GM",L670)</f>
        <v>EM</v>
      </c>
    </row>
    <row r="671" customFormat="false" ht="15" hidden="false" customHeight="false" outlineLevel="0" collapsed="false">
      <c r="A671" s="0" t="s">
        <v>7611</v>
      </c>
      <c r="B671" s="0" t="s">
        <v>7612</v>
      </c>
      <c r="C671" s="0" t="s">
        <v>6295</v>
      </c>
      <c r="D671" s="0" t="s">
        <v>3035</v>
      </c>
      <c r="E671" s="31" t="n">
        <v>45686</v>
      </c>
      <c r="F671" s="32" t="s">
        <v>1125</v>
      </c>
      <c r="G671" s="0" t="n">
        <v>12</v>
      </c>
      <c r="H671" s="0" t="n">
        <v>12</v>
      </c>
      <c r="I671" s="32" t="s">
        <v>2081</v>
      </c>
      <c r="J671" s="32" t="s">
        <v>2081</v>
      </c>
      <c r="K671" s="0" t="n">
        <v>0</v>
      </c>
      <c r="L671" s="32" t="s">
        <v>802</v>
      </c>
      <c r="M671" s="0" t="str">
        <f aca="false">IF(L671="GEN","GM",L671)</f>
        <v>GYN</v>
      </c>
    </row>
    <row r="672" customFormat="false" ht="15" hidden="false" customHeight="false" outlineLevel="0" collapsed="false">
      <c r="A672" s="0" t="s">
        <v>7613</v>
      </c>
      <c r="B672" s="0" t="s">
        <v>7614</v>
      </c>
      <c r="C672" s="0" t="s">
        <v>6295</v>
      </c>
      <c r="D672" s="0" t="s">
        <v>3035</v>
      </c>
      <c r="E672" s="31" t="n">
        <v>45686</v>
      </c>
      <c r="F672" s="32" t="s">
        <v>1125</v>
      </c>
      <c r="G672" s="0" t="n">
        <v>12</v>
      </c>
      <c r="H672" s="0" t="n">
        <v>12</v>
      </c>
      <c r="I672" s="32" t="s">
        <v>2106</v>
      </c>
      <c r="J672" s="32" t="s">
        <v>2081</v>
      </c>
      <c r="K672" s="0" t="n">
        <v>0</v>
      </c>
      <c r="L672" s="32" t="s">
        <v>826</v>
      </c>
      <c r="M672" s="0" t="str">
        <f aca="false">IF(L672="GEN","GM",L672)</f>
        <v>RHE</v>
      </c>
    </row>
    <row r="673" customFormat="false" ht="15" hidden="false" customHeight="false" outlineLevel="0" collapsed="false">
      <c r="A673" s="0" t="s">
        <v>7615</v>
      </c>
      <c r="B673" s="0" t="s">
        <v>7616</v>
      </c>
      <c r="C673" s="0" t="s">
        <v>6295</v>
      </c>
      <c r="D673" s="0" t="s">
        <v>2088</v>
      </c>
      <c r="E673" s="31" t="n">
        <v>45687</v>
      </c>
      <c r="F673" s="32" t="s">
        <v>6287</v>
      </c>
      <c r="G673" s="0" t="n">
        <v>7.5</v>
      </c>
      <c r="H673" s="0" t="n">
        <v>7.5</v>
      </c>
      <c r="I673" s="32" t="s">
        <v>2081</v>
      </c>
      <c r="J673" s="32" t="s">
        <v>2081</v>
      </c>
      <c r="K673" s="0" t="n">
        <v>0</v>
      </c>
      <c r="L673" s="32" t="s">
        <v>785</v>
      </c>
      <c r="M673" s="0" t="str">
        <f aca="false">IF(L673="GEN","GM",L673)</f>
        <v>RS</v>
      </c>
    </row>
    <row r="674" customFormat="false" ht="15" hidden="false" customHeight="false" outlineLevel="0" collapsed="false">
      <c r="A674" s="0" t="s">
        <v>7617</v>
      </c>
      <c r="B674" s="0" t="s">
        <v>7618</v>
      </c>
      <c r="C674" s="0" t="s">
        <v>6295</v>
      </c>
      <c r="D674" s="0" t="s">
        <v>2088</v>
      </c>
      <c r="E674" s="31" t="n">
        <v>45687</v>
      </c>
      <c r="F674" s="32" t="s">
        <v>6283</v>
      </c>
      <c r="G674" s="0" t="n">
        <v>11.5</v>
      </c>
      <c r="H674" s="0" t="n">
        <v>11.5</v>
      </c>
      <c r="I674" s="32" t="s">
        <v>2081</v>
      </c>
      <c r="J674" s="32" t="s">
        <v>2081</v>
      </c>
      <c r="K674" s="0" t="n">
        <v>0</v>
      </c>
      <c r="L674" s="32" t="s">
        <v>785</v>
      </c>
      <c r="M674" s="0" t="str">
        <f aca="false">IF(L674="GEN","GM",L674)</f>
        <v>RS</v>
      </c>
    </row>
    <row r="675" customFormat="false" ht="15" hidden="false" customHeight="false" outlineLevel="0" collapsed="false">
      <c r="A675" s="0" t="s">
        <v>7619</v>
      </c>
      <c r="B675" s="0" t="s">
        <v>7620</v>
      </c>
      <c r="C675" s="0" t="s">
        <v>6290</v>
      </c>
      <c r="D675" s="0" t="s">
        <v>2088</v>
      </c>
      <c r="E675" s="31" t="n">
        <v>45687</v>
      </c>
      <c r="F675" s="32" t="s">
        <v>6287</v>
      </c>
      <c r="G675" s="0" t="n">
        <v>7.5</v>
      </c>
      <c r="H675" s="0" t="n">
        <v>7.5</v>
      </c>
      <c r="I675" s="32" t="s">
        <v>2106</v>
      </c>
      <c r="J675" s="32" t="s">
        <v>2081</v>
      </c>
      <c r="K675" s="0" t="n">
        <v>0</v>
      </c>
      <c r="L675" s="32" t="s">
        <v>747</v>
      </c>
      <c r="M675" s="0" t="str">
        <f aca="false">IF(L675="GEN","GM",L675)</f>
        <v>GM</v>
      </c>
    </row>
    <row r="676" customFormat="false" ht="15" hidden="false" customHeight="false" outlineLevel="0" collapsed="false">
      <c r="A676" s="0" t="s">
        <v>7621</v>
      </c>
      <c r="B676" s="0" t="s">
        <v>7622</v>
      </c>
      <c r="C676" s="0" t="s">
        <v>6295</v>
      </c>
      <c r="D676" s="0" t="s">
        <v>2088</v>
      </c>
      <c r="E676" s="31" t="n">
        <v>45687</v>
      </c>
      <c r="F676" s="32" t="s">
        <v>6283</v>
      </c>
      <c r="G676" s="0" t="n">
        <v>11.5</v>
      </c>
      <c r="H676" s="0" t="n">
        <v>11.5</v>
      </c>
      <c r="I676" s="32" t="s">
        <v>2081</v>
      </c>
      <c r="J676" s="32" t="s">
        <v>2106</v>
      </c>
      <c r="K676" s="0" t="n">
        <v>0</v>
      </c>
      <c r="L676" s="32" t="s">
        <v>758</v>
      </c>
      <c r="M676" s="0" t="str">
        <f aca="false">IF(L676="GEN","GM",L676)</f>
        <v>CS</v>
      </c>
    </row>
    <row r="677" customFormat="false" ht="15" hidden="false" customHeight="false" outlineLevel="0" collapsed="false">
      <c r="A677" s="0" t="s">
        <v>7623</v>
      </c>
      <c r="B677" s="0" t="s">
        <v>7624</v>
      </c>
      <c r="C677" s="0" t="s">
        <v>780</v>
      </c>
      <c r="D677" s="0" t="s">
        <v>2088</v>
      </c>
      <c r="E677" s="31" t="n">
        <v>45687</v>
      </c>
      <c r="F677" s="32" t="s">
        <v>1125</v>
      </c>
      <c r="G677" s="0" t="n">
        <v>12</v>
      </c>
      <c r="H677" s="0" t="n">
        <v>12</v>
      </c>
      <c r="I677" s="32" t="s">
        <v>2081</v>
      </c>
      <c r="J677" s="32" t="s">
        <v>2081</v>
      </c>
      <c r="K677" s="0" t="n">
        <v>0</v>
      </c>
      <c r="L677" s="32" t="s">
        <v>793</v>
      </c>
      <c r="M677" s="0" t="str">
        <f aca="false">IF(L677="GEN","GM",L677)</f>
        <v>EM</v>
      </c>
    </row>
    <row r="678" customFormat="false" ht="15" hidden="false" customHeight="false" outlineLevel="0" collapsed="false">
      <c r="A678" s="0" t="s">
        <v>7625</v>
      </c>
      <c r="B678" s="0" t="s">
        <v>7626</v>
      </c>
      <c r="C678" s="0" t="s">
        <v>6286</v>
      </c>
      <c r="D678" s="0" t="s">
        <v>2079</v>
      </c>
      <c r="E678" s="31" t="n">
        <v>45687</v>
      </c>
      <c r="F678" s="32" t="s">
        <v>6287</v>
      </c>
      <c r="G678" s="0" t="n">
        <v>0</v>
      </c>
      <c r="H678" s="0" t="n">
        <v>7.5</v>
      </c>
      <c r="I678" s="32" t="s">
        <v>2081</v>
      </c>
      <c r="J678" s="32" t="s">
        <v>2081</v>
      </c>
      <c r="K678" s="0" t="n">
        <v>0</v>
      </c>
      <c r="L678" s="32" t="s">
        <v>747</v>
      </c>
      <c r="M678" s="0" t="str">
        <f aca="false">IF(L678="GEN","GM",L678)</f>
        <v>GM</v>
      </c>
    </row>
    <row r="679" customFormat="false" ht="15" hidden="false" customHeight="false" outlineLevel="0" collapsed="false">
      <c r="A679" s="0" t="s">
        <v>7627</v>
      </c>
      <c r="B679" s="0" t="s">
        <v>7628</v>
      </c>
      <c r="C679" s="0" t="s">
        <v>6282</v>
      </c>
      <c r="D679" s="0" t="s">
        <v>2079</v>
      </c>
      <c r="E679" s="31" t="n">
        <v>45687</v>
      </c>
      <c r="F679" s="32" t="s">
        <v>6283</v>
      </c>
      <c r="G679" s="0" t="n">
        <v>11.5</v>
      </c>
      <c r="H679" s="0" t="n">
        <v>11.5</v>
      </c>
      <c r="I679" s="32" t="s">
        <v>2081</v>
      </c>
      <c r="J679" s="32" t="s">
        <v>2081</v>
      </c>
      <c r="K679" s="0" t="n">
        <v>0</v>
      </c>
      <c r="L679" s="32" t="s">
        <v>802</v>
      </c>
      <c r="M679" s="0" t="str">
        <f aca="false">IF(L679="GEN","GM",L679)</f>
        <v>GYN</v>
      </c>
    </row>
    <row r="680" customFormat="false" ht="15" hidden="false" customHeight="false" outlineLevel="0" collapsed="false">
      <c r="A680" s="0" t="s">
        <v>7629</v>
      </c>
      <c r="B680" s="0" t="s">
        <v>7630</v>
      </c>
      <c r="C680" s="0" t="s">
        <v>6295</v>
      </c>
      <c r="D680" s="0" t="s">
        <v>2079</v>
      </c>
      <c r="E680" s="31" t="n">
        <v>45687</v>
      </c>
      <c r="F680" s="32" t="s">
        <v>6283</v>
      </c>
      <c r="G680" s="0" t="n">
        <v>11.5</v>
      </c>
      <c r="H680" s="0" t="n">
        <v>12.8</v>
      </c>
      <c r="I680" s="32" t="s">
        <v>2081</v>
      </c>
      <c r="J680" s="32" t="s">
        <v>2081</v>
      </c>
      <c r="K680" s="0" t="n">
        <v>1.3</v>
      </c>
      <c r="L680" s="32" t="s">
        <v>766</v>
      </c>
      <c r="M680" s="0" t="str">
        <f aca="false">IF(L680="GEN","GM",L680)</f>
        <v>OR</v>
      </c>
    </row>
    <row r="681" customFormat="false" ht="15" hidden="false" customHeight="false" outlineLevel="0" collapsed="false">
      <c r="A681" s="0" t="s">
        <v>7631</v>
      </c>
      <c r="B681" s="0" t="s">
        <v>7632</v>
      </c>
      <c r="C681" s="0" t="s">
        <v>6295</v>
      </c>
      <c r="D681" s="0" t="s">
        <v>2079</v>
      </c>
      <c r="E681" s="31" t="n">
        <v>45687</v>
      </c>
      <c r="F681" s="32" t="s">
        <v>6287</v>
      </c>
      <c r="G681" s="0" t="n">
        <v>7.5</v>
      </c>
      <c r="H681" s="0" t="n">
        <v>6.7</v>
      </c>
      <c r="I681" s="32" t="s">
        <v>2106</v>
      </c>
      <c r="J681" s="32" t="s">
        <v>2081</v>
      </c>
      <c r="K681" s="0" t="n">
        <v>0</v>
      </c>
      <c r="L681" s="32" t="s">
        <v>802</v>
      </c>
      <c r="M681" s="0" t="str">
        <f aca="false">IF(L681="GEN","GM",L681)</f>
        <v>GYN</v>
      </c>
    </row>
    <row r="682" customFormat="false" ht="15" hidden="false" customHeight="false" outlineLevel="0" collapsed="false">
      <c r="A682" s="0" t="s">
        <v>7633</v>
      </c>
      <c r="B682" s="0" t="s">
        <v>7634</v>
      </c>
      <c r="C682" s="0" t="s">
        <v>6295</v>
      </c>
      <c r="D682" s="0" t="s">
        <v>2099</v>
      </c>
      <c r="E682" s="31" t="n">
        <v>45687</v>
      </c>
      <c r="F682" s="32" t="s">
        <v>1125</v>
      </c>
      <c r="G682" s="0" t="n">
        <v>12</v>
      </c>
      <c r="H682" s="0" t="n">
        <v>12</v>
      </c>
      <c r="I682" s="32" t="s">
        <v>2106</v>
      </c>
      <c r="J682" s="32" t="s">
        <v>2081</v>
      </c>
      <c r="K682" s="0" t="n">
        <v>0</v>
      </c>
      <c r="L682" s="32" t="s">
        <v>793</v>
      </c>
      <c r="M682" s="0" t="str">
        <f aca="false">IF(L682="GEN","GM",L682)</f>
        <v>EM</v>
      </c>
    </row>
    <row r="683" customFormat="false" ht="15" hidden="false" customHeight="false" outlineLevel="0" collapsed="false">
      <c r="A683" s="0" t="s">
        <v>7635</v>
      </c>
      <c r="B683" s="0" t="s">
        <v>7636</v>
      </c>
      <c r="C683" s="0" t="s">
        <v>6282</v>
      </c>
      <c r="D683" s="0" t="s">
        <v>2099</v>
      </c>
      <c r="E683" s="31" t="n">
        <v>45687</v>
      </c>
      <c r="F683" s="32" t="s">
        <v>6283</v>
      </c>
      <c r="G683" s="0" t="n">
        <v>11.5</v>
      </c>
      <c r="H683" s="0" t="n">
        <v>11.5</v>
      </c>
      <c r="I683" s="32" t="s">
        <v>2106</v>
      </c>
      <c r="J683" s="32" t="s">
        <v>2081</v>
      </c>
      <c r="K683" s="0" t="n">
        <v>0</v>
      </c>
      <c r="L683" s="32" t="s">
        <v>758</v>
      </c>
      <c r="M683" s="0" t="str">
        <f aca="false">IF(L683="GEN","GM",L683)</f>
        <v>CS</v>
      </c>
    </row>
    <row r="684" customFormat="false" ht="15" hidden="false" customHeight="false" outlineLevel="0" collapsed="false">
      <c r="A684" s="0" t="s">
        <v>7637</v>
      </c>
      <c r="B684" s="0" t="s">
        <v>7638</v>
      </c>
      <c r="C684" s="0" t="s">
        <v>6295</v>
      </c>
      <c r="D684" s="0" t="s">
        <v>2099</v>
      </c>
      <c r="E684" s="31" t="n">
        <v>45687</v>
      </c>
      <c r="F684" s="32" t="s">
        <v>1125</v>
      </c>
      <c r="G684" s="0" t="n">
        <v>12</v>
      </c>
      <c r="H684" s="0" t="n">
        <v>12</v>
      </c>
      <c r="I684" s="32" t="s">
        <v>2081</v>
      </c>
      <c r="J684" s="32" t="s">
        <v>2106</v>
      </c>
      <c r="K684" s="0" t="n">
        <v>0</v>
      </c>
      <c r="L684" s="32" t="s">
        <v>785</v>
      </c>
      <c r="M684" s="0" t="str">
        <f aca="false">IF(L684="GEN","GM",L684)</f>
        <v>RS</v>
      </c>
    </row>
    <row r="685" customFormat="false" ht="15" hidden="false" customHeight="false" outlineLevel="0" collapsed="false">
      <c r="A685" s="0" t="s">
        <v>7639</v>
      </c>
      <c r="B685" s="0" t="s">
        <v>7640</v>
      </c>
      <c r="C685" s="0" t="s">
        <v>6286</v>
      </c>
      <c r="D685" s="0" t="s">
        <v>2099</v>
      </c>
      <c r="E685" s="31" t="n">
        <v>45687</v>
      </c>
      <c r="F685" s="32" t="s">
        <v>6287</v>
      </c>
      <c r="G685" s="0" t="n">
        <v>7.5</v>
      </c>
      <c r="H685" s="0" t="n">
        <v>7.5</v>
      </c>
      <c r="I685" s="32" t="s">
        <v>2081</v>
      </c>
      <c r="J685" s="32" t="s">
        <v>2081</v>
      </c>
      <c r="K685" s="0" t="n">
        <v>0</v>
      </c>
      <c r="L685" s="32" t="s">
        <v>766</v>
      </c>
      <c r="M685" s="0" t="str">
        <f aca="false">IF(L685="GEN","GM",L685)</f>
        <v>OR</v>
      </c>
    </row>
    <row r="686" customFormat="false" ht="15" hidden="false" customHeight="false" outlineLevel="0" collapsed="false">
      <c r="A686" s="0" t="s">
        <v>7641</v>
      </c>
      <c r="B686" s="0" t="s">
        <v>7642</v>
      </c>
      <c r="C686" s="0" t="s">
        <v>6282</v>
      </c>
      <c r="D686" s="0" t="s">
        <v>2115</v>
      </c>
      <c r="E686" s="31" t="n">
        <v>45687</v>
      </c>
      <c r="F686" s="32" t="s">
        <v>6283</v>
      </c>
      <c r="G686" s="0" t="n">
        <v>11.5</v>
      </c>
      <c r="H686" s="0" t="n">
        <v>11.5</v>
      </c>
      <c r="I686" s="32" t="s">
        <v>2081</v>
      </c>
      <c r="J686" s="32" t="s">
        <v>2081</v>
      </c>
      <c r="K686" s="0" t="n">
        <v>0</v>
      </c>
      <c r="L686" s="32" t="s">
        <v>785</v>
      </c>
      <c r="M686" s="0" t="str">
        <f aca="false">IF(L686="GEN","GM",L686)</f>
        <v>RS</v>
      </c>
    </row>
    <row r="687" customFormat="false" ht="15" hidden="false" customHeight="false" outlineLevel="0" collapsed="false">
      <c r="A687" s="0" t="s">
        <v>7643</v>
      </c>
      <c r="B687" s="0" t="s">
        <v>7644</v>
      </c>
      <c r="C687" s="0" t="s">
        <v>6295</v>
      </c>
      <c r="D687" s="0" t="s">
        <v>2115</v>
      </c>
      <c r="E687" s="31" t="n">
        <v>45687</v>
      </c>
      <c r="F687" s="32" t="s">
        <v>1125</v>
      </c>
      <c r="G687" s="0" t="n">
        <v>12</v>
      </c>
      <c r="H687" s="0" t="n">
        <v>12</v>
      </c>
      <c r="I687" s="32" t="s">
        <v>2081</v>
      </c>
      <c r="J687" s="32" t="s">
        <v>2081</v>
      </c>
      <c r="K687" s="0" t="n">
        <v>0</v>
      </c>
      <c r="L687" s="32" t="s">
        <v>758</v>
      </c>
      <c r="M687" s="0" t="str">
        <f aca="false">IF(L687="GEN","GM",L687)</f>
        <v>CS</v>
      </c>
    </row>
    <row r="688" customFormat="false" ht="15" hidden="false" customHeight="false" outlineLevel="0" collapsed="false">
      <c r="A688" s="0" t="s">
        <v>7645</v>
      </c>
      <c r="B688" s="0" t="s">
        <v>7646</v>
      </c>
      <c r="C688" s="0" t="s">
        <v>6295</v>
      </c>
      <c r="D688" s="0" t="s">
        <v>2115</v>
      </c>
      <c r="E688" s="31" t="n">
        <v>45687</v>
      </c>
      <c r="F688" s="32" t="s">
        <v>1125</v>
      </c>
      <c r="G688" s="0" t="n">
        <v>12</v>
      </c>
      <c r="H688" s="0" t="n">
        <v>12</v>
      </c>
      <c r="I688" s="32" t="s">
        <v>2106</v>
      </c>
      <c r="J688" s="32" t="s">
        <v>2081</v>
      </c>
      <c r="K688" s="0" t="n">
        <v>0</v>
      </c>
      <c r="L688" s="32" t="s">
        <v>793</v>
      </c>
      <c r="M688" s="0" t="str">
        <f aca="false">IF(L688="GEN","GM",L688)</f>
        <v>EM</v>
      </c>
    </row>
    <row r="689" customFormat="false" ht="15" hidden="false" customHeight="false" outlineLevel="0" collapsed="false">
      <c r="A689" s="0" t="s">
        <v>7647</v>
      </c>
      <c r="B689" s="0" t="s">
        <v>7648</v>
      </c>
      <c r="C689" s="0" t="s">
        <v>6286</v>
      </c>
      <c r="D689" s="0" t="s">
        <v>2115</v>
      </c>
      <c r="E689" s="31" t="n">
        <v>45687</v>
      </c>
      <c r="F689" s="32" t="s">
        <v>6283</v>
      </c>
      <c r="G689" s="0" t="n">
        <v>11.5</v>
      </c>
      <c r="H689" s="0" t="n">
        <v>11.5</v>
      </c>
      <c r="I689" s="32" t="s">
        <v>2081</v>
      </c>
      <c r="J689" s="32" t="s">
        <v>2106</v>
      </c>
      <c r="K689" s="0" t="n">
        <v>0</v>
      </c>
      <c r="L689" s="32" t="s">
        <v>776</v>
      </c>
      <c r="M689" s="0" t="str">
        <f aca="false">IF(L689="GEN","GM",L689)</f>
        <v>GS</v>
      </c>
    </row>
    <row r="690" customFormat="false" ht="15" hidden="false" customHeight="false" outlineLevel="0" collapsed="false">
      <c r="A690" s="0" t="s">
        <v>7649</v>
      </c>
      <c r="B690" s="0" t="s">
        <v>7650</v>
      </c>
      <c r="C690" s="0" t="s">
        <v>6282</v>
      </c>
      <c r="D690" s="0" t="s">
        <v>2124</v>
      </c>
      <c r="E690" s="31" t="n">
        <v>45687</v>
      </c>
      <c r="F690" s="32" t="s">
        <v>1125</v>
      </c>
      <c r="G690" s="0" t="n">
        <v>12</v>
      </c>
      <c r="H690" s="0" t="n">
        <v>12</v>
      </c>
      <c r="I690" s="32" t="s">
        <v>2081</v>
      </c>
      <c r="J690" s="32" t="s">
        <v>2081</v>
      </c>
      <c r="K690" s="0" t="n">
        <v>0</v>
      </c>
      <c r="L690" s="32" t="s">
        <v>747</v>
      </c>
      <c r="M690" s="0" t="str">
        <f aca="false">IF(L690="GEN","GM",L690)</f>
        <v>GM</v>
      </c>
    </row>
    <row r="691" customFormat="false" ht="15" hidden="false" customHeight="false" outlineLevel="0" collapsed="false">
      <c r="A691" s="0" t="s">
        <v>7651</v>
      </c>
      <c r="B691" s="0" t="s">
        <v>7652</v>
      </c>
      <c r="C691" s="0" t="s">
        <v>6295</v>
      </c>
      <c r="D691" s="0" t="s">
        <v>2124</v>
      </c>
      <c r="E691" s="31" t="n">
        <v>45687</v>
      </c>
      <c r="F691" s="32" t="s">
        <v>1125</v>
      </c>
      <c r="G691" s="0" t="n">
        <v>12</v>
      </c>
      <c r="H691" s="0" t="n">
        <v>12</v>
      </c>
      <c r="I691" s="32" t="s">
        <v>2081</v>
      </c>
      <c r="J691" s="32" t="s">
        <v>2081</v>
      </c>
      <c r="K691" s="0" t="n">
        <v>0</v>
      </c>
      <c r="L691" s="32" t="s">
        <v>758</v>
      </c>
      <c r="M691" s="0" t="str">
        <f aca="false">IF(L691="GEN","GM",L691)</f>
        <v>CS</v>
      </c>
    </row>
    <row r="692" customFormat="false" ht="15" hidden="false" customHeight="false" outlineLevel="0" collapsed="false">
      <c r="A692" s="0" t="s">
        <v>7653</v>
      </c>
      <c r="B692" s="0" t="s">
        <v>7654</v>
      </c>
      <c r="C692" s="0" t="s">
        <v>6295</v>
      </c>
      <c r="D692" s="0" t="s">
        <v>2124</v>
      </c>
      <c r="E692" s="31" t="n">
        <v>45687</v>
      </c>
      <c r="F692" s="32" t="s">
        <v>6283</v>
      </c>
      <c r="G692" s="0" t="n">
        <v>11.5</v>
      </c>
      <c r="H692" s="0" t="n">
        <v>11.5</v>
      </c>
      <c r="I692" s="32" t="s">
        <v>2106</v>
      </c>
      <c r="J692" s="32" t="s">
        <v>2081</v>
      </c>
      <c r="K692" s="0" t="n">
        <v>0</v>
      </c>
      <c r="L692" s="32" t="s">
        <v>802</v>
      </c>
      <c r="M692" s="0" t="str">
        <f aca="false">IF(L692="GEN","GM",L692)</f>
        <v>GYN</v>
      </c>
    </row>
    <row r="693" customFormat="false" ht="15" hidden="false" customHeight="false" outlineLevel="0" collapsed="false">
      <c r="A693" s="0" t="s">
        <v>7655</v>
      </c>
      <c r="B693" s="0" t="s">
        <v>7656</v>
      </c>
      <c r="C693" s="0" t="s">
        <v>6295</v>
      </c>
      <c r="D693" s="0" t="s">
        <v>2124</v>
      </c>
      <c r="E693" s="31" t="n">
        <v>45687</v>
      </c>
      <c r="F693" s="32" t="s">
        <v>6287</v>
      </c>
      <c r="G693" s="0" t="n">
        <v>7.5</v>
      </c>
      <c r="H693" s="0" t="n">
        <v>7.5</v>
      </c>
      <c r="I693" s="32" t="s">
        <v>2081</v>
      </c>
      <c r="J693" s="32" t="s">
        <v>2081</v>
      </c>
      <c r="K693" s="0" t="n">
        <v>0</v>
      </c>
      <c r="L693" s="32" t="s">
        <v>793</v>
      </c>
      <c r="M693" s="0" t="str">
        <f aca="false">IF(L693="GEN","GM",L693)</f>
        <v>EM</v>
      </c>
    </row>
    <row r="694" customFormat="false" ht="15" hidden="false" customHeight="false" outlineLevel="0" collapsed="false">
      <c r="A694" s="0" t="s">
        <v>7657</v>
      </c>
      <c r="B694" s="0" t="s">
        <v>7658</v>
      </c>
      <c r="C694" s="0" t="s">
        <v>6295</v>
      </c>
      <c r="D694" s="0" t="s">
        <v>2104</v>
      </c>
      <c r="E694" s="31" t="n">
        <v>45687</v>
      </c>
      <c r="F694" s="32" t="s">
        <v>6287</v>
      </c>
      <c r="G694" s="0" t="n">
        <v>7.5</v>
      </c>
      <c r="H694" s="0" t="n">
        <v>7.5</v>
      </c>
      <c r="I694" s="32" t="s">
        <v>2081</v>
      </c>
      <c r="J694" s="32" t="s">
        <v>2081</v>
      </c>
      <c r="K694" s="0" t="n">
        <v>0</v>
      </c>
      <c r="L694" s="32" t="s">
        <v>793</v>
      </c>
      <c r="M694" s="0" t="str">
        <f aca="false">IF(L694="GEN","GM",L694)</f>
        <v>EM</v>
      </c>
    </row>
    <row r="695" customFormat="false" ht="15" hidden="false" customHeight="false" outlineLevel="0" collapsed="false">
      <c r="A695" s="0" t="s">
        <v>7659</v>
      </c>
      <c r="B695" s="0" t="s">
        <v>7660</v>
      </c>
      <c r="C695" s="0" t="s">
        <v>6295</v>
      </c>
      <c r="D695" s="0" t="s">
        <v>2104</v>
      </c>
      <c r="E695" s="31" t="n">
        <v>45687</v>
      </c>
      <c r="F695" s="32" t="s">
        <v>6287</v>
      </c>
      <c r="G695" s="0" t="n">
        <v>7.5</v>
      </c>
      <c r="H695" s="0" t="n">
        <v>7.5</v>
      </c>
      <c r="I695" s="32" t="s">
        <v>2081</v>
      </c>
      <c r="J695" s="32" t="s">
        <v>2106</v>
      </c>
      <c r="K695" s="0" t="n">
        <v>0</v>
      </c>
      <c r="L695" s="32" t="s">
        <v>776</v>
      </c>
      <c r="M695" s="0" t="str">
        <f aca="false">IF(L695="GEN","GM",L695)</f>
        <v>GS</v>
      </c>
    </row>
    <row r="696" customFormat="false" ht="15" hidden="false" customHeight="false" outlineLevel="0" collapsed="false">
      <c r="A696" s="0" t="s">
        <v>7661</v>
      </c>
      <c r="B696" s="0" t="s">
        <v>7662</v>
      </c>
      <c r="C696" s="0" t="s">
        <v>6295</v>
      </c>
      <c r="D696" s="0" t="s">
        <v>2104</v>
      </c>
      <c r="E696" s="31" t="n">
        <v>45687</v>
      </c>
      <c r="F696" s="32" t="s">
        <v>1125</v>
      </c>
      <c r="G696" s="0" t="n">
        <v>12</v>
      </c>
      <c r="H696" s="0" t="n">
        <v>12</v>
      </c>
      <c r="I696" s="32" t="s">
        <v>2081</v>
      </c>
      <c r="J696" s="32" t="s">
        <v>2081</v>
      </c>
      <c r="K696" s="0" t="n">
        <v>0</v>
      </c>
      <c r="L696" s="32" t="s">
        <v>810</v>
      </c>
      <c r="M696" s="0" t="str">
        <f aca="false">IF(L696="GEN","GM",L696)</f>
        <v>URO</v>
      </c>
    </row>
    <row r="697" customFormat="false" ht="15" hidden="false" customHeight="false" outlineLevel="0" collapsed="false">
      <c r="A697" s="0" t="s">
        <v>7663</v>
      </c>
      <c r="B697" s="0" t="s">
        <v>7664</v>
      </c>
      <c r="C697" s="0" t="s">
        <v>6295</v>
      </c>
      <c r="D697" s="0" t="s">
        <v>2104</v>
      </c>
      <c r="E697" s="31" t="n">
        <v>45687</v>
      </c>
      <c r="F697" s="32" t="s">
        <v>6287</v>
      </c>
      <c r="G697" s="0" t="n">
        <v>7.5</v>
      </c>
      <c r="H697" s="0" t="n">
        <v>7.5</v>
      </c>
      <c r="I697" s="32" t="s">
        <v>2081</v>
      </c>
      <c r="J697" s="32" t="s">
        <v>2081</v>
      </c>
      <c r="K697" s="0" t="n">
        <v>0</v>
      </c>
      <c r="L697" s="32" t="s">
        <v>785</v>
      </c>
      <c r="M697" s="0" t="str">
        <f aca="false">IF(L697="GEN","GM",L697)</f>
        <v>RS</v>
      </c>
    </row>
    <row r="698" customFormat="false" ht="15" hidden="false" customHeight="false" outlineLevel="0" collapsed="false">
      <c r="A698" s="0" t="s">
        <v>7665</v>
      </c>
      <c r="B698" s="0" t="s">
        <v>7666</v>
      </c>
      <c r="C698" s="0" t="s">
        <v>6286</v>
      </c>
      <c r="D698" s="0" t="s">
        <v>2104</v>
      </c>
      <c r="E698" s="31" t="n">
        <v>45687</v>
      </c>
      <c r="F698" s="32" t="s">
        <v>6287</v>
      </c>
      <c r="G698" s="0" t="n">
        <v>7.5</v>
      </c>
      <c r="H698" s="0" t="n">
        <v>7.5</v>
      </c>
      <c r="I698" s="32" t="s">
        <v>2081</v>
      </c>
      <c r="J698" s="32" t="s">
        <v>2081</v>
      </c>
      <c r="K698" s="0" t="n">
        <v>0</v>
      </c>
      <c r="L698" s="32" t="s">
        <v>793</v>
      </c>
      <c r="M698" s="0" t="str">
        <f aca="false">IF(L698="GEN","GM",L698)</f>
        <v>EM</v>
      </c>
    </row>
    <row r="699" customFormat="false" ht="15" hidden="false" customHeight="false" outlineLevel="0" collapsed="false">
      <c r="A699" s="0" t="s">
        <v>7667</v>
      </c>
      <c r="B699" s="0" t="s">
        <v>7668</v>
      </c>
      <c r="C699" s="0" t="s">
        <v>6286</v>
      </c>
      <c r="D699" s="0" t="s">
        <v>3035</v>
      </c>
      <c r="E699" s="31" t="n">
        <v>45687</v>
      </c>
      <c r="F699" s="32" t="s">
        <v>1125</v>
      </c>
      <c r="G699" s="0" t="n">
        <v>12</v>
      </c>
      <c r="H699" s="0" t="n">
        <v>12</v>
      </c>
      <c r="I699" s="32" t="s">
        <v>2081</v>
      </c>
      <c r="J699" s="32" t="s">
        <v>2081</v>
      </c>
      <c r="K699" s="0" t="n">
        <v>0</v>
      </c>
      <c r="L699" s="32" t="s">
        <v>785</v>
      </c>
      <c r="M699" s="0" t="str">
        <f aca="false">IF(L699="GEN","GM",L699)</f>
        <v>RS</v>
      </c>
    </row>
    <row r="700" customFormat="false" ht="15" hidden="false" customHeight="false" outlineLevel="0" collapsed="false">
      <c r="A700" s="0" t="s">
        <v>7669</v>
      </c>
      <c r="B700" s="0" t="s">
        <v>7670</v>
      </c>
      <c r="C700" s="0" t="s">
        <v>780</v>
      </c>
      <c r="D700" s="0" t="s">
        <v>3035</v>
      </c>
      <c r="E700" s="31" t="n">
        <v>45687</v>
      </c>
      <c r="F700" s="32" t="s">
        <v>6287</v>
      </c>
      <c r="G700" s="0" t="n">
        <v>7.5</v>
      </c>
      <c r="H700" s="0" t="n">
        <v>7.5</v>
      </c>
      <c r="I700" s="32" t="s">
        <v>2106</v>
      </c>
      <c r="J700" s="32" t="s">
        <v>2081</v>
      </c>
      <c r="K700" s="0" t="n">
        <v>0</v>
      </c>
      <c r="L700" s="32" t="s">
        <v>793</v>
      </c>
      <c r="M700" s="0" t="str">
        <f aca="false">IF(L700="GEN","GM",L700)</f>
        <v>EM</v>
      </c>
    </row>
    <row r="701" customFormat="false" ht="15" hidden="false" customHeight="false" outlineLevel="0" collapsed="false">
      <c r="A701" s="0" t="s">
        <v>7671</v>
      </c>
      <c r="B701" s="0" t="s">
        <v>7672</v>
      </c>
      <c r="C701" s="0" t="s">
        <v>780</v>
      </c>
      <c r="D701" s="0" t="s">
        <v>3035</v>
      </c>
      <c r="E701" s="31" t="n">
        <v>45687</v>
      </c>
      <c r="F701" s="32" t="s">
        <v>6287</v>
      </c>
      <c r="G701" s="0" t="n">
        <v>7.5</v>
      </c>
      <c r="H701" s="0" t="n">
        <v>7.5</v>
      </c>
      <c r="I701" s="32" t="s">
        <v>2081</v>
      </c>
      <c r="J701" s="32" t="s">
        <v>2081</v>
      </c>
      <c r="K701" s="0" t="n">
        <v>0</v>
      </c>
      <c r="L701" s="32" t="s">
        <v>776</v>
      </c>
      <c r="M701" s="0" t="str">
        <f aca="false">IF(L701="GEN","GM",L701)</f>
        <v>GS</v>
      </c>
    </row>
    <row r="702" customFormat="false" ht="15" hidden="false" customHeight="false" outlineLevel="0" collapsed="false">
      <c r="A702" s="0" t="s">
        <v>7673</v>
      </c>
      <c r="B702" s="0" t="s">
        <v>7674</v>
      </c>
      <c r="C702" s="0" t="s">
        <v>6282</v>
      </c>
      <c r="D702" s="0" t="s">
        <v>3035</v>
      </c>
      <c r="E702" s="31" t="n">
        <v>45687</v>
      </c>
      <c r="F702" s="32" t="s">
        <v>1125</v>
      </c>
      <c r="G702" s="0" t="n">
        <v>12</v>
      </c>
      <c r="H702" s="0" t="n">
        <v>12</v>
      </c>
      <c r="I702" s="32" t="s">
        <v>2081</v>
      </c>
      <c r="J702" s="32" t="s">
        <v>2081</v>
      </c>
      <c r="K702" s="0" t="n">
        <v>0</v>
      </c>
      <c r="L702" s="32" t="s">
        <v>747</v>
      </c>
      <c r="M702" s="0" t="str">
        <f aca="false">IF(L702="GEN","GM",L702)</f>
        <v>GM</v>
      </c>
    </row>
    <row r="703" customFormat="false" ht="15" hidden="false" customHeight="false" outlineLevel="0" collapsed="false">
      <c r="A703" s="0" t="s">
        <v>7675</v>
      </c>
      <c r="B703" s="0" t="s">
        <v>7676</v>
      </c>
      <c r="C703" s="0" t="s">
        <v>780</v>
      </c>
      <c r="D703" s="0" t="s">
        <v>3035</v>
      </c>
      <c r="E703" s="31" t="n">
        <v>45687</v>
      </c>
      <c r="F703" s="32" t="s">
        <v>6287</v>
      </c>
      <c r="G703" s="0" t="n">
        <v>7.5</v>
      </c>
      <c r="H703" s="0" t="n">
        <v>7.5</v>
      </c>
      <c r="I703" s="32" t="s">
        <v>2081</v>
      </c>
      <c r="J703" s="32" t="s">
        <v>2081</v>
      </c>
      <c r="K703" s="0" t="n">
        <v>0</v>
      </c>
      <c r="L703" s="32" t="s">
        <v>747</v>
      </c>
      <c r="M703" s="0" t="str">
        <f aca="false">IF(L703="GEN","GM",L703)</f>
        <v>GM</v>
      </c>
    </row>
    <row r="704" customFormat="false" ht="15" hidden="false" customHeight="false" outlineLevel="0" collapsed="false">
      <c r="A704" s="0" t="s">
        <v>7677</v>
      </c>
      <c r="B704" s="0" t="s">
        <v>7678</v>
      </c>
      <c r="C704" s="0" t="s">
        <v>780</v>
      </c>
      <c r="D704" s="0" t="s">
        <v>2088</v>
      </c>
      <c r="E704" s="31" t="n">
        <v>45688</v>
      </c>
      <c r="F704" s="32" t="s">
        <v>6283</v>
      </c>
      <c r="G704" s="0" t="n">
        <v>11.5</v>
      </c>
      <c r="H704" s="0" t="n">
        <v>12</v>
      </c>
      <c r="I704" s="32" t="s">
        <v>2081</v>
      </c>
      <c r="J704" s="32" t="s">
        <v>2081</v>
      </c>
      <c r="K704" s="0" t="n">
        <v>0.5</v>
      </c>
      <c r="L704" s="32" t="s">
        <v>758</v>
      </c>
      <c r="M704" s="0" t="str">
        <f aca="false">IF(L704="GEN","GM",L704)</f>
        <v>CS</v>
      </c>
    </row>
    <row r="705" customFormat="false" ht="15" hidden="false" customHeight="false" outlineLevel="0" collapsed="false">
      <c r="A705" s="0" t="s">
        <v>7679</v>
      </c>
      <c r="B705" s="0" t="s">
        <v>7680</v>
      </c>
      <c r="C705" s="0" t="s">
        <v>6286</v>
      </c>
      <c r="D705" s="0" t="s">
        <v>2088</v>
      </c>
      <c r="E705" s="31" t="n">
        <v>45688</v>
      </c>
      <c r="F705" s="32" t="s">
        <v>1125</v>
      </c>
      <c r="G705" s="0" t="n">
        <v>12</v>
      </c>
      <c r="H705" s="0" t="n">
        <v>12</v>
      </c>
      <c r="I705" s="32" t="s">
        <v>2081</v>
      </c>
      <c r="J705" s="32" t="s">
        <v>2081</v>
      </c>
      <c r="K705" s="0" t="n">
        <v>0</v>
      </c>
      <c r="L705" s="32" t="s">
        <v>810</v>
      </c>
      <c r="M705" s="0" t="str">
        <f aca="false">IF(L705="GEN","GM",L705)</f>
        <v>URO</v>
      </c>
    </row>
    <row r="706" customFormat="false" ht="15" hidden="false" customHeight="false" outlineLevel="0" collapsed="false">
      <c r="A706" s="0" t="s">
        <v>7681</v>
      </c>
      <c r="B706" s="0" t="s">
        <v>7682</v>
      </c>
      <c r="C706" s="0" t="s">
        <v>6286</v>
      </c>
      <c r="D706" s="0" t="s">
        <v>2088</v>
      </c>
      <c r="E706" s="31" t="n">
        <v>45688</v>
      </c>
      <c r="F706" s="32" t="s">
        <v>6283</v>
      </c>
      <c r="G706" s="0" t="n">
        <v>11.5</v>
      </c>
      <c r="H706" s="0" t="n">
        <v>11.5</v>
      </c>
      <c r="I706" s="32" t="s">
        <v>2081</v>
      </c>
      <c r="J706" s="32" t="s">
        <v>2081</v>
      </c>
      <c r="K706" s="0" t="n">
        <v>0</v>
      </c>
      <c r="L706" s="32" t="s">
        <v>810</v>
      </c>
      <c r="M706" s="0" t="str">
        <f aca="false">IF(L706="GEN","GM",L706)</f>
        <v>URO</v>
      </c>
    </row>
    <row r="707" customFormat="false" ht="15" hidden="false" customHeight="false" outlineLevel="0" collapsed="false">
      <c r="A707" s="0" t="s">
        <v>7683</v>
      </c>
      <c r="B707" s="0" t="s">
        <v>7684</v>
      </c>
      <c r="C707" s="0" t="s">
        <v>6282</v>
      </c>
      <c r="D707" s="0" t="s">
        <v>2088</v>
      </c>
      <c r="E707" s="31" t="n">
        <v>45688</v>
      </c>
      <c r="F707" s="32" t="s">
        <v>6283</v>
      </c>
      <c r="G707" s="0" t="n">
        <v>11.5</v>
      </c>
      <c r="H707" s="0" t="n">
        <v>11.5</v>
      </c>
      <c r="I707" s="32" t="s">
        <v>2081</v>
      </c>
      <c r="J707" s="32" t="s">
        <v>2081</v>
      </c>
      <c r="K707" s="0" t="n">
        <v>0</v>
      </c>
      <c r="L707" s="32" t="s">
        <v>776</v>
      </c>
      <c r="M707" s="0" t="str">
        <f aca="false">IF(L707="GEN","GM",L707)</f>
        <v>GS</v>
      </c>
    </row>
    <row r="708" customFormat="false" ht="15" hidden="false" customHeight="false" outlineLevel="0" collapsed="false">
      <c r="A708" s="0" t="s">
        <v>7685</v>
      </c>
      <c r="B708" s="0" t="s">
        <v>7686</v>
      </c>
      <c r="C708" s="0" t="s">
        <v>6290</v>
      </c>
      <c r="D708" s="0" t="s">
        <v>2088</v>
      </c>
      <c r="E708" s="31" t="n">
        <v>45688</v>
      </c>
      <c r="F708" s="32" t="s">
        <v>1125</v>
      </c>
      <c r="G708" s="0" t="n">
        <v>12</v>
      </c>
      <c r="H708" s="0" t="n">
        <v>12</v>
      </c>
      <c r="I708" s="32" t="s">
        <v>2106</v>
      </c>
      <c r="J708" s="32" t="s">
        <v>2081</v>
      </c>
      <c r="K708" s="0" t="n">
        <v>0</v>
      </c>
      <c r="L708" s="32" t="s">
        <v>776</v>
      </c>
      <c r="M708" s="0" t="str">
        <f aca="false">IF(L708="GEN","GM",L708)</f>
        <v>GS</v>
      </c>
    </row>
    <row r="709" customFormat="false" ht="15" hidden="false" customHeight="false" outlineLevel="0" collapsed="false">
      <c r="A709" s="0" t="s">
        <v>7687</v>
      </c>
      <c r="C709" s="0" t="s">
        <v>6282</v>
      </c>
      <c r="D709" s="0" t="s">
        <v>2079</v>
      </c>
      <c r="E709" s="31" t="n">
        <v>45688</v>
      </c>
      <c r="F709" s="32" t="s">
        <v>6287</v>
      </c>
      <c r="G709" s="0" t="n">
        <v>7.5</v>
      </c>
      <c r="H709" s="0" t="n">
        <v>7.5</v>
      </c>
      <c r="I709" s="32" t="s">
        <v>2081</v>
      </c>
      <c r="J709" s="32" t="s">
        <v>2081</v>
      </c>
      <c r="K709" s="0" t="n">
        <v>0</v>
      </c>
      <c r="L709" s="32" t="s">
        <v>776</v>
      </c>
      <c r="M709" s="0" t="str">
        <f aca="false">IF(L709="GEN","GM",L709)</f>
        <v>GS</v>
      </c>
    </row>
    <row r="710" customFormat="false" ht="15" hidden="false" customHeight="false" outlineLevel="0" collapsed="false">
      <c r="A710" s="0" t="s">
        <v>7688</v>
      </c>
      <c r="B710" s="0" t="s">
        <v>7689</v>
      </c>
      <c r="C710" s="0" t="s">
        <v>6282</v>
      </c>
      <c r="D710" s="0" t="s">
        <v>2079</v>
      </c>
      <c r="E710" s="31" t="n">
        <v>45688</v>
      </c>
      <c r="F710" s="32" t="s">
        <v>6283</v>
      </c>
      <c r="G710" s="0" t="n">
        <v>11.5</v>
      </c>
      <c r="H710" s="0" t="n">
        <v>11.5</v>
      </c>
      <c r="I710" s="32" t="s">
        <v>2081</v>
      </c>
      <c r="J710" s="32" t="s">
        <v>2081</v>
      </c>
      <c r="K710" s="0" t="n">
        <v>0</v>
      </c>
      <c r="L710" s="32" t="s">
        <v>785</v>
      </c>
      <c r="M710" s="0" t="str">
        <f aca="false">IF(L710="GEN","GM",L710)</f>
        <v>RS</v>
      </c>
    </row>
    <row r="711" customFormat="false" ht="15" hidden="false" customHeight="false" outlineLevel="0" collapsed="false">
      <c r="A711" s="0" t="s">
        <v>7690</v>
      </c>
      <c r="B711" s="0" t="s">
        <v>7691</v>
      </c>
      <c r="C711" s="0" t="s">
        <v>6290</v>
      </c>
      <c r="D711" s="0" t="s">
        <v>2079</v>
      </c>
      <c r="E711" s="31" t="n">
        <v>45688</v>
      </c>
      <c r="F711" s="32" t="s">
        <v>1125</v>
      </c>
      <c r="G711" s="0" t="n">
        <v>12</v>
      </c>
      <c r="H711" s="0" t="n">
        <v>12</v>
      </c>
      <c r="I711" s="32" t="s">
        <v>2081</v>
      </c>
      <c r="J711" s="32" t="s">
        <v>2081</v>
      </c>
      <c r="K711" s="0" t="n">
        <v>0</v>
      </c>
      <c r="L711" s="32" t="s">
        <v>747</v>
      </c>
      <c r="M711" s="0" t="str">
        <f aca="false">IF(L711="GEN","GM",L711)</f>
        <v>GM</v>
      </c>
    </row>
    <row r="712" customFormat="false" ht="15" hidden="false" customHeight="false" outlineLevel="0" collapsed="false">
      <c r="A712" s="0" t="s">
        <v>7692</v>
      </c>
      <c r="B712" s="0" t="s">
        <v>7693</v>
      </c>
      <c r="C712" s="0" t="s">
        <v>6295</v>
      </c>
      <c r="D712" s="0" t="s">
        <v>2099</v>
      </c>
      <c r="E712" s="31" t="n">
        <v>45688</v>
      </c>
      <c r="F712" s="32" t="s">
        <v>1125</v>
      </c>
      <c r="G712" s="0" t="n">
        <v>12</v>
      </c>
      <c r="H712" s="0" t="n">
        <v>12</v>
      </c>
      <c r="I712" s="32" t="s">
        <v>2081</v>
      </c>
      <c r="J712" s="32" t="s">
        <v>2081</v>
      </c>
      <c r="K712" s="0" t="n">
        <v>0</v>
      </c>
      <c r="L712" s="32" t="s">
        <v>758</v>
      </c>
      <c r="M712" s="0" t="str">
        <f aca="false">IF(L712="GEN","GM",L712)</f>
        <v>CS</v>
      </c>
    </row>
    <row r="713" customFormat="false" ht="15" hidden="false" customHeight="false" outlineLevel="0" collapsed="false">
      <c r="A713" s="0" t="s">
        <v>7694</v>
      </c>
      <c r="B713" s="0" t="s">
        <v>7695</v>
      </c>
      <c r="C713" s="0" t="s">
        <v>6286</v>
      </c>
      <c r="D713" s="0" t="s">
        <v>2099</v>
      </c>
      <c r="E713" s="31" t="n">
        <v>45688</v>
      </c>
      <c r="F713" s="32" t="s">
        <v>1125</v>
      </c>
      <c r="G713" s="0" t="n">
        <v>12</v>
      </c>
      <c r="H713" s="0" t="n">
        <v>12.5</v>
      </c>
      <c r="I713" s="32" t="s">
        <v>2081</v>
      </c>
      <c r="J713" s="32" t="s">
        <v>2081</v>
      </c>
      <c r="K713" s="0" t="n">
        <v>0.5</v>
      </c>
      <c r="L713" s="32" t="s">
        <v>826</v>
      </c>
      <c r="M713" s="0" t="str">
        <f aca="false">IF(L713="GEN","GM",L713)</f>
        <v>RHE</v>
      </c>
    </row>
    <row r="714" customFormat="false" ht="15" hidden="false" customHeight="false" outlineLevel="0" collapsed="false">
      <c r="A714" s="0" t="s">
        <v>7696</v>
      </c>
      <c r="B714" s="0" t="s">
        <v>7697</v>
      </c>
      <c r="C714" s="0" t="s">
        <v>6295</v>
      </c>
      <c r="D714" s="0" t="s">
        <v>2099</v>
      </c>
      <c r="E714" s="31" t="n">
        <v>45688</v>
      </c>
      <c r="F714" s="32" t="s">
        <v>1125</v>
      </c>
      <c r="G714" s="0" t="n">
        <v>12</v>
      </c>
      <c r="H714" s="0" t="n">
        <v>12</v>
      </c>
      <c r="I714" s="32" t="s">
        <v>2081</v>
      </c>
      <c r="J714" s="32" t="s">
        <v>2081</v>
      </c>
      <c r="K714" s="0" t="n">
        <v>0</v>
      </c>
      <c r="L714" s="32" t="s">
        <v>747</v>
      </c>
      <c r="M714" s="0" t="str">
        <f aca="false">IF(L714="GEN","GM",L714)</f>
        <v>GM</v>
      </c>
    </row>
    <row r="715" customFormat="false" ht="15" hidden="false" customHeight="false" outlineLevel="0" collapsed="false">
      <c r="A715" s="0" t="s">
        <v>7698</v>
      </c>
      <c r="B715" s="0" t="s">
        <v>7699</v>
      </c>
      <c r="C715" s="0" t="s">
        <v>6286</v>
      </c>
      <c r="D715" s="0" t="s">
        <v>2099</v>
      </c>
      <c r="E715" s="31" t="n">
        <v>45688</v>
      </c>
      <c r="F715" s="32" t="s">
        <v>6283</v>
      </c>
      <c r="G715" s="0" t="n">
        <v>11.5</v>
      </c>
      <c r="H715" s="0" t="n">
        <v>11.5</v>
      </c>
      <c r="I715" s="32" t="s">
        <v>2106</v>
      </c>
      <c r="J715" s="32" t="s">
        <v>2081</v>
      </c>
      <c r="K715" s="0" t="n">
        <v>0</v>
      </c>
      <c r="L715" s="32" t="s">
        <v>802</v>
      </c>
      <c r="M715" s="0" t="str">
        <f aca="false">IF(L715="GEN","GM",L715)</f>
        <v>GYN</v>
      </c>
    </row>
    <row r="716" customFormat="false" ht="15" hidden="false" customHeight="false" outlineLevel="0" collapsed="false">
      <c r="A716" s="0" t="s">
        <v>7700</v>
      </c>
      <c r="B716" s="0" t="s">
        <v>7701</v>
      </c>
      <c r="C716" s="0" t="s">
        <v>6295</v>
      </c>
      <c r="D716" s="0" t="s">
        <v>2115</v>
      </c>
      <c r="E716" s="31" t="n">
        <v>45688</v>
      </c>
      <c r="F716" s="32" t="s">
        <v>6287</v>
      </c>
      <c r="G716" s="0" t="n">
        <v>7.5</v>
      </c>
      <c r="H716" s="0" t="n">
        <v>7.5</v>
      </c>
      <c r="I716" s="32" t="s">
        <v>2081</v>
      </c>
      <c r="J716" s="32" t="s">
        <v>2081</v>
      </c>
      <c r="K716" s="0" t="n">
        <v>0</v>
      </c>
      <c r="L716" s="32" t="s">
        <v>793</v>
      </c>
      <c r="M716" s="0" t="str">
        <f aca="false">IF(L716="GEN","GM",L716)</f>
        <v>EM</v>
      </c>
    </row>
    <row r="717" customFormat="false" ht="15" hidden="false" customHeight="false" outlineLevel="0" collapsed="false">
      <c r="A717" s="0" t="s">
        <v>7702</v>
      </c>
      <c r="B717" s="0" t="s">
        <v>7703</v>
      </c>
      <c r="C717" s="0" t="s">
        <v>6290</v>
      </c>
      <c r="D717" s="0" t="s">
        <v>2115</v>
      </c>
      <c r="E717" s="31" t="n">
        <v>45688</v>
      </c>
      <c r="F717" s="32" t="s">
        <v>6283</v>
      </c>
      <c r="G717" s="0" t="n">
        <v>11.5</v>
      </c>
      <c r="H717" s="0" t="n">
        <v>11.5</v>
      </c>
      <c r="I717" s="32" t="s">
        <v>2081</v>
      </c>
      <c r="J717" s="32" t="s">
        <v>2081</v>
      </c>
      <c r="K717" s="0" t="n">
        <v>0</v>
      </c>
      <c r="L717" s="32" t="s">
        <v>826</v>
      </c>
      <c r="M717" s="0" t="str">
        <f aca="false">IF(L717="GEN","GM",L717)</f>
        <v>RHE</v>
      </c>
    </row>
    <row r="718" customFormat="false" ht="15" hidden="false" customHeight="false" outlineLevel="0" collapsed="false">
      <c r="A718" s="0" t="s">
        <v>7704</v>
      </c>
      <c r="B718" s="0" t="s">
        <v>7705</v>
      </c>
      <c r="C718" s="0" t="s">
        <v>780</v>
      </c>
      <c r="D718" s="0" t="s">
        <v>2115</v>
      </c>
      <c r="E718" s="31" t="n">
        <v>45688</v>
      </c>
      <c r="F718" s="32" t="s">
        <v>1125</v>
      </c>
      <c r="G718" s="0" t="n">
        <v>12</v>
      </c>
      <c r="H718" s="0" t="n">
        <v>12.5</v>
      </c>
      <c r="I718" s="32" t="s">
        <v>2081</v>
      </c>
      <c r="J718" s="32" t="s">
        <v>2106</v>
      </c>
      <c r="K718" s="0" t="n">
        <v>0.5</v>
      </c>
      <c r="L718" s="32" t="s">
        <v>785</v>
      </c>
      <c r="M718" s="0" t="str">
        <f aca="false">IF(L718="GEN","GM",L718)</f>
        <v>RS</v>
      </c>
    </row>
    <row r="719" customFormat="false" ht="15" hidden="false" customHeight="false" outlineLevel="0" collapsed="false">
      <c r="A719" s="0" t="s">
        <v>7706</v>
      </c>
      <c r="B719" s="0" t="s">
        <v>7707</v>
      </c>
      <c r="C719" s="0" t="s">
        <v>6286</v>
      </c>
      <c r="D719" s="0" t="s">
        <v>2115</v>
      </c>
      <c r="E719" s="31" t="n">
        <v>45688</v>
      </c>
      <c r="F719" s="32" t="s">
        <v>1125</v>
      </c>
      <c r="G719" s="0" t="n">
        <v>12</v>
      </c>
      <c r="H719" s="0" t="n">
        <v>12</v>
      </c>
      <c r="I719" s="32" t="s">
        <v>2081</v>
      </c>
      <c r="J719" s="32" t="s">
        <v>2081</v>
      </c>
      <c r="K719" s="0" t="n">
        <v>0</v>
      </c>
      <c r="L719" s="32" t="s">
        <v>766</v>
      </c>
      <c r="M719" s="0" t="str">
        <f aca="false">IF(L719="GEN","GM",L719)</f>
        <v>OR</v>
      </c>
    </row>
    <row r="720" customFormat="false" ht="15" hidden="false" customHeight="false" outlineLevel="0" collapsed="false">
      <c r="A720" s="0" t="s">
        <v>7708</v>
      </c>
      <c r="B720" s="0" t="s">
        <v>7709</v>
      </c>
      <c r="C720" s="0" t="s">
        <v>6295</v>
      </c>
      <c r="D720" s="0" t="s">
        <v>2115</v>
      </c>
      <c r="E720" s="31" t="n">
        <v>45688</v>
      </c>
      <c r="F720" s="32" t="s">
        <v>6283</v>
      </c>
      <c r="G720" s="0" t="n">
        <v>11.5</v>
      </c>
      <c r="H720" s="0" t="n">
        <v>11.5</v>
      </c>
      <c r="I720" s="32" t="s">
        <v>2081</v>
      </c>
      <c r="J720" s="32" t="s">
        <v>2081</v>
      </c>
      <c r="K720" s="0" t="n">
        <v>0</v>
      </c>
      <c r="L720" s="32" t="s">
        <v>766</v>
      </c>
      <c r="M720" s="0" t="str">
        <f aca="false">IF(L720="GEN","GM",L720)</f>
        <v>OR</v>
      </c>
    </row>
    <row r="721" customFormat="false" ht="15" hidden="false" customHeight="false" outlineLevel="0" collapsed="false">
      <c r="A721" s="0" t="s">
        <v>7710</v>
      </c>
      <c r="B721" s="0" t="s">
        <v>7711</v>
      </c>
      <c r="C721" s="0" t="s">
        <v>6295</v>
      </c>
      <c r="D721" s="0" t="s">
        <v>2124</v>
      </c>
      <c r="E721" s="31" t="n">
        <v>45688</v>
      </c>
      <c r="F721" s="32" t="s">
        <v>6283</v>
      </c>
      <c r="G721" s="0" t="n">
        <v>11.5</v>
      </c>
      <c r="H721" s="0" t="n">
        <v>11.5</v>
      </c>
      <c r="I721" s="32" t="s">
        <v>2106</v>
      </c>
      <c r="J721" s="32" t="s">
        <v>2081</v>
      </c>
      <c r="K721" s="0" t="n">
        <v>0</v>
      </c>
      <c r="L721" s="32" t="s">
        <v>810</v>
      </c>
      <c r="M721" s="0" t="str">
        <f aca="false">IF(L721="GEN","GM",L721)</f>
        <v>URO</v>
      </c>
    </row>
    <row r="722" customFormat="false" ht="15" hidden="false" customHeight="false" outlineLevel="0" collapsed="false">
      <c r="A722" s="0" t="s">
        <v>7712</v>
      </c>
      <c r="B722" s="0" t="s">
        <v>7713</v>
      </c>
      <c r="C722" s="0" t="s">
        <v>6290</v>
      </c>
      <c r="D722" s="0" t="s">
        <v>2124</v>
      </c>
      <c r="E722" s="31" t="n">
        <v>45688</v>
      </c>
      <c r="F722" s="32" t="s">
        <v>6283</v>
      </c>
      <c r="G722" s="0" t="n">
        <v>11.5</v>
      </c>
      <c r="H722" s="0" t="n">
        <v>11.5</v>
      </c>
      <c r="I722" s="32" t="s">
        <v>2081</v>
      </c>
      <c r="J722" s="32" t="s">
        <v>2081</v>
      </c>
      <c r="K722" s="0" t="n">
        <v>0</v>
      </c>
      <c r="L722" s="32" t="s">
        <v>810</v>
      </c>
      <c r="M722" s="0" t="str">
        <f aca="false">IF(L722="GEN","GM",L722)</f>
        <v>URO</v>
      </c>
    </row>
    <row r="723" customFormat="false" ht="15" hidden="false" customHeight="false" outlineLevel="0" collapsed="false">
      <c r="A723" s="0" t="s">
        <v>7714</v>
      </c>
      <c r="B723" s="0" t="s">
        <v>7715</v>
      </c>
      <c r="C723" s="0" t="s">
        <v>780</v>
      </c>
      <c r="D723" s="0" t="s">
        <v>2124</v>
      </c>
      <c r="E723" s="31" t="n">
        <v>45688</v>
      </c>
      <c r="F723" s="32" t="s">
        <v>6287</v>
      </c>
      <c r="G723" s="0" t="n">
        <v>7.5</v>
      </c>
      <c r="H723" s="0" t="n">
        <v>7.5</v>
      </c>
      <c r="I723" s="32" t="s">
        <v>2106</v>
      </c>
      <c r="J723" s="32" t="s">
        <v>2081</v>
      </c>
      <c r="K723" s="0" t="n">
        <v>0</v>
      </c>
      <c r="L723" s="32" t="s">
        <v>776</v>
      </c>
      <c r="M723" s="0" t="str">
        <f aca="false">IF(L723="GEN","GM",L723)</f>
        <v>GS</v>
      </c>
    </row>
    <row r="724" customFormat="false" ht="15" hidden="false" customHeight="false" outlineLevel="0" collapsed="false">
      <c r="A724" s="0" t="s">
        <v>7716</v>
      </c>
      <c r="B724" s="0" t="s">
        <v>7717</v>
      </c>
      <c r="C724" s="0" t="s">
        <v>6290</v>
      </c>
      <c r="D724" s="0" t="s">
        <v>2124</v>
      </c>
      <c r="E724" s="31" t="n">
        <v>45688</v>
      </c>
      <c r="F724" s="32" t="s">
        <v>6287</v>
      </c>
      <c r="G724" s="0" t="n">
        <v>7.5</v>
      </c>
      <c r="H724" s="0" t="n">
        <v>7.5</v>
      </c>
      <c r="I724" s="32" t="s">
        <v>2081</v>
      </c>
      <c r="J724" s="32" t="s">
        <v>2081</v>
      </c>
      <c r="K724" s="0" t="n">
        <v>0</v>
      </c>
      <c r="L724" s="32" t="s">
        <v>826</v>
      </c>
      <c r="M724" s="0" t="str">
        <f aca="false">IF(L724="GEN","GM",L724)</f>
        <v>RHE</v>
      </c>
    </row>
    <row r="725" customFormat="false" ht="15" hidden="false" customHeight="false" outlineLevel="0" collapsed="false">
      <c r="A725" s="0" t="s">
        <v>7718</v>
      </c>
      <c r="B725" s="0" t="s">
        <v>7719</v>
      </c>
      <c r="C725" s="0" t="s">
        <v>6295</v>
      </c>
      <c r="D725" s="0" t="s">
        <v>2124</v>
      </c>
      <c r="E725" s="31" t="n">
        <v>45688</v>
      </c>
      <c r="F725" s="32" t="s">
        <v>6287</v>
      </c>
      <c r="G725" s="0" t="n">
        <v>7.5</v>
      </c>
      <c r="H725" s="0" t="n">
        <v>7.5</v>
      </c>
      <c r="I725" s="32" t="s">
        <v>2081</v>
      </c>
      <c r="J725" s="32" t="s">
        <v>2081</v>
      </c>
      <c r="K725" s="0" t="n">
        <v>0</v>
      </c>
      <c r="L725" s="32" t="s">
        <v>747</v>
      </c>
      <c r="M725" s="0" t="str">
        <f aca="false">IF(L725="GEN","GM",L725)</f>
        <v>GM</v>
      </c>
    </row>
    <row r="726" customFormat="false" ht="15" hidden="false" customHeight="false" outlineLevel="0" collapsed="false">
      <c r="A726" s="0" t="s">
        <v>7720</v>
      </c>
      <c r="B726" s="0" t="s">
        <v>7721</v>
      </c>
      <c r="C726" s="0" t="s">
        <v>6286</v>
      </c>
      <c r="D726" s="0" t="s">
        <v>2104</v>
      </c>
      <c r="E726" s="31" t="n">
        <v>45688</v>
      </c>
      <c r="F726" s="32" t="s">
        <v>1125</v>
      </c>
      <c r="G726" s="0" t="n">
        <v>12</v>
      </c>
      <c r="H726" s="0" t="n">
        <v>12</v>
      </c>
      <c r="I726" s="32" t="s">
        <v>2081</v>
      </c>
      <c r="J726" s="32" t="s">
        <v>2081</v>
      </c>
      <c r="K726" s="0" t="n">
        <v>0</v>
      </c>
      <c r="L726" s="32" t="s">
        <v>747</v>
      </c>
      <c r="M726" s="0" t="str">
        <f aca="false">IF(L726="GEN","GM",L726)</f>
        <v>GM</v>
      </c>
    </row>
    <row r="727" customFormat="false" ht="15" hidden="false" customHeight="false" outlineLevel="0" collapsed="false">
      <c r="A727" s="0" t="s">
        <v>7722</v>
      </c>
      <c r="B727" s="0" t="s">
        <v>7723</v>
      </c>
      <c r="C727" s="0" t="s">
        <v>780</v>
      </c>
      <c r="D727" s="0" t="s">
        <v>2104</v>
      </c>
      <c r="E727" s="31" t="n">
        <v>45688</v>
      </c>
      <c r="F727" s="32" t="s">
        <v>6283</v>
      </c>
      <c r="G727" s="0" t="n">
        <v>11.5</v>
      </c>
      <c r="H727" s="0" t="n">
        <v>11.5</v>
      </c>
      <c r="I727" s="32" t="s">
        <v>2081</v>
      </c>
      <c r="J727" s="32" t="s">
        <v>2081</v>
      </c>
      <c r="K727" s="0" t="n">
        <v>0</v>
      </c>
      <c r="L727" s="32" t="s">
        <v>785</v>
      </c>
      <c r="M727" s="0" t="str">
        <f aca="false">IF(L727="GEN","GM",L727)</f>
        <v>RS</v>
      </c>
    </row>
    <row r="728" customFormat="false" ht="15" hidden="false" customHeight="false" outlineLevel="0" collapsed="false">
      <c r="A728" s="0" t="s">
        <v>7724</v>
      </c>
      <c r="B728" s="0" t="s">
        <v>7725</v>
      </c>
      <c r="C728" s="0" t="s">
        <v>6295</v>
      </c>
      <c r="D728" s="0" t="s">
        <v>2104</v>
      </c>
      <c r="E728" s="31" t="n">
        <v>45688</v>
      </c>
      <c r="F728" s="32" t="s">
        <v>6287</v>
      </c>
      <c r="G728" s="0" t="n">
        <v>7.5</v>
      </c>
      <c r="H728" s="0" t="n">
        <v>7.5</v>
      </c>
      <c r="I728" s="32" t="s">
        <v>2081</v>
      </c>
      <c r="K728" s="0" t="n">
        <v>0</v>
      </c>
      <c r="L728" s="32" t="s">
        <v>802</v>
      </c>
      <c r="M728" s="0" t="str">
        <f aca="false">IF(L728="GEN","GM",L728)</f>
        <v>GYN</v>
      </c>
    </row>
    <row r="729" customFormat="false" ht="15" hidden="false" customHeight="false" outlineLevel="0" collapsed="false">
      <c r="A729" s="0" t="s">
        <v>7726</v>
      </c>
      <c r="B729" s="0" t="s">
        <v>7727</v>
      </c>
      <c r="C729" s="0" t="s">
        <v>6295</v>
      </c>
      <c r="D729" s="0" t="s">
        <v>2104</v>
      </c>
      <c r="E729" s="31" t="n">
        <v>45688</v>
      </c>
      <c r="F729" s="32" t="s">
        <v>6287</v>
      </c>
      <c r="G729" s="0" t="n">
        <v>7.5</v>
      </c>
      <c r="H729" s="0" t="n">
        <v>7.5</v>
      </c>
      <c r="I729" s="32" t="s">
        <v>2081</v>
      </c>
      <c r="J729" s="32" t="s">
        <v>2081</v>
      </c>
      <c r="K729" s="0" t="n">
        <v>0</v>
      </c>
      <c r="L729" s="32" t="s">
        <v>758</v>
      </c>
      <c r="M729" s="0" t="str">
        <f aca="false">IF(L729="GEN","GM",L729)</f>
        <v>CS</v>
      </c>
    </row>
    <row r="730" customFormat="false" ht="15" hidden="false" customHeight="false" outlineLevel="0" collapsed="false">
      <c r="A730" s="0" t="s">
        <v>7728</v>
      </c>
      <c r="B730" s="0" t="s">
        <v>7729</v>
      </c>
      <c r="C730" s="0" t="s">
        <v>6295</v>
      </c>
      <c r="D730" s="0" t="s">
        <v>2104</v>
      </c>
      <c r="E730" s="31" t="n">
        <v>45688</v>
      </c>
      <c r="F730" s="32" t="s">
        <v>6287</v>
      </c>
      <c r="G730" s="0" t="n">
        <v>7.5</v>
      </c>
      <c r="H730" s="0" t="n">
        <v>6.6</v>
      </c>
      <c r="I730" s="32" t="s">
        <v>2081</v>
      </c>
      <c r="J730" s="32" t="s">
        <v>2081</v>
      </c>
      <c r="K730" s="0" t="n">
        <v>0</v>
      </c>
      <c r="L730" s="32" t="s">
        <v>793</v>
      </c>
      <c r="M730" s="0" t="str">
        <f aca="false">IF(L730="GEN","GM",L730)</f>
        <v>EM</v>
      </c>
    </row>
    <row r="731" customFormat="false" ht="15" hidden="false" customHeight="false" outlineLevel="0" collapsed="false">
      <c r="A731" s="0" t="s">
        <v>7730</v>
      </c>
      <c r="B731" s="0" t="s">
        <v>7417</v>
      </c>
      <c r="C731" s="0" t="s">
        <v>780</v>
      </c>
      <c r="D731" s="0" t="s">
        <v>3035</v>
      </c>
      <c r="E731" s="31" t="n">
        <v>45688</v>
      </c>
      <c r="F731" s="32" t="s">
        <v>6287</v>
      </c>
      <c r="G731" s="0" t="n">
        <v>7.5</v>
      </c>
      <c r="H731" s="0" t="n">
        <v>7.5</v>
      </c>
      <c r="I731" s="32" t="s">
        <v>2081</v>
      </c>
      <c r="J731" s="32" t="s">
        <v>2081</v>
      </c>
      <c r="K731" s="0" t="n">
        <v>0</v>
      </c>
      <c r="L731" s="32" t="s">
        <v>747</v>
      </c>
      <c r="M731" s="0" t="str">
        <f aca="false">IF(L731="GEN","GM",L731)</f>
        <v>GM</v>
      </c>
    </row>
    <row r="732" customFormat="false" ht="15" hidden="false" customHeight="false" outlineLevel="0" collapsed="false">
      <c r="A732" s="0" t="s">
        <v>7731</v>
      </c>
      <c r="B732" s="0" t="s">
        <v>7732</v>
      </c>
      <c r="C732" s="0" t="s">
        <v>6290</v>
      </c>
      <c r="D732" s="0" t="s">
        <v>3035</v>
      </c>
      <c r="E732" s="31" t="n">
        <v>45688</v>
      </c>
      <c r="F732" s="32" t="s">
        <v>6287</v>
      </c>
      <c r="G732" s="0" t="n">
        <v>7.5</v>
      </c>
      <c r="H732" s="0" t="n">
        <v>7.5</v>
      </c>
      <c r="I732" s="32" t="s">
        <v>2081</v>
      </c>
      <c r="J732" s="32" t="s">
        <v>2081</v>
      </c>
      <c r="K732" s="0" t="n">
        <v>0</v>
      </c>
      <c r="L732" s="32" t="s">
        <v>758</v>
      </c>
      <c r="M732" s="0" t="str">
        <f aca="false">IF(L732="GEN","GM",L732)</f>
        <v>CS</v>
      </c>
    </row>
    <row r="733" customFormat="false" ht="15" hidden="false" customHeight="false" outlineLevel="0" collapsed="false">
      <c r="A733" s="0" t="s">
        <v>7733</v>
      </c>
      <c r="B733" s="0" t="s">
        <v>7734</v>
      </c>
      <c r="C733" s="0" t="s">
        <v>6282</v>
      </c>
      <c r="D733" s="0" t="s">
        <v>3035</v>
      </c>
      <c r="E733" s="31" t="n">
        <v>45688</v>
      </c>
      <c r="F733" s="32" t="s">
        <v>6283</v>
      </c>
      <c r="G733" s="0" t="n">
        <v>11.5</v>
      </c>
      <c r="H733" s="0" t="n">
        <v>11.5</v>
      </c>
      <c r="I733" s="32" t="s">
        <v>2081</v>
      </c>
      <c r="J733" s="32" t="s">
        <v>2081</v>
      </c>
      <c r="K733" s="0" t="n">
        <v>0</v>
      </c>
      <c r="L733" s="32" t="s">
        <v>747</v>
      </c>
      <c r="M733" s="0" t="str">
        <f aca="false">IF(L733="GEN","GM",L733)</f>
        <v>GM</v>
      </c>
    </row>
    <row r="734" customFormat="false" ht="15" hidden="false" customHeight="false" outlineLevel="0" collapsed="false">
      <c r="A734" s="0" t="s">
        <v>7735</v>
      </c>
      <c r="B734" s="0" t="s">
        <v>7736</v>
      </c>
      <c r="C734" s="0" t="s">
        <v>6286</v>
      </c>
      <c r="D734" s="0" t="s">
        <v>3035</v>
      </c>
      <c r="E734" s="31" t="n">
        <v>45688</v>
      </c>
      <c r="F734" s="32" t="s">
        <v>1125</v>
      </c>
      <c r="G734" s="0" t="n">
        <v>12</v>
      </c>
      <c r="H734" s="0" t="n">
        <v>12</v>
      </c>
      <c r="I734" s="32" t="s">
        <v>2081</v>
      </c>
      <c r="J734" s="32" t="s">
        <v>2081</v>
      </c>
      <c r="K734" s="0" t="n">
        <v>0</v>
      </c>
      <c r="L734" s="32" t="s">
        <v>758</v>
      </c>
      <c r="M734" s="0" t="str">
        <f aca="false">IF(L734="GEN","GM",L734)</f>
        <v>CS</v>
      </c>
    </row>
    <row r="735" customFormat="false" ht="15" hidden="false" customHeight="false" outlineLevel="0" collapsed="false">
      <c r="A735" s="0" t="s">
        <v>7737</v>
      </c>
      <c r="B735" s="0" t="s">
        <v>7738</v>
      </c>
      <c r="C735" s="0" t="s">
        <v>6295</v>
      </c>
      <c r="D735" s="0" t="s">
        <v>3035</v>
      </c>
      <c r="E735" s="31" t="n">
        <v>45688</v>
      </c>
      <c r="F735" s="32" t="s">
        <v>1125</v>
      </c>
      <c r="G735" s="0" t="n">
        <v>12</v>
      </c>
      <c r="H735" s="0" t="n">
        <v>12</v>
      </c>
      <c r="I735" s="32" t="s">
        <v>2081</v>
      </c>
      <c r="J735" s="32" t="s">
        <v>2081</v>
      </c>
      <c r="K735" s="0" t="n">
        <v>0</v>
      </c>
      <c r="L735" s="32" t="s">
        <v>766</v>
      </c>
      <c r="M735" s="0" t="str">
        <f aca="false">IF(L735="GEN","GM",L735)</f>
        <v>OR</v>
      </c>
    </row>
    <row r="736" customFormat="false" ht="15" hidden="false" customHeight="false" outlineLevel="0" collapsed="false">
      <c r="A736" s="0" t="s">
        <v>7739</v>
      </c>
      <c r="B736" s="0" t="s">
        <v>7740</v>
      </c>
      <c r="C736" s="0" t="s">
        <v>6282</v>
      </c>
      <c r="D736" s="0" t="s">
        <v>2088</v>
      </c>
      <c r="E736" s="31" t="n">
        <v>45689</v>
      </c>
      <c r="F736" s="32" t="s">
        <v>6287</v>
      </c>
      <c r="G736" s="0" t="n">
        <v>7.5</v>
      </c>
      <c r="H736" s="0" t="n">
        <v>7.5</v>
      </c>
      <c r="I736" s="32" t="s">
        <v>2081</v>
      </c>
      <c r="K736" s="0" t="n">
        <v>0</v>
      </c>
      <c r="L736" s="32" t="s">
        <v>747</v>
      </c>
      <c r="M736" s="0" t="str">
        <f aca="false">IF(L736="GEN","GM",L736)</f>
        <v>GM</v>
      </c>
    </row>
    <row r="737" customFormat="false" ht="15" hidden="false" customHeight="false" outlineLevel="0" collapsed="false">
      <c r="A737" s="0" t="s">
        <v>7741</v>
      </c>
      <c r="B737" s="0" t="s">
        <v>7742</v>
      </c>
      <c r="C737" s="0" t="s">
        <v>6282</v>
      </c>
      <c r="D737" s="0" t="s">
        <v>2088</v>
      </c>
      <c r="E737" s="31" t="n">
        <v>45689</v>
      </c>
      <c r="F737" s="32" t="s">
        <v>6287</v>
      </c>
      <c r="G737" s="0" t="n">
        <v>7.5</v>
      </c>
      <c r="H737" s="0" t="n">
        <v>8.4</v>
      </c>
      <c r="I737" s="32" t="s">
        <v>2081</v>
      </c>
      <c r="J737" s="32" t="s">
        <v>2081</v>
      </c>
      <c r="K737" s="0" t="n">
        <v>0.9</v>
      </c>
      <c r="L737" s="32" t="s">
        <v>747</v>
      </c>
      <c r="M737" s="0" t="str">
        <f aca="false">IF(L737="GEN","GM",L737)</f>
        <v>GM</v>
      </c>
    </row>
    <row r="738" customFormat="false" ht="15" hidden="false" customHeight="false" outlineLevel="0" collapsed="false">
      <c r="A738" s="0" t="s">
        <v>7743</v>
      </c>
      <c r="B738" s="0" t="s">
        <v>7744</v>
      </c>
      <c r="C738" s="0" t="s">
        <v>6295</v>
      </c>
      <c r="D738" s="0" t="s">
        <v>2088</v>
      </c>
      <c r="E738" s="31" t="n">
        <v>45689</v>
      </c>
      <c r="F738" s="32" t="s">
        <v>1125</v>
      </c>
      <c r="G738" s="0" t="n">
        <v>12</v>
      </c>
      <c r="H738" s="0" t="n">
        <v>12</v>
      </c>
      <c r="I738" s="32" t="s">
        <v>2081</v>
      </c>
      <c r="J738" s="32" t="s">
        <v>2081</v>
      </c>
      <c r="K738" s="0" t="n">
        <v>0</v>
      </c>
      <c r="L738" s="32" t="s">
        <v>766</v>
      </c>
      <c r="M738" s="0" t="str">
        <f aca="false">IF(L738="GEN","GM",L738)</f>
        <v>OR</v>
      </c>
    </row>
    <row r="739" customFormat="false" ht="15" hidden="false" customHeight="false" outlineLevel="0" collapsed="false">
      <c r="A739" s="0" t="s">
        <v>7745</v>
      </c>
      <c r="B739" s="0" t="s">
        <v>7746</v>
      </c>
      <c r="C739" s="0" t="s">
        <v>6286</v>
      </c>
      <c r="D739" s="0" t="s">
        <v>2088</v>
      </c>
      <c r="E739" s="31" t="n">
        <v>45689</v>
      </c>
      <c r="F739" s="32" t="s">
        <v>1125</v>
      </c>
      <c r="G739" s="0" t="n">
        <v>12</v>
      </c>
      <c r="H739" s="0" t="n">
        <v>12</v>
      </c>
      <c r="I739" s="32" t="s">
        <v>2081</v>
      </c>
      <c r="J739" s="32" t="s">
        <v>2081</v>
      </c>
      <c r="K739" s="0" t="n">
        <v>0</v>
      </c>
      <c r="L739" s="32" t="s">
        <v>758</v>
      </c>
      <c r="M739" s="0" t="str">
        <f aca="false">IF(L739="GEN","GM",L739)</f>
        <v>CS</v>
      </c>
    </row>
    <row r="740" customFormat="false" ht="15" hidden="false" customHeight="false" outlineLevel="0" collapsed="false">
      <c r="A740" s="0" t="s">
        <v>7747</v>
      </c>
      <c r="B740" s="0" t="s">
        <v>7748</v>
      </c>
      <c r="C740" s="0" t="s">
        <v>6295</v>
      </c>
      <c r="D740" s="0" t="s">
        <v>2088</v>
      </c>
      <c r="E740" s="31" t="n">
        <v>45689</v>
      </c>
      <c r="F740" s="32" t="s">
        <v>1125</v>
      </c>
      <c r="G740" s="0" t="n">
        <v>12</v>
      </c>
      <c r="H740" s="0" t="n">
        <v>12.6</v>
      </c>
      <c r="I740" s="32" t="s">
        <v>2081</v>
      </c>
      <c r="J740" s="32" t="s">
        <v>2081</v>
      </c>
      <c r="K740" s="0" t="n">
        <v>0.6</v>
      </c>
      <c r="L740" s="32" t="s">
        <v>810</v>
      </c>
      <c r="M740" s="0" t="str">
        <f aca="false">IF(L740="GEN","GM",L740)</f>
        <v>URO</v>
      </c>
    </row>
    <row r="741" customFormat="false" ht="15" hidden="false" customHeight="false" outlineLevel="0" collapsed="false">
      <c r="A741" s="0" t="s">
        <v>7749</v>
      </c>
      <c r="B741" s="0" t="s">
        <v>7750</v>
      </c>
      <c r="C741" s="0" t="s">
        <v>6295</v>
      </c>
      <c r="D741" s="0" t="s">
        <v>2079</v>
      </c>
      <c r="E741" s="31" t="n">
        <v>45689</v>
      </c>
      <c r="F741" s="32" t="s">
        <v>1125</v>
      </c>
      <c r="G741" s="0" t="n">
        <v>12</v>
      </c>
      <c r="H741" s="0" t="n">
        <v>12</v>
      </c>
      <c r="I741" s="32" t="s">
        <v>2106</v>
      </c>
      <c r="J741" s="32" t="s">
        <v>2081</v>
      </c>
      <c r="K741" s="0" t="n">
        <v>0</v>
      </c>
      <c r="L741" s="32" t="s">
        <v>785</v>
      </c>
      <c r="M741" s="0" t="str">
        <f aca="false">IF(L741="GEN","GM",L741)</f>
        <v>RS</v>
      </c>
    </row>
    <row r="742" customFormat="false" ht="15" hidden="false" customHeight="false" outlineLevel="0" collapsed="false">
      <c r="A742" s="0" t="s">
        <v>7751</v>
      </c>
      <c r="B742" s="0" t="s">
        <v>7752</v>
      </c>
      <c r="C742" s="0" t="s">
        <v>6286</v>
      </c>
      <c r="D742" s="0" t="s">
        <v>2079</v>
      </c>
      <c r="E742" s="31" t="n">
        <v>45689</v>
      </c>
      <c r="F742" s="32" t="s">
        <v>6287</v>
      </c>
      <c r="G742" s="0" t="n">
        <v>7.5</v>
      </c>
      <c r="H742" s="0" t="n">
        <v>7.5</v>
      </c>
      <c r="I742" s="32" t="s">
        <v>2081</v>
      </c>
      <c r="J742" s="32" t="s">
        <v>2081</v>
      </c>
      <c r="K742" s="0" t="n">
        <v>0</v>
      </c>
      <c r="L742" s="32" t="s">
        <v>802</v>
      </c>
      <c r="M742" s="0" t="str">
        <f aca="false">IF(L742="GEN","GM",L742)</f>
        <v>GYN</v>
      </c>
    </row>
    <row r="743" customFormat="false" ht="15" hidden="false" customHeight="false" outlineLevel="0" collapsed="false">
      <c r="A743" s="0" t="s">
        <v>7753</v>
      </c>
      <c r="C743" s="0" t="s">
        <v>6295</v>
      </c>
      <c r="D743" s="0" t="s">
        <v>2079</v>
      </c>
      <c r="E743" s="31" t="n">
        <v>45689</v>
      </c>
      <c r="F743" s="32" t="s">
        <v>6283</v>
      </c>
      <c r="G743" s="0" t="n">
        <v>11.5</v>
      </c>
      <c r="H743" s="0" t="n">
        <v>11.5</v>
      </c>
      <c r="I743" s="32" t="s">
        <v>2081</v>
      </c>
      <c r="J743" s="32" t="s">
        <v>2081</v>
      </c>
      <c r="K743" s="0" t="n">
        <v>0</v>
      </c>
      <c r="L743" s="32" t="s">
        <v>810</v>
      </c>
      <c r="M743" s="0" t="str">
        <f aca="false">IF(L743="GEN","GM",L743)</f>
        <v>URO</v>
      </c>
    </row>
    <row r="744" customFormat="false" ht="15" hidden="false" customHeight="false" outlineLevel="0" collapsed="false">
      <c r="A744" s="0" t="s">
        <v>7754</v>
      </c>
      <c r="B744" s="0" t="s">
        <v>7755</v>
      </c>
      <c r="C744" s="0" t="s">
        <v>6286</v>
      </c>
      <c r="D744" s="0" t="s">
        <v>2079</v>
      </c>
      <c r="E744" s="31" t="n">
        <v>45689</v>
      </c>
      <c r="F744" s="32" t="s">
        <v>1125</v>
      </c>
      <c r="G744" s="0" t="n">
        <v>12</v>
      </c>
      <c r="H744" s="0" t="n">
        <v>12</v>
      </c>
      <c r="I744" s="32" t="s">
        <v>2081</v>
      </c>
      <c r="J744" s="32" t="s">
        <v>2081</v>
      </c>
      <c r="K744" s="0" t="n">
        <v>0</v>
      </c>
      <c r="L744" s="32" t="s">
        <v>802</v>
      </c>
      <c r="M744" s="0" t="str">
        <f aca="false">IF(L744="GEN","GM",L744)</f>
        <v>GYN</v>
      </c>
    </row>
    <row r="745" customFormat="false" ht="15" hidden="false" customHeight="false" outlineLevel="0" collapsed="false">
      <c r="A745" s="0" t="s">
        <v>7756</v>
      </c>
      <c r="B745" s="0" t="s">
        <v>7757</v>
      </c>
      <c r="C745" s="0" t="s">
        <v>6286</v>
      </c>
      <c r="D745" s="0" t="s">
        <v>2099</v>
      </c>
      <c r="E745" s="31" t="n">
        <v>45689</v>
      </c>
      <c r="F745" s="32" t="s">
        <v>1125</v>
      </c>
      <c r="G745" s="0" t="n">
        <v>12</v>
      </c>
      <c r="H745" s="0" t="n">
        <v>12</v>
      </c>
      <c r="I745" s="32" t="s">
        <v>2081</v>
      </c>
      <c r="J745" s="32" t="s">
        <v>2081</v>
      </c>
      <c r="K745" s="0" t="n">
        <v>0</v>
      </c>
      <c r="L745" s="32" t="s">
        <v>747</v>
      </c>
      <c r="M745" s="0" t="str">
        <f aca="false">IF(L745="GEN","GM",L745)</f>
        <v>GM</v>
      </c>
    </row>
    <row r="746" customFormat="false" ht="15" hidden="false" customHeight="false" outlineLevel="0" collapsed="false">
      <c r="A746" s="0" t="s">
        <v>7758</v>
      </c>
      <c r="B746" s="0" t="s">
        <v>7759</v>
      </c>
      <c r="C746" s="0" t="s">
        <v>6286</v>
      </c>
      <c r="D746" s="0" t="s">
        <v>2099</v>
      </c>
      <c r="E746" s="31" t="n">
        <v>45689</v>
      </c>
      <c r="F746" s="32" t="s">
        <v>6287</v>
      </c>
      <c r="G746" s="0" t="n">
        <v>7.5</v>
      </c>
      <c r="H746" s="0" t="n">
        <v>7.5</v>
      </c>
      <c r="I746" s="32" t="s">
        <v>2106</v>
      </c>
      <c r="J746" s="32" t="s">
        <v>2081</v>
      </c>
      <c r="K746" s="0" t="n">
        <v>0</v>
      </c>
      <c r="L746" s="32" t="s">
        <v>793</v>
      </c>
      <c r="M746" s="0" t="str">
        <f aca="false">IF(L746="GEN","GM",L746)</f>
        <v>EM</v>
      </c>
    </row>
    <row r="747" customFormat="false" ht="15" hidden="false" customHeight="false" outlineLevel="0" collapsed="false">
      <c r="A747" s="0" t="s">
        <v>7760</v>
      </c>
      <c r="B747" s="0" t="s">
        <v>7761</v>
      </c>
      <c r="C747" s="0" t="s">
        <v>6290</v>
      </c>
      <c r="D747" s="0" t="s">
        <v>2099</v>
      </c>
      <c r="E747" s="31" t="n">
        <v>45689</v>
      </c>
      <c r="F747" s="32" t="s">
        <v>1125</v>
      </c>
      <c r="G747" s="0" t="n">
        <v>12</v>
      </c>
      <c r="H747" s="0" t="n">
        <v>12</v>
      </c>
      <c r="I747" s="32" t="s">
        <v>2081</v>
      </c>
      <c r="J747" s="32" t="s">
        <v>2106</v>
      </c>
      <c r="K747" s="0" t="n">
        <v>0</v>
      </c>
      <c r="L747" s="32" t="s">
        <v>747</v>
      </c>
      <c r="M747" s="0" t="str">
        <f aca="false">IF(L747="GEN","GM",L747)</f>
        <v>GM</v>
      </c>
    </row>
    <row r="748" customFormat="false" ht="15" hidden="false" customHeight="false" outlineLevel="0" collapsed="false">
      <c r="A748" s="0" t="s">
        <v>7762</v>
      </c>
      <c r="B748" s="0" t="s">
        <v>7763</v>
      </c>
      <c r="C748" s="0" t="s">
        <v>6286</v>
      </c>
      <c r="D748" s="0" t="s">
        <v>2099</v>
      </c>
      <c r="E748" s="31" t="n">
        <v>45689</v>
      </c>
      <c r="F748" s="32" t="s">
        <v>6287</v>
      </c>
      <c r="G748" s="0" t="n">
        <v>7.5</v>
      </c>
      <c r="H748" s="0" t="n">
        <v>7.5</v>
      </c>
      <c r="I748" s="32" t="s">
        <v>2081</v>
      </c>
      <c r="J748" s="32" t="s">
        <v>2081</v>
      </c>
      <c r="K748" s="0" t="n">
        <v>0</v>
      </c>
      <c r="L748" s="32" t="s">
        <v>747</v>
      </c>
      <c r="M748" s="0" t="str">
        <f aca="false">IF(L748="GEN","GM",L748)</f>
        <v>GM</v>
      </c>
    </row>
    <row r="749" customFormat="false" ht="15" hidden="false" customHeight="false" outlineLevel="0" collapsed="false">
      <c r="A749" s="0" t="s">
        <v>7764</v>
      </c>
      <c r="B749" s="0" t="s">
        <v>7765</v>
      </c>
      <c r="C749" s="0" t="s">
        <v>6295</v>
      </c>
      <c r="D749" s="0" t="s">
        <v>2099</v>
      </c>
      <c r="E749" s="31" t="n">
        <v>45689</v>
      </c>
      <c r="F749" s="32" t="s">
        <v>1125</v>
      </c>
      <c r="G749" s="0" t="n">
        <v>12</v>
      </c>
      <c r="H749" s="0" t="n">
        <v>12</v>
      </c>
      <c r="I749" s="32" t="s">
        <v>2081</v>
      </c>
      <c r="J749" s="32" t="s">
        <v>2081</v>
      </c>
      <c r="K749" s="0" t="n">
        <v>0</v>
      </c>
      <c r="L749" s="32" t="s">
        <v>747</v>
      </c>
      <c r="M749" s="0" t="str">
        <f aca="false">IF(L749="GEN","GM",L749)</f>
        <v>GM</v>
      </c>
    </row>
    <row r="750" customFormat="false" ht="15" hidden="false" customHeight="false" outlineLevel="0" collapsed="false">
      <c r="A750" s="0" t="s">
        <v>7766</v>
      </c>
      <c r="B750" s="0" t="s">
        <v>7767</v>
      </c>
      <c r="C750" s="0" t="s">
        <v>6295</v>
      </c>
      <c r="D750" s="0" t="s">
        <v>2115</v>
      </c>
      <c r="E750" s="31" t="n">
        <v>45689</v>
      </c>
      <c r="F750" s="32" t="s">
        <v>6287</v>
      </c>
      <c r="G750" s="0" t="n">
        <v>7.5</v>
      </c>
      <c r="H750" s="0" t="n">
        <v>7.5</v>
      </c>
      <c r="I750" s="32" t="s">
        <v>2081</v>
      </c>
      <c r="J750" s="32" t="s">
        <v>2081</v>
      </c>
      <c r="K750" s="0" t="n">
        <v>0</v>
      </c>
      <c r="L750" s="32" t="s">
        <v>766</v>
      </c>
      <c r="M750" s="0" t="str">
        <f aca="false">IF(L750="GEN","GM",L750)</f>
        <v>OR</v>
      </c>
    </row>
    <row r="751" customFormat="false" ht="15" hidden="false" customHeight="false" outlineLevel="0" collapsed="false">
      <c r="A751" s="0" t="s">
        <v>7768</v>
      </c>
      <c r="B751" s="0" t="s">
        <v>7769</v>
      </c>
      <c r="C751" s="0" t="s">
        <v>780</v>
      </c>
      <c r="D751" s="0" t="s">
        <v>2115</v>
      </c>
      <c r="E751" s="31" t="n">
        <v>45689</v>
      </c>
      <c r="F751" s="32" t="s">
        <v>6283</v>
      </c>
      <c r="G751" s="0" t="n">
        <v>11.5</v>
      </c>
      <c r="H751" s="0" t="n">
        <v>11.5</v>
      </c>
      <c r="I751" s="32" t="s">
        <v>2106</v>
      </c>
      <c r="J751" s="32" t="s">
        <v>2106</v>
      </c>
      <c r="K751" s="0" t="n">
        <v>0</v>
      </c>
      <c r="L751" s="32" t="s">
        <v>776</v>
      </c>
      <c r="M751" s="0" t="str">
        <f aca="false">IF(L751="GEN","GM",L751)</f>
        <v>GS</v>
      </c>
    </row>
    <row r="752" customFormat="false" ht="15" hidden="false" customHeight="false" outlineLevel="0" collapsed="false">
      <c r="A752" s="0" t="s">
        <v>7770</v>
      </c>
      <c r="B752" s="0" t="s">
        <v>7771</v>
      </c>
      <c r="C752" s="0" t="s">
        <v>6290</v>
      </c>
      <c r="D752" s="0" t="s">
        <v>2115</v>
      </c>
      <c r="E752" s="31" t="n">
        <v>45689</v>
      </c>
      <c r="F752" s="32" t="s">
        <v>6283</v>
      </c>
      <c r="G752" s="0" t="n">
        <v>11.5</v>
      </c>
      <c r="H752" s="0" t="n">
        <v>11.5</v>
      </c>
      <c r="I752" s="32" t="s">
        <v>2081</v>
      </c>
      <c r="J752" s="32" t="s">
        <v>2081</v>
      </c>
      <c r="K752" s="0" t="n">
        <v>0</v>
      </c>
      <c r="L752" s="32" t="s">
        <v>776</v>
      </c>
      <c r="M752" s="0" t="str">
        <f aca="false">IF(L752="GEN","GM",L752)</f>
        <v>GS</v>
      </c>
    </row>
    <row r="753" customFormat="false" ht="15" hidden="false" customHeight="false" outlineLevel="0" collapsed="false">
      <c r="A753" s="0" t="s">
        <v>7772</v>
      </c>
      <c r="B753" s="0" t="s">
        <v>7773</v>
      </c>
      <c r="C753" s="0" t="s">
        <v>6295</v>
      </c>
      <c r="D753" s="0" t="s">
        <v>2115</v>
      </c>
      <c r="E753" s="31" t="n">
        <v>45689</v>
      </c>
      <c r="F753" s="32" t="s">
        <v>1125</v>
      </c>
      <c r="G753" s="0" t="n">
        <v>12</v>
      </c>
      <c r="H753" s="0" t="n">
        <v>12</v>
      </c>
      <c r="I753" s="32" t="s">
        <v>2081</v>
      </c>
      <c r="J753" s="32" t="s">
        <v>2081</v>
      </c>
      <c r="K753" s="0" t="n">
        <v>0</v>
      </c>
      <c r="L753" s="32" t="s">
        <v>785</v>
      </c>
      <c r="M753" s="0" t="str">
        <f aca="false">IF(L753="GEN","GM",L753)</f>
        <v>RS</v>
      </c>
    </row>
    <row r="754" customFormat="false" ht="15" hidden="false" customHeight="false" outlineLevel="0" collapsed="false">
      <c r="A754" s="0" t="s">
        <v>7774</v>
      </c>
      <c r="B754" s="0" t="s">
        <v>7775</v>
      </c>
      <c r="C754" s="0" t="s">
        <v>6295</v>
      </c>
      <c r="D754" s="0" t="s">
        <v>2124</v>
      </c>
      <c r="E754" s="31" t="n">
        <v>45689</v>
      </c>
      <c r="F754" s="32" t="s">
        <v>6283</v>
      </c>
      <c r="G754" s="0" t="n">
        <v>11.5</v>
      </c>
      <c r="H754" s="0" t="n">
        <v>11.5</v>
      </c>
      <c r="I754" s="32" t="s">
        <v>2081</v>
      </c>
      <c r="J754" s="32" t="s">
        <v>2081</v>
      </c>
      <c r="K754" s="0" t="n">
        <v>0</v>
      </c>
      <c r="L754" s="32" t="s">
        <v>802</v>
      </c>
      <c r="M754" s="0" t="str">
        <f aca="false">IF(L754="GEN","GM",L754)</f>
        <v>GYN</v>
      </c>
    </row>
    <row r="755" customFormat="false" ht="15" hidden="false" customHeight="false" outlineLevel="0" collapsed="false">
      <c r="A755" s="0" t="s">
        <v>7776</v>
      </c>
      <c r="C755" s="0" t="s">
        <v>6282</v>
      </c>
      <c r="D755" s="0" t="s">
        <v>2124</v>
      </c>
      <c r="E755" s="31" t="n">
        <v>45689</v>
      </c>
      <c r="F755" s="32" t="s">
        <v>6283</v>
      </c>
      <c r="G755" s="0" t="n">
        <v>11.5</v>
      </c>
      <c r="H755" s="0" t="n">
        <v>11.5</v>
      </c>
      <c r="I755" s="32" t="s">
        <v>2081</v>
      </c>
      <c r="J755" s="32" t="s">
        <v>2081</v>
      </c>
      <c r="K755" s="0" t="n">
        <v>0</v>
      </c>
      <c r="L755" s="32" t="s">
        <v>776</v>
      </c>
      <c r="M755" s="0" t="str">
        <f aca="false">IF(L755="GEN","GM",L755)</f>
        <v>GS</v>
      </c>
    </row>
    <row r="756" customFormat="false" ht="15" hidden="false" customHeight="false" outlineLevel="0" collapsed="false">
      <c r="A756" s="0" t="s">
        <v>7777</v>
      </c>
      <c r="B756" s="0" t="s">
        <v>7778</v>
      </c>
      <c r="C756" s="0" t="s">
        <v>6282</v>
      </c>
      <c r="D756" s="0" t="s">
        <v>2124</v>
      </c>
      <c r="E756" s="31" t="n">
        <v>45689</v>
      </c>
      <c r="F756" s="32" t="s">
        <v>6283</v>
      </c>
      <c r="G756" s="0" t="n">
        <v>11.5</v>
      </c>
      <c r="H756" s="0" t="n">
        <v>11.5</v>
      </c>
      <c r="I756" s="32" t="s">
        <v>2081</v>
      </c>
      <c r="J756" s="32" t="s">
        <v>2081</v>
      </c>
      <c r="K756" s="0" t="n">
        <v>0</v>
      </c>
      <c r="L756" s="32" t="s">
        <v>826</v>
      </c>
      <c r="M756" s="0" t="str">
        <f aca="false">IF(L756="GEN","GM",L756)</f>
        <v>RHE</v>
      </c>
    </row>
    <row r="757" customFormat="false" ht="15" hidden="false" customHeight="false" outlineLevel="0" collapsed="false">
      <c r="A757" s="0" t="s">
        <v>7779</v>
      </c>
      <c r="B757" s="0" t="s">
        <v>7780</v>
      </c>
      <c r="C757" s="0" t="s">
        <v>6295</v>
      </c>
      <c r="D757" s="0" t="s">
        <v>2104</v>
      </c>
      <c r="E757" s="31" t="n">
        <v>45689</v>
      </c>
      <c r="F757" s="32" t="s">
        <v>1125</v>
      </c>
      <c r="G757" s="0" t="n">
        <v>12</v>
      </c>
      <c r="H757" s="0" t="n">
        <v>12</v>
      </c>
      <c r="I757" s="32" t="s">
        <v>2081</v>
      </c>
      <c r="J757" s="32" t="s">
        <v>2081</v>
      </c>
      <c r="K757" s="0" t="n">
        <v>0</v>
      </c>
      <c r="L757" s="32" t="s">
        <v>758</v>
      </c>
      <c r="M757" s="0" t="str">
        <f aca="false">IF(L757="GEN","GM",L757)</f>
        <v>CS</v>
      </c>
    </row>
    <row r="758" customFormat="false" ht="15" hidden="false" customHeight="false" outlineLevel="0" collapsed="false">
      <c r="A758" s="0" t="s">
        <v>7781</v>
      </c>
      <c r="B758" s="0" t="s">
        <v>7782</v>
      </c>
      <c r="C758" s="0" t="s">
        <v>6286</v>
      </c>
      <c r="D758" s="0" t="s">
        <v>2104</v>
      </c>
      <c r="E758" s="31" t="n">
        <v>45689</v>
      </c>
      <c r="F758" s="32" t="s">
        <v>1125</v>
      </c>
      <c r="G758" s="0" t="n">
        <v>12</v>
      </c>
      <c r="H758" s="0" t="n">
        <v>12</v>
      </c>
      <c r="I758" s="32" t="s">
        <v>2081</v>
      </c>
      <c r="J758" s="32" t="s">
        <v>2106</v>
      </c>
      <c r="K758" s="0" t="n">
        <v>0</v>
      </c>
      <c r="L758" s="32" t="s">
        <v>810</v>
      </c>
      <c r="M758" s="0" t="str">
        <f aca="false">IF(L758="GEN","GM",L758)</f>
        <v>URO</v>
      </c>
    </row>
    <row r="759" customFormat="false" ht="15" hidden="false" customHeight="false" outlineLevel="0" collapsed="false">
      <c r="A759" s="0" t="s">
        <v>7783</v>
      </c>
      <c r="B759" s="0" t="s">
        <v>7784</v>
      </c>
      <c r="C759" s="0" t="s">
        <v>6290</v>
      </c>
      <c r="D759" s="0" t="s">
        <v>2104</v>
      </c>
      <c r="E759" s="31" t="n">
        <v>45689</v>
      </c>
      <c r="F759" s="32" t="s">
        <v>1125</v>
      </c>
      <c r="G759" s="0" t="n">
        <v>12</v>
      </c>
      <c r="H759" s="0" t="n">
        <v>12</v>
      </c>
      <c r="I759" s="32" t="s">
        <v>2081</v>
      </c>
      <c r="J759" s="32" t="s">
        <v>2081</v>
      </c>
      <c r="K759" s="0" t="n">
        <v>0</v>
      </c>
      <c r="L759" s="32" t="s">
        <v>793</v>
      </c>
      <c r="M759" s="0" t="str">
        <f aca="false">IF(L759="GEN","GM",L759)</f>
        <v>EM</v>
      </c>
    </row>
    <row r="760" customFormat="false" ht="15" hidden="false" customHeight="false" outlineLevel="0" collapsed="false">
      <c r="A760" s="0" t="s">
        <v>7785</v>
      </c>
      <c r="B760" s="0" t="s">
        <v>7786</v>
      </c>
      <c r="C760" s="0" t="s">
        <v>780</v>
      </c>
      <c r="D760" s="0" t="s">
        <v>3035</v>
      </c>
      <c r="E760" s="31" t="n">
        <v>45689</v>
      </c>
      <c r="F760" s="32" t="s">
        <v>6287</v>
      </c>
      <c r="G760" s="0" t="n">
        <v>7.5</v>
      </c>
      <c r="H760" s="0" t="n">
        <v>7.5</v>
      </c>
      <c r="I760" s="32" t="s">
        <v>2081</v>
      </c>
      <c r="J760" s="32" t="s">
        <v>2081</v>
      </c>
      <c r="K760" s="0" t="n">
        <v>0</v>
      </c>
      <c r="L760" s="32" t="s">
        <v>776</v>
      </c>
      <c r="M760" s="0" t="str">
        <f aca="false">IF(L760="GEN","GM",L760)</f>
        <v>GS</v>
      </c>
    </row>
    <row r="761" customFormat="false" ht="15" hidden="false" customHeight="false" outlineLevel="0" collapsed="false">
      <c r="A761" s="0" t="s">
        <v>7787</v>
      </c>
      <c r="B761" s="0" t="s">
        <v>7788</v>
      </c>
      <c r="C761" s="0" t="s">
        <v>6286</v>
      </c>
      <c r="D761" s="0" t="s">
        <v>3035</v>
      </c>
      <c r="E761" s="31" t="n">
        <v>45689</v>
      </c>
      <c r="F761" s="32" t="s">
        <v>6283</v>
      </c>
      <c r="G761" s="0" t="n">
        <v>11.5</v>
      </c>
      <c r="H761" s="0" t="n">
        <v>11.5</v>
      </c>
      <c r="I761" s="32" t="s">
        <v>2081</v>
      </c>
      <c r="J761" s="32" t="s">
        <v>2081</v>
      </c>
      <c r="K761" s="0" t="n">
        <v>0</v>
      </c>
      <c r="L761" s="32" t="s">
        <v>766</v>
      </c>
      <c r="M761" s="0" t="str">
        <f aca="false">IF(L761="GEN","GM",L761)</f>
        <v>OR</v>
      </c>
    </row>
    <row r="762" customFormat="false" ht="15" hidden="false" customHeight="false" outlineLevel="0" collapsed="false">
      <c r="A762" s="0" t="s">
        <v>7789</v>
      </c>
      <c r="B762" s="0" t="s">
        <v>7790</v>
      </c>
      <c r="C762" s="0" t="s">
        <v>6295</v>
      </c>
      <c r="D762" s="0" t="s">
        <v>3035</v>
      </c>
      <c r="E762" s="31" t="n">
        <v>45689</v>
      </c>
      <c r="F762" s="32" t="s">
        <v>6283</v>
      </c>
      <c r="G762" s="0" t="n">
        <v>11.5</v>
      </c>
      <c r="H762" s="0" t="n">
        <v>11.5</v>
      </c>
      <c r="I762" s="32" t="s">
        <v>2081</v>
      </c>
      <c r="J762" s="32" t="s">
        <v>2081</v>
      </c>
      <c r="K762" s="0" t="n">
        <v>0</v>
      </c>
      <c r="L762" s="32" t="s">
        <v>826</v>
      </c>
      <c r="M762" s="0" t="str">
        <f aca="false">IF(L762="GEN","GM",L762)</f>
        <v>RHE</v>
      </c>
    </row>
    <row r="763" customFormat="false" ht="15" hidden="false" customHeight="false" outlineLevel="0" collapsed="false">
      <c r="A763" s="0" t="s">
        <v>7791</v>
      </c>
      <c r="B763" s="0" t="s">
        <v>7792</v>
      </c>
      <c r="C763" s="0" t="s">
        <v>6290</v>
      </c>
      <c r="D763" s="0" t="s">
        <v>3035</v>
      </c>
      <c r="E763" s="31" t="n">
        <v>45689</v>
      </c>
      <c r="F763" s="32" t="s">
        <v>1125</v>
      </c>
      <c r="G763" s="0" t="n">
        <v>12</v>
      </c>
      <c r="H763" s="0" t="n">
        <v>12</v>
      </c>
      <c r="I763" s="32" t="s">
        <v>2106</v>
      </c>
      <c r="J763" s="32" t="s">
        <v>2081</v>
      </c>
      <c r="K763" s="0" t="n">
        <v>0</v>
      </c>
      <c r="L763" s="32" t="s">
        <v>766</v>
      </c>
      <c r="M763" s="0" t="str">
        <f aca="false">IF(L763="GEN","GM",L763)</f>
        <v>OR</v>
      </c>
    </row>
    <row r="764" customFormat="false" ht="15" hidden="false" customHeight="false" outlineLevel="0" collapsed="false">
      <c r="A764" s="0" t="s">
        <v>7793</v>
      </c>
      <c r="B764" s="0" t="s">
        <v>7794</v>
      </c>
      <c r="C764" s="0" t="s">
        <v>780</v>
      </c>
      <c r="D764" s="0" t="s">
        <v>3035</v>
      </c>
      <c r="E764" s="31" t="n">
        <v>45689</v>
      </c>
      <c r="F764" s="32" t="s">
        <v>6283</v>
      </c>
      <c r="G764" s="0" t="n">
        <v>11.5</v>
      </c>
      <c r="H764" s="0" t="n">
        <v>10.6</v>
      </c>
      <c r="I764" s="32" t="s">
        <v>2081</v>
      </c>
      <c r="J764" s="32" t="s">
        <v>2081</v>
      </c>
      <c r="K764" s="0" t="n">
        <v>0</v>
      </c>
      <c r="L764" s="32" t="s">
        <v>747</v>
      </c>
      <c r="M764" s="0" t="str">
        <f aca="false">IF(L764="GEN","GM",L764)</f>
        <v>GM</v>
      </c>
    </row>
    <row r="765" customFormat="false" ht="15" hidden="false" customHeight="false" outlineLevel="0" collapsed="false">
      <c r="A765" s="0" t="s">
        <v>7795</v>
      </c>
      <c r="B765" s="0" t="s">
        <v>7796</v>
      </c>
      <c r="C765" s="0" t="s">
        <v>6295</v>
      </c>
      <c r="D765" s="0" t="s">
        <v>2088</v>
      </c>
      <c r="E765" s="31" t="n">
        <v>45690</v>
      </c>
      <c r="F765" s="32" t="s">
        <v>1125</v>
      </c>
      <c r="G765" s="0" t="n">
        <v>12</v>
      </c>
      <c r="H765" s="0" t="n">
        <v>12</v>
      </c>
      <c r="I765" s="32" t="s">
        <v>2081</v>
      </c>
      <c r="J765" s="32" t="s">
        <v>2081</v>
      </c>
      <c r="K765" s="0" t="n">
        <v>0</v>
      </c>
      <c r="L765" s="32" t="s">
        <v>747</v>
      </c>
      <c r="M765" s="0" t="str">
        <f aca="false">IF(L765="GEN","GM",L765)</f>
        <v>GM</v>
      </c>
    </row>
    <row r="766" customFormat="false" ht="15" hidden="false" customHeight="false" outlineLevel="0" collapsed="false">
      <c r="A766" s="0" t="s">
        <v>7797</v>
      </c>
      <c r="B766" s="0" t="s">
        <v>7798</v>
      </c>
      <c r="C766" s="0" t="s">
        <v>6295</v>
      </c>
      <c r="D766" s="0" t="s">
        <v>2088</v>
      </c>
      <c r="E766" s="31" t="n">
        <v>45690</v>
      </c>
      <c r="F766" s="32" t="s">
        <v>1125</v>
      </c>
      <c r="G766" s="0" t="n">
        <v>12</v>
      </c>
      <c r="H766" s="0" t="n">
        <v>12</v>
      </c>
      <c r="I766" s="32" t="s">
        <v>2081</v>
      </c>
      <c r="J766" s="32" t="s">
        <v>2081</v>
      </c>
      <c r="K766" s="0" t="n">
        <v>0</v>
      </c>
      <c r="L766" s="32" t="s">
        <v>766</v>
      </c>
      <c r="M766" s="0" t="str">
        <f aca="false">IF(L766="GEN","GM",L766)</f>
        <v>OR</v>
      </c>
    </row>
    <row r="767" customFormat="false" ht="15" hidden="false" customHeight="false" outlineLevel="0" collapsed="false">
      <c r="A767" s="0" t="s">
        <v>7799</v>
      </c>
      <c r="B767" s="0" t="s">
        <v>7800</v>
      </c>
      <c r="C767" s="0" t="s">
        <v>6286</v>
      </c>
      <c r="D767" s="0" t="s">
        <v>2088</v>
      </c>
      <c r="E767" s="31" t="n">
        <v>45690</v>
      </c>
      <c r="F767" s="32" t="s">
        <v>1125</v>
      </c>
      <c r="G767" s="0" t="n">
        <v>12</v>
      </c>
      <c r="H767" s="0" t="n">
        <v>12</v>
      </c>
      <c r="I767" s="32" t="s">
        <v>2081</v>
      </c>
      <c r="J767" s="32" t="s">
        <v>2081</v>
      </c>
      <c r="K767" s="0" t="n">
        <v>0</v>
      </c>
      <c r="L767" s="32" t="s">
        <v>747</v>
      </c>
      <c r="M767" s="0" t="str">
        <f aca="false">IF(L767="GEN","GM",L767)</f>
        <v>GM</v>
      </c>
    </row>
    <row r="768" customFormat="false" ht="15" hidden="false" customHeight="false" outlineLevel="0" collapsed="false">
      <c r="A768" s="0" t="s">
        <v>7801</v>
      </c>
      <c r="B768" s="0" t="s">
        <v>7802</v>
      </c>
      <c r="C768" s="0" t="s">
        <v>6282</v>
      </c>
      <c r="D768" s="0" t="s">
        <v>2079</v>
      </c>
      <c r="E768" s="31" t="n">
        <v>45690</v>
      </c>
      <c r="F768" s="32" t="s">
        <v>1125</v>
      </c>
      <c r="G768" s="0" t="n">
        <v>12</v>
      </c>
      <c r="H768" s="0" t="n">
        <v>12</v>
      </c>
      <c r="I768" s="32" t="s">
        <v>2081</v>
      </c>
      <c r="J768" s="32" t="s">
        <v>2081</v>
      </c>
      <c r="K768" s="0" t="n">
        <v>0</v>
      </c>
      <c r="L768" s="32" t="s">
        <v>1391</v>
      </c>
      <c r="M768" s="0" t="str">
        <f aca="false">IF(L768="GEN","GM",L768)</f>
        <v>GM</v>
      </c>
    </row>
    <row r="769" customFormat="false" ht="15" hidden="false" customHeight="false" outlineLevel="0" collapsed="false">
      <c r="A769" s="0" t="s">
        <v>7803</v>
      </c>
      <c r="B769" s="0" t="s">
        <v>7804</v>
      </c>
      <c r="C769" s="0" t="s">
        <v>6290</v>
      </c>
      <c r="D769" s="0" t="s">
        <v>2079</v>
      </c>
      <c r="E769" s="31" t="n">
        <v>45690</v>
      </c>
      <c r="F769" s="32" t="s">
        <v>6287</v>
      </c>
      <c r="G769" s="0" t="n">
        <v>7.5</v>
      </c>
      <c r="H769" s="0" t="n">
        <v>7.5</v>
      </c>
      <c r="I769" s="32" t="s">
        <v>2081</v>
      </c>
      <c r="J769" s="32" t="s">
        <v>2081</v>
      </c>
      <c r="K769" s="0" t="n">
        <v>0</v>
      </c>
      <c r="L769" s="32" t="s">
        <v>747</v>
      </c>
      <c r="M769" s="0" t="str">
        <f aca="false">IF(L769="GEN","GM",L769)</f>
        <v>GM</v>
      </c>
    </row>
    <row r="770" customFormat="false" ht="15" hidden="false" customHeight="false" outlineLevel="0" collapsed="false">
      <c r="A770" s="0" t="s">
        <v>7805</v>
      </c>
      <c r="B770" s="0" t="s">
        <v>7806</v>
      </c>
      <c r="C770" s="0" t="s">
        <v>6282</v>
      </c>
      <c r="D770" s="0" t="s">
        <v>2079</v>
      </c>
      <c r="E770" s="31" t="n">
        <v>45690</v>
      </c>
      <c r="F770" s="32" t="s">
        <v>6283</v>
      </c>
      <c r="G770" s="0" t="n">
        <v>11.5</v>
      </c>
      <c r="H770" s="0" t="n">
        <v>11.5</v>
      </c>
      <c r="I770" s="32" t="s">
        <v>2106</v>
      </c>
      <c r="J770" s="32" t="s">
        <v>2081</v>
      </c>
      <c r="K770" s="0" t="n">
        <v>0</v>
      </c>
      <c r="L770" s="32" t="s">
        <v>810</v>
      </c>
      <c r="M770" s="0" t="str">
        <f aca="false">IF(L770="GEN","GM",L770)</f>
        <v>URO</v>
      </c>
    </row>
    <row r="771" customFormat="false" ht="15" hidden="false" customHeight="false" outlineLevel="0" collapsed="false">
      <c r="A771" s="0" t="s">
        <v>7807</v>
      </c>
      <c r="B771" s="0" t="s">
        <v>7808</v>
      </c>
      <c r="C771" s="0" t="s">
        <v>6286</v>
      </c>
      <c r="D771" s="0" t="s">
        <v>2079</v>
      </c>
      <c r="E771" s="31" t="n">
        <v>45690</v>
      </c>
      <c r="F771" s="32" t="s">
        <v>1125</v>
      </c>
      <c r="G771" s="0" t="n">
        <v>12</v>
      </c>
      <c r="H771" s="0" t="n">
        <v>12</v>
      </c>
      <c r="I771" s="32" t="s">
        <v>2081</v>
      </c>
      <c r="J771" s="32" t="s">
        <v>2081</v>
      </c>
      <c r="K771" s="0" t="n">
        <v>0</v>
      </c>
      <c r="L771" s="32" t="s">
        <v>747</v>
      </c>
      <c r="M771" s="0" t="str">
        <f aca="false">IF(L771="GEN","GM",L771)</f>
        <v>GM</v>
      </c>
    </row>
    <row r="772" customFormat="false" ht="15" hidden="false" customHeight="false" outlineLevel="0" collapsed="false">
      <c r="A772" s="0" t="s">
        <v>7809</v>
      </c>
      <c r="B772" s="0" t="s">
        <v>7810</v>
      </c>
      <c r="C772" s="0" t="s">
        <v>6295</v>
      </c>
      <c r="D772" s="0" t="s">
        <v>2099</v>
      </c>
      <c r="E772" s="31" t="n">
        <v>45690</v>
      </c>
      <c r="F772" s="32" t="s">
        <v>1125</v>
      </c>
      <c r="G772" s="0" t="n">
        <v>12</v>
      </c>
      <c r="H772" s="0" t="n">
        <v>12</v>
      </c>
      <c r="I772" s="32" t="s">
        <v>2081</v>
      </c>
      <c r="J772" s="32" t="s">
        <v>2081</v>
      </c>
      <c r="K772" s="0" t="n">
        <v>0</v>
      </c>
      <c r="L772" s="32" t="s">
        <v>776</v>
      </c>
      <c r="M772" s="0" t="str">
        <f aca="false">IF(L772="GEN","GM",L772)</f>
        <v>GS</v>
      </c>
    </row>
    <row r="773" customFormat="false" ht="15" hidden="false" customHeight="false" outlineLevel="0" collapsed="false">
      <c r="A773" s="0" t="s">
        <v>7811</v>
      </c>
      <c r="B773" s="0" t="s">
        <v>7812</v>
      </c>
      <c r="C773" s="0" t="s">
        <v>6295</v>
      </c>
      <c r="D773" s="0" t="s">
        <v>2099</v>
      </c>
      <c r="E773" s="31" t="n">
        <v>45690</v>
      </c>
      <c r="F773" s="32" t="s">
        <v>6283</v>
      </c>
      <c r="G773" s="0" t="n">
        <v>11.5</v>
      </c>
      <c r="H773" s="0" t="n">
        <v>11.5</v>
      </c>
      <c r="I773" s="32" t="s">
        <v>2081</v>
      </c>
      <c r="J773" s="32" t="s">
        <v>2081</v>
      </c>
      <c r="K773" s="0" t="n">
        <v>0</v>
      </c>
      <c r="L773" s="32" t="s">
        <v>802</v>
      </c>
      <c r="M773" s="0" t="str">
        <f aca="false">IF(L773="GEN","GM",L773)</f>
        <v>GYN</v>
      </c>
    </row>
    <row r="774" customFormat="false" ht="15" hidden="false" customHeight="false" outlineLevel="0" collapsed="false">
      <c r="A774" s="0" t="s">
        <v>7813</v>
      </c>
      <c r="B774" s="0" t="s">
        <v>7814</v>
      </c>
      <c r="C774" s="0" t="s">
        <v>6282</v>
      </c>
      <c r="D774" s="0" t="s">
        <v>2099</v>
      </c>
      <c r="E774" s="31" t="n">
        <v>45690</v>
      </c>
      <c r="F774" s="32" t="s">
        <v>6287</v>
      </c>
      <c r="G774" s="0" t="n">
        <v>7.5</v>
      </c>
      <c r="H774" s="0" t="n">
        <v>7.5</v>
      </c>
      <c r="I774" s="32" t="s">
        <v>2081</v>
      </c>
      <c r="J774" s="32" t="s">
        <v>2081</v>
      </c>
      <c r="K774" s="0" t="n">
        <v>0</v>
      </c>
      <c r="L774" s="32" t="s">
        <v>785</v>
      </c>
      <c r="M774" s="0" t="str">
        <f aca="false">IF(L774="GEN","GM",L774)</f>
        <v>RS</v>
      </c>
    </row>
    <row r="775" customFormat="false" ht="15" hidden="false" customHeight="false" outlineLevel="0" collapsed="false">
      <c r="A775" s="0" t="s">
        <v>7815</v>
      </c>
      <c r="B775" s="0" t="s">
        <v>7816</v>
      </c>
      <c r="C775" s="0" t="s">
        <v>6286</v>
      </c>
      <c r="D775" s="0" t="s">
        <v>2099</v>
      </c>
      <c r="E775" s="31" t="n">
        <v>45690</v>
      </c>
      <c r="F775" s="32" t="s">
        <v>6287</v>
      </c>
      <c r="G775" s="0" t="n">
        <v>7.5</v>
      </c>
      <c r="H775" s="0" t="n">
        <v>7.5</v>
      </c>
      <c r="I775" s="32" t="s">
        <v>2081</v>
      </c>
      <c r="J775" s="32" t="s">
        <v>2081</v>
      </c>
      <c r="K775" s="0" t="n">
        <v>0</v>
      </c>
      <c r="L775" s="32" t="s">
        <v>810</v>
      </c>
      <c r="M775" s="0" t="str">
        <f aca="false">IF(L775="GEN","GM",L775)</f>
        <v>URO</v>
      </c>
    </row>
    <row r="776" customFormat="false" ht="15" hidden="false" customHeight="false" outlineLevel="0" collapsed="false">
      <c r="A776" s="0" t="s">
        <v>7817</v>
      </c>
      <c r="B776" s="0" t="s">
        <v>7818</v>
      </c>
      <c r="C776" s="0" t="s">
        <v>6286</v>
      </c>
      <c r="D776" s="0" t="s">
        <v>2115</v>
      </c>
      <c r="E776" s="31" t="n">
        <v>45690</v>
      </c>
      <c r="F776" s="32" t="s">
        <v>6287</v>
      </c>
      <c r="G776" s="0" t="n">
        <v>7.5</v>
      </c>
      <c r="H776" s="0" t="n">
        <v>7.5</v>
      </c>
      <c r="I776" s="32" t="s">
        <v>2081</v>
      </c>
      <c r="J776" s="32" t="s">
        <v>2081</v>
      </c>
      <c r="K776" s="0" t="n">
        <v>0</v>
      </c>
      <c r="L776" s="32" t="s">
        <v>785</v>
      </c>
      <c r="M776" s="0" t="str">
        <f aca="false">IF(L776="GEN","GM",L776)</f>
        <v>RS</v>
      </c>
    </row>
    <row r="777" customFormat="false" ht="15" hidden="false" customHeight="false" outlineLevel="0" collapsed="false">
      <c r="A777" s="0" t="s">
        <v>7819</v>
      </c>
      <c r="B777" s="0" t="s">
        <v>7820</v>
      </c>
      <c r="C777" s="0" t="s">
        <v>6295</v>
      </c>
      <c r="D777" s="0" t="s">
        <v>2115</v>
      </c>
      <c r="E777" s="31" t="n">
        <v>45690</v>
      </c>
      <c r="F777" s="32" t="s">
        <v>6283</v>
      </c>
      <c r="G777" s="0" t="n">
        <v>11.5</v>
      </c>
      <c r="H777" s="0" t="n">
        <v>11.5</v>
      </c>
      <c r="I777" s="32" t="s">
        <v>2081</v>
      </c>
      <c r="J777" s="32" t="s">
        <v>2081</v>
      </c>
      <c r="K777" s="0" t="n">
        <v>0</v>
      </c>
      <c r="L777" s="32" t="s">
        <v>785</v>
      </c>
      <c r="M777" s="0" t="str">
        <f aca="false">IF(L777="GEN","GM",L777)</f>
        <v>RS</v>
      </c>
    </row>
    <row r="778" customFormat="false" ht="15" hidden="false" customHeight="false" outlineLevel="0" collapsed="false">
      <c r="A778" s="0" t="s">
        <v>7821</v>
      </c>
      <c r="B778" s="0" t="s">
        <v>7822</v>
      </c>
      <c r="C778" s="0" t="s">
        <v>780</v>
      </c>
      <c r="D778" s="0" t="s">
        <v>2115</v>
      </c>
      <c r="E778" s="31" t="n">
        <v>45690</v>
      </c>
      <c r="F778" s="32" t="s">
        <v>6283</v>
      </c>
      <c r="G778" s="0" t="n">
        <v>11.5</v>
      </c>
      <c r="H778" s="0" t="n">
        <v>11.5</v>
      </c>
      <c r="I778" s="32" t="s">
        <v>2081</v>
      </c>
      <c r="J778" s="32" t="s">
        <v>2081</v>
      </c>
      <c r="K778" s="0" t="n">
        <v>0</v>
      </c>
      <c r="L778" s="32" t="s">
        <v>793</v>
      </c>
      <c r="M778" s="0" t="str">
        <f aca="false">IF(L778="GEN","GM",L778)</f>
        <v>EM</v>
      </c>
    </row>
    <row r="779" customFormat="false" ht="15" hidden="false" customHeight="false" outlineLevel="0" collapsed="false">
      <c r="A779" s="0" t="s">
        <v>7823</v>
      </c>
      <c r="B779" s="0" t="s">
        <v>7824</v>
      </c>
      <c r="C779" s="0" t="s">
        <v>6286</v>
      </c>
      <c r="D779" s="0" t="s">
        <v>2115</v>
      </c>
      <c r="E779" s="31" t="n">
        <v>45690</v>
      </c>
      <c r="F779" s="32" t="s">
        <v>6283</v>
      </c>
      <c r="G779" s="0" t="n">
        <v>11.5</v>
      </c>
      <c r="H779" s="0" t="n">
        <v>11.5</v>
      </c>
      <c r="I779" s="32" t="s">
        <v>2081</v>
      </c>
      <c r="J779" s="32" t="s">
        <v>2081</v>
      </c>
      <c r="K779" s="0" t="n">
        <v>0</v>
      </c>
      <c r="L779" s="32" t="s">
        <v>785</v>
      </c>
      <c r="M779" s="0" t="str">
        <f aca="false">IF(L779="GEN","GM",L779)</f>
        <v>RS</v>
      </c>
    </row>
    <row r="780" customFormat="false" ht="15" hidden="false" customHeight="false" outlineLevel="0" collapsed="false">
      <c r="A780" s="0" t="s">
        <v>7825</v>
      </c>
      <c r="B780" s="0" t="s">
        <v>7826</v>
      </c>
      <c r="C780" s="0" t="s">
        <v>6282</v>
      </c>
      <c r="D780" s="0" t="s">
        <v>2115</v>
      </c>
      <c r="E780" s="31" t="n">
        <v>45690</v>
      </c>
      <c r="F780" s="32" t="s">
        <v>6283</v>
      </c>
      <c r="G780" s="0" t="n">
        <v>11.5</v>
      </c>
      <c r="H780" s="0" t="n">
        <v>11.5</v>
      </c>
      <c r="I780" s="32" t="s">
        <v>2081</v>
      </c>
      <c r="J780" s="32" t="s">
        <v>2081</v>
      </c>
      <c r="K780" s="0" t="n">
        <v>0</v>
      </c>
      <c r="L780" s="32" t="s">
        <v>802</v>
      </c>
      <c r="M780" s="0" t="str">
        <f aca="false">IF(L780="GEN","GM",L780)</f>
        <v>GYN</v>
      </c>
    </row>
    <row r="781" customFormat="false" ht="15" hidden="false" customHeight="false" outlineLevel="0" collapsed="false">
      <c r="A781" s="0" t="s">
        <v>7827</v>
      </c>
      <c r="B781" s="0" t="s">
        <v>7828</v>
      </c>
      <c r="C781" s="0" t="s">
        <v>6282</v>
      </c>
      <c r="D781" s="0" t="s">
        <v>2124</v>
      </c>
      <c r="E781" s="31" t="n">
        <v>45690</v>
      </c>
      <c r="F781" s="32" t="s">
        <v>6287</v>
      </c>
      <c r="G781" s="0" t="n">
        <v>7.5</v>
      </c>
      <c r="H781" s="0" t="n">
        <v>9.1</v>
      </c>
      <c r="I781" s="32" t="s">
        <v>2081</v>
      </c>
      <c r="J781" s="32" t="s">
        <v>2081</v>
      </c>
      <c r="K781" s="0" t="n">
        <v>1.6</v>
      </c>
      <c r="L781" s="32" t="s">
        <v>766</v>
      </c>
      <c r="M781" s="0" t="str">
        <f aca="false">IF(L781="GEN","GM",L781)</f>
        <v>OR</v>
      </c>
    </row>
    <row r="782" customFormat="false" ht="15" hidden="false" customHeight="false" outlineLevel="0" collapsed="false">
      <c r="A782" s="0" t="s">
        <v>7829</v>
      </c>
      <c r="B782" s="0" t="s">
        <v>7830</v>
      </c>
      <c r="C782" s="0" t="s">
        <v>6286</v>
      </c>
      <c r="D782" s="0" t="s">
        <v>2124</v>
      </c>
      <c r="E782" s="31" t="n">
        <v>45690</v>
      </c>
      <c r="F782" s="32" t="s">
        <v>6287</v>
      </c>
      <c r="G782" s="0" t="n">
        <v>7.5</v>
      </c>
      <c r="H782" s="0" t="n">
        <v>7.5</v>
      </c>
      <c r="I782" s="32" t="s">
        <v>2081</v>
      </c>
      <c r="J782" s="32" t="s">
        <v>2081</v>
      </c>
      <c r="K782" s="0" t="n">
        <v>0</v>
      </c>
      <c r="L782" s="32" t="s">
        <v>747</v>
      </c>
      <c r="M782" s="0" t="str">
        <f aca="false">IF(L782="GEN","GM",L782)</f>
        <v>GM</v>
      </c>
    </row>
    <row r="783" customFormat="false" ht="15" hidden="false" customHeight="false" outlineLevel="0" collapsed="false">
      <c r="A783" s="0" t="s">
        <v>7831</v>
      </c>
      <c r="B783" s="0" t="s">
        <v>7832</v>
      </c>
      <c r="C783" s="0" t="s">
        <v>6295</v>
      </c>
      <c r="D783" s="0" t="s">
        <v>2124</v>
      </c>
      <c r="E783" s="31" t="n">
        <v>45690</v>
      </c>
      <c r="F783" s="32" t="s">
        <v>6283</v>
      </c>
      <c r="G783" s="0" t="n">
        <v>11.5</v>
      </c>
      <c r="H783" s="0" t="n">
        <v>11.5</v>
      </c>
      <c r="I783" s="32" t="s">
        <v>2081</v>
      </c>
      <c r="J783" s="32" t="s">
        <v>2081</v>
      </c>
      <c r="K783" s="0" t="n">
        <v>0</v>
      </c>
      <c r="L783" s="32" t="s">
        <v>785</v>
      </c>
      <c r="M783" s="0" t="str">
        <f aca="false">IF(L783="GEN","GM",L783)</f>
        <v>RS</v>
      </c>
    </row>
    <row r="784" customFormat="false" ht="15" hidden="false" customHeight="false" outlineLevel="0" collapsed="false">
      <c r="A784" s="0" t="s">
        <v>7833</v>
      </c>
      <c r="B784" s="0" t="s">
        <v>7834</v>
      </c>
      <c r="C784" s="0" t="s">
        <v>780</v>
      </c>
      <c r="D784" s="0" t="s">
        <v>2124</v>
      </c>
      <c r="E784" s="31" t="n">
        <v>45690</v>
      </c>
      <c r="F784" s="32" t="s">
        <v>6283</v>
      </c>
      <c r="G784" s="0" t="n">
        <v>11.5</v>
      </c>
      <c r="H784" s="0" t="n">
        <v>10.9</v>
      </c>
      <c r="I784" s="32" t="s">
        <v>2081</v>
      </c>
      <c r="J784" s="32" t="s">
        <v>2081</v>
      </c>
      <c r="K784" s="0" t="n">
        <v>0</v>
      </c>
      <c r="L784" s="32" t="s">
        <v>826</v>
      </c>
      <c r="M784" s="0" t="str">
        <f aca="false">IF(L784="GEN","GM",L784)</f>
        <v>RHE</v>
      </c>
    </row>
    <row r="785" customFormat="false" ht="15" hidden="false" customHeight="false" outlineLevel="0" collapsed="false">
      <c r="A785" s="0" t="s">
        <v>7835</v>
      </c>
      <c r="B785" s="0" t="s">
        <v>7836</v>
      </c>
      <c r="C785" s="0" t="s">
        <v>6290</v>
      </c>
      <c r="D785" s="0" t="s">
        <v>2124</v>
      </c>
      <c r="E785" s="31" t="n">
        <v>45690</v>
      </c>
      <c r="F785" s="32" t="s">
        <v>6287</v>
      </c>
      <c r="G785" s="0" t="n">
        <v>7.5</v>
      </c>
      <c r="H785" s="0" t="n">
        <v>7.5</v>
      </c>
      <c r="I785" s="32" t="s">
        <v>2081</v>
      </c>
      <c r="J785" s="32" t="s">
        <v>2081</v>
      </c>
      <c r="K785" s="0" t="n">
        <v>0</v>
      </c>
      <c r="L785" s="32" t="s">
        <v>766</v>
      </c>
      <c r="M785" s="0" t="str">
        <f aca="false">IF(L785="GEN","GM",L785)</f>
        <v>OR</v>
      </c>
    </row>
    <row r="786" customFormat="false" ht="15" hidden="false" customHeight="false" outlineLevel="0" collapsed="false">
      <c r="A786" s="0" t="s">
        <v>7837</v>
      </c>
      <c r="B786" s="0" t="s">
        <v>7838</v>
      </c>
      <c r="C786" s="0" t="s">
        <v>780</v>
      </c>
      <c r="D786" s="0" t="s">
        <v>2104</v>
      </c>
      <c r="E786" s="31" t="n">
        <v>45690</v>
      </c>
      <c r="F786" s="32" t="s">
        <v>6287</v>
      </c>
      <c r="G786" s="0" t="n">
        <v>7.5</v>
      </c>
      <c r="H786" s="0" t="n">
        <v>7.5</v>
      </c>
      <c r="I786" s="32" t="s">
        <v>2081</v>
      </c>
      <c r="J786" s="32" t="s">
        <v>2081</v>
      </c>
      <c r="K786" s="0" t="n">
        <v>0</v>
      </c>
      <c r="L786" s="32" t="s">
        <v>776</v>
      </c>
      <c r="M786" s="0" t="str">
        <f aca="false">IF(L786="GEN","GM",L786)</f>
        <v>GS</v>
      </c>
    </row>
    <row r="787" customFormat="false" ht="15" hidden="false" customHeight="false" outlineLevel="0" collapsed="false">
      <c r="A787" s="0" t="s">
        <v>7839</v>
      </c>
      <c r="B787" s="0" t="s">
        <v>7840</v>
      </c>
      <c r="C787" s="0" t="s">
        <v>6286</v>
      </c>
      <c r="D787" s="0" t="s">
        <v>2104</v>
      </c>
      <c r="E787" s="31" t="n">
        <v>45690</v>
      </c>
      <c r="F787" s="32" t="s">
        <v>6287</v>
      </c>
      <c r="G787" s="0" t="n">
        <v>7.5</v>
      </c>
      <c r="H787" s="0" t="n">
        <v>7.5</v>
      </c>
      <c r="I787" s="32" t="s">
        <v>2081</v>
      </c>
      <c r="J787" s="32" t="s">
        <v>2081</v>
      </c>
      <c r="K787" s="0" t="n">
        <v>0</v>
      </c>
      <c r="L787" s="32" t="s">
        <v>826</v>
      </c>
      <c r="M787" s="0" t="str">
        <f aca="false">IF(L787="GEN","GM",L787)</f>
        <v>RHE</v>
      </c>
    </row>
    <row r="788" customFormat="false" ht="15" hidden="false" customHeight="false" outlineLevel="0" collapsed="false">
      <c r="A788" s="0" t="s">
        <v>7841</v>
      </c>
      <c r="B788" s="0" t="s">
        <v>7842</v>
      </c>
      <c r="C788" s="0" t="s">
        <v>6286</v>
      </c>
      <c r="D788" s="0" t="s">
        <v>2104</v>
      </c>
      <c r="E788" s="31" t="n">
        <v>45690</v>
      </c>
      <c r="F788" s="32" t="s">
        <v>6287</v>
      </c>
      <c r="G788" s="0" t="n">
        <v>7.5</v>
      </c>
      <c r="H788" s="0" t="n">
        <v>7.5</v>
      </c>
      <c r="I788" s="32" t="s">
        <v>2081</v>
      </c>
      <c r="J788" s="32" t="s">
        <v>2081</v>
      </c>
      <c r="K788" s="0" t="n">
        <v>0</v>
      </c>
      <c r="L788" s="32" t="s">
        <v>802</v>
      </c>
      <c r="M788" s="0" t="str">
        <f aca="false">IF(L788="GEN","GM",L788)</f>
        <v>GYN</v>
      </c>
    </row>
    <row r="789" customFormat="false" ht="15" hidden="false" customHeight="false" outlineLevel="0" collapsed="false">
      <c r="A789" s="0" t="s">
        <v>7843</v>
      </c>
      <c r="B789" s="0" t="s">
        <v>7844</v>
      </c>
      <c r="C789" s="0" t="s">
        <v>6295</v>
      </c>
      <c r="D789" s="0" t="s">
        <v>3035</v>
      </c>
      <c r="E789" s="31" t="n">
        <v>45690</v>
      </c>
      <c r="F789" s="32" t="s">
        <v>6287</v>
      </c>
      <c r="G789" s="0" t="n">
        <v>7.5</v>
      </c>
      <c r="H789" s="0" t="n">
        <v>7.5</v>
      </c>
      <c r="I789" s="32" t="s">
        <v>2081</v>
      </c>
      <c r="J789" s="32" t="s">
        <v>2081</v>
      </c>
      <c r="K789" s="0" t="n">
        <v>0</v>
      </c>
      <c r="L789" s="32" t="s">
        <v>810</v>
      </c>
      <c r="M789" s="0" t="str">
        <f aca="false">IF(L789="GEN","GM",L789)</f>
        <v>URO</v>
      </c>
    </row>
    <row r="790" customFormat="false" ht="15" hidden="false" customHeight="false" outlineLevel="0" collapsed="false">
      <c r="A790" s="0" t="s">
        <v>7845</v>
      </c>
      <c r="B790" s="0" t="s">
        <v>7846</v>
      </c>
      <c r="C790" s="0" t="s">
        <v>6290</v>
      </c>
      <c r="D790" s="0" t="s">
        <v>3035</v>
      </c>
      <c r="E790" s="31" t="n">
        <v>45690</v>
      </c>
      <c r="F790" s="32" t="s">
        <v>6287</v>
      </c>
      <c r="G790" s="0" t="n">
        <v>7.5</v>
      </c>
      <c r="H790" s="0" t="n">
        <v>7.5</v>
      </c>
      <c r="I790" s="32" t="s">
        <v>2081</v>
      </c>
      <c r="J790" s="32" t="s">
        <v>2081</v>
      </c>
      <c r="K790" s="0" t="n">
        <v>0</v>
      </c>
      <c r="L790" s="32" t="s">
        <v>810</v>
      </c>
      <c r="M790" s="0" t="str">
        <f aca="false">IF(L790="GEN","GM",L790)</f>
        <v>URO</v>
      </c>
    </row>
    <row r="791" customFormat="false" ht="15" hidden="false" customHeight="false" outlineLevel="0" collapsed="false">
      <c r="A791" s="0" t="s">
        <v>7847</v>
      </c>
      <c r="B791" s="0" t="s">
        <v>7848</v>
      </c>
      <c r="C791" s="0" t="s">
        <v>6282</v>
      </c>
      <c r="D791" s="0" t="s">
        <v>3035</v>
      </c>
      <c r="E791" s="31" t="n">
        <v>45690</v>
      </c>
      <c r="F791" s="32" t="s">
        <v>1125</v>
      </c>
      <c r="G791" s="0" t="n">
        <v>12</v>
      </c>
      <c r="H791" s="0" t="n">
        <v>12</v>
      </c>
      <c r="I791" s="32" t="s">
        <v>2106</v>
      </c>
      <c r="J791" s="32" t="s">
        <v>2081</v>
      </c>
      <c r="K791" s="0" t="n">
        <v>0</v>
      </c>
      <c r="L791" s="32" t="s">
        <v>793</v>
      </c>
      <c r="M791" s="0" t="str">
        <f aca="false">IF(L791="GEN","GM",L791)</f>
        <v>EM</v>
      </c>
    </row>
    <row r="792" customFormat="false" ht="15" hidden="false" customHeight="false" outlineLevel="0" collapsed="false">
      <c r="A792" s="0" t="s">
        <v>7849</v>
      </c>
      <c r="B792" s="0" t="s">
        <v>7850</v>
      </c>
      <c r="C792" s="0" t="s">
        <v>6286</v>
      </c>
      <c r="D792" s="0" t="s">
        <v>2088</v>
      </c>
      <c r="E792" s="31" t="n">
        <v>45691</v>
      </c>
      <c r="F792" s="32" t="s">
        <v>6283</v>
      </c>
      <c r="G792" s="0" t="n">
        <v>11.5</v>
      </c>
      <c r="H792" s="0" t="n">
        <v>11.5</v>
      </c>
      <c r="I792" s="32" t="s">
        <v>2081</v>
      </c>
      <c r="J792" s="32" t="s">
        <v>2081</v>
      </c>
      <c r="K792" s="0" t="n">
        <v>0</v>
      </c>
      <c r="L792" s="32" t="s">
        <v>766</v>
      </c>
      <c r="M792" s="0" t="str">
        <f aca="false">IF(L792="GEN","GM",L792)</f>
        <v>OR</v>
      </c>
    </row>
    <row r="793" customFormat="false" ht="15" hidden="false" customHeight="false" outlineLevel="0" collapsed="false">
      <c r="A793" s="0" t="s">
        <v>7851</v>
      </c>
      <c r="B793" s="0" t="s">
        <v>7852</v>
      </c>
      <c r="C793" s="0" t="s">
        <v>780</v>
      </c>
      <c r="D793" s="0" t="s">
        <v>2088</v>
      </c>
      <c r="E793" s="31" t="n">
        <v>45691</v>
      </c>
      <c r="F793" s="32" t="s">
        <v>1125</v>
      </c>
      <c r="G793" s="0" t="n">
        <v>12</v>
      </c>
      <c r="H793" s="0" t="n">
        <v>12</v>
      </c>
      <c r="I793" s="32" t="s">
        <v>2081</v>
      </c>
      <c r="J793" s="32" t="s">
        <v>2106</v>
      </c>
      <c r="K793" s="0" t="n">
        <v>0</v>
      </c>
      <c r="L793" s="32" t="s">
        <v>802</v>
      </c>
      <c r="M793" s="0" t="str">
        <f aca="false">IF(L793="GEN","GM",L793)</f>
        <v>GYN</v>
      </c>
    </row>
    <row r="794" customFormat="false" ht="15" hidden="false" customHeight="false" outlineLevel="0" collapsed="false">
      <c r="A794" s="0" t="s">
        <v>7853</v>
      </c>
      <c r="B794" s="0" t="s">
        <v>7854</v>
      </c>
      <c r="C794" s="0" t="s">
        <v>6286</v>
      </c>
      <c r="D794" s="0" t="s">
        <v>2088</v>
      </c>
      <c r="E794" s="31" t="n">
        <v>45691</v>
      </c>
      <c r="F794" s="32" t="s">
        <v>6287</v>
      </c>
      <c r="G794" s="0" t="n">
        <v>7.5</v>
      </c>
      <c r="H794" s="0" t="n">
        <v>7.5</v>
      </c>
      <c r="I794" s="32" t="s">
        <v>2081</v>
      </c>
      <c r="J794" s="32" t="s">
        <v>2081</v>
      </c>
      <c r="K794" s="0" t="n">
        <v>0</v>
      </c>
      <c r="L794" s="32" t="s">
        <v>776</v>
      </c>
      <c r="M794" s="0" t="str">
        <f aca="false">IF(L794="GEN","GM",L794)</f>
        <v>GS</v>
      </c>
    </row>
    <row r="795" customFormat="false" ht="15" hidden="false" customHeight="false" outlineLevel="0" collapsed="false">
      <c r="A795" s="0" t="s">
        <v>7855</v>
      </c>
      <c r="B795" s="0" t="s">
        <v>7856</v>
      </c>
      <c r="C795" s="0" t="s">
        <v>6286</v>
      </c>
      <c r="D795" s="0" t="s">
        <v>2088</v>
      </c>
      <c r="E795" s="31" t="n">
        <v>45691</v>
      </c>
      <c r="F795" s="32" t="s">
        <v>6283</v>
      </c>
      <c r="G795" s="0" t="n">
        <v>11.5</v>
      </c>
      <c r="H795" s="0" t="n">
        <v>11.5</v>
      </c>
      <c r="I795" s="32" t="s">
        <v>2081</v>
      </c>
      <c r="J795" s="32" t="s">
        <v>2081</v>
      </c>
      <c r="K795" s="0" t="n">
        <v>0</v>
      </c>
      <c r="L795" s="32" t="s">
        <v>776</v>
      </c>
      <c r="M795" s="0" t="str">
        <f aca="false">IF(L795="GEN","GM",L795)</f>
        <v>GS</v>
      </c>
    </row>
    <row r="796" customFormat="false" ht="15" hidden="false" customHeight="false" outlineLevel="0" collapsed="false">
      <c r="A796" s="0" t="s">
        <v>7857</v>
      </c>
      <c r="B796" s="0" t="s">
        <v>7858</v>
      </c>
      <c r="C796" s="0" t="s">
        <v>6295</v>
      </c>
      <c r="D796" s="0" t="s">
        <v>2079</v>
      </c>
      <c r="E796" s="31" t="n">
        <v>45691</v>
      </c>
      <c r="F796" s="32" t="s">
        <v>6283</v>
      </c>
      <c r="G796" s="0" t="n">
        <v>11.5</v>
      </c>
      <c r="H796" s="0" t="n">
        <v>11.5</v>
      </c>
      <c r="I796" s="32" t="s">
        <v>2081</v>
      </c>
      <c r="J796" s="32" t="s">
        <v>2081</v>
      </c>
      <c r="K796" s="0" t="n">
        <v>0</v>
      </c>
      <c r="L796" s="32" t="s">
        <v>826</v>
      </c>
      <c r="M796" s="0" t="str">
        <f aca="false">IF(L796="GEN","GM",L796)</f>
        <v>RHE</v>
      </c>
    </row>
    <row r="797" customFormat="false" ht="15" hidden="false" customHeight="false" outlineLevel="0" collapsed="false">
      <c r="A797" s="0" t="s">
        <v>7859</v>
      </c>
      <c r="B797" s="0" t="s">
        <v>7860</v>
      </c>
      <c r="C797" s="0" t="s">
        <v>780</v>
      </c>
      <c r="D797" s="0" t="s">
        <v>2079</v>
      </c>
      <c r="E797" s="31" t="n">
        <v>45691</v>
      </c>
      <c r="F797" s="32" t="s">
        <v>6283</v>
      </c>
      <c r="G797" s="0" t="n">
        <v>11.5</v>
      </c>
      <c r="H797" s="0" t="n">
        <v>11.5</v>
      </c>
      <c r="I797" s="32" t="s">
        <v>2081</v>
      </c>
      <c r="J797" s="32" t="s">
        <v>2081</v>
      </c>
      <c r="K797" s="0" t="n">
        <v>0</v>
      </c>
      <c r="L797" s="32" t="s">
        <v>802</v>
      </c>
      <c r="M797" s="0" t="str">
        <f aca="false">IF(L797="GEN","GM",L797)</f>
        <v>GYN</v>
      </c>
    </row>
    <row r="798" customFormat="false" ht="15" hidden="false" customHeight="false" outlineLevel="0" collapsed="false">
      <c r="A798" s="0" t="s">
        <v>7861</v>
      </c>
      <c r="B798" s="0" t="s">
        <v>7862</v>
      </c>
      <c r="C798" s="0" t="s">
        <v>6286</v>
      </c>
      <c r="D798" s="0" t="s">
        <v>2079</v>
      </c>
      <c r="E798" s="31" t="n">
        <v>45691</v>
      </c>
      <c r="F798" s="32" t="s">
        <v>6283</v>
      </c>
      <c r="G798" s="0" t="n">
        <v>11.5</v>
      </c>
      <c r="H798" s="0" t="n">
        <v>11.5</v>
      </c>
      <c r="I798" s="32" t="s">
        <v>2081</v>
      </c>
      <c r="J798" s="32" t="s">
        <v>2081</v>
      </c>
      <c r="K798" s="0" t="n">
        <v>0</v>
      </c>
      <c r="L798" s="32" t="s">
        <v>758</v>
      </c>
      <c r="M798" s="0" t="str">
        <f aca="false">IF(L798="GEN","GM",L798)</f>
        <v>CS</v>
      </c>
    </row>
    <row r="799" customFormat="false" ht="15" hidden="false" customHeight="false" outlineLevel="0" collapsed="false">
      <c r="A799" s="0" t="s">
        <v>7863</v>
      </c>
      <c r="B799" s="0" t="s">
        <v>7864</v>
      </c>
      <c r="C799" s="0" t="s">
        <v>6696</v>
      </c>
      <c r="D799" s="0" t="s">
        <v>2079</v>
      </c>
      <c r="E799" s="31" t="n">
        <v>45691</v>
      </c>
      <c r="F799" s="32" t="s">
        <v>6287</v>
      </c>
      <c r="G799" s="0" t="n">
        <v>7.5</v>
      </c>
      <c r="H799" s="0" t="n">
        <v>7.5</v>
      </c>
      <c r="I799" s="32" t="s">
        <v>2081</v>
      </c>
      <c r="J799" s="32" t="s">
        <v>2081</v>
      </c>
      <c r="K799" s="0" t="n">
        <v>0</v>
      </c>
      <c r="L799" s="32" t="s">
        <v>826</v>
      </c>
      <c r="M799" s="0" t="str">
        <f aca="false">IF(L799="GEN","GM",L799)</f>
        <v>RHE</v>
      </c>
    </row>
    <row r="800" customFormat="false" ht="15" hidden="false" customHeight="false" outlineLevel="0" collapsed="false">
      <c r="A800" s="0" t="s">
        <v>7865</v>
      </c>
      <c r="B800" s="0" t="s">
        <v>7866</v>
      </c>
      <c r="C800" s="0" t="s">
        <v>6286</v>
      </c>
      <c r="D800" s="0" t="s">
        <v>2099</v>
      </c>
      <c r="E800" s="31" t="n">
        <v>45691</v>
      </c>
      <c r="F800" s="32" t="s">
        <v>6283</v>
      </c>
      <c r="G800" s="0" t="n">
        <v>11.5</v>
      </c>
      <c r="H800" s="0" t="n">
        <v>11.5</v>
      </c>
      <c r="I800" s="32" t="s">
        <v>2081</v>
      </c>
      <c r="J800" s="32" t="s">
        <v>2081</v>
      </c>
      <c r="K800" s="0" t="n">
        <v>0</v>
      </c>
      <c r="L800" s="32" t="s">
        <v>747</v>
      </c>
      <c r="M800" s="0" t="str">
        <f aca="false">IF(L800="GEN","GM",L800)</f>
        <v>GM</v>
      </c>
    </row>
    <row r="801" customFormat="false" ht="15" hidden="false" customHeight="false" outlineLevel="0" collapsed="false">
      <c r="A801" s="0" t="s">
        <v>7867</v>
      </c>
      <c r="B801" s="0" t="s">
        <v>7868</v>
      </c>
      <c r="C801" s="0" t="s">
        <v>6295</v>
      </c>
      <c r="D801" s="0" t="s">
        <v>2099</v>
      </c>
      <c r="E801" s="31" t="n">
        <v>45691</v>
      </c>
      <c r="F801" s="32" t="s">
        <v>6287</v>
      </c>
      <c r="G801" s="0" t="n">
        <v>7.5</v>
      </c>
      <c r="H801" s="0" t="n">
        <v>7.5</v>
      </c>
      <c r="I801" s="32" t="s">
        <v>2106</v>
      </c>
      <c r="J801" s="32" t="s">
        <v>2081</v>
      </c>
      <c r="K801" s="0" t="n">
        <v>0</v>
      </c>
      <c r="L801" s="32" t="s">
        <v>826</v>
      </c>
      <c r="M801" s="0" t="str">
        <f aca="false">IF(L801="GEN","GM",L801)</f>
        <v>RHE</v>
      </c>
    </row>
    <row r="802" customFormat="false" ht="15" hidden="false" customHeight="false" outlineLevel="0" collapsed="false">
      <c r="A802" s="0" t="s">
        <v>7869</v>
      </c>
      <c r="B802" s="0" t="s">
        <v>7870</v>
      </c>
      <c r="C802" s="0" t="s">
        <v>6295</v>
      </c>
      <c r="D802" s="0" t="s">
        <v>2099</v>
      </c>
      <c r="E802" s="31" t="n">
        <v>45691</v>
      </c>
      <c r="F802" s="32" t="s">
        <v>1125</v>
      </c>
      <c r="G802" s="0" t="n">
        <v>12</v>
      </c>
      <c r="H802" s="0" t="n">
        <v>12</v>
      </c>
      <c r="I802" s="32" t="s">
        <v>2081</v>
      </c>
      <c r="J802" s="32" t="s">
        <v>2081</v>
      </c>
      <c r="K802" s="0" t="n">
        <v>0</v>
      </c>
      <c r="L802" s="32" t="s">
        <v>802</v>
      </c>
      <c r="M802" s="0" t="str">
        <f aca="false">IF(L802="GEN","GM",L802)</f>
        <v>GYN</v>
      </c>
    </row>
    <row r="803" customFormat="false" ht="15" hidden="false" customHeight="false" outlineLevel="0" collapsed="false">
      <c r="A803" s="0" t="s">
        <v>7871</v>
      </c>
      <c r="B803" s="0" t="s">
        <v>7872</v>
      </c>
      <c r="C803" s="0" t="s">
        <v>6286</v>
      </c>
      <c r="D803" s="0" t="s">
        <v>2099</v>
      </c>
      <c r="E803" s="31" t="n">
        <v>45691</v>
      </c>
      <c r="F803" s="32" t="s">
        <v>6283</v>
      </c>
      <c r="G803" s="0" t="n">
        <v>11.5</v>
      </c>
      <c r="H803" s="0" t="n">
        <v>11.5</v>
      </c>
      <c r="I803" s="32" t="s">
        <v>2081</v>
      </c>
      <c r="J803" s="32" t="s">
        <v>2081</v>
      </c>
      <c r="K803" s="0" t="n">
        <v>0</v>
      </c>
      <c r="L803" s="32" t="s">
        <v>766</v>
      </c>
      <c r="M803" s="0" t="str">
        <f aca="false">IF(L803="GEN","GM",L803)</f>
        <v>OR</v>
      </c>
    </row>
    <row r="804" customFormat="false" ht="15" hidden="false" customHeight="false" outlineLevel="0" collapsed="false">
      <c r="A804" s="0" t="s">
        <v>7873</v>
      </c>
      <c r="B804" s="0" t="s">
        <v>7874</v>
      </c>
      <c r="C804" s="0" t="s">
        <v>6295</v>
      </c>
      <c r="D804" s="0" t="s">
        <v>2099</v>
      </c>
      <c r="E804" s="31" t="n">
        <v>45691</v>
      </c>
      <c r="F804" s="32" t="s">
        <v>6287</v>
      </c>
      <c r="G804" s="0" t="n">
        <v>7.5</v>
      </c>
      <c r="H804" s="0" t="n">
        <v>7.5</v>
      </c>
      <c r="I804" s="32" t="s">
        <v>2081</v>
      </c>
      <c r="J804" s="32" t="s">
        <v>2081</v>
      </c>
      <c r="K804" s="0" t="n">
        <v>0</v>
      </c>
      <c r="L804" s="32" t="s">
        <v>785</v>
      </c>
      <c r="M804" s="0" t="str">
        <f aca="false">IF(L804="GEN","GM",L804)</f>
        <v>RS</v>
      </c>
    </row>
    <row r="805" customFormat="false" ht="15" hidden="false" customHeight="false" outlineLevel="0" collapsed="false">
      <c r="A805" s="0" t="s">
        <v>7875</v>
      </c>
      <c r="B805" s="0" t="s">
        <v>7876</v>
      </c>
      <c r="C805" s="0" t="s">
        <v>6286</v>
      </c>
      <c r="D805" s="0" t="s">
        <v>2115</v>
      </c>
      <c r="E805" s="31" t="n">
        <v>45691</v>
      </c>
      <c r="F805" s="32" t="s">
        <v>1125</v>
      </c>
      <c r="G805" s="0" t="n">
        <v>12</v>
      </c>
      <c r="H805" s="0" t="n">
        <v>12</v>
      </c>
      <c r="I805" s="32" t="s">
        <v>2081</v>
      </c>
      <c r="J805" s="32" t="s">
        <v>2081</v>
      </c>
      <c r="K805" s="0" t="n">
        <v>0</v>
      </c>
      <c r="L805" s="32" t="s">
        <v>793</v>
      </c>
      <c r="M805" s="0" t="str">
        <f aca="false">IF(L805="GEN","GM",L805)</f>
        <v>EM</v>
      </c>
    </row>
    <row r="806" customFormat="false" ht="15" hidden="false" customHeight="false" outlineLevel="0" collapsed="false">
      <c r="A806" s="0" t="s">
        <v>7877</v>
      </c>
      <c r="B806" s="0" t="s">
        <v>7878</v>
      </c>
      <c r="C806" s="0" t="s">
        <v>780</v>
      </c>
      <c r="D806" s="0" t="s">
        <v>2115</v>
      </c>
      <c r="E806" s="31" t="n">
        <v>45691</v>
      </c>
      <c r="F806" s="32" t="s">
        <v>6283</v>
      </c>
      <c r="G806" s="0" t="n">
        <v>11.5</v>
      </c>
      <c r="H806" s="0" t="n">
        <v>11.5</v>
      </c>
      <c r="I806" s="32" t="s">
        <v>2081</v>
      </c>
      <c r="J806" s="32" t="s">
        <v>2081</v>
      </c>
      <c r="K806" s="0" t="n">
        <v>0</v>
      </c>
      <c r="L806" s="32" t="s">
        <v>776</v>
      </c>
      <c r="M806" s="0" t="str">
        <f aca="false">IF(L806="GEN","GM",L806)</f>
        <v>GS</v>
      </c>
    </row>
    <row r="807" customFormat="false" ht="15" hidden="false" customHeight="false" outlineLevel="0" collapsed="false">
      <c r="A807" s="0" t="s">
        <v>7879</v>
      </c>
      <c r="B807" s="0" t="s">
        <v>7880</v>
      </c>
      <c r="C807" s="0" t="s">
        <v>6286</v>
      </c>
      <c r="D807" s="0" t="s">
        <v>2115</v>
      </c>
      <c r="E807" s="31" t="n">
        <v>45691</v>
      </c>
      <c r="F807" s="32" t="s">
        <v>1125</v>
      </c>
      <c r="G807" s="0" t="n">
        <v>12</v>
      </c>
      <c r="H807" s="0" t="n">
        <v>12</v>
      </c>
      <c r="I807" s="32" t="s">
        <v>2081</v>
      </c>
      <c r="J807" s="32" t="s">
        <v>2081</v>
      </c>
      <c r="K807" s="0" t="n">
        <v>0</v>
      </c>
      <c r="L807" s="32" t="s">
        <v>785</v>
      </c>
      <c r="M807" s="0" t="str">
        <f aca="false">IF(L807="GEN","GM",L807)</f>
        <v>RS</v>
      </c>
    </row>
    <row r="808" customFormat="false" ht="15" hidden="false" customHeight="false" outlineLevel="0" collapsed="false">
      <c r="A808" s="0" t="s">
        <v>7881</v>
      </c>
      <c r="B808" s="0" t="s">
        <v>7882</v>
      </c>
      <c r="C808" s="0" t="s">
        <v>6295</v>
      </c>
      <c r="D808" s="0" t="s">
        <v>2115</v>
      </c>
      <c r="E808" s="31" t="n">
        <v>45691</v>
      </c>
      <c r="F808" s="32" t="s">
        <v>1125</v>
      </c>
      <c r="G808" s="0" t="n">
        <v>12</v>
      </c>
      <c r="H808" s="0" t="n">
        <v>12</v>
      </c>
      <c r="I808" s="32" t="s">
        <v>2081</v>
      </c>
      <c r="J808" s="32" t="s">
        <v>2081</v>
      </c>
      <c r="K808" s="0" t="n">
        <v>0</v>
      </c>
      <c r="L808" s="32" t="s">
        <v>785</v>
      </c>
      <c r="M808" s="0" t="str">
        <f aca="false">IF(L808="GEN","GM",L808)</f>
        <v>RS</v>
      </c>
    </row>
    <row r="809" customFormat="false" ht="15" hidden="false" customHeight="false" outlineLevel="0" collapsed="false">
      <c r="A809" s="0" t="s">
        <v>7883</v>
      </c>
      <c r="B809" s="0" t="s">
        <v>7884</v>
      </c>
      <c r="C809" s="0" t="s">
        <v>6290</v>
      </c>
      <c r="D809" s="0" t="s">
        <v>2124</v>
      </c>
      <c r="E809" s="31" t="n">
        <v>45691</v>
      </c>
      <c r="F809" s="32" t="s">
        <v>1125</v>
      </c>
      <c r="G809" s="0" t="n">
        <v>12</v>
      </c>
      <c r="H809" s="0" t="n">
        <v>12</v>
      </c>
      <c r="I809" s="32" t="s">
        <v>2081</v>
      </c>
      <c r="J809" s="32" t="s">
        <v>2081</v>
      </c>
      <c r="K809" s="0" t="n">
        <v>0</v>
      </c>
      <c r="L809" s="32" t="s">
        <v>785</v>
      </c>
      <c r="M809" s="0" t="str">
        <f aca="false">IF(L809="GEN","GM",L809)</f>
        <v>RS</v>
      </c>
    </row>
    <row r="810" customFormat="false" ht="15" hidden="false" customHeight="false" outlineLevel="0" collapsed="false">
      <c r="A810" s="0" t="s">
        <v>7885</v>
      </c>
      <c r="B810" s="0" t="s">
        <v>7886</v>
      </c>
      <c r="C810" s="0" t="s">
        <v>780</v>
      </c>
      <c r="D810" s="0" t="s">
        <v>2124</v>
      </c>
      <c r="E810" s="31" t="n">
        <v>45691</v>
      </c>
      <c r="F810" s="32" t="s">
        <v>1125</v>
      </c>
      <c r="G810" s="0" t="n">
        <v>12</v>
      </c>
      <c r="H810" s="0" t="n">
        <v>12</v>
      </c>
      <c r="I810" s="32" t="s">
        <v>2081</v>
      </c>
      <c r="J810" s="32" t="s">
        <v>2081</v>
      </c>
      <c r="K810" s="0" t="n">
        <v>0</v>
      </c>
      <c r="L810" s="32" t="s">
        <v>793</v>
      </c>
      <c r="M810" s="0" t="str">
        <f aca="false">IF(L810="GEN","GM",L810)</f>
        <v>EM</v>
      </c>
    </row>
    <row r="811" customFormat="false" ht="15" hidden="false" customHeight="false" outlineLevel="0" collapsed="false">
      <c r="A811" s="0" t="s">
        <v>7887</v>
      </c>
      <c r="B811" s="0" t="s">
        <v>7888</v>
      </c>
      <c r="C811" s="0" t="s">
        <v>6290</v>
      </c>
      <c r="D811" s="0" t="s">
        <v>2124</v>
      </c>
      <c r="E811" s="31" t="n">
        <v>45691</v>
      </c>
      <c r="F811" s="32" t="s">
        <v>6283</v>
      </c>
      <c r="G811" s="0" t="n">
        <v>11.5</v>
      </c>
      <c r="H811" s="0" t="n">
        <v>11.5</v>
      </c>
      <c r="I811" s="32" t="s">
        <v>2081</v>
      </c>
      <c r="J811" s="32" t="s">
        <v>2081</v>
      </c>
      <c r="K811" s="0" t="n">
        <v>0</v>
      </c>
      <c r="L811" s="32" t="s">
        <v>802</v>
      </c>
      <c r="M811" s="0" t="str">
        <f aca="false">IF(L811="GEN","GM",L811)</f>
        <v>GYN</v>
      </c>
    </row>
    <row r="812" customFormat="false" ht="15" hidden="false" customHeight="false" outlineLevel="0" collapsed="false">
      <c r="A812" s="0" t="s">
        <v>7889</v>
      </c>
      <c r="B812" s="0" t="s">
        <v>7890</v>
      </c>
      <c r="C812" s="0" t="s">
        <v>6286</v>
      </c>
      <c r="D812" s="0" t="s">
        <v>2104</v>
      </c>
      <c r="E812" s="31" t="n">
        <v>45691</v>
      </c>
      <c r="F812" s="32" t="s">
        <v>6287</v>
      </c>
      <c r="G812" s="0" t="n">
        <v>7.5</v>
      </c>
      <c r="H812" s="0" t="n">
        <v>7.5</v>
      </c>
      <c r="I812" s="32" t="s">
        <v>2081</v>
      </c>
      <c r="J812" s="32" t="s">
        <v>2081</v>
      </c>
      <c r="K812" s="0" t="n">
        <v>0</v>
      </c>
      <c r="L812" s="32" t="s">
        <v>793</v>
      </c>
      <c r="M812" s="0" t="str">
        <f aca="false">IF(L812="GEN","GM",L812)</f>
        <v>EM</v>
      </c>
    </row>
    <row r="813" customFormat="false" ht="15" hidden="false" customHeight="false" outlineLevel="0" collapsed="false">
      <c r="A813" s="0" t="s">
        <v>7891</v>
      </c>
      <c r="B813" s="0" t="s">
        <v>7892</v>
      </c>
      <c r="C813" s="0" t="s">
        <v>6290</v>
      </c>
      <c r="D813" s="0" t="s">
        <v>2104</v>
      </c>
      <c r="E813" s="31" t="n">
        <v>45691</v>
      </c>
      <c r="F813" s="32" t="s">
        <v>6287</v>
      </c>
      <c r="G813" s="0" t="n">
        <v>7.5</v>
      </c>
      <c r="H813" s="0" t="n">
        <v>7.5</v>
      </c>
      <c r="I813" s="32" t="s">
        <v>2106</v>
      </c>
      <c r="J813" s="32" t="s">
        <v>2081</v>
      </c>
      <c r="K813" s="0" t="n">
        <v>0</v>
      </c>
      <c r="L813" s="32" t="s">
        <v>747</v>
      </c>
      <c r="M813" s="0" t="str">
        <f aca="false">IF(L813="GEN","GM",L813)</f>
        <v>GM</v>
      </c>
    </row>
    <row r="814" customFormat="false" ht="15" hidden="false" customHeight="false" outlineLevel="0" collapsed="false">
      <c r="A814" s="0" t="s">
        <v>7893</v>
      </c>
      <c r="B814" s="0" t="s">
        <v>7894</v>
      </c>
      <c r="C814" s="0" t="s">
        <v>6286</v>
      </c>
      <c r="D814" s="0" t="s">
        <v>2104</v>
      </c>
      <c r="E814" s="31" t="n">
        <v>45691</v>
      </c>
      <c r="F814" s="32" t="s">
        <v>6287</v>
      </c>
      <c r="G814" s="0" t="n">
        <v>7.5</v>
      </c>
      <c r="H814" s="0" t="n">
        <v>7.5</v>
      </c>
      <c r="I814" s="32" t="s">
        <v>2081</v>
      </c>
      <c r="J814" s="32" t="s">
        <v>2081</v>
      </c>
      <c r="K814" s="0" t="n">
        <v>0</v>
      </c>
      <c r="L814" s="32" t="s">
        <v>826</v>
      </c>
      <c r="M814" s="0" t="str">
        <f aca="false">IF(L814="GEN","GM",L814)</f>
        <v>RHE</v>
      </c>
    </row>
    <row r="815" customFormat="false" ht="15" hidden="false" customHeight="false" outlineLevel="0" collapsed="false">
      <c r="A815" s="0" t="s">
        <v>7895</v>
      </c>
      <c r="B815" s="0" t="s">
        <v>7896</v>
      </c>
      <c r="C815" s="0" t="s">
        <v>6282</v>
      </c>
      <c r="D815" s="0" t="s">
        <v>3035</v>
      </c>
      <c r="E815" s="31" t="n">
        <v>45691</v>
      </c>
      <c r="F815" s="32" t="s">
        <v>6287</v>
      </c>
      <c r="G815" s="0" t="n">
        <v>7.5</v>
      </c>
      <c r="H815" s="0" t="n">
        <v>6.2</v>
      </c>
      <c r="I815" s="32" t="s">
        <v>2081</v>
      </c>
      <c r="J815" s="32" t="s">
        <v>2081</v>
      </c>
      <c r="K815" s="0" t="n">
        <v>0</v>
      </c>
      <c r="L815" s="32" t="s">
        <v>776</v>
      </c>
      <c r="M815" s="0" t="str">
        <f aca="false">IF(L815="GEN","GM",L815)</f>
        <v>GS</v>
      </c>
    </row>
    <row r="816" customFormat="false" ht="15" hidden="false" customHeight="false" outlineLevel="0" collapsed="false">
      <c r="A816" s="0" t="s">
        <v>7897</v>
      </c>
      <c r="B816" s="0" t="s">
        <v>7898</v>
      </c>
      <c r="C816" s="0" t="s">
        <v>780</v>
      </c>
      <c r="D816" s="0" t="s">
        <v>3035</v>
      </c>
      <c r="E816" s="31" t="n">
        <v>45691</v>
      </c>
      <c r="F816" s="32" t="s">
        <v>1125</v>
      </c>
      <c r="G816" s="0" t="n">
        <v>12</v>
      </c>
      <c r="H816" s="0" t="n">
        <v>12</v>
      </c>
      <c r="I816" s="32" t="s">
        <v>2081</v>
      </c>
      <c r="J816" s="32" t="s">
        <v>2081</v>
      </c>
      <c r="K816" s="0" t="n">
        <v>0</v>
      </c>
      <c r="L816" s="32" t="s">
        <v>810</v>
      </c>
      <c r="M816" s="0" t="str">
        <f aca="false">IF(L816="GEN","GM",L816)</f>
        <v>URO</v>
      </c>
    </row>
    <row r="817" customFormat="false" ht="15" hidden="false" customHeight="false" outlineLevel="0" collapsed="false">
      <c r="A817" s="0" t="s">
        <v>7899</v>
      </c>
      <c r="B817" s="0" t="s">
        <v>7900</v>
      </c>
      <c r="C817" s="0" t="s">
        <v>6295</v>
      </c>
      <c r="D817" s="0" t="s">
        <v>3035</v>
      </c>
      <c r="E817" s="31" t="n">
        <v>45691</v>
      </c>
      <c r="F817" s="32" t="s">
        <v>1125</v>
      </c>
      <c r="G817" s="0" t="n">
        <v>12</v>
      </c>
      <c r="H817" s="0" t="n">
        <v>12.5</v>
      </c>
      <c r="I817" s="32" t="s">
        <v>2081</v>
      </c>
      <c r="J817" s="32" t="s">
        <v>2106</v>
      </c>
      <c r="K817" s="0" t="n">
        <v>0.5</v>
      </c>
      <c r="L817" s="32" t="s">
        <v>826</v>
      </c>
      <c r="M817" s="0" t="str">
        <f aca="false">IF(L817="GEN","GM",L817)</f>
        <v>RHE</v>
      </c>
    </row>
    <row r="818" customFormat="false" ht="15" hidden="false" customHeight="false" outlineLevel="0" collapsed="false">
      <c r="A818" s="0" t="s">
        <v>7901</v>
      </c>
      <c r="B818" s="0" t="s">
        <v>7902</v>
      </c>
      <c r="C818" s="0" t="s">
        <v>6286</v>
      </c>
      <c r="D818" s="0" t="s">
        <v>2088</v>
      </c>
      <c r="E818" s="31" t="n">
        <v>45692</v>
      </c>
      <c r="F818" s="32" t="s">
        <v>6287</v>
      </c>
      <c r="G818" s="0" t="n">
        <v>7.5</v>
      </c>
      <c r="H818" s="0" t="n">
        <v>8.7</v>
      </c>
      <c r="I818" s="32" t="s">
        <v>2106</v>
      </c>
      <c r="J818" s="32" t="s">
        <v>2106</v>
      </c>
      <c r="K818" s="0" t="n">
        <v>1.2</v>
      </c>
      <c r="L818" s="32" t="s">
        <v>758</v>
      </c>
      <c r="M818" s="0" t="str">
        <f aca="false">IF(L818="GEN","GM",L818)</f>
        <v>CS</v>
      </c>
    </row>
    <row r="819" customFormat="false" ht="15" hidden="false" customHeight="false" outlineLevel="0" collapsed="false">
      <c r="A819" s="0" t="s">
        <v>7903</v>
      </c>
      <c r="B819" s="0" t="s">
        <v>7904</v>
      </c>
      <c r="C819" s="0" t="s">
        <v>6286</v>
      </c>
      <c r="D819" s="0" t="s">
        <v>2088</v>
      </c>
      <c r="E819" s="31" t="n">
        <v>45692</v>
      </c>
      <c r="F819" s="32" t="s">
        <v>1125</v>
      </c>
      <c r="G819" s="0" t="n">
        <v>12</v>
      </c>
      <c r="H819" s="0" t="n">
        <v>12</v>
      </c>
      <c r="I819" s="32" t="s">
        <v>2081</v>
      </c>
      <c r="J819" s="32" t="s">
        <v>2081</v>
      </c>
      <c r="K819" s="0" t="n">
        <v>0</v>
      </c>
      <c r="L819" s="32" t="s">
        <v>785</v>
      </c>
      <c r="M819" s="0" t="str">
        <f aca="false">IF(L819="GEN","GM",L819)</f>
        <v>RS</v>
      </c>
    </row>
    <row r="820" customFormat="false" ht="15" hidden="false" customHeight="false" outlineLevel="0" collapsed="false">
      <c r="A820" s="0" t="s">
        <v>7905</v>
      </c>
      <c r="B820" s="0" t="s">
        <v>7906</v>
      </c>
      <c r="C820" s="0" t="s">
        <v>6295</v>
      </c>
      <c r="D820" s="0" t="s">
        <v>2088</v>
      </c>
      <c r="E820" s="31" t="n">
        <v>45692</v>
      </c>
      <c r="F820" s="32" t="s">
        <v>6283</v>
      </c>
      <c r="G820" s="0" t="n">
        <v>11.5</v>
      </c>
      <c r="H820" s="0" t="n">
        <v>11.5</v>
      </c>
      <c r="I820" s="32" t="s">
        <v>2081</v>
      </c>
      <c r="J820" s="32" t="s">
        <v>2081</v>
      </c>
      <c r="K820" s="0" t="n">
        <v>0</v>
      </c>
      <c r="L820" s="32" t="s">
        <v>747</v>
      </c>
      <c r="M820" s="0" t="str">
        <f aca="false">IF(L820="GEN","GM",L820)</f>
        <v>GM</v>
      </c>
    </row>
    <row r="821" customFormat="false" ht="15" hidden="false" customHeight="false" outlineLevel="0" collapsed="false">
      <c r="A821" s="0" t="s">
        <v>7907</v>
      </c>
      <c r="B821" s="0" t="s">
        <v>7908</v>
      </c>
      <c r="C821" s="0" t="s">
        <v>6282</v>
      </c>
      <c r="D821" s="0" t="s">
        <v>2088</v>
      </c>
      <c r="E821" s="31" t="n">
        <v>45692</v>
      </c>
      <c r="F821" s="32" t="s">
        <v>6283</v>
      </c>
      <c r="G821" s="0" t="n">
        <v>11.5</v>
      </c>
      <c r="H821" s="0" t="n">
        <v>11.5</v>
      </c>
      <c r="I821" s="32" t="s">
        <v>2081</v>
      </c>
      <c r="J821" s="32" t="s">
        <v>2081</v>
      </c>
      <c r="K821" s="0" t="n">
        <v>0</v>
      </c>
      <c r="L821" s="32" t="s">
        <v>802</v>
      </c>
      <c r="M821" s="0" t="str">
        <f aca="false">IF(L821="GEN","GM",L821)</f>
        <v>GYN</v>
      </c>
    </row>
    <row r="822" customFormat="false" ht="15" hidden="false" customHeight="false" outlineLevel="0" collapsed="false">
      <c r="A822" s="0" t="s">
        <v>7909</v>
      </c>
      <c r="B822" s="0" t="s">
        <v>7910</v>
      </c>
      <c r="C822" s="0" t="s">
        <v>6286</v>
      </c>
      <c r="D822" s="0" t="s">
        <v>2088</v>
      </c>
      <c r="E822" s="31" t="n">
        <v>45692</v>
      </c>
      <c r="F822" s="32" t="s">
        <v>1125</v>
      </c>
      <c r="G822" s="0" t="n">
        <v>12</v>
      </c>
      <c r="H822" s="0" t="n">
        <v>12</v>
      </c>
      <c r="I822" s="32" t="s">
        <v>2081</v>
      </c>
      <c r="J822" s="32" t="s">
        <v>2081</v>
      </c>
      <c r="K822" s="0" t="n">
        <v>0</v>
      </c>
      <c r="L822" s="32" t="s">
        <v>785</v>
      </c>
      <c r="M822" s="0" t="str">
        <f aca="false">IF(L822="GEN","GM",L822)</f>
        <v>RS</v>
      </c>
    </row>
    <row r="823" customFormat="false" ht="15" hidden="false" customHeight="false" outlineLevel="0" collapsed="false">
      <c r="A823" s="0" t="s">
        <v>7911</v>
      </c>
      <c r="B823" s="0" t="s">
        <v>7912</v>
      </c>
      <c r="C823" s="0" t="s">
        <v>6295</v>
      </c>
      <c r="D823" s="0" t="s">
        <v>2079</v>
      </c>
      <c r="E823" s="31" t="n">
        <v>45692</v>
      </c>
      <c r="F823" s="32" t="s">
        <v>6283</v>
      </c>
      <c r="G823" s="0" t="n">
        <v>11.5</v>
      </c>
      <c r="H823" s="0" t="n">
        <v>11.5</v>
      </c>
      <c r="I823" s="32" t="s">
        <v>2081</v>
      </c>
      <c r="J823" s="32" t="s">
        <v>2081</v>
      </c>
      <c r="K823" s="0" t="n">
        <v>0</v>
      </c>
      <c r="L823" s="32" t="s">
        <v>747</v>
      </c>
      <c r="M823" s="0" t="str">
        <f aca="false">IF(L823="GEN","GM",L823)</f>
        <v>GM</v>
      </c>
    </row>
    <row r="824" customFormat="false" ht="15" hidden="false" customHeight="false" outlineLevel="0" collapsed="false">
      <c r="A824" s="0" t="s">
        <v>7913</v>
      </c>
      <c r="B824" s="0" t="s">
        <v>7914</v>
      </c>
      <c r="C824" s="0" t="s">
        <v>6290</v>
      </c>
      <c r="D824" s="0" t="s">
        <v>2079</v>
      </c>
      <c r="E824" s="31" t="n">
        <v>45692</v>
      </c>
      <c r="F824" s="32" t="s">
        <v>6287</v>
      </c>
      <c r="G824" s="0" t="n">
        <v>7.5</v>
      </c>
      <c r="H824" s="0" t="n">
        <v>7.5</v>
      </c>
      <c r="I824" s="32" t="s">
        <v>2106</v>
      </c>
      <c r="J824" s="32" t="s">
        <v>2081</v>
      </c>
      <c r="K824" s="0" t="n">
        <v>0</v>
      </c>
      <c r="L824" s="32" t="s">
        <v>776</v>
      </c>
      <c r="M824" s="0" t="str">
        <f aca="false">IF(L824="GEN","GM",L824)</f>
        <v>GS</v>
      </c>
    </row>
    <row r="825" customFormat="false" ht="15" hidden="false" customHeight="false" outlineLevel="0" collapsed="false">
      <c r="A825" s="0" t="s">
        <v>7915</v>
      </c>
      <c r="B825" s="0" t="s">
        <v>7916</v>
      </c>
      <c r="C825" s="0" t="s">
        <v>6286</v>
      </c>
      <c r="D825" s="0" t="s">
        <v>2079</v>
      </c>
      <c r="E825" s="31" t="n">
        <v>45692</v>
      </c>
      <c r="F825" s="32" t="s">
        <v>1125</v>
      </c>
      <c r="G825" s="0" t="n">
        <v>12</v>
      </c>
      <c r="H825" s="0" t="n">
        <v>12</v>
      </c>
      <c r="I825" s="32" t="s">
        <v>2081</v>
      </c>
      <c r="J825" s="32" t="s">
        <v>2081</v>
      </c>
      <c r="K825" s="0" t="n">
        <v>0</v>
      </c>
      <c r="L825" s="32" t="s">
        <v>785</v>
      </c>
      <c r="M825" s="0" t="str">
        <f aca="false">IF(L825="GEN","GM",L825)</f>
        <v>RS</v>
      </c>
    </row>
    <row r="826" customFormat="false" ht="15" hidden="false" customHeight="false" outlineLevel="0" collapsed="false">
      <c r="A826" s="0" t="s">
        <v>7917</v>
      </c>
      <c r="C826" s="0" t="s">
        <v>780</v>
      </c>
      <c r="D826" s="0" t="s">
        <v>2099</v>
      </c>
      <c r="E826" s="31" t="n">
        <v>45692</v>
      </c>
      <c r="F826" s="32" t="s">
        <v>1125</v>
      </c>
      <c r="G826" s="0" t="n">
        <v>12</v>
      </c>
      <c r="H826" s="0" t="n">
        <v>12</v>
      </c>
      <c r="I826" s="32" t="s">
        <v>2081</v>
      </c>
      <c r="J826" s="32" t="s">
        <v>2081</v>
      </c>
      <c r="K826" s="0" t="n">
        <v>0</v>
      </c>
      <c r="L826" s="32" t="s">
        <v>747</v>
      </c>
      <c r="M826" s="0" t="str">
        <f aca="false">IF(L826="GEN","GM",L826)</f>
        <v>GM</v>
      </c>
    </row>
    <row r="827" customFormat="false" ht="15" hidden="false" customHeight="false" outlineLevel="0" collapsed="false">
      <c r="A827" s="0" t="s">
        <v>7918</v>
      </c>
      <c r="B827" s="0" t="s">
        <v>7919</v>
      </c>
      <c r="C827" s="0" t="s">
        <v>6290</v>
      </c>
      <c r="D827" s="0" t="s">
        <v>2099</v>
      </c>
      <c r="E827" s="31" t="n">
        <v>45692</v>
      </c>
      <c r="F827" s="32" t="s">
        <v>6287</v>
      </c>
      <c r="G827" s="0" t="n">
        <v>7.5</v>
      </c>
      <c r="H827" s="0" t="n">
        <v>6.5</v>
      </c>
      <c r="I827" s="32" t="s">
        <v>2106</v>
      </c>
      <c r="J827" s="32" t="s">
        <v>2081</v>
      </c>
      <c r="K827" s="0" t="n">
        <v>0</v>
      </c>
      <c r="L827" s="32" t="s">
        <v>802</v>
      </c>
      <c r="M827" s="0" t="str">
        <f aca="false">IF(L827="GEN","GM",L827)</f>
        <v>GYN</v>
      </c>
    </row>
    <row r="828" customFormat="false" ht="15" hidden="false" customHeight="false" outlineLevel="0" collapsed="false">
      <c r="A828" s="0" t="s">
        <v>7920</v>
      </c>
      <c r="B828" s="0" t="s">
        <v>7921</v>
      </c>
      <c r="C828" s="0" t="s">
        <v>780</v>
      </c>
      <c r="D828" s="0" t="s">
        <v>2099</v>
      </c>
      <c r="E828" s="31" t="n">
        <v>45692</v>
      </c>
      <c r="F828" s="32" t="s">
        <v>1125</v>
      </c>
      <c r="G828" s="0" t="n">
        <v>12</v>
      </c>
      <c r="H828" s="0" t="n">
        <v>12</v>
      </c>
      <c r="I828" s="32" t="s">
        <v>2081</v>
      </c>
      <c r="J828" s="32" t="s">
        <v>2081</v>
      </c>
      <c r="K828" s="0" t="n">
        <v>0</v>
      </c>
      <c r="L828" s="32" t="s">
        <v>747</v>
      </c>
      <c r="M828" s="0" t="str">
        <f aca="false">IF(L828="GEN","GM",L828)</f>
        <v>GM</v>
      </c>
    </row>
    <row r="829" customFormat="false" ht="15" hidden="false" customHeight="false" outlineLevel="0" collapsed="false">
      <c r="A829" s="0" t="s">
        <v>7922</v>
      </c>
      <c r="B829" s="0" t="s">
        <v>7923</v>
      </c>
      <c r="C829" s="0" t="s">
        <v>6286</v>
      </c>
      <c r="D829" s="0" t="s">
        <v>2099</v>
      </c>
      <c r="E829" s="31" t="n">
        <v>45692</v>
      </c>
      <c r="F829" s="32" t="s">
        <v>6287</v>
      </c>
      <c r="G829" s="0" t="n">
        <v>7.5</v>
      </c>
      <c r="H829" s="0" t="n">
        <v>7.5</v>
      </c>
      <c r="I829" s="32" t="s">
        <v>2081</v>
      </c>
      <c r="J829" s="32" t="s">
        <v>2081</v>
      </c>
      <c r="K829" s="0" t="n">
        <v>0</v>
      </c>
      <c r="L829" s="32" t="s">
        <v>758</v>
      </c>
      <c r="M829" s="0" t="str">
        <f aca="false">IF(L829="GEN","GM",L829)</f>
        <v>CS</v>
      </c>
    </row>
    <row r="830" customFormat="false" ht="15" hidden="false" customHeight="false" outlineLevel="0" collapsed="false">
      <c r="A830" s="0" t="s">
        <v>7924</v>
      </c>
      <c r="B830" s="0" t="s">
        <v>7925</v>
      </c>
      <c r="C830" s="0" t="s">
        <v>6286</v>
      </c>
      <c r="D830" s="0" t="s">
        <v>2099</v>
      </c>
      <c r="E830" s="31" t="n">
        <v>45692</v>
      </c>
      <c r="F830" s="32" t="s">
        <v>6283</v>
      </c>
      <c r="G830" s="0" t="n">
        <v>11.5</v>
      </c>
      <c r="H830" s="0" t="n">
        <v>11.5</v>
      </c>
      <c r="I830" s="32" t="s">
        <v>2081</v>
      </c>
      <c r="J830" s="32" t="s">
        <v>2081</v>
      </c>
      <c r="K830" s="0" t="n">
        <v>0</v>
      </c>
      <c r="L830" s="32" t="s">
        <v>810</v>
      </c>
      <c r="M830" s="0" t="str">
        <f aca="false">IF(L830="GEN","GM",L830)</f>
        <v>URO</v>
      </c>
    </row>
    <row r="831" customFormat="false" ht="15" hidden="false" customHeight="false" outlineLevel="0" collapsed="false">
      <c r="A831" s="0" t="s">
        <v>7926</v>
      </c>
      <c r="B831" s="0" t="s">
        <v>7927</v>
      </c>
      <c r="C831" s="0" t="s">
        <v>6286</v>
      </c>
      <c r="D831" s="0" t="s">
        <v>2115</v>
      </c>
      <c r="E831" s="31" t="n">
        <v>45692</v>
      </c>
      <c r="F831" s="32" t="s">
        <v>6283</v>
      </c>
      <c r="G831" s="0" t="n">
        <v>11.5</v>
      </c>
      <c r="H831" s="0" t="n">
        <v>11.5</v>
      </c>
      <c r="I831" s="32" t="s">
        <v>2081</v>
      </c>
      <c r="J831" s="32" t="s">
        <v>2081</v>
      </c>
      <c r="K831" s="0" t="n">
        <v>0</v>
      </c>
      <c r="L831" s="32" t="s">
        <v>826</v>
      </c>
      <c r="M831" s="0" t="str">
        <f aca="false">IF(L831="GEN","GM",L831)</f>
        <v>RHE</v>
      </c>
    </row>
    <row r="832" customFormat="false" ht="15" hidden="false" customHeight="false" outlineLevel="0" collapsed="false">
      <c r="A832" s="0" t="s">
        <v>7928</v>
      </c>
      <c r="B832" s="0" t="s">
        <v>7929</v>
      </c>
      <c r="C832" s="0" t="s">
        <v>6295</v>
      </c>
      <c r="D832" s="0" t="s">
        <v>2115</v>
      </c>
      <c r="E832" s="31" t="n">
        <v>45692</v>
      </c>
      <c r="F832" s="32" t="s">
        <v>1125</v>
      </c>
      <c r="G832" s="0" t="n">
        <v>12</v>
      </c>
      <c r="H832" s="0" t="n">
        <v>12</v>
      </c>
      <c r="I832" s="32" t="s">
        <v>2081</v>
      </c>
      <c r="J832" s="32" t="s">
        <v>2081</v>
      </c>
      <c r="K832" s="0" t="n">
        <v>0</v>
      </c>
      <c r="L832" s="32" t="s">
        <v>793</v>
      </c>
      <c r="M832" s="0" t="str">
        <f aca="false">IF(L832="GEN","GM",L832)</f>
        <v>EM</v>
      </c>
    </row>
    <row r="833" customFormat="false" ht="15" hidden="false" customHeight="false" outlineLevel="0" collapsed="false">
      <c r="A833" s="0" t="s">
        <v>7930</v>
      </c>
      <c r="B833" s="0" t="s">
        <v>7931</v>
      </c>
      <c r="C833" s="0" t="s">
        <v>6295</v>
      </c>
      <c r="D833" s="0" t="s">
        <v>2115</v>
      </c>
      <c r="E833" s="31" t="n">
        <v>45692</v>
      </c>
      <c r="F833" s="32" t="s">
        <v>1125</v>
      </c>
      <c r="G833" s="0" t="n">
        <v>12</v>
      </c>
      <c r="H833" s="0" t="n">
        <v>12.5</v>
      </c>
      <c r="I833" s="32" t="s">
        <v>2106</v>
      </c>
      <c r="J833" s="32" t="s">
        <v>2106</v>
      </c>
      <c r="K833" s="0" t="n">
        <v>0.5</v>
      </c>
      <c r="L833" s="32" t="s">
        <v>766</v>
      </c>
      <c r="M833" s="0" t="str">
        <f aca="false">IF(L833="GEN","GM",L833)</f>
        <v>OR</v>
      </c>
    </row>
    <row r="834" customFormat="false" ht="15" hidden="false" customHeight="false" outlineLevel="0" collapsed="false">
      <c r="A834" s="0" t="s">
        <v>7932</v>
      </c>
      <c r="B834" s="0" t="s">
        <v>7933</v>
      </c>
      <c r="C834" s="0" t="s">
        <v>6295</v>
      </c>
      <c r="D834" s="0" t="s">
        <v>2115</v>
      </c>
      <c r="E834" s="31" t="n">
        <v>45692</v>
      </c>
      <c r="F834" s="32" t="s">
        <v>6287</v>
      </c>
      <c r="G834" s="0" t="n">
        <v>7.5</v>
      </c>
      <c r="H834" s="0" t="n">
        <v>7.5</v>
      </c>
      <c r="I834" s="32" t="s">
        <v>2081</v>
      </c>
      <c r="J834" s="32" t="s">
        <v>2081</v>
      </c>
      <c r="K834" s="0" t="n">
        <v>0</v>
      </c>
      <c r="L834" s="32" t="s">
        <v>747</v>
      </c>
      <c r="M834" s="0" t="str">
        <f aca="false">IF(L834="GEN","GM",L834)</f>
        <v>GM</v>
      </c>
    </row>
    <row r="835" customFormat="false" ht="15" hidden="false" customHeight="false" outlineLevel="0" collapsed="false">
      <c r="A835" s="0" t="s">
        <v>7934</v>
      </c>
      <c r="B835" s="0" t="s">
        <v>7935</v>
      </c>
      <c r="C835" s="0" t="s">
        <v>6290</v>
      </c>
      <c r="D835" s="0" t="s">
        <v>2124</v>
      </c>
      <c r="E835" s="31" t="n">
        <v>45692</v>
      </c>
      <c r="F835" s="32" t="s">
        <v>6287</v>
      </c>
      <c r="G835" s="0" t="n">
        <v>7.5</v>
      </c>
      <c r="H835" s="0" t="n">
        <v>7.5</v>
      </c>
      <c r="I835" s="32" t="s">
        <v>2081</v>
      </c>
      <c r="J835" s="32" t="s">
        <v>2081</v>
      </c>
      <c r="K835" s="0" t="n">
        <v>0</v>
      </c>
      <c r="L835" s="32" t="s">
        <v>826</v>
      </c>
      <c r="M835" s="0" t="str">
        <f aca="false">IF(L835="GEN","GM",L835)</f>
        <v>RHE</v>
      </c>
    </row>
    <row r="836" customFormat="false" ht="15" hidden="false" customHeight="false" outlineLevel="0" collapsed="false">
      <c r="A836" s="0" t="s">
        <v>7936</v>
      </c>
      <c r="B836" s="0" t="s">
        <v>7937</v>
      </c>
      <c r="C836" s="0" t="s">
        <v>6286</v>
      </c>
      <c r="D836" s="0" t="s">
        <v>2124</v>
      </c>
      <c r="E836" s="31" t="n">
        <v>45692</v>
      </c>
      <c r="F836" s="32" t="s">
        <v>6287</v>
      </c>
      <c r="G836" s="0" t="n">
        <v>7.5</v>
      </c>
      <c r="H836" s="0" t="n">
        <v>7.5</v>
      </c>
      <c r="I836" s="32" t="s">
        <v>2081</v>
      </c>
      <c r="J836" s="32" t="s">
        <v>2081</v>
      </c>
      <c r="K836" s="0" t="n">
        <v>0</v>
      </c>
      <c r="L836" s="32" t="s">
        <v>802</v>
      </c>
      <c r="M836" s="0" t="str">
        <f aca="false">IF(L836="GEN","GM",L836)</f>
        <v>GYN</v>
      </c>
    </row>
    <row r="837" customFormat="false" ht="15" hidden="false" customHeight="false" outlineLevel="0" collapsed="false">
      <c r="A837" s="0" t="s">
        <v>7938</v>
      </c>
      <c r="B837" s="0" t="s">
        <v>7939</v>
      </c>
      <c r="C837" s="0" t="s">
        <v>6295</v>
      </c>
      <c r="D837" s="0" t="s">
        <v>2124</v>
      </c>
      <c r="E837" s="31" t="n">
        <v>45692</v>
      </c>
      <c r="F837" s="32" t="s">
        <v>6283</v>
      </c>
      <c r="G837" s="0" t="n">
        <v>11.5</v>
      </c>
      <c r="H837" s="0" t="n">
        <v>11.5</v>
      </c>
      <c r="I837" s="32" t="s">
        <v>2081</v>
      </c>
      <c r="J837" s="32" t="s">
        <v>2081</v>
      </c>
      <c r="K837" s="0" t="n">
        <v>0</v>
      </c>
      <c r="L837" s="32" t="s">
        <v>826</v>
      </c>
      <c r="M837" s="0" t="str">
        <f aca="false">IF(L837="GEN","GM",L837)</f>
        <v>RHE</v>
      </c>
    </row>
    <row r="838" customFormat="false" ht="15" hidden="false" customHeight="false" outlineLevel="0" collapsed="false">
      <c r="A838" s="0" t="s">
        <v>7940</v>
      </c>
      <c r="B838" s="0" t="s">
        <v>7941</v>
      </c>
      <c r="C838" s="0" t="s">
        <v>6286</v>
      </c>
      <c r="D838" s="0" t="s">
        <v>2124</v>
      </c>
      <c r="E838" s="31" t="n">
        <v>45692</v>
      </c>
      <c r="F838" s="32" t="s">
        <v>6287</v>
      </c>
      <c r="G838" s="0" t="n">
        <v>7.5</v>
      </c>
      <c r="H838" s="0" t="n">
        <v>7.5</v>
      </c>
      <c r="I838" s="32" t="s">
        <v>2106</v>
      </c>
      <c r="J838" s="32" t="s">
        <v>2081</v>
      </c>
      <c r="K838" s="0" t="n">
        <v>0</v>
      </c>
      <c r="L838" s="32" t="s">
        <v>747</v>
      </c>
      <c r="M838" s="0" t="str">
        <f aca="false">IF(L838="GEN","GM",L838)</f>
        <v>GM</v>
      </c>
    </row>
    <row r="839" customFormat="false" ht="15" hidden="false" customHeight="false" outlineLevel="0" collapsed="false">
      <c r="A839" s="0" t="s">
        <v>7942</v>
      </c>
      <c r="B839" s="0" t="s">
        <v>7943</v>
      </c>
      <c r="C839" s="0" t="s">
        <v>6286</v>
      </c>
      <c r="D839" s="0" t="s">
        <v>2104</v>
      </c>
      <c r="E839" s="31" t="n">
        <v>45692</v>
      </c>
      <c r="F839" s="32" t="s">
        <v>6287</v>
      </c>
      <c r="G839" s="0" t="n">
        <v>7.5</v>
      </c>
      <c r="H839" s="0" t="n">
        <v>7.5</v>
      </c>
      <c r="I839" s="32" t="s">
        <v>2106</v>
      </c>
      <c r="J839" s="32" t="s">
        <v>2081</v>
      </c>
      <c r="K839" s="0" t="n">
        <v>0</v>
      </c>
      <c r="L839" s="32" t="s">
        <v>766</v>
      </c>
      <c r="M839" s="0" t="str">
        <f aca="false">IF(L839="GEN","GM",L839)</f>
        <v>OR</v>
      </c>
    </row>
    <row r="840" customFormat="false" ht="15" hidden="false" customHeight="false" outlineLevel="0" collapsed="false">
      <c r="A840" s="0" t="s">
        <v>7944</v>
      </c>
      <c r="B840" s="0" t="s">
        <v>7945</v>
      </c>
      <c r="C840" s="0" t="s">
        <v>6282</v>
      </c>
      <c r="D840" s="0" t="s">
        <v>2104</v>
      </c>
      <c r="E840" s="31" t="n">
        <v>45692</v>
      </c>
      <c r="F840" s="32" t="s">
        <v>6287</v>
      </c>
      <c r="G840" s="0" t="n">
        <v>7.5</v>
      </c>
      <c r="H840" s="0" t="n">
        <v>7.5</v>
      </c>
      <c r="I840" s="32" t="s">
        <v>2081</v>
      </c>
      <c r="J840" s="32" t="s">
        <v>2081</v>
      </c>
      <c r="K840" s="0" t="n">
        <v>0</v>
      </c>
      <c r="L840" s="32" t="s">
        <v>766</v>
      </c>
      <c r="M840" s="0" t="str">
        <f aca="false">IF(L840="GEN","GM",L840)</f>
        <v>OR</v>
      </c>
    </row>
    <row r="841" customFormat="false" ht="15" hidden="false" customHeight="false" outlineLevel="0" collapsed="false">
      <c r="A841" s="0" t="s">
        <v>7946</v>
      </c>
      <c r="B841" s="0" t="s">
        <v>7947</v>
      </c>
      <c r="C841" s="0" t="s">
        <v>6286</v>
      </c>
      <c r="D841" s="0" t="s">
        <v>2104</v>
      </c>
      <c r="E841" s="31" t="n">
        <v>45692</v>
      </c>
      <c r="F841" s="32" t="s">
        <v>1125</v>
      </c>
      <c r="G841" s="0" t="n">
        <v>12</v>
      </c>
      <c r="H841" s="0" t="n">
        <v>12</v>
      </c>
      <c r="I841" s="32" t="s">
        <v>2081</v>
      </c>
      <c r="J841" s="32" t="s">
        <v>2081</v>
      </c>
      <c r="K841" s="0" t="n">
        <v>0</v>
      </c>
      <c r="L841" s="32" t="s">
        <v>747</v>
      </c>
      <c r="M841" s="0" t="str">
        <f aca="false">IF(L841="GEN","GM",L841)</f>
        <v>GM</v>
      </c>
    </row>
    <row r="842" customFormat="false" ht="15" hidden="false" customHeight="false" outlineLevel="0" collapsed="false">
      <c r="A842" s="0" t="s">
        <v>7948</v>
      </c>
      <c r="B842" s="0" t="s">
        <v>7949</v>
      </c>
      <c r="C842" s="0" t="s">
        <v>6295</v>
      </c>
      <c r="D842" s="0" t="s">
        <v>3035</v>
      </c>
      <c r="E842" s="31" t="n">
        <v>45692</v>
      </c>
      <c r="F842" s="32" t="s">
        <v>6283</v>
      </c>
      <c r="G842" s="0" t="n">
        <v>11.5</v>
      </c>
      <c r="H842" s="0" t="n">
        <v>11.5</v>
      </c>
      <c r="I842" s="32" t="s">
        <v>2081</v>
      </c>
      <c r="J842" s="32" t="s">
        <v>2081</v>
      </c>
      <c r="K842" s="0" t="n">
        <v>0</v>
      </c>
      <c r="L842" s="32" t="s">
        <v>793</v>
      </c>
      <c r="M842" s="0" t="str">
        <f aca="false">IF(L842="GEN","GM",L842)</f>
        <v>EM</v>
      </c>
    </row>
    <row r="843" customFormat="false" ht="15" hidden="false" customHeight="false" outlineLevel="0" collapsed="false">
      <c r="A843" s="0" t="s">
        <v>7950</v>
      </c>
      <c r="B843" s="0" t="s">
        <v>7951</v>
      </c>
      <c r="C843" s="0" t="s">
        <v>6295</v>
      </c>
      <c r="D843" s="0" t="s">
        <v>3035</v>
      </c>
      <c r="E843" s="31" t="n">
        <v>45692</v>
      </c>
      <c r="F843" s="32" t="s">
        <v>6287</v>
      </c>
      <c r="G843" s="0" t="n">
        <v>7.5</v>
      </c>
      <c r="H843" s="0" t="n">
        <v>9.3</v>
      </c>
      <c r="I843" s="32" t="s">
        <v>2081</v>
      </c>
      <c r="J843" s="32" t="s">
        <v>2081</v>
      </c>
      <c r="K843" s="0" t="n">
        <v>1.8</v>
      </c>
      <c r="L843" s="32" t="s">
        <v>758</v>
      </c>
      <c r="M843" s="0" t="str">
        <f aca="false">IF(L843="GEN","GM",L843)</f>
        <v>CS</v>
      </c>
    </row>
    <row r="844" customFormat="false" ht="15" hidden="false" customHeight="false" outlineLevel="0" collapsed="false">
      <c r="A844" s="0" t="s">
        <v>7952</v>
      </c>
      <c r="B844" s="0" t="s">
        <v>7953</v>
      </c>
      <c r="C844" s="0" t="s">
        <v>6286</v>
      </c>
      <c r="D844" s="0" t="s">
        <v>3035</v>
      </c>
      <c r="E844" s="31" t="n">
        <v>45692</v>
      </c>
      <c r="F844" s="32" t="s">
        <v>6287</v>
      </c>
      <c r="G844" s="0" t="n">
        <v>7.5</v>
      </c>
      <c r="H844" s="0" t="n">
        <v>7.5</v>
      </c>
      <c r="I844" s="32" t="s">
        <v>2081</v>
      </c>
      <c r="J844" s="32" t="s">
        <v>2081</v>
      </c>
      <c r="K844" s="0" t="n">
        <v>0</v>
      </c>
      <c r="L844" s="32" t="s">
        <v>758</v>
      </c>
      <c r="M844" s="0" t="str">
        <f aca="false">IF(L844="GEN","GM",L844)</f>
        <v>CS</v>
      </c>
    </row>
    <row r="845" customFormat="false" ht="15" hidden="false" customHeight="false" outlineLevel="0" collapsed="false">
      <c r="A845" s="0" t="s">
        <v>7954</v>
      </c>
      <c r="B845" s="0" t="s">
        <v>7955</v>
      </c>
      <c r="C845" s="0" t="s">
        <v>6295</v>
      </c>
      <c r="D845" s="0" t="s">
        <v>3035</v>
      </c>
      <c r="E845" s="31" t="n">
        <v>45692</v>
      </c>
      <c r="F845" s="32" t="s">
        <v>6283</v>
      </c>
      <c r="G845" s="0" t="n">
        <v>11.5</v>
      </c>
      <c r="H845" s="0" t="n">
        <v>11.5</v>
      </c>
      <c r="I845" s="32" t="s">
        <v>2106</v>
      </c>
      <c r="J845" s="32" t="s">
        <v>2081</v>
      </c>
      <c r="K845" s="0" t="n">
        <v>0</v>
      </c>
      <c r="L845" s="32" t="s">
        <v>810</v>
      </c>
      <c r="M845" s="0" t="str">
        <f aca="false">IF(L845="GEN","GM",L845)</f>
        <v>URO</v>
      </c>
    </row>
    <row r="846" customFormat="false" ht="15" hidden="false" customHeight="false" outlineLevel="0" collapsed="false">
      <c r="A846" s="0" t="s">
        <v>7956</v>
      </c>
      <c r="B846" s="0" t="s">
        <v>7957</v>
      </c>
      <c r="C846" s="0" t="s">
        <v>6290</v>
      </c>
      <c r="D846" s="0" t="s">
        <v>3035</v>
      </c>
      <c r="E846" s="31" t="n">
        <v>45692</v>
      </c>
      <c r="F846" s="32" t="s">
        <v>1125</v>
      </c>
      <c r="G846" s="0" t="n">
        <v>12</v>
      </c>
      <c r="H846" s="0" t="n">
        <v>12</v>
      </c>
      <c r="I846" s="32" t="s">
        <v>2081</v>
      </c>
      <c r="J846" s="32" t="s">
        <v>2081</v>
      </c>
      <c r="K846" s="0" t="n">
        <v>0</v>
      </c>
      <c r="L846" s="32" t="s">
        <v>802</v>
      </c>
      <c r="M846" s="0" t="str">
        <f aca="false">IF(L846="GEN","GM",L846)</f>
        <v>GYN</v>
      </c>
    </row>
    <row r="847" customFormat="false" ht="15" hidden="false" customHeight="false" outlineLevel="0" collapsed="false">
      <c r="A847" s="0" t="s">
        <v>7958</v>
      </c>
      <c r="B847" s="0" t="s">
        <v>7959</v>
      </c>
      <c r="C847" s="0" t="s">
        <v>6295</v>
      </c>
      <c r="D847" s="0" t="s">
        <v>2088</v>
      </c>
      <c r="E847" s="31" t="n">
        <v>45693</v>
      </c>
      <c r="F847" s="32" t="s">
        <v>6283</v>
      </c>
      <c r="G847" s="0" t="n">
        <v>11.5</v>
      </c>
      <c r="H847" s="0" t="n">
        <v>11.5</v>
      </c>
      <c r="I847" s="32" t="s">
        <v>2081</v>
      </c>
      <c r="J847" s="32" t="s">
        <v>2081</v>
      </c>
      <c r="K847" s="0" t="n">
        <v>0</v>
      </c>
      <c r="L847" s="32" t="s">
        <v>758</v>
      </c>
      <c r="M847" s="0" t="str">
        <f aca="false">IF(L847="GEN","GM",L847)</f>
        <v>CS</v>
      </c>
    </row>
    <row r="848" customFormat="false" ht="15" hidden="false" customHeight="false" outlineLevel="0" collapsed="false">
      <c r="A848" s="0" t="s">
        <v>7960</v>
      </c>
      <c r="B848" s="0" t="s">
        <v>7961</v>
      </c>
      <c r="C848" s="0" t="s">
        <v>6286</v>
      </c>
      <c r="D848" s="0" t="s">
        <v>2088</v>
      </c>
      <c r="E848" s="31" t="n">
        <v>45693</v>
      </c>
      <c r="F848" s="32" t="s">
        <v>1125</v>
      </c>
      <c r="G848" s="0" t="n">
        <v>12</v>
      </c>
      <c r="H848" s="0" t="n">
        <v>12</v>
      </c>
      <c r="I848" s="32" t="s">
        <v>2106</v>
      </c>
      <c r="J848" s="32" t="s">
        <v>2081</v>
      </c>
      <c r="K848" s="0" t="n">
        <v>0</v>
      </c>
      <c r="L848" s="32" t="s">
        <v>747</v>
      </c>
      <c r="M848" s="0" t="str">
        <f aca="false">IF(L848="GEN","GM",L848)</f>
        <v>GM</v>
      </c>
    </row>
    <row r="849" customFormat="false" ht="15" hidden="false" customHeight="false" outlineLevel="0" collapsed="false">
      <c r="A849" s="0" t="s">
        <v>7962</v>
      </c>
      <c r="B849" s="0" t="s">
        <v>7963</v>
      </c>
      <c r="C849" s="0" t="s">
        <v>6286</v>
      </c>
      <c r="D849" s="0" t="s">
        <v>2088</v>
      </c>
      <c r="E849" s="31" t="n">
        <v>45693</v>
      </c>
      <c r="F849" s="32" t="s">
        <v>6287</v>
      </c>
      <c r="G849" s="0" t="n">
        <v>7.5</v>
      </c>
      <c r="H849" s="0" t="n">
        <v>7.5</v>
      </c>
      <c r="I849" s="32" t="s">
        <v>2081</v>
      </c>
      <c r="J849" s="32" t="s">
        <v>2081</v>
      </c>
      <c r="K849" s="0" t="n">
        <v>0</v>
      </c>
      <c r="L849" s="32" t="s">
        <v>747</v>
      </c>
      <c r="M849" s="0" t="str">
        <f aca="false">IF(L849="GEN","GM",L849)</f>
        <v>GM</v>
      </c>
    </row>
    <row r="850" customFormat="false" ht="15" hidden="false" customHeight="false" outlineLevel="0" collapsed="false">
      <c r="A850" s="0" t="s">
        <v>7964</v>
      </c>
      <c r="B850" s="0" t="s">
        <v>7965</v>
      </c>
      <c r="C850" s="0" t="s">
        <v>6282</v>
      </c>
      <c r="D850" s="0" t="s">
        <v>2079</v>
      </c>
      <c r="E850" s="31" t="n">
        <v>45693</v>
      </c>
      <c r="F850" s="32" t="s">
        <v>6287</v>
      </c>
      <c r="G850" s="0" t="n">
        <v>7.5</v>
      </c>
      <c r="H850" s="0" t="n">
        <v>6.4</v>
      </c>
      <c r="I850" s="32" t="s">
        <v>2081</v>
      </c>
      <c r="J850" s="32" t="s">
        <v>2081</v>
      </c>
      <c r="K850" s="0" t="n">
        <v>0</v>
      </c>
      <c r="L850" s="32" t="s">
        <v>776</v>
      </c>
      <c r="M850" s="0" t="str">
        <f aca="false">IF(L850="GEN","GM",L850)</f>
        <v>GS</v>
      </c>
    </row>
    <row r="851" customFormat="false" ht="15" hidden="false" customHeight="false" outlineLevel="0" collapsed="false">
      <c r="A851" s="0" t="s">
        <v>7966</v>
      </c>
      <c r="B851" s="0" t="s">
        <v>7967</v>
      </c>
      <c r="C851" s="0" t="s">
        <v>780</v>
      </c>
      <c r="D851" s="0" t="s">
        <v>2079</v>
      </c>
      <c r="E851" s="31" t="n">
        <v>45693</v>
      </c>
      <c r="F851" s="32" t="s">
        <v>6287</v>
      </c>
      <c r="G851" s="0" t="n">
        <v>7.5</v>
      </c>
      <c r="H851" s="0" t="n">
        <v>7.5</v>
      </c>
      <c r="I851" s="32" t="s">
        <v>2081</v>
      </c>
      <c r="J851" s="32" t="s">
        <v>2081</v>
      </c>
      <c r="K851" s="0" t="n">
        <v>0</v>
      </c>
      <c r="L851" s="32" t="s">
        <v>747</v>
      </c>
      <c r="M851" s="0" t="str">
        <f aca="false">IF(L851="GEN","GM",L851)</f>
        <v>GM</v>
      </c>
    </row>
    <row r="852" customFormat="false" ht="15" hidden="false" customHeight="false" outlineLevel="0" collapsed="false">
      <c r="A852" s="0" t="s">
        <v>7968</v>
      </c>
      <c r="B852" s="0" t="s">
        <v>7969</v>
      </c>
      <c r="C852" s="0" t="s">
        <v>6295</v>
      </c>
      <c r="D852" s="0" t="s">
        <v>2079</v>
      </c>
      <c r="E852" s="31" t="n">
        <v>45693</v>
      </c>
      <c r="F852" s="32" t="s">
        <v>6287</v>
      </c>
      <c r="G852" s="0" t="n">
        <v>7.5</v>
      </c>
      <c r="H852" s="0" t="n">
        <v>7.5</v>
      </c>
      <c r="I852" s="32" t="s">
        <v>2081</v>
      </c>
      <c r="J852" s="32" t="s">
        <v>2081</v>
      </c>
      <c r="K852" s="0" t="n">
        <v>0</v>
      </c>
      <c r="L852" s="32" t="s">
        <v>810</v>
      </c>
      <c r="M852" s="0" t="str">
        <f aca="false">IF(L852="GEN","GM",L852)</f>
        <v>URO</v>
      </c>
    </row>
    <row r="853" customFormat="false" ht="15" hidden="false" customHeight="false" outlineLevel="0" collapsed="false">
      <c r="A853" s="0" t="s">
        <v>7970</v>
      </c>
      <c r="B853" s="0" t="s">
        <v>7935</v>
      </c>
      <c r="C853" s="0" t="s">
        <v>6295</v>
      </c>
      <c r="D853" s="0" t="s">
        <v>2079</v>
      </c>
      <c r="E853" s="31" t="n">
        <v>45693</v>
      </c>
      <c r="F853" s="32" t="s">
        <v>1125</v>
      </c>
      <c r="G853" s="0" t="n">
        <v>12</v>
      </c>
      <c r="H853" s="0" t="n">
        <v>11.2</v>
      </c>
      <c r="I853" s="32" t="s">
        <v>2106</v>
      </c>
      <c r="J853" s="32" t="s">
        <v>2081</v>
      </c>
      <c r="K853" s="0" t="n">
        <v>0</v>
      </c>
      <c r="L853" s="32" t="s">
        <v>826</v>
      </c>
      <c r="M853" s="0" t="str">
        <f aca="false">IF(L853="GEN","GM",L853)</f>
        <v>RHE</v>
      </c>
    </row>
    <row r="854" customFormat="false" ht="15" hidden="false" customHeight="false" outlineLevel="0" collapsed="false">
      <c r="A854" s="0" t="s">
        <v>7971</v>
      </c>
      <c r="B854" s="0" t="s">
        <v>7972</v>
      </c>
      <c r="C854" s="0" t="s">
        <v>6295</v>
      </c>
      <c r="D854" s="0" t="s">
        <v>2099</v>
      </c>
      <c r="E854" s="31" t="n">
        <v>45693</v>
      </c>
      <c r="F854" s="32" t="s">
        <v>1125</v>
      </c>
      <c r="G854" s="0" t="n">
        <v>12</v>
      </c>
      <c r="H854" s="0" t="n">
        <v>12</v>
      </c>
      <c r="I854" s="32" t="s">
        <v>2081</v>
      </c>
      <c r="J854" s="32" t="s">
        <v>2081</v>
      </c>
      <c r="K854" s="0" t="n">
        <v>0</v>
      </c>
      <c r="L854" s="32" t="s">
        <v>776</v>
      </c>
      <c r="M854" s="0" t="str">
        <f aca="false">IF(L854="GEN","GM",L854)</f>
        <v>GS</v>
      </c>
    </row>
    <row r="855" customFormat="false" ht="15" hidden="false" customHeight="false" outlineLevel="0" collapsed="false">
      <c r="A855" s="0" t="s">
        <v>7973</v>
      </c>
      <c r="B855" s="0" t="s">
        <v>7974</v>
      </c>
      <c r="C855" s="0" t="s">
        <v>6282</v>
      </c>
      <c r="D855" s="0" t="s">
        <v>2099</v>
      </c>
      <c r="E855" s="31" t="n">
        <v>45693</v>
      </c>
      <c r="F855" s="32" t="s">
        <v>6287</v>
      </c>
      <c r="G855" s="0" t="n">
        <v>7.5</v>
      </c>
      <c r="H855" s="0" t="n">
        <v>7.5</v>
      </c>
      <c r="I855" s="32" t="s">
        <v>2106</v>
      </c>
      <c r="J855" s="32" t="s">
        <v>2081</v>
      </c>
      <c r="K855" s="0" t="n">
        <v>0</v>
      </c>
      <c r="L855" s="32" t="s">
        <v>826</v>
      </c>
      <c r="M855" s="0" t="str">
        <f aca="false">IF(L855="GEN","GM",L855)</f>
        <v>RHE</v>
      </c>
    </row>
    <row r="856" customFormat="false" ht="15" hidden="false" customHeight="false" outlineLevel="0" collapsed="false">
      <c r="A856" s="0" t="s">
        <v>7975</v>
      </c>
      <c r="B856" s="0" t="s">
        <v>7976</v>
      </c>
      <c r="C856" s="0" t="s">
        <v>6295</v>
      </c>
      <c r="D856" s="0" t="s">
        <v>2099</v>
      </c>
      <c r="E856" s="31" t="n">
        <v>45693</v>
      </c>
      <c r="F856" s="32" t="s">
        <v>1125</v>
      </c>
      <c r="G856" s="0" t="n">
        <v>12</v>
      </c>
      <c r="H856" s="0" t="n">
        <v>12</v>
      </c>
      <c r="I856" s="32" t="s">
        <v>2081</v>
      </c>
      <c r="J856" s="32" t="s">
        <v>2081</v>
      </c>
      <c r="K856" s="0" t="n">
        <v>0</v>
      </c>
      <c r="L856" s="32" t="s">
        <v>785</v>
      </c>
      <c r="M856" s="0" t="str">
        <f aca="false">IF(L856="GEN","GM",L856)</f>
        <v>RS</v>
      </c>
    </row>
    <row r="857" customFormat="false" ht="15" hidden="false" customHeight="false" outlineLevel="0" collapsed="false">
      <c r="A857" s="0" t="s">
        <v>7977</v>
      </c>
      <c r="B857" s="0" t="s">
        <v>7978</v>
      </c>
      <c r="C857" s="0" t="s">
        <v>6286</v>
      </c>
      <c r="D857" s="0" t="s">
        <v>2099</v>
      </c>
      <c r="E857" s="31" t="n">
        <v>45693</v>
      </c>
      <c r="F857" s="32" t="s">
        <v>1125</v>
      </c>
      <c r="G857" s="0" t="n">
        <v>12</v>
      </c>
      <c r="H857" s="0" t="n">
        <v>12.5</v>
      </c>
      <c r="I857" s="32" t="s">
        <v>2081</v>
      </c>
      <c r="J857" s="32" t="s">
        <v>2106</v>
      </c>
      <c r="K857" s="0" t="n">
        <v>0.5</v>
      </c>
      <c r="L857" s="32" t="s">
        <v>826</v>
      </c>
      <c r="M857" s="0" t="str">
        <f aca="false">IF(L857="GEN","GM",L857)</f>
        <v>RHE</v>
      </c>
    </row>
    <row r="858" customFormat="false" ht="15" hidden="false" customHeight="false" outlineLevel="0" collapsed="false">
      <c r="A858" s="0" t="s">
        <v>7979</v>
      </c>
      <c r="B858" s="0" t="s">
        <v>7980</v>
      </c>
      <c r="C858" s="0" t="s">
        <v>6295</v>
      </c>
      <c r="D858" s="0" t="s">
        <v>2099</v>
      </c>
      <c r="E858" s="31" t="n">
        <v>45693</v>
      </c>
      <c r="F858" s="32" t="s">
        <v>1125</v>
      </c>
      <c r="G858" s="0" t="n">
        <v>12</v>
      </c>
      <c r="H858" s="0" t="n">
        <v>10.8</v>
      </c>
      <c r="I858" s="32" t="s">
        <v>2106</v>
      </c>
      <c r="J858" s="32" t="s">
        <v>2081</v>
      </c>
      <c r="K858" s="0" t="n">
        <v>0</v>
      </c>
      <c r="L858" s="32" t="s">
        <v>802</v>
      </c>
      <c r="M858" s="0" t="str">
        <f aca="false">IF(L858="GEN","GM",L858)</f>
        <v>GYN</v>
      </c>
    </row>
    <row r="859" customFormat="false" ht="15" hidden="false" customHeight="false" outlineLevel="0" collapsed="false">
      <c r="A859" s="0" t="s">
        <v>7981</v>
      </c>
      <c r="B859" s="0" t="s">
        <v>7982</v>
      </c>
      <c r="C859" s="0" t="s">
        <v>6295</v>
      </c>
      <c r="D859" s="0" t="s">
        <v>2115</v>
      </c>
      <c r="E859" s="31" t="n">
        <v>45693</v>
      </c>
      <c r="F859" s="32" t="s">
        <v>6287</v>
      </c>
      <c r="G859" s="0" t="n">
        <v>7.5</v>
      </c>
      <c r="H859" s="0" t="n">
        <v>7.5</v>
      </c>
      <c r="I859" s="32" t="s">
        <v>2081</v>
      </c>
      <c r="J859" s="32" t="s">
        <v>2081</v>
      </c>
      <c r="K859" s="0" t="n">
        <v>0</v>
      </c>
      <c r="L859" s="32" t="s">
        <v>810</v>
      </c>
      <c r="M859" s="0" t="str">
        <f aca="false">IF(L859="GEN","GM",L859)</f>
        <v>URO</v>
      </c>
    </row>
    <row r="860" customFormat="false" ht="15" hidden="false" customHeight="false" outlineLevel="0" collapsed="false">
      <c r="A860" s="0" t="s">
        <v>7983</v>
      </c>
      <c r="B860" s="0" t="s">
        <v>7984</v>
      </c>
      <c r="C860" s="0" t="s">
        <v>6295</v>
      </c>
      <c r="D860" s="0" t="s">
        <v>2115</v>
      </c>
      <c r="E860" s="31" t="n">
        <v>45693</v>
      </c>
      <c r="F860" s="32" t="s">
        <v>6283</v>
      </c>
      <c r="G860" s="0" t="n">
        <v>11.5</v>
      </c>
      <c r="H860" s="0" t="n">
        <v>11.5</v>
      </c>
      <c r="I860" s="32" t="s">
        <v>2081</v>
      </c>
      <c r="J860" s="32" t="s">
        <v>2081</v>
      </c>
      <c r="K860" s="0" t="n">
        <v>0</v>
      </c>
      <c r="L860" s="32" t="s">
        <v>766</v>
      </c>
      <c r="M860" s="0" t="str">
        <f aca="false">IF(L860="GEN","GM",L860)</f>
        <v>OR</v>
      </c>
    </row>
    <row r="861" customFormat="false" ht="15" hidden="false" customHeight="false" outlineLevel="0" collapsed="false">
      <c r="A861" s="0" t="s">
        <v>7985</v>
      </c>
      <c r="B861" s="0" t="s">
        <v>7986</v>
      </c>
      <c r="C861" s="0" t="s">
        <v>6290</v>
      </c>
      <c r="D861" s="0" t="s">
        <v>2115</v>
      </c>
      <c r="E861" s="31" t="n">
        <v>45693</v>
      </c>
      <c r="F861" s="32" t="s">
        <v>6283</v>
      </c>
      <c r="G861" s="0" t="n">
        <v>11.5</v>
      </c>
      <c r="H861" s="0" t="n">
        <v>11.5</v>
      </c>
      <c r="I861" s="32" t="s">
        <v>2106</v>
      </c>
      <c r="J861" s="32" t="s">
        <v>2081</v>
      </c>
      <c r="K861" s="0" t="n">
        <v>0</v>
      </c>
      <c r="L861" s="32" t="s">
        <v>758</v>
      </c>
      <c r="M861" s="0" t="str">
        <f aca="false">IF(L861="GEN","GM",L861)</f>
        <v>CS</v>
      </c>
    </row>
    <row r="862" customFormat="false" ht="15" hidden="false" customHeight="false" outlineLevel="0" collapsed="false">
      <c r="A862" s="0" t="s">
        <v>7987</v>
      </c>
      <c r="B862" s="0" t="s">
        <v>7988</v>
      </c>
      <c r="C862" s="0" t="s">
        <v>6290</v>
      </c>
      <c r="D862" s="0" t="s">
        <v>2115</v>
      </c>
      <c r="E862" s="31" t="n">
        <v>45693</v>
      </c>
      <c r="F862" s="32" t="s">
        <v>1125</v>
      </c>
      <c r="G862" s="0" t="n">
        <v>12</v>
      </c>
      <c r="H862" s="0" t="n">
        <v>12</v>
      </c>
      <c r="I862" s="32" t="s">
        <v>2106</v>
      </c>
      <c r="J862" s="32" t="s">
        <v>2081</v>
      </c>
      <c r="K862" s="0" t="n">
        <v>0</v>
      </c>
      <c r="L862" s="32" t="s">
        <v>785</v>
      </c>
      <c r="M862" s="0" t="str">
        <f aca="false">IF(L862="GEN","GM",L862)</f>
        <v>RS</v>
      </c>
    </row>
    <row r="863" customFormat="false" ht="15" hidden="false" customHeight="false" outlineLevel="0" collapsed="false">
      <c r="A863" s="0" t="s">
        <v>7989</v>
      </c>
      <c r="C863" s="0" t="s">
        <v>6286</v>
      </c>
      <c r="D863" s="0" t="s">
        <v>2115</v>
      </c>
      <c r="E863" s="31" t="n">
        <v>45693</v>
      </c>
      <c r="F863" s="32" t="s">
        <v>6283</v>
      </c>
      <c r="G863" s="0" t="n">
        <v>11.5</v>
      </c>
      <c r="H863" s="0" t="n">
        <v>11.5</v>
      </c>
      <c r="I863" s="32" t="s">
        <v>2081</v>
      </c>
      <c r="J863" s="32" t="s">
        <v>2081</v>
      </c>
      <c r="K863" s="0" t="n">
        <v>0</v>
      </c>
      <c r="L863" s="32" t="s">
        <v>747</v>
      </c>
      <c r="M863" s="0" t="str">
        <f aca="false">IF(L863="GEN","GM",L863)</f>
        <v>GM</v>
      </c>
    </row>
    <row r="864" customFormat="false" ht="15" hidden="false" customHeight="false" outlineLevel="0" collapsed="false">
      <c r="A864" s="0" t="s">
        <v>7990</v>
      </c>
      <c r="B864" s="0" t="s">
        <v>7991</v>
      </c>
      <c r="C864" s="0" t="s">
        <v>6290</v>
      </c>
      <c r="D864" s="0" t="s">
        <v>2124</v>
      </c>
      <c r="E864" s="31" t="n">
        <v>45693</v>
      </c>
      <c r="F864" s="32" t="s">
        <v>6287</v>
      </c>
      <c r="G864" s="0" t="n">
        <v>7.5</v>
      </c>
      <c r="H864" s="0" t="n">
        <v>7.5</v>
      </c>
      <c r="I864" s="32" t="s">
        <v>2106</v>
      </c>
      <c r="J864" s="32" t="s">
        <v>2081</v>
      </c>
      <c r="K864" s="0" t="n">
        <v>0</v>
      </c>
      <c r="L864" s="32" t="s">
        <v>793</v>
      </c>
      <c r="M864" s="0" t="str">
        <f aca="false">IF(L864="GEN","GM",L864)</f>
        <v>EM</v>
      </c>
    </row>
    <row r="865" customFormat="false" ht="15" hidden="false" customHeight="false" outlineLevel="0" collapsed="false">
      <c r="A865" s="0" t="s">
        <v>7992</v>
      </c>
      <c r="B865" s="0" t="s">
        <v>7993</v>
      </c>
      <c r="C865" s="0" t="s">
        <v>6295</v>
      </c>
      <c r="D865" s="0" t="s">
        <v>2124</v>
      </c>
      <c r="E865" s="31" t="n">
        <v>45693</v>
      </c>
      <c r="F865" s="32" t="s">
        <v>6287</v>
      </c>
      <c r="G865" s="0" t="n">
        <v>7.5</v>
      </c>
      <c r="H865" s="0" t="n">
        <v>7.5</v>
      </c>
      <c r="I865" s="32" t="s">
        <v>2106</v>
      </c>
      <c r="J865" s="32" t="s">
        <v>2081</v>
      </c>
      <c r="K865" s="0" t="n">
        <v>0</v>
      </c>
      <c r="L865" s="32" t="s">
        <v>810</v>
      </c>
      <c r="M865" s="0" t="str">
        <f aca="false">IF(L865="GEN","GM",L865)</f>
        <v>URO</v>
      </c>
    </row>
    <row r="866" customFormat="false" ht="15" hidden="false" customHeight="false" outlineLevel="0" collapsed="false">
      <c r="A866" s="0" t="s">
        <v>7994</v>
      </c>
      <c r="B866" s="0" t="s">
        <v>7995</v>
      </c>
      <c r="C866" s="0" t="s">
        <v>780</v>
      </c>
      <c r="D866" s="0" t="s">
        <v>2124</v>
      </c>
      <c r="E866" s="31" t="n">
        <v>45693</v>
      </c>
      <c r="F866" s="32" t="s">
        <v>6283</v>
      </c>
      <c r="G866" s="0" t="n">
        <v>11.5</v>
      </c>
      <c r="H866" s="0" t="n">
        <v>12</v>
      </c>
      <c r="I866" s="32" t="s">
        <v>2081</v>
      </c>
      <c r="J866" s="32" t="s">
        <v>2081</v>
      </c>
      <c r="K866" s="0" t="n">
        <v>0.5</v>
      </c>
      <c r="L866" s="32" t="s">
        <v>758</v>
      </c>
      <c r="M866" s="0" t="str">
        <f aca="false">IF(L866="GEN","GM",L866)</f>
        <v>CS</v>
      </c>
    </row>
    <row r="867" customFormat="false" ht="15" hidden="false" customHeight="false" outlineLevel="0" collapsed="false">
      <c r="A867" s="0" t="s">
        <v>7996</v>
      </c>
      <c r="B867" s="0" t="s">
        <v>7997</v>
      </c>
      <c r="C867" s="0" t="s">
        <v>6286</v>
      </c>
      <c r="D867" s="0" t="s">
        <v>2124</v>
      </c>
      <c r="E867" s="31" t="n">
        <v>45693</v>
      </c>
      <c r="F867" s="32" t="s">
        <v>6287</v>
      </c>
      <c r="G867" s="0" t="n">
        <v>7.5</v>
      </c>
      <c r="H867" s="0" t="n">
        <v>7.5</v>
      </c>
      <c r="I867" s="32" t="s">
        <v>2081</v>
      </c>
      <c r="J867" s="32" t="s">
        <v>2081</v>
      </c>
      <c r="K867" s="0" t="n">
        <v>0</v>
      </c>
      <c r="L867" s="32" t="s">
        <v>810</v>
      </c>
      <c r="M867" s="0" t="str">
        <f aca="false">IF(L867="GEN","GM",L867)</f>
        <v>URO</v>
      </c>
    </row>
    <row r="868" customFormat="false" ht="15" hidden="false" customHeight="false" outlineLevel="0" collapsed="false">
      <c r="A868" s="0" t="s">
        <v>7998</v>
      </c>
      <c r="B868" s="0" t="s">
        <v>7999</v>
      </c>
      <c r="C868" s="0" t="s">
        <v>6286</v>
      </c>
      <c r="D868" s="0" t="s">
        <v>2124</v>
      </c>
      <c r="E868" s="31" t="n">
        <v>45693</v>
      </c>
      <c r="F868" s="32" t="s">
        <v>6283</v>
      </c>
      <c r="G868" s="0" t="n">
        <v>11.5</v>
      </c>
      <c r="H868" s="0" t="n">
        <v>11.5</v>
      </c>
      <c r="I868" s="32" t="s">
        <v>2081</v>
      </c>
      <c r="J868" s="32" t="s">
        <v>2081</v>
      </c>
      <c r="K868" s="0" t="n">
        <v>0</v>
      </c>
      <c r="L868" s="32" t="s">
        <v>802</v>
      </c>
      <c r="M868" s="0" t="str">
        <f aca="false">IF(L868="GEN","GM",L868)</f>
        <v>GYN</v>
      </c>
    </row>
    <row r="869" customFormat="false" ht="15" hidden="false" customHeight="false" outlineLevel="0" collapsed="false">
      <c r="A869" s="0" t="s">
        <v>8000</v>
      </c>
      <c r="B869" s="0" t="s">
        <v>8001</v>
      </c>
      <c r="C869" s="0" t="s">
        <v>6290</v>
      </c>
      <c r="D869" s="0" t="s">
        <v>2104</v>
      </c>
      <c r="E869" s="31" t="n">
        <v>45693</v>
      </c>
      <c r="F869" s="32" t="s">
        <v>6287</v>
      </c>
      <c r="G869" s="0" t="n">
        <v>7.5</v>
      </c>
      <c r="H869" s="0" t="n">
        <v>7.5</v>
      </c>
      <c r="I869" s="32" t="s">
        <v>2106</v>
      </c>
      <c r="J869" s="32" t="s">
        <v>2081</v>
      </c>
      <c r="K869" s="0" t="n">
        <v>0</v>
      </c>
      <c r="L869" s="32" t="s">
        <v>758</v>
      </c>
      <c r="M869" s="0" t="str">
        <f aca="false">IF(L869="GEN","GM",L869)</f>
        <v>CS</v>
      </c>
    </row>
    <row r="870" customFormat="false" ht="15" hidden="false" customHeight="false" outlineLevel="0" collapsed="false">
      <c r="A870" s="0" t="s">
        <v>8002</v>
      </c>
      <c r="B870" s="0" t="s">
        <v>8003</v>
      </c>
      <c r="C870" s="0" t="s">
        <v>6290</v>
      </c>
      <c r="D870" s="0" t="s">
        <v>2104</v>
      </c>
      <c r="E870" s="31" t="n">
        <v>45693</v>
      </c>
      <c r="F870" s="32" t="s">
        <v>6287</v>
      </c>
      <c r="G870" s="0" t="n">
        <v>7.5</v>
      </c>
      <c r="H870" s="0" t="n">
        <v>7.5</v>
      </c>
      <c r="I870" s="32" t="s">
        <v>2081</v>
      </c>
      <c r="J870" s="32" t="s">
        <v>2081</v>
      </c>
      <c r="K870" s="0" t="n">
        <v>0</v>
      </c>
      <c r="L870" s="32" t="s">
        <v>758</v>
      </c>
      <c r="M870" s="0" t="str">
        <f aca="false">IF(L870="GEN","GM",L870)</f>
        <v>CS</v>
      </c>
    </row>
    <row r="871" customFormat="false" ht="15" hidden="false" customHeight="false" outlineLevel="0" collapsed="false">
      <c r="A871" s="0" t="s">
        <v>8004</v>
      </c>
      <c r="B871" s="0" t="s">
        <v>8005</v>
      </c>
      <c r="C871" s="0" t="s">
        <v>780</v>
      </c>
      <c r="D871" s="0" t="s">
        <v>2104</v>
      </c>
      <c r="E871" s="31" t="n">
        <v>45693</v>
      </c>
      <c r="F871" s="32" t="s">
        <v>1125</v>
      </c>
      <c r="G871" s="0" t="n">
        <v>12</v>
      </c>
      <c r="H871" s="0" t="n">
        <v>12</v>
      </c>
      <c r="I871" s="32" t="s">
        <v>2106</v>
      </c>
      <c r="J871" s="32" t="s">
        <v>2081</v>
      </c>
      <c r="K871" s="0" t="n">
        <v>0</v>
      </c>
      <c r="L871" s="32" t="s">
        <v>802</v>
      </c>
      <c r="M871" s="0" t="str">
        <f aca="false">IF(L871="GEN","GM",L871)</f>
        <v>GYN</v>
      </c>
    </row>
    <row r="872" customFormat="false" ht="15" hidden="false" customHeight="false" outlineLevel="0" collapsed="false">
      <c r="A872" s="0" t="s">
        <v>8006</v>
      </c>
      <c r="B872" s="0" t="s">
        <v>8007</v>
      </c>
      <c r="C872" s="0" t="s">
        <v>6295</v>
      </c>
      <c r="D872" s="0" t="s">
        <v>3035</v>
      </c>
      <c r="E872" s="31" t="n">
        <v>45693</v>
      </c>
      <c r="F872" s="32" t="s">
        <v>6287</v>
      </c>
      <c r="G872" s="0" t="n">
        <v>7.5</v>
      </c>
      <c r="H872" s="0" t="n">
        <v>7.5</v>
      </c>
      <c r="I872" s="32" t="s">
        <v>2106</v>
      </c>
      <c r="J872" s="32" t="s">
        <v>2081</v>
      </c>
      <c r="K872" s="0" t="n">
        <v>0</v>
      </c>
      <c r="L872" s="32" t="s">
        <v>766</v>
      </c>
      <c r="M872" s="0" t="str">
        <f aca="false">IF(L872="GEN","GM",L872)</f>
        <v>OR</v>
      </c>
    </row>
    <row r="873" customFormat="false" ht="15" hidden="false" customHeight="false" outlineLevel="0" collapsed="false">
      <c r="A873" s="0" t="s">
        <v>8008</v>
      </c>
      <c r="B873" s="0" t="s">
        <v>8009</v>
      </c>
      <c r="C873" s="0" t="s">
        <v>6290</v>
      </c>
      <c r="D873" s="0" t="s">
        <v>3035</v>
      </c>
      <c r="E873" s="31" t="n">
        <v>45693</v>
      </c>
      <c r="F873" s="32" t="s">
        <v>1125</v>
      </c>
      <c r="G873" s="0" t="n">
        <v>12</v>
      </c>
      <c r="H873" s="0" t="n">
        <v>12</v>
      </c>
      <c r="I873" s="32" t="s">
        <v>2106</v>
      </c>
      <c r="J873" s="32" t="s">
        <v>2081</v>
      </c>
      <c r="K873" s="0" t="n">
        <v>0</v>
      </c>
      <c r="L873" s="32" t="s">
        <v>802</v>
      </c>
      <c r="M873" s="0" t="str">
        <f aca="false">IF(L873="GEN","GM",L873)</f>
        <v>GYN</v>
      </c>
    </row>
    <row r="874" customFormat="false" ht="15" hidden="false" customHeight="false" outlineLevel="0" collapsed="false">
      <c r="A874" s="0" t="s">
        <v>8010</v>
      </c>
      <c r="B874" s="0" t="s">
        <v>8011</v>
      </c>
      <c r="C874" s="0" t="s">
        <v>6282</v>
      </c>
      <c r="D874" s="0" t="s">
        <v>3035</v>
      </c>
      <c r="E874" s="31" t="n">
        <v>45693</v>
      </c>
      <c r="F874" s="32" t="s">
        <v>1125</v>
      </c>
      <c r="G874" s="0" t="n">
        <v>12</v>
      </c>
      <c r="H874" s="0" t="n">
        <v>12</v>
      </c>
      <c r="I874" s="32" t="s">
        <v>2081</v>
      </c>
      <c r="J874" s="32" t="s">
        <v>2081</v>
      </c>
      <c r="K874" s="0" t="n">
        <v>0</v>
      </c>
      <c r="L874" s="32" t="s">
        <v>810</v>
      </c>
      <c r="M874" s="0" t="str">
        <f aca="false">IF(L874="GEN","GM",L874)</f>
        <v>URO</v>
      </c>
    </row>
    <row r="875" customFormat="false" ht="15" hidden="false" customHeight="false" outlineLevel="0" collapsed="false">
      <c r="A875" s="0" t="s">
        <v>8012</v>
      </c>
      <c r="B875" s="0" t="s">
        <v>8013</v>
      </c>
      <c r="C875" s="0" t="s">
        <v>6295</v>
      </c>
      <c r="D875" s="0" t="s">
        <v>3035</v>
      </c>
      <c r="E875" s="31" t="n">
        <v>45693</v>
      </c>
      <c r="F875" s="32" t="s">
        <v>6287</v>
      </c>
      <c r="G875" s="0" t="n">
        <v>7.5</v>
      </c>
      <c r="H875" s="0" t="n">
        <v>7.5</v>
      </c>
      <c r="I875" s="32" t="s">
        <v>2081</v>
      </c>
      <c r="J875" s="32" t="s">
        <v>2081</v>
      </c>
      <c r="K875" s="0" t="n">
        <v>0</v>
      </c>
      <c r="L875" s="32" t="s">
        <v>826</v>
      </c>
      <c r="M875" s="0" t="str">
        <f aca="false">IF(L875="GEN","GM",L875)</f>
        <v>RHE</v>
      </c>
    </row>
    <row r="876" customFormat="false" ht="15" hidden="false" customHeight="false" outlineLevel="0" collapsed="false">
      <c r="A876" s="0" t="s">
        <v>8014</v>
      </c>
      <c r="B876" s="0" t="s">
        <v>8015</v>
      </c>
      <c r="C876" s="0" t="s">
        <v>6286</v>
      </c>
      <c r="D876" s="0" t="s">
        <v>2088</v>
      </c>
      <c r="E876" s="31" t="n">
        <v>45694</v>
      </c>
      <c r="F876" s="32" t="s">
        <v>6287</v>
      </c>
      <c r="G876" s="0" t="n">
        <v>7.5</v>
      </c>
      <c r="H876" s="0" t="n">
        <v>7.5</v>
      </c>
      <c r="I876" s="32" t="s">
        <v>2081</v>
      </c>
      <c r="J876" s="32" t="s">
        <v>2081</v>
      </c>
      <c r="K876" s="0" t="n">
        <v>0</v>
      </c>
      <c r="L876" s="32" t="s">
        <v>747</v>
      </c>
      <c r="M876" s="0" t="str">
        <f aca="false">IF(L876="GEN","GM",L876)</f>
        <v>GM</v>
      </c>
    </row>
    <row r="877" customFormat="false" ht="15" hidden="false" customHeight="false" outlineLevel="0" collapsed="false">
      <c r="A877" s="0" t="s">
        <v>8016</v>
      </c>
      <c r="B877" s="0" t="s">
        <v>8017</v>
      </c>
      <c r="C877" s="0" t="s">
        <v>6282</v>
      </c>
      <c r="D877" s="0" t="s">
        <v>2088</v>
      </c>
      <c r="E877" s="31" t="n">
        <v>45694</v>
      </c>
      <c r="F877" s="32" t="s">
        <v>6283</v>
      </c>
      <c r="G877" s="0" t="n">
        <v>11.5</v>
      </c>
      <c r="H877" s="0" t="n">
        <v>11.5</v>
      </c>
      <c r="I877" s="32" t="s">
        <v>2081</v>
      </c>
      <c r="J877" s="32" t="s">
        <v>2081</v>
      </c>
      <c r="K877" s="0" t="n">
        <v>0</v>
      </c>
      <c r="L877" s="32" t="s">
        <v>776</v>
      </c>
      <c r="M877" s="0" t="str">
        <f aca="false">IF(L877="GEN","GM",L877)</f>
        <v>GS</v>
      </c>
    </row>
    <row r="878" customFormat="false" ht="15" hidden="false" customHeight="false" outlineLevel="0" collapsed="false">
      <c r="A878" s="0" t="s">
        <v>8018</v>
      </c>
      <c r="B878" s="0" t="s">
        <v>8019</v>
      </c>
      <c r="C878" s="0" t="s">
        <v>6295</v>
      </c>
      <c r="D878" s="0" t="s">
        <v>2088</v>
      </c>
      <c r="E878" s="31" t="n">
        <v>45694</v>
      </c>
      <c r="F878" s="32" t="s">
        <v>6287</v>
      </c>
      <c r="G878" s="0" t="n">
        <v>7.5</v>
      </c>
      <c r="H878" s="0" t="n">
        <v>7.5</v>
      </c>
      <c r="I878" s="32" t="s">
        <v>2081</v>
      </c>
      <c r="J878" s="32" t="s">
        <v>2081</v>
      </c>
      <c r="K878" s="0" t="n">
        <v>0</v>
      </c>
      <c r="L878" s="32" t="s">
        <v>802</v>
      </c>
      <c r="M878" s="0" t="str">
        <f aca="false">IF(L878="GEN","GM",L878)</f>
        <v>GYN</v>
      </c>
    </row>
    <row r="879" customFormat="false" ht="15" hidden="false" customHeight="false" outlineLevel="0" collapsed="false">
      <c r="A879" s="0" t="s">
        <v>8020</v>
      </c>
      <c r="B879" s="0" t="s">
        <v>8021</v>
      </c>
      <c r="C879" s="0" t="s">
        <v>780</v>
      </c>
      <c r="D879" s="0" t="s">
        <v>2088</v>
      </c>
      <c r="E879" s="31" t="n">
        <v>45694</v>
      </c>
      <c r="F879" s="32" t="s">
        <v>6287</v>
      </c>
      <c r="G879" s="0" t="n">
        <v>7.5</v>
      </c>
      <c r="H879" s="0" t="n">
        <v>7.5</v>
      </c>
      <c r="I879" s="32" t="s">
        <v>2081</v>
      </c>
      <c r="J879" s="32" t="s">
        <v>2081</v>
      </c>
      <c r="K879" s="0" t="n">
        <v>0</v>
      </c>
      <c r="L879" s="32" t="s">
        <v>766</v>
      </c>
      <c r="M879" s="0" t="str">
        <f aca="false">IF(L879="GEN","GM",L879)</f>
        <v>OR</v>
      </c>
    </row>
    <row r="880" customFormat="false" ht="15" hidden="false" customHeight="false" outlineLevel="0" collapsed="false">
      <c r="A880" s="0" t="s">
        <v>8022</v>
      </c>
      <c r="B880" s="0" t="s">
        <v>8023</v>
      </c>
      <c r="C880" s="0" t="s">
        <v>6290</v>
      </c>
      <c r="D880" s="0" t="s">
        <v>2088</v>
      </c>
      <c r="E880" s="31" t="n">
        <v>45694</v>
      </c>
      <c r="F880" s="32" t="s">
        <v>6287</v>
      </c>
      <c r="G880" s="0" t="n">
        <v>7.5</v>
      </c>
      <c r="H880" s="0" t="n">
        <v>7.5</v>
      </c>
      <c r="I880" s="32" t="s">
        <v>2081</v>
      </c>
      <c r="J880" s="32" t="s">
        <v>2081</v>
      </c>
      <c r="K880" s="0" t="n">
        <v>0</v>
      </c>
      <c r="L880" s="32" t="s">
        <v>776</v>
      </c>
      <c r="M880" s="0" t="str">
        <f aca="false">IF(L880="GEN","GM",L880)</f>
        <v>GS</v>
      </c>
    </row>
    <row r="881" customFormat="false" ht="15" hidden="false" customHeight="false" outlineLevel="0" collapsed="false">
      <c r="A881" s="0" t="s">
        <v>8024</v>
      </c>
      <c r="B881" s="0" t="s">
        <v>8025</v>
      </c>
      <c r="C881" s="0" t="s">
        <v>6295</v>
      </c>
      <c r="D881" s="0" t="s">
        <v>2079</v>
      </c>
      <c r="E881" s="31" t="n">
        <v>45694</v>
      </c>
      <c r="F881" s="32" t="s">
        <v>6287</v>
      </c>
      <c r="G881" s="0" t="n">
        <v>7.5</v>
      </c>
      <c r="H881" s="0" t="n">
        <v>7.5</v>
      </c>
      <c r="I881" s="32" t="s">
        <v>2106</v>
      </c>
      <c r="J881" s="32" t="s">
        <v>2081</v>
      </c>
      <c r="K881" s="0" t="n">
        <v>0</v>
      </c>
      <c r="L881" s="32" t="s">
        <v>793</v>
      </c>
      <c r="M881" s="0" t="str">
        <f aca="false">IF(L881="GEN","GM",L881)</f>
        <v>EM</v>
      </c>
    </row>
    <row r="882" customFormat="false" ht="15" hidden="false" customHeight="false" outlineLevel="0" collapsed="false">
      <c r="A882" s="0" t="s">
        <v>8026</v>
      </c>
      <c r="B882" s="0" t="s">
        <v>8027</v>
      </c>
      <c r="C882" s="0" t="s">
        <v>6295</v>
      </c>
      <c r="D882" s="0" t="s">
        <v>2079</v>
      </c>
      <c r="E882" s="31" t="n">
        <v>45694</v>
      </c>
      <c r="F882" s="32" t="s">
        <v>6283</v>
      </c>
      <c r="G882" s="0" t="n">
        <v>11.5</v>
      </c>
      <c r="H882" s="0" t="n">
        <v>12.1</v>
      </c>
      <c r="I882" s="32" t="s">
        <v>2081</v>
      </c>
      <c r="J882" s="32" t="s">
        <v>2081</v>
      </c>
      <c r="K882" s="0" t="n">
        <v>0.6</v>
      </c>
      <c r="L882" s="32" t="s">
        <v>802</v>
      </c>
      <c r="M882" s="0" t="str">
        <f aca="false">IF(L882="GEN","GM",L882)</f>
        <v>GYN</v>
      </c>
    </row>
    <row r="883" customFormat="false" ht="15" hidden="false" customHeight="false" outlineLevel="0" collapsed="false">
      <c r="A883" s="0" t="s">
        <v>8028</v>
      </c>
      <c r="B883" s="0" t="s">
        <v>8029</v>
      </c>
      <c r="C883" s="0" t="s">
        <v>6290</v>
      </c>
      <c r="D883" s="0" t="s">
        <v>2079</v>
      </c>
      <c r="E883" s="31" t="n">
        <v>45694</v>
      </c>
      <c r="F883" s="32" t="s">
        <v>1125</v>
      </c>
      <c r="G883" s="0" t="n">
        <v>12</v>
      </c>
      <c r="H883" s="0" t="n">
        <v>12</v>
      </c>
      <c r="I883" s="32" t="s">
        <v>2081</v>
      </c>
      <c r="J883" s="32" t="s">
        <v>2081</v>
      </c>
      <c r="K883" s="0" t="n">
        <v>0</v>
      </c>
      <c r="L883" s="32" t="s">
        <v>747</v>
      </c>
      <c r="M883" s="0" t="str">
        <f aca="false">IF(L883="GEN","GM",L883)</f>
        <v>GM</v>
      </c>
    </row>
    <row r="884" customFormat="false" ht="15" hidden="false" customHeight="false" outlineLevel="0" collapsed="false">
      <c r="A884" s="0" t="s">
        <v>8030</v>
      </c>
      <c r="B884" s="0" t="s">
        <v>8031</v>
      </c>
      <c r="C884" s="0" t="s">
        <v>6282</v>
      </c>
      <c r="D884" s="0" t="s">
        <v>2079</v>
      </c>
      <c r="E884" s="31" t="n">
        <v>45694</v>
      </c>
      <c r="F884" s="32" t="s">
        <v>6283</v>
      </c>
      <c r="G884" s="0" t="n">
        <v>11.5</v>
      </c>
      <c r="H884" s="0" t="n">
        <v>11.5</v>
      </c>
      <c r="I884" s="32" t="s">
        <v>2081</v>
      </c>
      <c r="J884" s="32" t="s">
        <v>2081</v>
      </c>
      <c r="K884" s="0" t="n">
        <v>0</v>
      </c>
      <c r="L884" s="32" t="s">
        <v>785</v>
      </c>
      <c r="M884" s="0" t="str">
        <f aca="false">IF(L884="GEN","GM",L884)</f>
        <v>RS</v>
      </c>
    </row>
    <row r="885" customFormat="false" ht="15" hidden="false" customHeight="false" outlineLevel="0" collapsed="false">
      <c r="A885" s="0" t="s">
        <v>8032</v>
      </c>
      <c r="B885" s="0" t="s">
        <v>8033</v>
      </c>
      <c r="C885" s="0" t="s">
        <v>6282</v>
      </c>
      <c r="D885" s="0" t="s">
        <v>2099</v>
      </c>
      <c r="E885" s="31" t="n">
        <v>45694</v>
      </c>
      <c r="F885" s="32" t="s">
        <v>6283</v>
      </c>
      <c r="G885" s="0" t="n">
        <v>11.5</v>
      </c>
      <c r="H885" s="0" t="n">
        <v>11.5</v>
      </c>
      <c r="I885" s="32" t="s">
        <v>2081</v>
      </c>
      <c r="J885" s="32" t="s">
        <v>2081</v>
      </c>
      <c r="K885" s="0" t="n">
        <v>0</v>
      </c>
      <c r="L885" s="32" t="s">
        <v>747</v>
      </c>
      <c r="M885" s="0" t="str">
        <f aca="false">IF(L885="GEN","GM",L885)</f>
        <v>GM</v>
      </c>
    </row>
    <row r="886" customFormat="false" ht="15" hidden="false" customHeight="false" outlineLevel="0" collapsed="false">
      <c r="A886" s="0" t="s">
        <v>8034</v>
      </c>
      <c r="B886" s="0" t="s">
        <v>8035</v>
      </c>
      <c r="C886" s="0" t="s">
        <v>780</v>
      </c>
      <c r="D886" s="0" t="s">
        <v>2099</v>
      </c>
      <c r="E886" s="31" t="n">
        <v>45694</v>
      </c>
      <c r="F886" s="32" t="s">
        <v>6283</v>
      </c>
      <c r="G886" s="0" t="n">
        <v>11.5</v>
      </c>
      <c r="H886" s="0" t="n">
        <v>11.5</v>
      </c>
      <c r="I886" s="32" t="s">
        <v>2106</v>
      </c>
      <c r="J886" s="32" t="s">
        <v>2081</v>
      </c>
      <c r="K886" s="0" t="n">
        <v>0</v>
      </c>
      <c r="L886" s="32" t="s">
        <v>747</v>
      </c>
      <c r="M886" s="0" t="str">
        <f aca="false">IF(L886="GEN","GM",L886)</f>
        <v>GM</v>
      </c>
    </row>
    <row r="887" customFormat="false" ht="15" hidden="false" customHeight="false" outlineLevel="0" collapsed="false">
      <c r="A887" s="0" t="s">
        <v>8036</v>
      </c>
      <c r="B887" s="0" t="s">
        <v>8037</v>
      </c>
      <c r="C887" s="0" t="s">
        <v>6295</v>
      </c>
      <c r="D887" s="0" t="s">
        <v>2099</v>
      </c>
      <c r="E887" s="31" t="n">
        <v>45694</v>
      </c>
      <c r="F887" s="32" t="s">
        <v>6283</v>
      </c>
      <c r="G887" s="0" t="n">
        <v>11.5</v>
      </c>
      <c r="H887" s="0" t="n">
        <v>11.5</v>
      </c>
      <c r="I887" s="32" t="s">
        <v>2081</v>
      </c>
      <c r="J887" s="32" t="s">
        <v>2106</v>
      </c>
      <c r="K887" s="0" t="n">
        <v>0</v>
      </c>
      <c r="L887" s="32" t="s">
        <v>776</v>
      </c>
      <c r="M887" s="0" t="str">
        <f aca="false">IF(L887="GEN","GM",L887)</f>
        <v>GS</v>
      </c>
    </row>
    <row r="888" customFormat="false" ht="15" hidden="false" customHeight="false" outlineLevel="0" collapsed="false">
      <c r="A888" s="0" t="s">
        <v>8038</v>
      </c>
      <c r="B888" s="0" t="s">
        <v>8039</v>
      </c>
      <c r="C888" s="0" t="s">
        <v>6286</v>
      </c>
      <c r="D888" s="0" t="s">
        <v>2115</v>
      </c>
      <c r="E888" s="31" t="n">
        <v>45694</v>
      </c>
      <c r="F888" s="32" t="s">
        <v>1125</v>
      </c>
      <c r="G888" s="0" t="n">
        <v>12</v>
      </c>
      <c r="H888" s="0" t="n">
        <v>12</v>
      </c>
      <c r="I888" s="32" t="s">
        <v>2081</v>
      </c>
      <c r="J888" s="32" t="s">
        <v>2081</v>
      </c>
      <c r="K888" s="0" t="n">
        <v>0</v>
      </c>
      <c r="L888" s="32" t="s">
        <v>810</v>
      </c>
      <c r="M888" s="0" t="str">
        <f aca="false">IF(L888="GEN","GM",L888)</f>
        <v>URO</v>
      </c>
    </row>
    <row r="889" customFormat="false" ht="15" hidden="false" customHeight="false" outlineLevel="0" collapsed="false">
      <c r="A889" s="0" t="s">
        <v>8040</v>
      </c>
      <c r="B889" s="0" t="s">
        <v>8041</v>
      </c>
      <c r="C889" s="0" t="s">
        <v>780</v>
      </c>
      <c r="D889" s="0" t="s">
        <v>2115</v>
      </c>
      <c r="E889" s="31" t="n">
        <v>45694</v>
      </c>
      <c r="F889" s="32" t="s">
        <v>6283</v>
      </c>
      <c r="G889" s="0" t="n">
        <v>11.5</v>
      </c>
      <c r="H889" s="0" t="n">
        <v>12.9</v>
      </c>
      <c r="I889" s="32" t="s">
        <v>2081</v>
      </c>
      <c r="J889" s="32" t="s">
        <v>2081</v>
      </c>
      <c r="K889" s="0" t="n">
        <v>1.4</v>
      </c>
      <c r="L889" s="32" t="s">
        <v>826</v>
      </c>
      <c r="M889" s="0" t="str">
        <f aca="false">IF(L889="GEN","GM",L889)</f>
        <v>RHE</v>
      </c>
    </row>
    <row r="890" customFormat="false" ht="15" hidden="false" customHeight="false" outlineLevel="0" collapsed="false">
      <c r="A890" s="0" t="s">
        <v>8042</v>
      </c>
      <c r="B890" s="0" t="s">
        <v>8043</v>
      </c>
      <c r="C890" s="0" t="s">
        <v>6290</v>
      </c>
      <c r="D890" s="0" t="s">
        <v>2115</v>
      </c>
      <c r="E890" s="31" t="n">
        <v>45694</v>
      </c>
      <c r="F890" s="32" t="s">
        <v>6287</v>
      </c>
      <c r="G890" s="0" t="n">
        <v>7.5</v>
      </c>
      <c r="H890" s="0" t="n">
        <v>7.5</v>
      </c>
      <c r="I890" s="32" t="s">
        <v>2081</v>
      </c>
      <c r="J890" s="32" t="s">
        <v>2081</v>
      </c>
      <c r="K890" s="0" t="n">
        <v>0</v>
      </c>
      <c r="L890" s="32" t="s">
        <v>758</v>
      </c>
      <c r="M890" s="0" t="str">
        <f aca="false">IF(L890="GEN","GM",L890)</f>
        <v>CS</v>
      </c>
    </row>
    <row r="891" customFormat="false" ht="15" hidden="false" customHeight="false" outlineLevel="0" collapsed="false">
      <c r="A891" s="0" t="s">
        <v>8044</v>
      </c>
      <c r="B891" s="0" t="s">
        <v>8045</v>
      </c>
      <c r="C891" s="0" t="s">
        <v>6282</v>
      </c>
      <c r="D891" s="0" t="s">
        <v>2115</v>
      </c>
      <c r="E891" s="31" t="n">
        <v>45694</v>
      </c>
      <c r="F891" s="32" t="s">
        <v>1125</v>
      </c>
      <c r="G891" s="0" t="n">
        <v>12</v>
      </c>
      <c r="H891" s="0" t="n">
        <v>12</v>
      </c>
      <c r="I891" s="32" t="s">
        <v>2106</v>
      </c>
      <c r="J891" s="32" t="s">
        <v>2081</v>
      </c>
      <c r="K891" s="0" t="n">
        <v>0</v>
      </c>
      <c r="L891" s="32" t="s">
        <v>785</v>
      </c>
      <c r="M891" s="0" t="str">
        <f aca="false">IF(L891="GEN","GM",L891)</f>
        <v>RS</v>
      </c>
    </row>
    <row r="892" customFormat="false" ht="15" hidden="false" customHeight="false" outlineLevel="0" collapsed="false">
      <c r="A892" s="0" t="s">
        <v>8046</v>
      </c>
      <c r="B892" s="0" t="s">
        <v>8047</v>
      </c>
      <c r="C892" s="0" t="s">
        <v>780</v>
      </c>
      <c r="D892" s="0" t="s">
        <v>2124</v>
      </c>
      <c r="E892" s="31" t="n">
        <v>45694</v>
      </c>
      <c r="F892" s="32" t="s">
        <v>6287</v>
      </c>
      <c r="G892" s="0" t="n">
        <v>7.5</v>
      </c>
      <c r="H892" s="0" t="n">
        <v>7.5</v>
      </c>
      <c r="I892" s="32" t="s">
        <v>2081</v>
      </c>
      <c r="J892" s="32" t="s">
        <v>2081</v>
      </c>
      <c r="K892" s="0" t="n">
        <v>0</v>
      </c>
      <c r="L892" s="32" t="s">
        <v>810</v>
      </c>
      <c r="M892" s="0" t="str">
        <f aca="false">IF(L892="GEN","GM",L892)</f>
        <v>URO</v>
      </c>
    </row>
    <row r="893" customFormat="false" ht="15" hidden="false" customHeight="false" outlineLevel="0" collapsed="false">
      <c r="A893" s="0" t="s">
        <v>8048</v>
      </c>
      <c r="B893" s="0" t="s">
        <v>8049</v>
      </c>
      <c r="C893" s="0" t="s">
        <v>780</v>
      </c>
      <c r="D893" s="0" t="s">
        <v>2124</v>
      </c>
      <c r="E893" s="31" t="n">
        <v>45694</v>
      </c>
      <c r="F893" s="32" t="s">
        <v>6287</v>
      </c>
      <c r="G893" s="0" t="n">
        <v>7.5</v>
      </c>
      <c r="H893" s="0" t="n">
        <v>7.5</v>
      </c>
      <c r="I893" s="32" t="s">
        <v>2081</v>
      </c>
      <c r="J893" s="32" t="s">
        <v>2081</v>
      </c>
      <c r="K893" s="0" t="n">
        <v>0</v>
      </c>
      <c r="L893" s="32" t="s">
        <v>776</v>
      </c>
      <c r="M893" s="0" t="str">
        <f aca="false">IF(L893="GEN","GM",L893)</f>
        <v>GS</v>
      </c>
    </row>
    <row r="894" customFormat="false" ht="15" hidden="false" customHeight="false" outlineLevel="0" collapsed="false">
      <c r="A894" s="0" t="s">
        <v>8050</v>
      </c>
      <c r="B894" s="0" t="s">
        <v>8051</v>
      </c>
      <c r="C894" s="0" t="s">
        <v>6286</v>
      </c>
      <c r="D894" s="0" t="s">
        <v>2124</v>
      </c>
      <c r="E894" s="31" t="n">
        <v>45694</v>
      </c>
      <c r="F894" s="32" t="s">
        <v>6283</v>
      </c>
      <c r="G894" s="0" t="n">
        <v>11.5</v>
      </c>
      <c r="H894" s="0" t="n">
        <v>11.5</v>
      </c>
      <c r="I894" s="32" t="s">
        <v>2081</v>
      </c>
      <c r="J894" s="32" t="s">
        <v>2081</v>
      </c>
      <c r="K894" s="0" t="n">
        <v>0</v>
      </c>
      <c r="L894" s="32" t="s">
        <v>793</v>
      </c>
      <c r="M894" s="0" t="str">
        <f aca="false">IF(L894="GEN","GM",L894)</f>
        <v>EM</v>
      </c>
    </row>
    <row r="895" customFormat="false" ht="15" hidden="false" customHeight="false" outlineLevel="0" collapsed="false">
      <c r="A895" s="0" t="s">
        <v>8052</v>
      </c>
      <c r="B895" s="0" t="s">
        <v>8053</v>
      </c>
      <c r="C895" s="0" t="s">
        <v>6290</v>
      </c>
      <c r="D895" s="0" t="s">
        <v>2124</v>
      </c>
      <c r="E895" s="31" t="n">
        <v>45694</v>
      </c>
      <c r="F895" s="32" t="s">
        <v>6283</v>
      </c>
      <c r="G895" s="0" t="n">
        <v>11.5</v>
      </c>
      <c r="H895" s="0" t="n">
        <v>11.5</v>
      </c>
      <c r="I895" s="32" t="s">
        <v>2081</v>
      </c>
      <c r="J895" s="32" t="s">
        <v>2081</v>
      </c>
      <c r="K895" s="0" t="n">
        <v>0</v>
      </c>
      <c r="L895" s="32" t="s">
        <v>758</v>
      </c>
      <c r="M895" s="0" t="str">
        <f aca="false">IF(L895="GEN","GM",L895)</f>
        <v>CS</v>
      </c>
    </row>
    <row r="896" customFormat="false" ht="15" hidden="false" customHeight="false" outlineLevel="0" collapsed="false">
      <c r="A896" s="0" t="s">
        <v>8054</v>
      </c>
      <c r="B896" s="0" t="s">
        <v>8055</v>
      </c>
      <c r="C896" s="0" t="s">
        <v>6282</v>
      </c>
      <c r="D896" s="0" t="s">
        <v>2124</v>
      </c>
      <c r="E896" s="31" t="n">
        <v>45694</v>
      </c>
      <c r="F896" s="32" t="s">
        <v>6287</v>
      </c>
      <c r="G896" s="0" t="n">
        <v>7.5</v>
      </c>
      <c r="H896" s="0" t="n">
        <v>7.5</v>
      </c>
      <c r="I896" s="32" t="s">
        <v>2081</v>
      </c>
      <c r="J896" s="32" t="s">
        <v>2081</v>
      </c>
      <c r="K896" s="0" t="n">
        <v>0</v>
      </c>
      <c r="L896" s="32" t="s">
        <v>766</v>
      </c>
      <c r="M896" s="0" t="str">
        <f aca="false">IF(L896="GEN","GM",L896)</f>
        <v>OR</v>
      </c>
    </row>
    <row r="897" customFormat="false" ht="15" hidden="false" customHeight="false" outlineLevel="0" collapsed="false">
      <c r="A897" s="0" t="s">
        <v>8056</v>
      </c>
      <c r="B897" s="0" t="s">
        <v>8057</v>
      </c>
      <c r="C897" s="0" t="s">
        <v>6290</v>
      </c>
      <c r="D897" s="0" t="s">
        <v>2104</v>
      </c>
      <c r="E897" s="31" t="n">
        <v>45694</v>
      </c>
      <c r="F897" s="32" t="s">
        <v>6287</v>
      </c>
      <c r="G897" s="0" t="n">
        <v>7.5</v>
      </c>
      <c r="H897" s="0" t="n">
        <v>7.5</v>
      </c>
      <c r="I897" s="32" t="s">
        <v>2081</v>
      </c>
      <c r="J897" s="32" t="s">
        <v>2081</v>
      </c>
      <c r="K897" s="0" t="n">
        <v>0</v>
      </c>
      <c r="L897" s="32" t="s">
        <v>802</v>
      </c>
      <c r="M897" s="0" t="str">
        <f aca="false">IF(L897="GEN","GM",L897)</f>
        <v>GYN</v>
      </c>
    </row>
    <row r="898" customFormat="false" ht="15" hidden="false" customHeight="false" outlineLevel="0" collapsed="false">
      <c r="A898" s="0" t="s">
        <v>8058</v>
      </c>
      <c r="B898" s="0" t="s">
        <v>8059</v>
      </c>
      <c r="C898" s="0" t="s">
        <v>6295</v>
      </c>
      <c r="D898" s="0" t="s">
        <v>2104</v>
      </c>
      <c r="E898" s="31" t="n">
        <v>45694</v>
      </c>
      <c r="F898" s="32" t="s">
        <v>6283</v>
      </c>
      <c r="G898" s="0" t="n">
        <v>11.5</v>
      </c>
      <c r="H898" s="0" t="n">
        <v>11.5</v>
      </c>
      <c r="I898" s="32" t="s">
        <v>2081</v>
      </c>
      <c r="J898" s="32" t="s">
        <v>2081</v>
      </c>
      <c r="K898" s="0" t="n">
        <v>0</v>
      </c>
      <c r="L898" s="32" t="s">
        <v>793</v>
      </c>
      <c r="M898" s="0" t="str">
        <f aca="false">IF(L898="GEN","GM",L898)</f>
        <v>EM</v>
      </c>
    </row>
    <row r="899" customFormat="false" ht="15" hidden="false" customHeight="false" outlineLevel="0" collapsed="false">
      <c r="A899" s="0" t="s">
        <v>8060</v>
      </c>
      <c r="B899" s="0" t="s">
        <v>8061</v>
      </c>
      <c r="C899" s="0" t="s">
        <v>6295</v>
      </c>
      <c r="D899" s="0" t="s">
        <v>2104</v>
      </c>
      <c r="E899" s="31" t="n">
        <v>45694</v>
      </c>
      <c r="F899" s="32" t="s">
        <v>6287</v>
      </c>
      <c r="G899" s="0" t="n">
        <v>7.5</v>
      </c>
      <c r="H899" s="0" t="n">
        <v>7.5</v>
      </c>
      <c r="I899" s="32" t="s">
        <v>2081</v>
      </c>
      <c r="J899" s="32" t="s">
        <v>2081</v>
      </c>
      <c r="K899" s="0" t="n">
        <v>0</v>
      </c>
      <c r="L899" s="32" t="s">
        <v>793</v>
      </c>
      <c r="M899" s="0" t="str">
        <f aca="false">IF(L899="GEN","GM",L899)</f>
        <v>EM</v>
      </c>
    </row>
    <row r="900" customFormat="false" ht="15" hidden="false" customHeight="false" outlineLevel="0" collapsed="false">
      <c r="A900" s="0" t="s">
        <v>8062</v>
      </c>
      <c r="B900" s="0" t="s">
        <v>8063</v>
      </c>
      <c r="C900" s="0" t="s">
        <v>6295</v>
      </c>
      <c r="D900" s="0" t="s">
        <v>2104</v>
      </c>
      <c r="E900" s="31" t="n">
        <v>45694</v>
      </c>
      <c r="F900" s="32" t="s">
        <v>6287</v>
      </c>
      <c r="G900" s="0" t="n">
        <v>7.5</v>
      </c>
      <c r="H900" s="0" t="n">
        <v>7.5</v>
      </c>
      <c r="I900" s="32" t="s">
        <v>2106</v>
      </c>
      <c r="J900" s="32" t="s">
        <v>2081</v>
      </c>
      <c r="K900" s="0" t="n">
        <v>0</v>
      </c>
      <c r="L900" s="32" t="s">
        <v>793</v>
      </c>
      <c r="M900" s="0" t="str">
        <f aca="false">IF(L900="GEN","GM",L900)</f>
        <v>EM</v>
      </c>
    </row>
    <row r="901" customFormat="false" ht="15" hidden="false" customHeight="false" outlineLevel="0" collapsed="false">
      <c r="A901" s="0" t="s">
        <v>8064</v>
      </c>
      <c r="B901" s="0" t="s">
        <v>8065</v>
      </c>
      <c r="C901" s="0" t="s">
        <v>6295</v>
      </c>
      <c r="D901" s="0" t="s">
        <v>2104</v>
      </c>
      <c r="E901" s="31" t="n">
        <v>45694</v>
      </c>
      <c r="F901" s="32" t="s">
        <v>1125</v>
      </c>
      <c r="G901" s="0" t="n">
        <v>12</v>
      </c>
      <c r="H901" s="0" t="n">
        <v>12</v>
      </c>
      <c r="I901" s="32" t="s">
        <v>2106</v>
      </c>
      <c r="J901" s="32" t="s">
        <v>2081</v>
      </c>
      <c r="K901" s="0" t="n">
        <v>0</v>
      </c>
      <c r="L901" s="32" t="s">
        <v>826</v>
      </c>
      <c r="M901" s="0" t="str">
        <f aca="false">IF(L901="GEN","GM",L901)</f>
        <v>RHE</v>
      </c>
    </row>
    <row r="902" customFormat="false" ht="15" hidden="false" customHeight="false" outlineLevel="0" collapsed="false">
      <c r="A902" s="0" t="s">
        <v>8066</v>
      </c>
      <c r="B902" s="0" t="s">
        <v>8067</v>
      </c>
      <c r="C902" s="0" t="s">
        <v>6282</v>
      </c>
      <c r="D902" s="0" t="s">
        <v>3035</v>
      </c>
      <c r="E902" s="31" t="n">
        <v>45694</v>
      </c>
      <c r="F902" s="32" t="s">
        <v>6287</v>
      </c>
      <c r="G902" s="0" t="n">
        <v>7.5</v>
      </c>
      <c r="H902" s="0" t="n">
        <v>7.5</v>
      </c>
      <c r="I902" s="32" t="s">
        <v>2081</v>
      </c>
      <c r="J902" s="32" t="s">
        <v>2081</v>
      </c>
      <c r="K902" s="0" t="n">
        <v>0</v>
      </c>
      <c r="L902" s="32" t="s">
        <v>802</v>
      </c>
      <c r="M902" s="0" t="str">
        <f aca="false">IF(L902="GEN","GM",L902)</f>
        <v>GYN</v>
      </c>
    </row>
    <row r="903" customFormat="false" ht="15" hidden="false" customHeight="false" outlineLevel="0" collapsed="false">
      <c r="A903" s="0" t="s">
        <v>8068</v>
      </c>
      <c r="B903" s="0" t="s">
        <v>8069</v>
      </c>
      <c r="C903" s="0" t="s">
        <v>6295</v>
      </c>
      <c r="D903" s="0" t="s">
        <v>3035</v>
      </c>
      <c r="E903" s="31" t="n">
        <v>45694</v>
      </c>
      <c r="F903" s="32" t="s">
        <v>6287</v>
      </c>
      <c r="G903" s="0" t="n">
        <v>7.5</v>
      </c>
      <c r="H903" s="0" t="n">
        <v>7.5</v>
      </c>
      <c r="I903" s="32" t="s">
        <v>2081</v>
      </c>
      <c r="J903" s="32" t="s">
        <v>2081</v>
      </c>
      <c r="K903" s="0" t="n">
        <v>0</v>
      </c>
      <c r="L903" s="32" t="s">
        <v>766</v>
      </c>
      <c r="M903" s="0" t="str">
        <f aca="false">IF(L903="GEN","GM",L903)</f>
        <v>OR</v>
      </c>
    </row>
    <row r="904" customFormat="false" ht="15" hidden="false" customHeight="false" outlineLevel="0" collapsed="false">
      <c r="A904" s="0" t="s">
        <v>8070</v>
      </c>
      <c r="B904" s="0" t="s">
        <v>8071</v>
      </c>
      <c r="C904" s="0" t="s">
        <v>6286</v>
      </c>
      <c r="D904" s="0" t="s">
        <v>3035</v>
      </c>
      <c r="E904" s="31" t="n">
        <v>45694</v>
      </c>
      <c r="F904" s="32" t="s">
        <v>6287</v>
      </c>
      <c r="G904" s="0" t="n">
        <v>7.5</v>
      </c>
      <c r="H904" s="0" t="n">
        <v>7.5</v>
      </c>
      <c r="I904" s="32" t="s">
        <v>2081</v>
      </c>
      <c r="J904" s="32" t="s">
        <v>2081</v>
      </c>
      <c r="K904" s="0" t="n">
        <v>0</v>
      </c>
      <c r="L904" s="32" t="s">
        <v>826</v>
      </c>
      <c r="M904" s="0" t="str">
        <f aca="false">IF(L904="GEN","GM",L904)</f>
        <v>RHE</v>
      </c>
    </row>
    <row r="905" customFormat="false" ht="15" hidden="false" customHeight="false" outlineLevel="0" collapsed="false">
      <c r="A905" s="0" t="s">
        <v>8072</v>
      </c>
      <c r="B905" s="0" t="s">
        <v>8073</v>
      </c>
      <c r="C905" s="0" t="s">
        <v>780</v>
      </c>
      <c r="D905" s="0" t="s">
        <v>2088</v>
      </c>
      <c r="E905" s="31" t="n">
        <v>45695</v>
      </c>
      <c r="F905" s="32" t="s">
        <v>6283</v>
      </c>
      <c r="G905" s="0" t="n">
        <v>11.5</v>
      </c>
      <c r="H905" s="0" t="n">
        <v>11.5</v>
      </c>
      <c r="I905" s="32" t="s">
        <v>2081</v>
      </c>
      <c r="J905" s="32" t="s">
        <v>2106</v>
      </c>
      <c r="K905" s="0" t="n">
        <v>0</v>
      </c>
      <c r="L905" s="32" t="s">
        <v>766</v>
      </c>
      <c r="M905" s="0" t="str">
        <f aca="false">IF(L905="GEN","GM",L905)</f>
        <v>OR</v>
      </c>
    </row>
    <row r="906" customFormat="false" ht="15" hidden="false" customHeight="false" outlineLevel="0" collapsed="false">
      <c r="A906" s="0" t="s">
        <v>8074</v>
      </c>
      <c r="B906" s="0" t="s">
        <v>8075</v>
      </c>
      <c r="C906" s="0" t="s">
        <v>6286</v>
      </c>
      <c r="D906" s="0" t="s">
        <v>2088</v>
      </c>
      <c r="E906" s="31" t="n">
        <v>45695</v>
      </c>
      <c r="F906" s="32" t="s">
        <v>1125</v>
      </c>
      <c r="G906" s="0" t="n">
        <v>12</v>
      </c>
      <c r="H906" s="0" t="n">
        <v>12</v>
      </c>
      <c r="I906" s="32" t="s">
        <v>2081</v>
      </c>
      <c r="J906" s="32" t="s">
        <v>2081</v>
      </c>
      <c r="K906" s="0" t="n">
        <v>0</v>
      </c>
      <c r="L906" s="32" t="s">
        <v>758</v>
      </c>
      <c r="M906" s="0" t="str">
        <f aca="false">IF(L906="GEN","GM",L906)</f>
        <v>CS</v>
      </c>
    </row>
    <row r="907" customFormat="false" ht="15" hidden="false" customHeight="false" outlineLevel="0" collapsed="false">
      <c r="A907" s="0" t="s">
        <v>8076</v>
      </c>
      <c r="B907" s="0" t="s">
        <v>8077</v>
      </c>
      <c r="C907" s="0" t="s">
        <v>6286</v>
      </c>
      <c r="D907" s="0" t="s">
        <v>2088</v>
      </c>
      <c r="E907" s="31" t="n">
        <v>45695</v>
      </c>
      <c r="F907" s="32" t="s">
        <v>6287</v>
      </c>
      <c r="G907" s="0" t="n">
        <v>7.5</v>
      </c>
      <c r="H907" s="0" t="n">
        <v>6.4</v>
      </c>
      <c r="I907" s="32" t="s">
        <v>2106</v>
      </c>
      <c r="J907" s="32" t="s">
        <v>2081</v>
      </c>
      <c r="K907" s="0" t="n">
        <v>0</v>
      </c>
      <c r="L907" s="32" t="s">
        <v>747</v>
      </c>
      <c r="M907" s="0" t="str">
        <f aca="false">IF(L907="GEN","GM",L907)</f>
        <v>GM</v>
      </c>
    </row>
    <row r="908" customFormat="false" ht="15" hidden="false" customHeight="false" outlineLevel="0" collapsed="false">
      <c r="A908" s="0" t="s">
        <v>8078</v>
      </c>
      <c r="B908" s="0" t="s">
        <v>8079</v>
      </c>
      <c r="C908" s="0" t="s">
        <v>6286</v>
      </c>
      <c r="D908" s="0" t="s">
        <v>2088</v>
      </c>
      <c r="E908" s="31" t="n">
        <v>45695</v>
      </c>
      <c r="F908" s="32" t="s">
        <v>1125</v>
      </c>
      <c r="G908" s="0" t="n">
        <v>12</v>
      </c>
      <c r="H908" s="0" t="n">
        <v>12</v>
      </c>
      <c r="I908" s="32" t="s">
        <v>2081</v>
      </c>
      <c r="J908" s="32" t="s">
        <v>2081</v>
      </c>
      <c r="K908" s="0" t="n">
        <v>0</v>
      </c>
      <c r="L908" s="32" t="s">
        <v>747</v>
      </c>
      <c r="M908" s="0" t="str">
        <f aca="false">IF(L908="GEN","GM",L908)</f>
        <v>GM</v>
      </c>
    </row>
    <row r="909" customFormat="false" ht="15" hidden="false" customHeight="false" outlineLevel="0" collapsed="false">
      <c r="A909" s="0" t="s">
        <v>8080</v>
      </c>
      <c r="B909" s="0" t="s">
        <v>8081</v>
      </c>
      <c r="C909" s="0" t="s">
        <v>780</v>
      </c>
      <c r="D909" s="0" t="s">
        <v>2079</v>
      </c>
      <c r="E909" s="31" t="n">
        <v>45695</v>
      </c>
      <c r="F909" s="32" t="s">
        <v>6287</v>
      </c>
      <c r="G909" s="0" t="n">
        <v>7.5</v>
      </c>
      <c r="H909" s="0" t="n">
        <v>7.5</v>
      </c>
      <c r="I909" s="32" t="s">
        <v>2106</v>
      </c>
      <c r="J909" s="32" t="s">
        <v>2081</v>
      </c>
      <c r="K909" s="0" t="n">
        <v>0</v>
      </c>
      <c r="L909" s="32" t="s">
        <v>776</v>
      </c>
      <c r="M909" s="0" t="str">
        <f aca="false">IF(L909="GEN","GM",L909)</f>
        <v>GS</v>
      </c>
    </row>
    <row r="910" customFormat="false" ht="15" hidden="false" customHeight="false" outlineLevel="0" collapsed="false">
      <c r="A910" s="0" t="s">
        <v>8082</v>
      </c>
      <c r="B910" s="0" t="s">
        <v>8083</v>
      </c>
      <c r="C910" s="0" t="s">
        <v>780</v>
      </c>
      <c r="D910" s="0" t="s">
        <v>2079</v>
      </c>
      <c r="E910" s="31" t="n">
        <v>45695</v>
      </c>
      <c r="F910" s="32" t="s">
        <v>6287</v>
      </c>
      <c r="G910" s="0" t="n">
        <v>7.5</v>
      </c>
      <c r="H910" s="0" t="n">
        <v>7.5</v>
      </c>
      <c r="I910" s="32" t="s">
        <v>2081</v>
      </c>
      <c r="J910" s="32" t="s">
        <v>2081</v>
      </c>
      <c r="K910" s="0" t="n">
        <v>0</v>
      </c>
      <c r="L910" s="32" t="s">
        <v>785</v>
      </c>
      <c r="M910" s="0" t="str">
        <f aca="false">IF(L910="GEN","GM",L910)</f>
        <v>RS</v>
      </c>
    </row>
    <row r="911" customFormat="false" ht="15" hidden="false" customHeight="false" outlineLevel="0" collapsed="false">
      <c r="A911" s="0" t="s">
        <v>8084</v>
      </c>
      <c r="B911" s="0" t="s">
        <v>8085</v>
      </c>
      <c r="C911" s="0" t="s">
        <v>6286</v>
      </c>
      <c r="D911" s="0" t="s">
        <v>2079</v>
      </c>
      <c r="E911" s="31" t="n">
        <v>45695</v>
      </c>
      <c r="F911" s="32" t="s">
        <v>6283</v>
      </c>
      <c r="G911" s="0" t="n">
        <v>11.5</v>
      </c>
      <c r="H911" s="0" t="n">
        <v>11.5</v>
      </c>
      <c r="I911" s="32" t="s">
        <v>2081</v>
      </c>
      <c r="J911" s="32" t="s">
        <v>2081</v>
      </c>
      <c r="K911" s="0" t="n">
        <v>0</v>
      </c>
      <c r="L911" s="32" t="s">
        <v>785</v>
      </c>
      <c r="M911" s="0" t="str">
        <f aca="false">IF(L911="GEN","GM",L911)</f>
        <v>RS</v>
      </c>
    </row>
    <row r="912" customFormat="false" ht="15" hidden="false" customHeight="false" outlineLevel="0" collapsed="false">
      <c r="A912" s="0" t="s">
        <v>8086</v>
      </c>
      <c r="B912" s="0" t="s">
        <v>8087</v>
      </c>
      <c r="C912" s="0" t="s">
        <v>6286</v>
      </c>
      <c r="D912" s="0" t="s">
        <v>2079</v>
      </c>
      <c r="E912" s="31" t="n">
        <v>45695</v>
      </c>
      <c r="F912" s="32" t="s">
        <v>6283</v>
      </c>
      <c r="G912" s="0" t="n">
        <v>11.5</v>
      </c>
      <c r="H912" s="0" t="n">
        <v>11.5</v>
      </c>
      <c r="I912" s="32" t="s">
        <v>2081</v>
      </c>
      <c r="J912" s="32" t="s">
        <v>2081</v>
      </c>
      <c r="K912" s="0" t="n">
        <v>0</v>
      </c>
      <c r="L912" s="32" t="s">
        <v>785</v>
      </c>
      <c r="M912" s="0" t="str">
        <f aca="false">IF(L912="GEN","GM",L912)</f>
        <v>RS</v>
      </c>
    </row>
    <row r="913" customFormat="false" ht="15" hidden="false" customHeight="false" outlineLevel="0" collapsed="false">
      <c r="A913" s="0" t="s">
        <v>8088</v>
      </c>
      <c r="B913" s="0" t="s">
        <v>8089</v>
      </c>
      <c r="C913" s="0" t="s">
        <v>6286</v>
      </c>
      <c r="D913" s="0" t="s">
        <v>2079</v>
      </c>
      <c r="E913" s="31" t="n">
        <v>45695</v>
      </c>
      <c r="F913" s="32" t="s">
        <v>6287</v>
      </c>
      <c r="G913" s="0" t="n">
        <v>7.5</v>
      </c>
      <c r="H913" s="0" t="n">
        <v>7.5</v>
      </c>
      <c r="I913" s="32" t="s">
        <v>2081</v>
      </c>
      <c r="J913" s="32" t="s">
        <v>2081</v>
      </c>
      <c r="K913" s="0" t="n">
        <v>0</v>
      </c>
      <c r="L913" s="32" t="s">
        <v>826</v>
      </c>
      <c r="M913" s="0" t="str">
        <f aca="false">IF(L913="GEN","GM",L913)</f>
        <v>RHE</v>
      </c>
    </row>
    <row r="914" customFormat="false" ht="15" hidden="false" customHeight="false" outlineLevel="0" collapsed="false">
      <c r="A914" s="0" t="s">
        <v>8090</v>
      </c>
      <c r="B914" s="0" t="s">
        <v>8091</v>
      </c>
      <c r="C914" s="0" t="s">
        <v>6295</v>
      </c>
      <c r="D914" s="0" t="s">
        <v>2099</v>
      </c>
      <c r="E914" s="31" t="n">
        <v>45695</v>
      </c>
      <c r="F914" s="32" t="s">
        <v>6283</v>
      </c>
      <c r="G914" s="0" t="n">
        <v>11.5</v>
      </c>
      <c r="H914" s="0" t="n">
        <v>12.6</v>
      </c>
      <c r="I914" s="32" t="s">
        <v>2081</v>
      </c>
      <c r="J914" s="32" t="s">
        <v>2081</v>
      </c>
      <c r="K914" s="0" t="n">
        <v>1.1</v>
      </c>
      <c r="L914" s="32" t="s">
        <v>747</v>
      </c>
      <c r="M914" s="0" t="str">
        <f aca="false">IF(L914="GEN","GM",L914)</f>
        <v>GM</v>
      </c>
    </row>
    <row r="915" customFormat="false" ht="15" hidden="false" customHeight="false" outlineLevel="0" collapsed="false">
      <c r="A915" s="0" t="s">
        <v>8092</v>
      </c>
      <c r="B915" s="0" t="s">
        <v>8093</v>
      </c>
      <c r="C915" s="0" t="s">
        <v>6290</v>
      </c>
      <c r="D915" s="0" t="s">
        <v>2099</v>
      </c>
      <c r="E915" s="31" t="n">
        <v>45695</v>
      </c>
      <c r="F915" s="32" t="s">
        <v>1125</v>
      </c>
      <c r="G915" s="0" t="n">
        <v>12</v>
      </c>
      <c r="H915" s="0" t="n">
        <v>12</v>
      </c>
      <c r="I915" s="32" t="s">
        <v>2081</v>
      </c>
      <c r="J915" s="32" t="s">
        <v>2081</v>
      </c>
      <c r="K915" s="0" t="n">
        <v>0</v>
      </c>
      <c r="L915" s="32" t="s">
        <v>747</v>
      </c>
      <c r="M915" s="0" t="str">
        <f aca="false">IF(L915="GEN","GM",L915)</f>
        <v>GM</v>
      </c>
    </row>
    <row r="916" customFormat="false" ht="15" hidden="false" customHeight="false" outlineLevel="0" collapsed="false">
      <c r="A916" s="0" t="s">
        <v>8094</v>
      </c>
      <c r="B916" s="0" t="s">
        <v>8095</v>
      </c>
      <c r="C916" s="0" t="s">
        <v>6295</v>
      </c>
      <c r="D916" s="0" t="s">
        <v>2099</v>
      </c>
      <c r="E916" s="31" t="n">
        <v>45695</v>
      </c>
      <c r="F916" s="32" t="s">
        <v>6287</v>
      </c>
      <c r="G916" s="0" t="n">
        <v>7.5</v>
      </c>
      <c r="H916" s="0" t="n">
        <v>8.3</v>
      </c>
      <c r="I916" s="32" t="s">
        <v>2081</v>
      </c>
      <c r="J916" s="32" t="s">
        <v>2081</v>
      </c>
      <c r="K916" s="0" t="n">
        <v>0.8</v>
      </c>
      <c r="L916" s="32" t="s">
        <v>758</v>
      </c>
      <c r="M916" s="0" t="str">
        <f aca="false">IF(L916="GEN","GM",L916)</f>
        <v>CS</v>
      </c>
    </row>
    <row r="917" customFormat="false" ht="15" hidden="false" customHeight="false" outlineLevel="0" collapsed="false">
      <c r="A917" s="0" t="s">
        <v>8096</v>
      </c>
      <c r="B917" s="0" t="s">
        <v>8097</v>
      </c>
      <c r="C917" s="0" t="s">
        <v>6286</v>
      </c>
      <c r="D917" s="0" t="s">
        <v>2099</v>
      </c>
      <c r="E917" s="31" t="n">
        <v>45695</v>
      </c>
      <c r="F917" s="32" t="s">
        <v>6287</v>
      </c>
      <c r="G917" s="0" t="n">
        <v>7.5</v>
      </c>
      <c r="H917" s="0" t="n">
        <v>7.5</v>
      </c>
      <c r="I917" s="32" t="s">
        <v>2081</v>
      </c>
      <c r="J917" s="32" t="s">
        <v>2081</v>
      </c>
      <c r="K917" s="0" t="n">
        <v>0</v>
      </c>
      <c r="L917" s="32" t="s">
        <v>747</v>
      </c>
      <c r="M917" s="0" t="str">
        <f aca="false">IF(L917="GEN","GM",L917)</f>
        <v>GM</v>
      </c>
    </row>
    <row r="918" customFormat="false" ht="15" hidden="false" customHeight="false" outlineLevel="0" collapsed="false">
      <c r="A918" s="0" t="s">
        <v>8098</v>
      </c>
      <c r="B918" s="0" t="s">
        <v>8099</v>
      </c>
      <c r="C918" s="0" t="s">
        <v>6290</v>
      </c>
      <c r="D918" s="0" t="s">
        <v>2099</v>
      </c>
      <c r="E918" s="31" t="n">
        <v>45695</v>
      </c>
      <c r="F918" s="32" t="s">
        <v>6287</v>
      </c>
      <c r="G918" s="0" t="n">
        <v>7.5</v>
      </c>
      <c r="H918" s="0" t="n">
        <v>7.5</v>
      </c>
      <c r="I918" s="32" t="s">
        <v>2081</v>
      </c>
      <c r="J918" s="32" t="s">
        <v>2081</v>
      </c>
      <c r="K918" s="0" t="n">
        <v>-0.6</v>
      </c>
      <c r="L918" s="32" t="s">
        <v>758</v>
      </c>
      <c r="M918" s="0" t="str">
        <f aca="false">IF(L918="GEN","GM",L918)</f>
        <v>CS</v>
      </c>
    </row>
    <row r="919" customFormat="false" ht="15" hidden="false" customHeight="false" outlineLevel="0" collapsed="false">
      <c r="A919" s="0" t="s">
        <v>8100</v>
      </c>
      <c r="B919" s="0" t="s">
        <v>8101</v>
      </c>
      <c r="C919" s="0" t="s">
        <v>6295</v>
      </c>
      <c r="D919" s="0" t="s">
        <v>2115</v>
      </c>
      <c r="E919" s="31" t="n">
        <v>45695</v>
      </c>
      <c r="F919" s="32" t="s">
        <v>1125</v>
      </c>
      <c r="G919" s="0" t="n">
        <v>12</v>
      </c>
      <c r="H919" s="0" t="n">
        <v>12</v>
      </c>
      <c r="I919" s="32" t="s">
        <v>2106</v>
      </c>
      <c r="J919" s="32" t="s">
        <v>2081</v>
      </c>
      <c r="K919" s="0" t="n">
        <v>0</v>
      </c>
      <c r="L919" s="32" t="s">
        <v>747</v>
      </c>
      <c r="M919" s="0" t="str">
        <f aca="false">IF(L919="GEN","GM",L919)</f>
        <v>GM</v>
      </c>
    </row>
    <row r="920" customFormat="false" ht="15" hidden="false" customHeight="false" outlineLevel="0" collapsed="false">
      <c r="A920" s="0" t="s">
        <v>8102</v>
      </c>
      <c r="B920" s="0" t="s">
        <v>8103</v>
      </c>
      <c r="C920" s="0" t="s">
        <v>6295</v>
      </c>
      <c r="D920" s="0" t="s">
        <v>2115</v>
      </c>
      <c r="E920" s="31" t="n">
        <v>45695</v>
      </c>
      <c r="F920" s="32" t="s">
        <v>6287</v>
      </c>
      <c r="G920" s="0" t="n">
        <v>7.5</v>
      </c>
      <c r="H920" s="0" t="n">
        <v>7.5</v>
      </c>
      <c r="I920" s="32" t="s">
        <v>2081</v>
      </c>
      <c r="J920" s="32" t="s">
        <v>2081</v>
      </c>
      <c r="K920" s="0" t="n">
        <v>0</v>
      </c>
      <c r="L920" s="32" t="s">
        <v>785</v>
      </c>
      <c r="M920" s="0" t="str">
        <f aca="false">IF(L920="GEN","GM",L920)</f>
        <v>RS</v>
      </c>
    </row>
    <row r="921" customFormat="false" ht="15" hidden="false" customHeight="false" outlineLevel="0" collapsed="false">
      <c r="A921" s="0" t="s">
        <v>8104</v>
      </c>
      <c r="B921" s="0" t="s">
        <v>8105</v>
      </c>
      <c r="C921" s="0" t="s">
        <v>6295</v>
      </c>
      <c r="D921" s="0" t="s">
        <v>2115</v>
      </c>
      <c r="E921" s="31" t="n">
        <v>45695</v>
      </c>
      <c r="F921" s="32" t="s">
        <v>1125</v>
      </c>
      <c r="G921" s="0" t="n">
        <v>12</v>
      </c>
      <c r="H921" s="0" t="n">
        <v>12</v>
      </c>
      <c r="I921" s="32" t="s">
        <v>2081</v>
      </c>
      <c r="J921" s="32" t="s">
        <v>2081</v>
      </c>
      <c r="K921" s="0" t="n">
        <v>0</v>
      </c>
      <c r="L921" s="32" t="s">
        <v>802</v>
      </c>
      <c r="M921" s="0" t="str">
        <f aca="false">IF(L921="GEN","GM",L921)</f>
        <v>GYN</v>
      </c>
    </row>
    <row r="922" customFormat="false" ht="15" hidden="false" customHeight="false" outlineLevel="0" collapsed="false">
      <c r="A922" s="0" t="s">
        <v>8106</v>
      </c>
      <c r="B922" s="0" t="s">
        <v>8107</v>
      </c>
      <c r="C922" s="0" t="s">
        <v>6282</v>
      </c>
      <c r="D922" s="0" t="s">
        <v>2115</v>
      </c>
      <c r="E922" s="31" t="n">
        <v>45695</v>
      </c>
      <c r="F922" s="32" t="s">
        <v>6283</v>
      </c>
      <c r="G922" s="0" t="n">
        <v>11.5</v>
      </c>
      <c r="H922" s="0" t="n">
        <v>11.5</v>
      </c>
      <c r="I922" s="32" t="s">
        <v>2081</v>
      </c>
      <c r="J922" s="32" t="s">
        <v>2081</v>
      </c>
      <c r="K922" s="0" t="n">
        <v>0</v>
      </c>
      <c r="L922" s="32" t="s">
        <v>826</v>
      </c>
      <c r="M922" s="0" t="str">
        <f aca="false">IF(L922="GEN","GM",L922)</f>
        <v>RHE</v>
      </c>
    </row>
    <row r="923" customFormat="false" ht="15" hidden="false" customHeight="false" outlineLevel="0" collapsed="false">
      <c r="A923" s="0" t="s">
        <v>8108</v>
      </c>
      <c r="B923" s="0" t="s">
        <v>8109</v>
      </c>
      <c r="C923" s="0" t="s">
        <v>6295</v>
      </c>
      <c r="D923" s="0" t="s">
        <v>2115</v>
      </c>
      <c r="E923" s="31" t="n">
        <v>45695</v>
      </c>
      <c r="F923" s="32" t="s">
        <v>1125</v>
      </c>
      <c r="G923" s="0" t="n">
        <v>12</v>
      </c>
      <c r="H923" s="0" t="n">
        <v>12</v>
      </c>
      <c r="I923" s="32" t="s">
        <v>2106</v>
      </c>
      <c r="J923" s="32" t="s">
        <v>2081</v>
      </c>
      <c r="K923" s="0" t="n">
        <v>0</v>
      </c>
      <c r="L923" s="32" t="s">
        <v>766</v>
      </c>
      <c r="M923" s="0" t="str">
        <f aca="false">IF(L923="GEN","GM",L923)</f>
        <v>OR</v>
      </c>
    </row>
    <row r="924" customFormat="false" ht="15" hidden="false" customHeight="false" outlineLevel="0" collapsed="false">
      <c r="A924" s="0" t="s">
        <v>8110</v>
      </c>
      <c r="B924" s="0" t="s">
        <v>8111</v>
      </c>
      <c r="C924" s="0" t="s">
        <v>6282</v>
      </c>
      <c r="D924" s="0" t="s">
        <v>2124</v>
      </c>
      <c r="E924" s="31" t="n">
        <v>45695</v>
      </c>
      <c r="F924" s="32" t="s">
        <v>1125</v>
      </c>
      <c r="G924" s="0" t="n">
        <v>12</v>
      </c>
      <c r="H924" s="0" t="n">
        <v>12</v>
      </c>
      <c r="I924" s="32" t="s">
        <v>2081</v>
      </c>
      <c r="J924" s="32" t="s">
        <v>2081</v>
      </c>
      <c r="K924" s="0" t="n">
        <v>0</v>
      </c>
      <c r="L924" s="32" t="s">
        <v>747</v>
      </c>
      <c r="M924" s="0" t="str">
        <f aca="false">IF(L924="GEN","GM",L924)</f>
        <v>GM</v>
      </c>
    </row>
    <row r="925" customFormat="false" ht="15" hidden="false" customHeight="false" outlineLevel="0" collapsed="false">
      <c r="A925" s="0" t="s">
        <v>8112</v>
      </c>
      <c r="B925" s="0" t="s">
        <v>8113</v>
      </c>
      <c r="C925" s="0" t="s">
        <v>6295</v>
      </c>
      <c r="D925" s="0" t="s">
        <v>2124</v>
      </c>
      <c r="E925" s="31" t="n">
        <v>45695</v>
      </c>
      <c r="F925" s="32" t="s">
        <v>6283</v>
      </c>
      <c r="G925" s="0" t="n">
        <v>11.5</v>
      </c>
      <c r="H925" s="0" t="n">
        <v>11.5</v>
      </c>
      <c r="I925" s="32" t="s">
        <v>2081</v>
      </c>
      <c r="J925" s="32" t="s">
        <v>2081</v>
      </c>
      <c r="K925" s="0" t="n">
        <v>0</v>
      </c>
      <c r="L925" s="32" t="s">
        <v>810</v>
      </c>
      <c r="M925" s="0" t="str">
        <f aca="false">IF(L925="GEN","GM",L925)</f>
        <v>URO</v>
      </c>
    </row>
    <row r="926" customFormat="false" ht="15" hidden="false" customHeight="false" outlineLevel="0" collapsed="false">
      <c r="A926" s="0" t="s">
        <v>8114</v>
      </c>
      <c r="B926" s="0" t="s">
        <v>7242</v>
      </c>
      <c r="C926" s="0" t="s">
        <v>6286</v>
      </c>
      <c r="D926" s="0" t="s">
        <v>2124</v>
      </c>
      <c r="E926" s="31" t="n">
        <v>45695</v>
      </c>
      <c r="F926" s="32" t="s">
        <v>1125</v>
      </c>
      <c r="G926" s="0" t="n">
        <v>12</v>
      </c>
      <c r="H926" s="0" t="n">
        <v>12</v>
      </c>
      <c r="I926" s="32" t="s">
        <v>2081</v>
      </c>
      <c r="J926" s="32" t="s">
        <v>2106</v>
      </c>
      <c r="K926" s="0" t="n">
        <v>0</v>
      </c>
      <c r="L926" s="32" t="s">
        <v>785</v>
      </c>
      <c r="M926" s="0" t="str">
        <f aca="false">IF(L926="GEN","GM",L926)</f>
        <v>RS</v>
      </c>
    </row>
    <row r="927" customFormat="false" ht="15" hidden="false" customHeight="false" outlineLevel="0" collapsed="false">
      <c r="A927" s="0" t="s">
        <v>8115</v>
      </c>
      <c r="B927" s="0" t="s">
        <v>8116</v>
      </c>
      <c r="C927" s="0" t="s">
        <v>6282</v>
      </c>
      <c r="D927" s="0" t="s">
        <v>2124</v>
      </c>
      <c r="E927" s="31" t="n">
        <v>45695</v>
      </c>
      <c r="F927" s="32" t="s">
        <v>1125</v>
      </c>
      <c r="G927" s="0" t="n">
        <v>12</v>
      </c>
      <c r="H927" s="0" t="n">
        <v>12</v>
      </c>
      <c r="I927" s="32" t="s">
        <v>2081</v>
      </c>
      <c r="J927" s="32" t="s">
        <v>2081</v>
      </c>
      <c r="K927" s="0" t="n">
        <v>0</v>
      </c>
      <c r="L927" s="32" t="s">
        <v>776</v>
      </c>
      <c r="M927" s="0" t="str">
        <f aca="false">IF(L927="GEN","GM",L927)</f>
        <v>GS</v>
      </c>
    </row>
    <row r="928" customFormat="false" ht="15" hidden="false" customHeight="false" outlineLevel="0" collapsed="false">
      <c r="A928" s="0" t="s">
        <v>8117</v>
      </c>
      <c r="B928" s="0" t="s">
        <v>8118</v>
      </c>
      <c r="C928" s="0" t="s">
        <v>6286</v>
      </c>
      <c r="D928" s="0" t="s">
        <v>2124</v>
      </c>
      <c r="E928" s="31" t="n">
        <v>45695</v>
      </c>
      <c r="F928" s="32" t="s">
        <v>6287</v>
      </c>
      <c r="G928" s="0" t="n">
        <v>7.5</v>
      </c>
      <c r="H928" s="0" t="n">
        <v>7.5</v>
      </c>
      <c r="I928" s="32" t="s">
        <v>2106</v>
      </c>
      <c r="J928" s="32" t="s">
        <v>2081</v>
      </c>
      <c r="K928" s="0" t="n">
        <v>0</v>
      </c>
      <c r="L928" s="32" t="s">
        <v>766</v>
      </c>
      <c r="M928" s="0" t="str">
        <f aca="false">IF(L928="GEN","GM",L928)</f>
        <v>OR</v>
      </c>
    </row>
    <row r="929" customFormat="false" ht="15" hidden="false" customHeight="false" outlineLevel="0" collapsed="false">
      <c r="A929" s="0" t="s">
        <v>8119</v>
      </c>
      <c r="B929" s="0" t="s">
        <v>8120</v>
      </c>
      <c r="C929" s="0" t="s">
        <v>6282</v>
      </c>
      <c r="D929" s="0" t="s">
        <v>2104</v>
      </c>
      <c r="E929" s="31" t="n">
        <v>45695</v>
      </c>
      <c r="F929" s="32" t="s">
        <v>6287</v>
      </c>
      <c r="G929" s="0" t="n">
        <v>7.5</v>
      </c>
      <c r="H929" s="0" t="n">
        <v>7.5</v>
      </c>
      <c r="I929" s="32" t="s">
        <v>2081</v>
      </c>
      <c r="J929" s="32" t="s">
        <v>2081</v>
      </c>
      <c r="K929" s="0" t="n">
        <v>0</v>
      </c>
      <c r="L929" s="32" t="s">
        <v>766</v>
      </c>
      <c r="M929" s="0" t="str">
        <f aca="false">IF(L929="GEN","GM",L929)</f>
        <v>OR</v>
      </c>
    </row>
    <row r="930" customFormat="false" ht="15" hidden="false" customHeight="false" outlineLevel="0" collapsed="false">
      <c r="A930" s="0" t="s">
        <v>8121</v>
      </c>
      <c r="B930" s="0" t="s">
        <v>8122</v>
      </c>
      <c r="C930" s="0" t="s">
        <v>6286</v>
      </c>
      <c r="D930" s="0" t="s">
        <v>2104</v>
      </c>
      <c r="E930" s="31" t="n">
        <v>45695</v>
      </c>
      <c r="F930" s="32" t="s">
        <v>6287</v>
      </c>
      <c r="G930" s="0" t="n">
        <v>7.5</v>
      </c>
      <c r="H930" s="0" t="n">
        <v>7.5</v>
      </c>
      <c r="I930" s="32" t="s">
        <v>2081</v>
      </c>
      <c r="J930" s="32" t="s">
        <v>2081</v>
      </c>
      <c r="K930" s="0" t="n">
        <v>0</v>
      </c>
      <c r="L930" s="32" t="s">
        <v>793</v>
      </c>
      <c r="M930" s="0" t="str">
        <f aca="false">IF(L930="GEN","GM",L930)</f>
        <v>EM</v>
      </c>
    </row>
    <row r="931" customFormat="false" ht="15" hidden="false" customHeight="false" outlineLevel="0" collapsed="false">
      <c r="A931" s="0" t="s">
        <v>8123</v>
      </c>
      <c r="B931" s="0" t="s">
        <v>8124</v>
      </c>
      <c r="C931" s="0" t="s">
        <v>6295</v>
      </c>
      <c r="D931" s="0" t="s">
        <v>2104</v>
      </c>
      <c r="E931" s="31" t="n">
        <v>45695</v>
      </c>
      <c r="F931" s="32" t="s">
        <v>1125</v>
      </c>
      <c r="G931" s="0" t="n">
        <v>12</v>
      </c>
      <c r="H931" s="0" t="n">
        <v>12</v>
      </c>
      <c r="I931" s="32" t="s">
        <v>2081</v>
      </c>
      <c r="J931" s="32" t="s">
        <v>2081</v>
      </c>
      <c r="K931" s="0" t="n">
        <v>0</v>
      </c>
      <c r="L931" s="32" t="s">
        <v>776</v>
      </c>
      <c r="M931" s="0" t="str">
        <f aca="false">IF(L931="GEN","GM",L931)</f>
        <v>GS</v>
      </c>
    </row>
    <row r="932" customFormat="false" ht="15" hidden="false" customHeight="false" outlineLevel="0" collapsed="false">
      <c r="A932" s="0" t="s">
        <v>8125</v>
      </c>
      <c r="B932" s="0" t="s">
        <v>8126</v>
      </c>
      <c r="C932" s="0" t="s">
        <v>6282</v>
      </c>
      <c r="D932" s="0" t="s">
        <v>2104</v>
      </c>
      <c r="E932" s="31" t="n">
        <v>45695</v>
      </c>
      <c r="F932" s="32" t="s">
        <v>6287</v>
      </c>
      <c r="G932" s="0" t="n">
        <v>7.5</v>
      </c>
      <c r="H932" s="0" t="n">
        <v>8.8</v>
      </c>
      <c r="I932" s="32" t="s">
        <v>2081</v>
      </c>
      <c r="J932" s="32" t="s">
        <v>2081</v>
      </c>
      <c r="K932" s="0" t="n">
        <v>1.3</v>
      </c>
      <c r="L932" s="32" t="s">
        <v>766</v>
      </c>
      <c r="M932" s="0" t="str">
        <f aca="false">IF(L932="GEN","GM",L932)</f>
        <v>OR</v>
      </c>
    </row>
    <row r="933" customFormat="false" ht="15" hidden="false" customHeight="false" outlineLevel="0" collapsed="false">
      <c r="A933" s="0" t="s">
        <v>8127</v>
      </c>
      <c r="B933" s="0" t="s">
        <v>8128</v>
      </c>
      <c r="C933" s="0" t="s">
        <v>6295</v>
      </c>
      <c r="D933" s="0" t="s">
        <v>3035</v>
      </c>
      <c r="E933" s="31" t="n">
        <v>45695</v>
      </c>
      <c r="F933" s="32" t="s">
        <v>6287</v>
      </c>
      <c r="G933" s="0" t="n">
        <v>7.5</v>
      </c>
      <c r="H933" s="0" t="n">
        <v>7.5</v>
      </c>
      <c r="I933" s="32" t="s">
        <v>2106</v>
      </c>
      <c r="J933" s="32" t="s">
        <v>2081</v>
      </c>
      <c r="K933" s="0" t="n">
        <v>0</v>
      </c>
      <c r="L933" s="32" t="s">
        <v>826</v>
      </c>
      <c r="M933" s="0" t="str">
        <f aca="false">IF(L933="GEN","GM",L933)</f>
        <v>RHE</v>
      </c>
    </row>
    <row r="934" customFormat="false" ht="15" hidden="false" customHeight="false" outlineLevel="0" collapsed="false">
      <c r="A934" s="0" t="s">
        <v>8129</v>
      </c>
      <c r="B934" s="0" t="s">
        <v>8130</v>
      </c>
      <c r="C934" s="0" t="s">
        <v>6286</v>
      </c>
      <c r="D934" s="0" t="s">
        <v>3035</v>
      </c>
      <c r="E934" s="31" t="n">
        <v>45695</v>
      </c>
      <c r="F934" s="32" t="s">
        <v>6287</v>
      </c>
      <c r="G934" s="0" t="n">
        <v>7.5</v>
      </c>
      <c r="H934" s="0" t="n">
        <v>7.5</v>
      </c>
      <c r="I934" s="32" t="s">
        <v>2081</v>
      </c>
      <c r="J934" s="32" t="s">
        <v>2081</v>
      </c>
      <c r="K934" s="0" t="n">
        <v>0</v>
      </c>
      <c r="L934" s="32" t="s">
        <v>785</v>
      </c>
      <c r="M934" s="0" t="str">
        <f aca="false">IF(L934="GEN","GM",L934)</f>
        <v>RS</v>
      </c>
    </row>
    <row r="935" customFormat="false" ht="15" hidden="false" customHeight="false" outlineLevel="0" collapsed="false">
      <c r="A935" s="0" t="s">
        <v>8131</v>
      </c>
      <c r="B935" s="0" t="s">
        <v>8132</v>
      </c>
      <c r="C935" s="0" t="s">
        <v>6295</v>
      </c>
      <c r="D935" s="0" t="s">
        <v>3035</v>
      </c>
      <c r="E935" s="31" t="n">
        <v>45695</v>
      </c>
      <c r="F935" s="32" t="s">
        <v>6287</v>
      </c>
      <c r="G935" s="0" t="n">
        <v>7.5</v>
      </c>
      <c r="H935" s="0" t="n">
        <v>8.1</v>
      </c>
      <c r="I935" s="32" t="s">
        <v>2081</v>
      </c>
      <c r="J935" s="32" t="s">
        <v>2081</v>
      </c>
      <c r="K935" s="0" t="n">
        <v>0.6</v>
      </c>
      <c r="L935" s="32" t="s">
        <v>785</v>
      </c>
      <c r="M935" s="0" t="str">
        <f aca="false">IF(L935="GEN","GM",L935)</f>
        <v>RS</v>
      </c>
    </row>
    <row r="936" customFormat="false" ht="15" hidden="false" customHeight="false" outlineLevel="0" collapsed="false">
      <c r="A936" s="0" t="s">
        <v>8133</v>
      </c>
      <c r="B936" s="0" t="s">
        <v>8134</v>
      </c>
      <c r="C936" s="0" t="s">
        <v>6295</v>
      </c>
      <c r="D936" s="0" t="s">
        <v>3035</v>
      </c>
      <c r="E936" s="31" t="n">
        <v>45695</v>
      </c>
      <c r="F936" s="32" t="s">
        <v>6287</v>
      </c>
      <c r="G936" s="0" t="n">
        <v>7.5</v>
      </c>
      <c r="H936" s="0" t="n">
        <v>7.5</v>
      </c>
      <c r="I936" s="32" t="s">
        <v>2081</v>
      </c>
      <c r="J936" s="32" t="s">
        <v>2081</v>
      </c>
      <c r="K936" s="0" t="n">
        <v>0</v>
      </c>
      <c r="L936" s="32" t="s">
        <v>747</v>
      </c>
      <c r="M936" s="0" t="str">
        <f aca="false">IF(L936="GEN","GM",L936)</f>
        <v>GM</v>
      </c>
    </row>
    <row r="937" customFormat="false" ht="15" hidden="false" customHeight="false" outlineLevel="0" collapsed="false">
      <c r="A937" s="0" t="s">
        <v>8135</v>
      </c>
      <c r="B937" s="0" t="s">
        <v>8136</v>
      </c>
      <c r="C937" s="0" t="s">
        <v>6295</v>
      </c>
      <c r="D937" s="0" t="s">
        <v>3035</v>
      </c>
      <c r="E937" s="31" t="n">
        <v>45695</v>
      </c>
      <c r="F937" s="32" t="s">
        <v>6287</v>
      </c>
      <c r="G937" s="0" t="n">
        <v>7.5</v>
      </c>
      <c r="H937" s="0" t="n">
        <v>7.5</v>
      </c>
      <c r="I937" s="32" t="s">
        <v>2081</v>
      </c>
      <c r="J937" s="32" t="s">
        <v>2081</v>
      </c>
      <c r="K937" s="0" t="n">
        <v>0</v>
      </c>
      <c r="L937" s="32" t="s">
        <v>810</v>
      </c>
      <c r="M937" s="0" t="str">
        <f aca="false">IF(L937="GEN","GM",L937)</f>
        <v>URO</v>
      </c>
    </row>
    <row r="938" customFormat="false" ht="15" hidden="false" customHeight="false" outlineLevel="0" collapsed="false">
      <c r="A938" s="0" t="s">
        <v>8137</v>
      </c>
      <c r="B938" s="0" t="s">
        <v>8138</v>
      </c>
      <c r="C938" s="0" t="s">
        <v>780</v>
      </c>
      <c r="D938" s="0" t="s">
        <v>2088</v>
      </c>
      <c r="E938" s="31" t="n">
        <v>45696</v>
      </c>
      <c r="F938" s="32" t="s">
        <v>6287</v>
      </c>
      <c r="G938" s="0" t="n">
        <v>7.5</v>
      </c>
      <c r="H938" s="0" t="n">
        <v>7.5</v>
      </c>
      <c r="I938" s="32" t="s">
        <v>2106</v>
      </c>
      <c r="J938" s="32" t="s">
        <v>2081</v>
      </c>
      <c r="K938" s="0" t="n">
        <v>0</v>
      </c>
      <c r="L938" s="32" t="s">
        <v>766</v>
      </c>
      <c r="M938" s="0" t="str">
        <f aca="false">IF(L938="GEN","GM",L938)</f>
        <v>OR</v>
      </c>
    </row>
    <row r="939" customFormat="false" ht="15" hidden="false" customHeight="false" outlineLevel="0" collapsed="false">
      <c r="A939" s="0" t="s">
        <v>8139</v>
      </c>
      <c r="B939" s="0" t="s">
        <v>8140</v>
      </c>
      <c r="C939" s="0" t="s">
        <v>780</v>
      </c>
      <c r="D939" s="0" t="s">
        <v>2088</v>
      </c>
      <c r="E939" s="31" t="n">
        <v>45696</v>
      </c>
      <c r="F939" s="32" t="s">
        <v>6283</v>
      </c>
      <c r="G939" s="0" t="n">
        <v>11.5</v>
      </c>
      <c r="H939" s="0" t="n">
        <v>11.5</v>
      </c>
      <c r="I939" s="32" t="s">
        <v>2081</v>
      </c>
      <c r="J939" s="32" t="s">
        <v>2081</v>
      </c>
      <c r="K939" s="0" t="n">
        <v>0</v>
      </c>
      <c r="L939" s="32" t="s">
        <v>747</v>
      </c>
      <c r="M939" s="0" t="str">
        <f aca="false">IF(L939="GEN","GM",L939)</f>
        <v>GM</v>
      </c>
    </row>
    <row r="940" customFormat="false" ht="15" hidden="false" customHeight="false" outlineLevel="0" collapsed="false">
      <c r="A940" s="0" t="s">
        <v>8141</v>
      </c>
      <c r="B940" s="0" t="s">
        <v>8142</v>
      </c>
      <c r="C940" s="0" t="s">
        <v>6295</v>
      </c>
      <c r="D940" s="0" t="s">
        <v>2088</v>
      </c>
      <c r="E940" s="31" t="n">
        <v>45696</v>
      </c>
      <c r="F940" s="32" t="s">
        <v>1125</v>
      </c>
      <c r="G940" s="0" t="n">
        <v>12</v>
      </c>
      <c r="H940" s="0" t="n">
        <v>12</v>
      </c>
      <c r="I940" s="32" t="s">
        <v>2081</v>
      </c>
      <c r="J940" s="32" t="s">
        <v>2081</v>
      </c>
      <c r="K940" s="0" t="n">
        <v>0</v>
      </c>
      <c r="L940" s="32" t="s">
        <v>758</v>
      </c>
      <c r="M940" s="0" t="str">
        <f aca="false">IF(L940="GEN","GM",L940)</f>
        <v>CS</v>
      </c>
    </row>
    <row r="941" customFormat="false" ht="15" hidden="false" customHeight="false" outlineLevel="0" collapsed="false">
      <c r="A941" s="0" t="s">
        <v>8143</v>
      </c>
      <c r="B941" s="0" t="s">
        <v>8144</v>
      </c>
      <c r="C941" s="0" t="s">
        <v>6282</v>
      </c>
      <c r="D941" s="0" t="s">
        <v>2088</v>
      </c>
      <c r="E941" s="31" t="n">
        <v>45696</v>
      </c>
      <c r="F941" s="32" t="s">
        <v>6283</v>
      </c>
      <c r="G941" s="0" t="n">
        <v>11.5</v>
      </c>
      <c r="H941" s="0" t="n">
        <v>11.5</v>
      </c>
      <c r="I941" s="32" t="s">
        <v>2081</v>
      </c>
      <c r="J941" s="32" t="s">
        <v>2081</v>
      </c>
      <c r="K941" s="0" t="n">
        <v>0</v>
      </c>
      <c r="L941" s="32" t="s">
        <v>776</v>
      </c>
      <c r="M941" s="0" t="str">
        <f aca="false">IF(L941="GEN","GM",L941)</f>
        <v>GS</v>
      </c>
    </row>
    <row r="942" customFormat="false" ht="15" hidden="false" customHeight="false" outlineLevel="0" collapsed="false">
      <c r="A942" s="0" t="s">
        <v>8145</v>
      </c>
      <c r="B942" s="0" t="s">
        <v>8146</v>
      </c>
      <c r="C942" s="0" t="s">
        <v>6295</v>
      </c>
      <c r="D942" s="0" t="s">
        <v>2088</v>
      </c>
      <c r="E942" s="31" t="n">
        <v>45696</v>
      </c>
      <c r="F942" s="32" t="s">
        <v>1125</v>
      </c>
      <c r="G942" s="0" t="n">
        <v>12</v>
      </c>
      <c r="H942" s="0" t="n">
        <v>12</v>
      </c>
      <c r="I942" s="32" t="s">
        <v>2081</v>
      </c>
      <c r="J942" s="32" t="s">
        <v>2081</v>
      </c>
      <c r="K942" s="0" t="n">
        <v>0</v>
      </c>
      <c r="L942" s="32" t="s">
        <v>826</v>
      </c>
      <c r="M942" s="0" t="str">
        <f aca="false">IF(L942="GEN","GM",L942)</f>
        <v>RHE</v>
      </c>
    </row>
    <row r="943" customFormat="false" ht="15" hidden="false" customHeight="false" outlineLevel="0" collapsed="false">
      <c r="A943" s="0" t="s">
        <v>8147</v>
      </c>
      <c r="B943" s="0" t="s">
        <v>8148</v>
      </c>
      <c r="C943" s="0" t="s">
        <v>6295</v>
      </c>
      <c r="D943" s="0" t="s">
        <v>2079</v>
      </c>
      <c r="E943" s="31" t="n">
        <v>45696</v>
      </c>
      <c r="F943" s="32" t="s">
        <v>6283</v>
      </c>
      <c r="G943" s="0" t="n">
        <v>11.5</v>
      </c>
      <c r="H943" s="0" t="n">
        <v>11.5</v>
      </c>
      <c r="I943" s="32" t="s">
        <v>2106</v>
      </c>
      <c r="J943" s="32" t="s">
        <v>2081</v>
      </c>
      <c r="K943" s="0" t="n">
        <v>0</v>
      </c>
      <c r="L943" s="32" t="s">
        <v>793</v>
      </c>
      <c r="M943" s="0" t="str">
        <f aca="false">IF(L943="GEN","GM",L943)</f>
        <v>EM</v>
      </c>
    </row>
    <row r="944" customFormat="false" ht="15" hidden="false" customHeight="false" outlineLevel="0" collapsed="false">
      <c r="A944" s="0" t="s">
        <v>8149</v>
      </c>
      <c r="B944" s="0" t="s">
        <v>8150</v>
      </c>
      <c r="C944" s="0" t="s">
        <v>6282</v>
      </c>
      <c r="D944" s="0" t="s">
        <v>2079</v>
      </c>
      <c r="E944" s="31" t="n">
        <v>45696</v>
      </c>
      <c r="F944" s="32" t="s">
        <v>6283</v>
      </c>
      <c r="G944" s="0" t="n">
        <v>11.5</v>
      </c>
      <c r="H944" s="0" t="n">
        <v>12.9</v>
      </c>
      <c r="I944" s="32" t="s">
        <v>2081</v>
      </c>
      <c r="J944" s="32" t="s">
        <v>2081</v>
      </c>
      <c r="K944" s="0" t="n">
        <v>1.4</v>
      </c>
      <c r="L944" s="32" t="s">
        <v>776</v>
      </c>
      <c r="M944" s="0" t="str">
        <f aca="false">IF(L944="GEN","GM",L944)</f>
        <v>GS</v>
      </c>
    </row>
    <row r="945" customFormat="false" ht="15" hidden="false" customHeight="false" outlineLevel="0" collapsed="false">
      <c r="A945" s="0" t="s">
        <v>8151</v>
      </c>
      <c r="B945" s="0" t="s">
        <v>8152</v>
      </c>
      <c r="C945" s="0" t="s">
        <v>6282</v>
      </c>
      <c r="D945" s="0" t="s">
        <v>2079</v>
      </c>
      <c r="E945" s="31" t="n">
        <v>45696</v>
      </c>
      <c r="F945" s="32" t="s">
        <v>6287</v>
      </c>
      <c r="G945" s="0" t="n">
        <v>7.5</v>
      </c>
      <c r="H945" s="0" t="n">
        <v>7.5</v>
      </c>
      <c r="I945" s="32" t="s">
        <v>2081</v>
      </c>
      <c r="J945" s="32" t="s">
        <v>2106</v>
      </c>
      <c r="K945" s="0" t="n">
        <v>0</v>
      </c>
      <c r="L945" s="32" t="s">
        <v>826</v>
      </c>
      <c r="M945" s="0" t="str">
        <f aca="false">IF(L945="GEN","GM",L945)</f>
        <v>RHE</v>
      </c>
    </row>
    <row r="946" customFormat="false" ht="15" hidden="false" customHeight="false" outlineLevel="0" collapsed="false">
      <c r="A946" s="0" t="s">
        <v>8153</v>
      </c>
      <c r="B946" s="0" t="s">
        <v>8154</v>
      </c>
      <c r="C946" s="0" t="s">
        <v>6295</v>
      </c>
      <c r="D946" s="0" t="s">
        <v>2079</v>
      </c>
      <c r="E946" s="31" t="n">
        <v>45696</v>
      </c>
      <c r="F946" s="32" t="s">
        <v>1125</v>
      </c>
      <c r="G946" s="0" t="n">
        <v>12</v>
      </c>
      <c r="H946" s="0" t="n">
        <v>12</v>
      </c>
      <c r="I946" s="32" t="s">
        <v>2081</v>
      </c>
      <c r="J946" s="32" t="s">
        <v>2081</v>
      </c>
      <c r="K946" s="0" t="n">
        <v>0</v>
      </c>
      <c r="L946" s="32" t="s">
        <v>793</v>
      </c>
      <c r="M946" s="0" t="str">
        <f aca="false">IF(L946="GEN","GM",L946)</f>
        <v>EM</v>
      </c>
    </row>
    <row r="947" customFormat="false" ht="15" hidden="false" customHeight="false" outlineLevel="0" collapsed="false">
      <c r="A947" s="0" t="s">
        <v>8155</v>
      </c>
      <c r="B947" s="0" t="s">
        <v>8156</v>
      </c>
      <c r="C947" s="0" t="s">
        <v>6295</v>
      </c>
      <c r="D947" s="0" t="s">
        <v>2099</v>
      </c>
      <c r="E947" s="31" t="n">
        <v>45696</v>
      </c>
      <c r="F947" s="32" t="s">
        <v>6287</v>
      </c>
      <c r="G947" s="0" t="n">
        <v>7.5</v>
      </c>
      <c r="H947" s="0" t="n">
        <v>7.5</v>
      </c>
      <c r="I947" s="32" t="s">
        <v>2081</v>
      </c>
      <c r="J947" s="32" t="s">
        <v>2081</v>
      </c>
      <c r="K947" s="0" t="n">
        <v>0</v>
      </c>
      <c r="L947" s="32" t="s">
        <v>793</v>
      </c>
      <c r="M947" s="0" t="str">
        <f aca="false">IF(L947="GEN","GM",L947)</f>
        <v>EM</v>
      </c>
    </row>
    <row r="948" customFormat="false" ht="15" hidden="false" customHeight="false" outlineLevel="0" collapsed="false">
      <c r="A948" s="0" t="s">
        <v>8157</v>
      </c>
      <c r="B948" s="0" t="s">
        <v>8158</v>
      </c>
      <c r="C948" s="0" t="s">
        <v>6290</v>
      </c>
      <c r="D948" s="0" t="s">
        <v>2099</v>
      </c>
      <c r="E948" s="31" t="n">
        <v>45696</v>
      </c>
      <c r="F948" s="32" t="s">
        <v>6287</v>
      </c>
      <c r="G948" s="0" t="n">
        <v>7.5</v>
      </c>
      <c r="H948" s="0" t="n">
        <v>7.5</v>
      </c>
      <c r="I948" s="32" t="s">
        <v>2106</v>
      </c>
      <c r="J948" s="32" t="s">
        <v>2081</v>
      </c>
      <c r="K948" s="0" t="n">
        <v>0</v>
      </c>
      <c r="L948" s="32" t="s">
        <v>810</v>
      </c>
      <c r="M948" s="0" t="str">
        <f aca="false">IF(L948="GEN","GM",L948)</f>
        <v>URO</v>
      </c>
    </row>
    <row r="949" customFormat="false" ht="15" hidden="false" customHeight="false" outlineLevel="0" collapsed="false">
      <c r="A949" s="0" t="s">
        <v>8159</v>
      </c>
      <c r="B949" s="0" t="s">
        <v>8160</v>
      </c>
      <c r="C949" s="0" t="s">
        <v>6286</v>
      </c>
      <c r="D949" s="0" t="s">
        <v>2099</v>
      </c>
      <c r="E949" s="31" t="n">
        <v>45696</v>
      </c>
      <c r="F949" s="32" t="s">
        <v>6283</v>
      </c>
      <c r="G949" s="0" t="n">
        <v>11.5</v>
      </c>
      <c r="H949" s="0" t="n">
        <v>11.5</v>
      </c>
      <c r="I949" s="32" t="s">
        <v>2081</v>
      </c>
      <c r="J949" s="32" t="s">
        <v>2081</v>
      </c>
      <c r="K949" s="0" t="n">
        <v>0</v>
      </c>
      <c r="L949" s="32" t="s">
        <v>793</v>
      </c>
      <c r="M949" s="0" t="str">
        <f aca="false">IF(L949="GEN","GM",L949)</f>
        <v>EM</v>
      </c>
    </row>
    <row r="950" customFormat="false" ht="15" hidden="false" customHeight="false" outlineLevel="0" collapsed="false">
      <c r="A950" s="0" t="s">
        <v>8161</v>
      </c>
      <c r="B950" s="0" t="s">
        <v>8162</v>
      </c>
      <c r="C950" s="0" t="s">
        <v>6290</v>
      </c>
      <c r="D950" s="0" t="s">
        <v>2099</v>
      </c>
      <c r="E950" s="31" t="n">
        <v>45696</v>
      </c>
      <c r="F950" s="32" t="s">
        <v>6287</v>
      </c>
      <c r="G950" s="0" t="n">
        <v>7.5</v>
      </c>
      <c r="H950" s="0" t="n">
        <v>7.5</v>
      </c>
      <c r="I950" s="32" t="s">
        <v>2081</v>
      </c>
      <c r="J950" s="32" t="s">
        <v>2081</v>
      </c>
      <c r="K950" s="0" t="n">
        <v>0</v>
      </c>
      <c r="L950" s="32" t="s">
        <v>747</v>
      </c>
      <c r="M950" s="0" t="str">
        <f aca="false">IF(L950="GEN","GM",L950)</f>
        <v>GM</v>
      </c>
    </row>
    <row r="951" customFormat="false" ht="15" hidden="false" customHeight="false" outlineLevel="0" collapsed="false">
      <c r="A951" s="0" t="s">
        <v>8163</v>
      </c>
      <c r="B951" s="0" t="s">
        <v>8164</v>
      </c>
      <c r="C951" s="0" t="s">
        <v>6290</v>
      </c>
      <c r="D951" s="0" t="s">
        <v>2099</v>
      </c>
      <c r="E951" s="31" t="n">
        <v>45696</v>
      </c>
      <c r="F951" s="32" t="s">
        <v>6813</v>
      </c>
      <c r="G951" s="0" t="n">
        <v>7.5</v>
      </c>
      <c r="H951" s="0" t="n">
        <v>7.5</v>
      </c>
      <c r="I951" s="32" t="s">
        <v>2081</v>
      </c>
      <c r="J951" s="32" t="s">
        <v>2081</v>
      </c>
      <c r="K951" s="0" t="n">
        <v>0</v>
      </c>
      <c r="L951" s="32" t="s">
        <v>802</v>
      </c>
      <c r="M951" s="0" t="str">
        <f aca="false">IF(L951="GEN","GM",L951)</f>
        <v>GYN</v>
      </c>
    </row>
    <row r="952" customFormat="false" ht="15" hidden="false" customHeight="false" outlineLevel="0" collapsed="false">
      <c r="A952" s="0" t="s">
        <v>8165</v>
      </c>
      <c r="B952" s="0" t="s">
        <v>8166</v>
      </c>
      <c r="C952" s="0" t="s">
        <v>6295</v>
      </c>
      <c r="D952" s="0" t="s">
        <v>2115</v>
      </c>
      <c r="E952" s="31" t="n">
        <v>45696</v>
      </c>
      <c r="F952" s="32" t="s">
        <v>6287</v>
      </c>
      <c r="G952" s="0" t="n">
        <v>7.5</v>
      </c>
      <c r="H952" s="0" t="n">
        <v>7.5</v>
      </c>
      <c r="I952" s="32" t="s">
        <v>2081</v>
      </c>
      <c r="J952" s="32" t="s">
        <v>2081</v>
      </c>
      <c r="K952" s="0" t="n">
        <v>0</v>
      </c>
      <c r="L952" s="32" t="s">
        <v>810</v>
      </c>
      <c r="M952" s="0" t="str">
        <f aca="false">IF(L952="GEN","GM",L952)</f>
        <v>URO</v>
      </c>
    </row>
    <row r="953" customFormat="false" ht="15" hidden="false" customHeight="false" outlineLevel="0" collapsed="false">
      <c r="A953" s="0" t="s">
        <v>8167</v>
      </c>
      <c r="B953" s="0" t="s">
        <v>6484</v>
      </c>
      <c r="C953" s="0" t="s">
        <v>6286</v>
      </c>
      <c r="D953" s="0" t="s">
        <v>2115</v>
      </c>
      <c r="E953" s="31" t="n">
        <v>45696</v>
      </c>
      <c r="F953" s="32" t="s">
        <v>6287</v>
      </c>
      <c r="G953" s="0" t="n">
        <v>7.5</v>
      </c>
      <c r="H953" s="0" t="n">
        <v>7.5</v>
      </c>
      <c r="I953" s="32" t="s">
        <v>2081</v>
      </c>
      <c r="J953" s="32" t="s">
        <v>2081</v>
      </c>
      <c r="K953" s="0" t="n">
        <v>0</v>
      </c>
      <c r="L953" s="32" t="s">
        <v>747</v>
      </c>
      <c r="M953" s="0" t="str">
        <f aca="false">IF(L953="GEN","GM",L953)</f>
        <v>GM</v>
      </c>
    </row>
    <row r="954" customFormat="false" ht="15" hidden="false" customHeight="false" outlineLevel="0" collapsed="false">
      <c r="A954" s="0" t="s">
        <v>8168</v>
      </c>
      <c r="B954" s="0" t="s">
        <v>8169</v>
      </c>
      <c r="C954" s="0" t="s">
        <v>6282</v>
      </c>
      <c r="D954" s="0" t="s">
        <v>2115</v>
      </c>
      <c r="E954" s="31" t="n">
        <v>45696</v>
      </c>
      <c r="F954" s="32" t="s">
        <v>6287</v>
      </c>
      <c r="G954" s="0" t="n">
        <v>7.5</v>
      </c>
      <c r="H954" s="0" t="n">
        <v>7.5</v>
      </c>
      <c r="I954" s="32" t="s">
        <v>2081</v>
      </c>
      <c r="J954" s="32" t="s">
        <v>2081</v>
      </c>
      <c r="K954" s="0" t="n">
        <v>0</v>
      </c>
      <c r="L954" s="32" t="s">
        <v>758</v>
      </c>
      <c r="M954" s="0" t="str">
        <f aca="false">IF(L954="GEN","GM",L954)</f>
        <v>CS</v>
      </c>
    </row>
    <row r="955" customFormat="false" ht="15" hidden="false" customHeight="false" outlineLevel="0" collapsed="false">
      <c r="A955" s="0" t="s">
        <v>8170</v>
      </c>
      <c r="B955" s="0" t="s">
        <v>8171</v>
      </c>
      <c r="C955" s="0" t="s">
        <v>6286</v>
      </c>
      <c r="D955" s="0" t="s">
        <v>2115</v>
      </c>
      <c r="E955" s="31" t="n">
        <v>45696</v>
      </c>
      <c r="F955" s="32" t="s">
        <v>6283</v>
      </c>
      <c r="G955" s="0" t="n">
        <v>11.5</v>
      </c>
      <c r="H955" s="0" t="n">
        <v>11.5</v>
      </c>
      <c r="I955" s="32" t="s">
        <v>2106</v>
      </c>
      <c r="J955" s="32" t="s">
        <v>2081</v>
      </c>
      <c r="K955" s="0" t="n">
        <v>0</v>
      </c>
      <c r="L955" s="32" t="s">
        <v>826</v>
      </c>
      <c r="M955" s="0" t="str">
        <f aca="false">IF(L955="GEN","GM",L955)</f>
        <v>RHE</v>
      </c>
    </row>
    <row r="956" customFormat="false" ht="15" hidden="false" customHeight="false" outlineLevel="0" collapsed="false">
      <c r="A956" s="0" t="s">
        <v>8172</v>
      </c>
      <c r="B956" s="0" t="s">
        <v>8173</v>
      </c>
      <c r="C956" s="0" t="s">
        <v>6282</v>
      </c>
      <c r="D956" s="0" t="s">
        <v>2115</v>
      </c>
      <c r="E956" s="31" t="n">
        <v>45696</v>
      </c>
      <c r="F956" s="32" t="s">
        <v>6287</v>
      </c>
      <c r="G956" s="0" t="n">
        <v>7.5</v>
      </c>
      <c r="H956" s="0" t="n">
        <v>7.5</v>
      </c>
      <c r="I956" s="32" t="s">
        <v>2081</v>
      </c>
      <c r="J956" s="32" t="s">
        <v>2081</v>
      </c>
      <c r="K956" s="0" t="n">
        <v>0</v>
      </c>
      <c r="L956" s="32" t="s">
        <v>793</v>
      </c>
      <c r="M956" s="0" t="str">
        <f aca="false">IF(L956="GEN","GM",L956)</f>
        <v>EM</v>
      </c>
    </row>
    <row r="957" customFormat="false" ht="15" hidden="false" customHeight="false" outlineLevel="0" collapsed="false">
      <c r="A957" s="0" t="s">
        <v>8174</v>
      </c>
      <c r="B957" s="0" t="s">
        <v>8175</v>
      </c>
      <c r="C957" s="0" t="s">
        <v>6286</v>
      </c>
      <c r="D957" s="0" t="s">
        <v>2124</v>
      </c>
      <c r="E957" s="31" t="n">
        <v>45696</v>
      </c>
      <c r="F957" s="32" t="s">
        <v>6283</v>
      </c>
      <c r="G957" s="0" t="n">
        <v>11.5</v>
      </c>
      <c r="H957" s="0" t="n">
        <v>11.5</v>
      </c>
      <c r="I957" s="32" t="s">
        <v>2081</v>
      </c>
      <c r="J957" s="32" t="s">
        <v>2081</v>
      </c>
      <c r="K957" s="0" t="n">
        <v>0</v>
      </c>
      <c r="L957" s="32" t="s">
        <v>802</v>
      </c>
      <c r="M957" s="0" t="str">
        <f aca="false">IF(L957="GEN","GM",L957)</f>
        <v>GYN</v>
      </c>
    </row>
    <row r="958" customFormat="false" ht="15" hidden="false" customHeight="false" outlineLevel="0" collapsed="false">
      <c r="A958" s="0" t="s">
        <v>8176</v>
      </c>
      <c r="B958" s="0" t="s">
        <v>8177</v>
      </c>
      <c r="C958" s="0" t="s">
        <v>6286</v>
      </c>
      <c r="D958" s="0" t="s">
        <v>2124</v>
      </c>
      <c r="E958" s="31" t="n">
        <v>45696</v>
      </c>
      <c r="F958" s="32" t="s">
        <v>1125</v>
      </c>
      <c r="G958" s="0" t="n">
        <v>12</v>
      </c>
      <c r="H958" s="0" t="n">
        <v>12</v>
      </c>
      <c r="I958" s="32" t="s">
        <v>2081</v>
      </c>
      <c r="J958" s="32" t="s">
        <v>2081</v>
      </c>
      <c r="K958" s="0" t="n">
        <v>0</v>
      </c>
      <c r="L958" s="32" t="s">
        <v>747</v>
      </c>
      <c r="M958" s="0" t="str">
        <f aca="false">IF(L958="GEN","GM",L958)</f>
        <v>GM</v>
      </c>
    </row>
    <row r="959" customFormat="false" ht="15" hidden="false" customHeight="false" outlineLevel="0" collapsed="false">
      <c r="A959" s="0" t="s">
        <v>8178</v>
      </c>
      <c r="B959" s="0" t="s">
        <v>8179</v>
      </c>
      <c r="C959" s="0" t="s">
        <v>6286</v>
      </c>
      <c r="D959" s="0" t="s">
        <v>2124</v>
      </c>
      <c r="E959" s="31" t="n">
        <v>45696</v>
      </c>
      <c r="F959" s="32" t="s">
        <v>1125</v>
      </c>
      <c r="G959" s="0" t="n">
        <v>12</v>
      </c>
      <c r="H959" s="0" t="n">
        <v>12</v>
      </c>
      <c r="I959" s="32" t="s">
        <v>2081</v>
      </c>
      <c r="J959" s="32" t="s">
        <v>2081</v>
      </c>
      <c r="K959" s="0" t="n">
        <v>0</v>
      </c>
      <c r="L959" s="32" t="s">
        <v>766</v>
      </c>
      <c r="M959" s="0" t="str">
        <f aca="false">IF(L959="GEN","GM",L959)</f>
        <v>OR</v>
      </c>
    </row>
    <row r="960" customFormat="false" ht="15" hidden="false" customHeight="false" outlineLevel="0" collapsed="false">
      <c r="A960" s="0" t="s">
        <v>8180</v>
      </c>
      <c r="B960" s="0" t="s">
        <v>8181</v>
      </c>
      <c r="C960" s="0" t="s">
        <v>6282</v>
      </c>
      <c r="D960" s="0" t="s">
        <v>2124</v>
      </c>
      <c r="E960" s="31" t="n">
        <v>45696</v>
      </c>
      <c r="F960" s="32" t="s">
        <v>1125</v>
      </c>
      <c r="G960" s="0" t="n">
        <v>12</v>
      </c>
      <c r="H960" s="0" t="n">
        <v>12</v>
      </c>
      <c r="I960" s="32" t="s">
        <v>2081</v>
      </c>
      <c r="J960" s="32" t="s">
        <v>2081</v>
      </c>
      <c r="K960" s="0" t="n">
        <v>0</v>
      </c>
      <c r="L960" s="32" t="s">
        <v>826</v>
      </c>
      <c r="M960" s="0" t="str">
        <f aca="false">IF(L960="GEN","GM",L960)</f>
        <v>RHE</v>
      </c>
    </row>
    <row r="961" customFormat="false" ht="15" hidden="false" customHeight="false" outlineLevel="0" collapsed="false">
      <c r="A961" s="0" t="s">
        <v>8182</v>
      </c>
      <c r="B961" s="0" t="s">
        <v>8183</v>
      </c>
      <c r="C961" s="0" t="s">
        <v>6282</v>
      </c>
      <c r="D961" s="0" t="s">
        <v>2124</v>
      </c>
      <c r="E961" s="31" t="n">
        <v>45696</v>
      </c>
      <c r="F961" s="32" t="s">
        <v>6283</v>
      </c>
      <c r="G961" s="0" t="n">
        <v>11.5</v>
      </c>
      <c r="H961" s="0" t="n">
        <v>11.5</v>
      </c>
      <c r="I961" s="32" t="s">
        <v>2081</v>
      </c>
      <c r="J961" s="32" t="s">
        <v>2081</v>
      </c>
      <c r="K961" s="0" t="n">
        <v>0</v>
      </c>
      <c r="L961" s="32" t="s">
        <v>785</v>
      </c>
      <c r="M961" s="0" t="str">
        <f aca="false">IF(L961="GEN","GM",L961)</f>
        <v>RS</v>
      </c>
    </row>
    <row r="962" customFormat="false" ht="15" hidden="false" customHeight="false" outlineLevel="0" collapsed="false">
      <c r="A962" s="0" t="s">
        <v>8184</v>
      </c>
      <c r="B962" s="0" t="s">
        <v>8185</v>
      </c>
      <c r="C962" s="0" t="s">
        <v>6295</v>
      </c>
      <c r="D962" s="0" t="s">
        <v>2104</v>
      </c>
      <c r="E962" s="31" t="n">
        <v>45696</v>
      </c>
      <c r="F962" s="32" t="s">
        <v>6283</v>
      </c>
      <c r="G962" s="0" t="n">
        <v>11.5</v>
      </c>
      <c r="H962" s="0" t="n">
        <v>11.5</v>
      </c>
      <c r="I962" s="32" t="s">
        <v>2106</v>
      </c>
      <c r="J962" s="32" t="s">
        <v>2081</v>
      </c>
      <c r="K962" s="0" t="n">
        <v>0</v>
      </c>
      <c r="L962" s="32" t="s">
        <v>785</v>
      </c>
      <c r="M962" s="0" t="str">
        <f aca="false">IF(L962="GEN","GM",L962)</f>
        <v>RS</v>
      </c>
    </row>
    <row r="963" customFormat="false" ht="15" hidden="false" customHeight="false" outlineLevel="0" collapsed="false">
      <c r="A963" s="0" t="s">
        <v>8186</v>
      </c>
      <c r="B963" s="0" t="s">
        <v>8187</v>
      </c>
      <c r="C963" s="0" t="s">
        <v>6295</v>
      </c>
      <c r="D963" s="0" t="s">
        <v>2104</v>
      </c>
      <c r="E963" s="31" t="n">
        <v>45696</v>
      </c>
      <c r="F963" s="32" t="s">
        <v>1125</v>
      </c>
      <c r="G963" s="0" t="n">
        <v>12</v>
      </c>
      <c r="H963" s="0" t="n">
        <v>12</v>
      </c>
      <c r="I963" s="32" t="s">
        <v>2081</v>
      </c>
      <c r="J963" s="32" t="s">
        <v>2081</v>
      </c>
      <c r="K963" s="0" t="n">
        <v>0</v>
      </c>
      <c r="L963" s="32" t="s">
        <v>802</v>
      </c>
      <c r="M963" s="0" t="str">
        <f aca="false">IF(L963="GEN","GM",L963)</f>
        <v>GYN</v>
      </c>
    </row>
    <row r="964" customFormat="false" ht="15" hidden="false" customHeight="false" outlineLevel="0" collapsed="false">
      <c r="A964" s="0" t="s">
        <v>8188</v>
      </c>
      <c r="B964" s="0" t="s">
        <v>8189</v>
      </c>
      <c r="C964" s="0" t="s">
        <v>6286</v>
      </c>
      <c r="D964" s="0" t="s">
        <v>2104</v>
      </c>
      <c r="E964" s="31" t="n">
        <v>45696</v>
      </c>
      <c r="F964" s="32" t="s">
        <v>6283</v>
      </c>
      <c r="G964" s="0" t="n">
        <v>11.5</v>
      </c>
      <c r="H964" s="0" t="n">
        <v>11.5</v>
      </c>
      <c r="I964" s="32" t="s">
        <v>2081</v>
      </c>
      <c r="J964" s="32" t="s">
        <v>2081</v>
      </c>
      <c r="K964" s="0" t="n">
        <v>0</v>
      </c>
      <c r="L964" s="32" t="s">
        <v>747</v>
      </c>
      <c r="M964" s="0" t="str">
        <f aca="false">IF(L964="GEN","GM",L964)</f>
        <v>GM</v>
      </c>
    </row>
    <row r="965" customFormat="false" ht="15" hidden="false" customHeight="false" outlineLevel="0" collapsed="false">
      <c r="A965" s="0" t="s">
        <v>8190</v>
      </c>
      <c r="B965" s="0" t="s">
        <v>8191</v>
      </c>
      <c r="C965" s="0" t="s">
        <v>6295</v>
      </c>
      <c r="D965" s="0" t="s">
        <v>2104</v>
      </c>
      <c r="E965" s="31" t="n">
        <v>45696</v>
      </c>
      <c r="F965" s="32" t="s">
        <v>6283</v>
      </c>
      <c r="G965" s="0" t="n">
        <v>11.5</v>
      </c>
      <c r="H965" s="0" t="n">
        <v>11.5</v>
      </c>
      <c r="I965" s="32" t="s">
        <v>2081</v>
      </c>
      <c r="J965" s="32" t="s">
        <v>2081</v>
      </c>
      <c r="K965" s="0" t="n">
        <v>0</v>
      </c>
      <c r="L965" s="32" t="s">
        <v>785</v>
      </c>
      <c r="M965" s="0" t="str">
        <f aca="false">IF(L965="GEN","GM",L965)</f>
        <v>RS</v>
      </c>
    </row>
    <row r="966" customFormat="false" ht="15" hidden="false" customHeight="false" outlineLevel="0" collapsed="false">
      <c r="A966" s="0" t="s">
        <v>8192</v>
      </c>
      <c r="B966" s="0" t="s">
        <v>8193</v>
      </c>
      <c r="C966" s="0" t="s">
        <v>6290</v>
      </c>
      <c r="D966" s="0" t="s">
        <v>3035</v>
      </c>
      <c r="E966" s="31" t="n">
        <v>45696</v>
      </c>
      <c r="F966" s="32" t="s">
        <v>6287</v>
      </c>
      <c r="G966" s="0" t="n">
        <v>7.5</v>
      </c>
      <c r="H966" s="0" t="n">
        <v>7.5</v>
      </c>
      <c r="I966" s="32" t="s">
        <v>2081</v>
      </c>
      <c r="J966" s="32" t="s">
        <v>2081</v>
      </c>
      <c r="K966" s="0" t="n">
        <v>0</v>
      </c>
      <c r="L966" s="32" t="s">
        <v>785</v>
      </c>
      <c r="M966" s="0" t="str">
        <f aca="false">IF(L966="GEN","GM",L966)</f>
        <v>RS</v>
      </c>
    </row>
    <row r="967" customFormat="false" ht="15" hidden="false" customHeight="false" outlineLevel="0" collapsed="false">
      <c r="A967" s="0" t="s">
        <v>8194</v>
      </c>
      <c r="B967" s="0" t="s">
        <v>8195</v>
      </c>
      <c r="C967" s="0" t="s">
        <v>6286</v>
      </c>
      <c r="D967" s="0" t="s">
        <v>3035</v>
      </c>
      <c r="E967" s="31" t="n">
        <v>45696</v>
      </c>
      <c r="F967" s="32" t="s">
        <v>6287</v>
      </c>
      <c r="G967" s="0" t="n">
        <v>7.5</v>
      </c>
      <c r="H967" s="0" t="n">
        <v>7.5</v>
      </c>
      <c r="I967" s="32" t="s">
        <v>2081</v>
      </c>
      <c r="J967" s="32" t="s">
        <v>2081</v>
      </c>
      <c r="K967" s="0" t="n">
        <v>0</v>
      </c>
      <c r="L967" s="32" t="s">
        <v>758</v>
      </c>
      <c r="M967" s="0" t="str">
        <f aca="false">IF(L967="GEN","GM",L967)</f>
        <v>CS</v>
      </c>
    </row>
    <row r="968" customFormat="false" ht="15" hidden="false" customHeight="false" outlineLevel="0" collapsed="false">
      <c r="A968" s="0" t="s">
        <v>8196</v>
      </c>
      <c r="B968" s="0" t="s">
        <v>8197</v>
      </c>
      <c r="C968" s="0" t="s">
        <v>6290</v>
      </c>
      <c r="D968" s="0" t="s">
        <v>3035</v>
      </c>
      <c r="E968" s="31" t="n">
        <v>45696</v>
      </c>
      <c r="F968" s="32" t="s">
        <v>6283</v>
      </c>
      <c r="G968" s="0" t="n">
        <v>11.5</v>
      </c>
      <c r="H968" s="0" t="n">
        <v>11.5</v>
      </c>
      <c r="I968" s="32" t="s">
        <v>2106</v>
      </c>
      <c r="J968" s="32" t="s">
        <v>2081</v>
      </c>
      <c r="K968" s="0" t="n">
        <v>0</v>
      </c>
      <c r="L968" s="32" t="s">
        <v>785</v>
      </c>
      <c r="M968" s="0" t="str">
        <f aca="false">IF(L968="GEN","GM",L968)</f>
        <v>RS</v>
      </c>
    </row>
    <row r="969" customFormat="false" ht="15" hidden="false" customHeight="false" outlineLevel="0" collapsed="false">
      <c r="A969" s="0" t="s">
        <v>8198</v>
      </c>
      <c r="C969" s="0" t="s">
        <v>6286</v>
      </c>
      <c r="D969" s="0" t="s">
        <v>3035</v>
      </c>
      <c r="E969" s="31" t="n">
        <v>45696</v>
      </c>
      <c r="F969" s="32" t="s">
        <v>6287</v>
      </c>
      <c r="G969" s="0" t="n">
        <v>7.5</v>
      </c>
      <c r="H969" s="0" t="n">
        <v>7.5</v>
      </c>
      <c r="I969" s="32" t="s">
        <v>2081</v>
      </c>
      <c r="J969" s="32" t="s">
        <v>2106</v>
      </c>
      <c r="K969" s="0" t="n">
        <v>0</v>
      </c>
      <c r="L969" s="32" t="s">
        <v>793</v>
      </c>
      <c r="M969" s="0" t="str">
        <f aca="false">IF(L969="GEN","GM",L969)</f>
        <v>EM</v>
      </c>
    </row>
    <row r="970" customFormat="false" ht="15" hidden="false" customHeight="false" outlineLevel="0" collapsed="false">
      <c r="A970" s="0" t="s">
        <v>8199</v>
      </c>
      <c r="B970" s="0" t="s">
        <v>8200</v>
      </c>
      <c r="C970" s="0" t="s">
        <v>6286</v>
      </c>
      <c r="D970" s="0" t="s">
        <v>3035</v>
      </c>
      <c r="E970" s="31" t="n">
        <v>45696</v>
      </c>
      <c r="F970" s="32" t="s">
        <v>6287</v>
      </c>
      <c r="G970" s="0" t="n">
        <v>7.5</v>
      </c>
      <c r="H970" s="0" t="n">
        <v>7.5</v>
      </c>
      <c r="I970" s="32" t="s">
        <v>2106</v>
      </c>
      <c r="J970" s="32" t="s">
        <v>2081</v>
      </c>
      <c r="K970" s="0" t="n">
        <v>0</v>
      </c>
      <c r="L970" s="32" t="s">
        <v>758</v>
      </c>
      <c r="M970" s="0" t="str">
        <f aca="false">IF(L970="GEN","GM",L970)</f>
        <v>CS</v>
      </c>
    </row>
    <row r="971" customFormat="false" ht="15" hidden="false" customHeight="false" outlineLevel="0" collapsed="false">
      <c r="A971" s="0" t="s">
        <v>8201</v>
      </c>
      <c r="B971" s="0" t="s">
        <v>8202</v>
      </c>
      <c r="C971" s="0" t="s">
        <v>6295</v>
      </c>
      <c r="D971" s="0" t="s">
        <v>2088</v>
      </c>
      <c r="E971" s="31" t="n">
        <v>45697</v>
      </c>
      <c r="F971" s="32" t="s">
        <v>1125</v>
      </c>
      <c r="G971" s="0" t="n">
        <v>12</v>
      </c>
      <c r="H971" s="0" t="n">
        <v>12</v>
      </c>
      <c r="I971" s="32" t="s">
        <v>2081</v>
      </c>
      <c r="J971" s="32" t="s">
        <v>2081</v>
      </c>
      <c r="K971" s="0" t="n">
        <v>0</v>
      </c>
      <c r="L971" s="32" t="s">
        <v>747</v>
      </c>
      <c r="M971" s="0" t="str">
        <f aca="false">IF(L971="GEN","GM",L971)</f>
        <v>GM</v>
      </c>
    </row>
    <row r="972" customFormat="false" ht="15" hidden="false" customHeight="false" outlineLevel="0" collapsed="false">
      <c r="A972" s="0" t="s">
        <v>8203</v>
      </c>
      <c r="B972" s="0" t="s">
        <v>8204</v>
      </c>
      <c r="C972" s="0" t="s">
        <v>6295</v>
      </c>
      <c r="D972" s="0" t="s">
        <v>2088</v>
      </c>
      <c r="E972" s="31" t="n">
        <v>45697</v>
      </c>
      <c r="F972" s="32" t="s">
        <v>1125</v>
      </c>
      <c r="G972" s="0" t="n">
        <v>12</v>
      </c>
      <c r="H972" s="0" t="n">
        <v>12</v>
      </c>
      <c r="I972" s="32" t="s">
        <v>2106</v>
      </c>
      <c r="J972" s="32" t="s">
        <v>2081</v>
      </c>
      <c r="K972" s="0" t="n">
        <v>0</v>
      </c>
      <c r="L972" s="32" t="s">
        <v>747</v>
      </c>
      <c r="M972" s="0" t="str">
        <f aca="false">IF(L972="GEN","GM",L972)</f>
        <v>GM</v>
      </c>
    </row>
    <row r="973" customFormat="false" ht="15" hidden="false" customHeight="false" outlineLevel="0" collapsed="false">
      <c r="A973" s="0" t="s">
        <v>8205</v>
      </c>
      <c r="B973" s="0" t="s">
        <v>8206</v>
      </c>
      <c r="C973" s="0" t="s">
        <v>780</v>
      </c>
      <c r="D973" s="0" t="s">
        <v>2088</v>
      </c>
      <c r="E973" s="31" t="n">
        <v>45697</v>
      </c>
      <c r="F973" s="32" t="s">
        <v>6283</v>
      </c>
      <c r="G973" s="0" t="n">
        <v>11.5</v>
      </c>
      <c r="H973" s="0" t="n">
        <v>11.5</v>
      </c>
      <c r="I973" s="32" t="s">
        <v>2081</v>
      </c>
      <c r="J973" s="32" t="s">
        <v>2081</v>
      </c>
      <c r="K973" s="0" t="n">
        <v>0</v>
      </c>
      <c r="L973" s="32" t="s">
        <v>747</v>
      </c>
      <c r="M973" s="0" t="str">
        <f aca="false">IF(L973="GEN","GM",L973)</f>
        <v>GM</v>
      </c>
    </row>
    <row r="974" customFormat="false" ht="15" hidden="false" customHeight="false" outlineLevel="0" collapsed="false">
      <c r="A974" s="0" t="s">
        <v>8207</v>
      </c>
      <c r="B974" s="0" t="s">
        <v>8208</v>
      </c>
      <c r="C974" s="0" t="s">
        <v>6295</v>
      </c>
      <c r="D974" s="0" t="s">
        <v>2079</v>
      </c>
      <c r="E974" s="31" t="n">
        <v>45697</v>
      </c>
      <c r="F974" s="32" t="s">
        <v>6287</v>
      </c>
      <c r="G974" s="0" t="n">
        <v>7.5</v>
      </c>
      <c r="H974" s="0" t="n">
        <v>6.6</v>
      </c>
      <c r="I974" s="32" t="s">
        <v>2081</v>
      </c>
      <c r="J974" s="32" t="s">
        <v>2081</v>
      </c>
      <c r="K974" s="0" t="n">
        <v>0</v>
      </c>
      <c r="L974" s="32" t="s">
        <v>766</v>
      </c>
      <c r="M974" s="0" t="str">
        <f aca="false">IF(L974="GEN","GM",L974)</f>
        <v>OR</v>
      </c>
    </row>
    <row r="975" customFormat="false" ht="15" hidden="false" customHeight="false" outlineLevel="0" collapsed="false">
      <c r="A975" s="0" t="s">
        <v>8209</v>
      </c>
      <c r="B975" s="0" t="s">
        <v>8210</v>
      </c>
      <c r="C975" s="0" t="s">
        <v>6295</v>
      </c>
      <c r="D975" s="0" t="s">
        <v>2079</v>
      </c>
      <c r="E975" s="31" t="n">
        <v>45697</v>
      </c>
      <c r="F975" s="32" t="s">
        <v>6287</v>
      </c>
      <c r="G975" s="0" t="n">
        <v>7.5</v>
      </c>
      <c r="H975" s="0" t="n">
        <v>7.5</v>
      </c>
      <c r="I975" s="32" t="s">
        <v>2081</v>
      </c>
      <c r="J975" s="32" t="s">
        <v>2081</v>
      </c>
      <c r="K975" s="0" t="n">
        <v>0</v>
      </c>
      <c r="L975" s="32" t="s">
        <v>785</v>
      </c>
      <c r="M975" s="0" t="str">
        <f aca="false">IF(L975="GEN","GM",L975)</f>
        <v>RS</v>
      </c>
    </row>
    <row r="976" customFormat="false" ht="15" hidden="false" customHeight="false" outlineLevel="0" collapsed="false">
      <c r="A976" s="0" t="s">
        <v>8211</v>
      </c>
      <c r="B976" s="0" t="s">
        <v>8212</v>
      </c>
      <c r="C976" s="0" t="s">
        <v>6286</v>
      </c>
      <c r="D976" s="0" t="s">
        <v>2079</v>
      </c>
      <c r="E976" s="31" t="n">
        <v>45697</v>
      </c>
      <c r="F976" s="32" t="s">
        <v>1125</v>
      </c>
      <c r="G976" s="0" t="n">
        <v>12</v>
      </c>
      <c r="H976" s="0" t="n">
        <v>12</v>
      </c>
      <c r="I976" s="32" t="s">
        <v>2081</v>
      </c>
      <c r="J976" s="32" t="s">
        <v>2081</v>
      </c>
      <c r="K976" s="0" t="n">
        <v>0</v>
      </c>
      <c r="L976" s="32" t="s">
        <v>758</v>
      </c>
      <c r="M976" s="0" t="str">
        <f aca="false">IF(L976="GEN","GM",L976)</f>
        <v>CS</v>
      </c>
    </row>
    <row r="977" customFormat="false" ht="15" hidden="false" customHeight="false" outlineLevel="0" collapsed="false">
      <c r="A977" s="0" t="s">
        <v>8213</v>
      </c>
      <c r="B977" s="0" t="s">
        <v>8214</v>
      </c>
      <c r="C977" s="0" t="s">
        <v>6295</v>
      </c>
      <c r="D977" s="0" t="s">
        <v>2099</v>
      </c>
      <c r="E977" s="31" t="n">
        <v>45697</v>
      </c>
      <c r="F977" s="32" t="s">
        <v>6287</v>
      </c>
      <c r="G977" s="0" t="n">
        <v>7.5</v>
      </c>
      <c r="H977" s="0" t="n">
        <v>7.5</v>
      </c>
      <c r="I977" s="32" t="s">
        <v>2081</v>
      </c>
      <c r="J977" s="32" t="s">
        <v>2081</v>
      </c>
      <c r="K977" s="0" t="n">
        <v>0</v>
      </c>
      <c r="L977" s="32" t="s">
        <v>747</v>
      </c>
      <c r="M977" s="0" t="str">
        <f aca="false">IF(L977="GEN","GM",L977)</f>
        <v>GM</v>
      </c>
    </row>
    <row r="978" customFormat="false" ht="15" hidden="false" customHeight="false" outlineLevel="0" collapsed="false">
      <c r="A978" s="0" t="s">
        <v>8215</v>
      </c>
      <c r="B978" s="0" t="s">
        <v>8216</v>
      </c>
      <c r="C978" s="0" t="s">
        <v>6295</v>
      </c>
      <c r="D978" s="0" t="s">
        <v>2099</v>
      </c>
      <c r="E978" s="31" t="n">
        <v>45697</v>
      </c>
      <c r="F978" s="32" t="s">
        <v>6287</v>
      </c>
      <c r="G978" s="0" t="n">
        <v>7.5</v>
      </c>
      <c r="H978" s="0" t="n">
        <v>7.5</v>
      </c>
      <c r="I978" s="32" t="s">
        <v>2081</v>
      </c>
      <c r="J978" s="32" t="s">
        <v>2081</v>
      </c>
      <c r="K978" s="0" t="n">
        <v>0</v>
      </c>
      <c r="L978" s="32" t="s">
        <v>758</v>
      </c>
      <c r="M978" s="0" t="str">
        <f aca="false">IF(L978="GEN","GM",L978)</f>
        <v>CS</v>
      </c>
    </row>
    <row r="979" customFormat="false" ht="15" hidden="false" customHeight="false" outlineLevel="0" collapsed="false">
      <c r="A979" s="0" t="s">
        <v>8217</v>
      </c>
      <c r="B979" s="0" t="s">
        <v>8218</v>
      </c>
      <c r="C979" s="0" t="s">
        <v>6282</v>
      </c>
      <c r="D979" s="0" t="s">
        <v>2099</v>
      </c>
      <c r="E979" s="31" t="n">
        <v>45697</v>
      </c>
      <c r="F979" s="32" t="s">
        <v>1125</v>
      </c>
      <c r="G979" s="0" t="n">
        <v>12</v>
      </c>
      <c r="H979" s="0" t="n">
        <v>12</v>
      </c>
      <c r="I979" s="32" t="s">
        <v>2081</v>
      </c>
      <c r="J979" s="32" t="s">
        <v>2081</v>
      </c>
      <c r="K979" s="0" t="n">
        <v>0</v>
      </c>
      <c r="L979" s="32" t="s">
        <v>802</v>
      </c>
      <c r="M979" s="0" t="str">
        <f aca="false">IF(L979="GEN","GM",L979)</f>
        <v>GYN</v>
      </c>
    </row>
    <row r="980" customFormat="false" ht="15" hidden="false" customHeight="false" outlineLevel="0" collapsed="false">
      <c r="A980" s="0" t="s">
        <v>8219</v>
      </c>
      <c r="B980" s="0" t="s">
        <v>8220</v>
      </c>
      <c r="C980" s="0" t="s">
        <v>780</v>
      </c>
      <c r="D980" s="0" t="s">
        <v>2115</v>
      </c>
      <c r="E980" s="31" t="n">
        <v>45697</v>
      </c>
      <c r="F980" s="32" t="s">
        <v>1125</v>
      </c>
      <c r="G980" s="0" t="n">
        <v>12</v>
      </c>
      <c r="H980" s="0" t="n">
        <v>11.1</v>
      </c>
      <c r="I980" s="32" t="s">
        <v>2081</v>
      </c>
      <c r="J980" s="32" t="s">
        <v>2081</v>
      </c>
      <c r="K980" s="0" t="n">
        <v>0</v>
      </c>
      <c r="L980" s="32" t="s">
        <v>810</v>
      </c>
      <c r="M980" s="0" t="str">
        <f aca="false">IF(L980="GEN","GM",L980)</f>
        <v>URO</v>
      </c>
    </row>
    <row r="981" customFormat="false" ht="15" hidden="false" customHeight="false" outlineLevel="0" collapsed="false">
      <c r="A981" s="0" t="s">
        <v>8221</v>
      </c>
      <c r="B981" s="0" t="s">
        <v>8222</v>
      </c>
      <c r="C981" s="0" t="s">
        <v>6290</v>
      </c>
      <c r="D981" s="0" t="s">
        <v>2115</v>
      </c>
      <c r="E981" s="31" t="n">
        <v>45697</v>
      </c>
      <c r="F981" s="32" t="s">
        <v>6287</v>
      </c>
      <c r="G981" s="0" t="n">
        <v>7.5</v>
      </c>
      <c r="H981" s="0" t="n">
        <v>7.5</v>
      </c>
      <c r="I981" s="32" t="s">
        <v>2081</v>
      </c>
      <c r="J981" s="32" t="s">
        <v>2081</v>
      </c>
      <c r="K981" s="0" t="n">
        <v>0</v>
      </c>
      <c r="L981" s="32" t="s">
        <v>826</v>
      </c>
      <c r="M981" s="0" t="str">
        <f aca="false">IF(L981="GEN","GM",L981)</f>
        <v>RHE</v>
      </c>
    </row>
    <row r="982" customFormat="false" ht="15" hidden="false" customHeight="false" outlineLevel="0" collapsed="false">
      <c r="A982" s="0" t="s">
        <v>8223</v>
      </c>
      <c r="B982" s="0" t="s">
        <v>8224</v>
      </c>
      <c r="C982" s="0" t="s">
        <v>6295</v>
      </c>
      <c r="D982" s="0" t="s">
        <v>2115</v>
      </c>
      <c r="E982" s="31" t="n">
        <v>45697</v>
      </c>
      <c r="F982" s="32" t="s">
        <v>1125</v>
      </c>
      <c r="G982" s="0" t="n">
        <v>12</v>
      </c>
      <c r="H982" s="0" t="n">
        <v>12</v>
      </c>
      <c r="I982" s="32" t="s">
        <v>2081</v>
      </c>
      <c r="J982" s="32" t="s">
        <v>2081</v>
      </c>
      <c r="K982" s="0" t="n">
        <v>0</v>
      </c>
      <c r="L982" s="32" t="s">
        <v>810</v>
      </c>
      <c r="M982" s="0" t="str">
        <f aca="false">IF(L982="GEN","GM",L982)</f>
        <v>URO</v>
      </c>
    </row>
    <row r="983" customFormat="false" ht="15" hidden="false" customHeight="false" outlineLevel="0" collapsed="false">
      <c r="A983" s="0" t="s">
        <v>8225</v>
      </c>
      <c r="B983" s="0" t="s">
        <v>8226</v>
      </c>
      <c r="C983" s="0" t="s">
        <v>6282</v>
      </c>
      <c r="D983" s="0" t="s">
        <v>2115</v>
      </c>
      <c r="E983" s="31" t="n">
        <v>45697</v>
      </c>
      <c r="F983" s="32" t="s">
        <v>6283</v>
      </c>
      <c r="G983" s="0" t="n">
        <v>11.5</v>
      </c>
      <c r="H983" s="0" t="n">
        <v>11.5</v>
      </c>
      <c r="I983" s="32" t="s">
        <v>2081</v>
      </c>
      <c r="J983" s="32" t="s">
        <v>2081</v>
      </c>
      <c r="K983" s="0" t="n">
        <v>0</v>
      </c>
      <c r="L983" s="32" t="s">
        <v>766</v>
      </c>
      <c r="M983" s="0" t="str">
        <f aca="false">IF(L983="GEN","GM",L983)</f>
        <v>OR</v>
      </c>
    </row>
    <row r="984" customFormat="false" ht="15" hidden="false" customHeight="false" outlineLevel="0" collapsed="false">
      <c r="A984" s="0" t="s">
        <v>8227</v>
      </c>
      <c r="B984" s="0" t="s">
        <v>8228</v>
      </c>
      <c r="C984" s="0" t="s">
        <v>6282</v>
      </c>
      <c r="D984" s="0" t="s">
        <v>2115</v>
      </c>
      <c r="E984" s="31" t="n">
        <v>45697</v>
      </c>
      <c r="F984" s="32" t="s">
        <v>6287</v>
      </c>
      <c r="G984" s="0" t="n">
        <v>7.5</v>
      </c>
      <c r="H984" s="0" t="n">
        <v>7.5</v>
      </c>
      <c r="I984" s="32" t="s">
        <v>2081</v>
      </c>
      <c r="J984" s="32" t="s">
        <v>2081</v>
      </c>
      <c r="K984" s="0" t="n">
        <v>0</v>
      </c>
      <c r="L984" s="32" t="s">
        <v>826</v>
      </c>
      <c r="M984" s="0" t="str">
        <f aca="false">IF(L984="GEN","GM",L984)</f>
        <v>RHE</v>
      </c>
    </row>
    <row r="985" customFormat="false" ht="15" hidden="false" customHeight="false" outlineLevel="0" collapsed="false">
      <c r="A985" s="0" t="s">
        <v>8229</v>
      </c>
      <c r="B985" s="0" t="s">
        <v>8230</v>
      </c>
      <c r="C985" s="0" t="s">
        <v>780</v>
      </c>
      <c r="D985" s="0" t="s">
        <v>2124</v>
      </c>
      <c r="E985" s="31" t="n">
        <v>45697</v>
      </c>
      <c r="F985" s="32" t="s">
        <v>6287</v>
      </c>
      <c r="G985" s="0" t="n">
        <v>7.5</v>
      </c>
      <c r="H985" s="0" t="n">
        <v>7.5</v>
      </c>
      <c r="I985" s="32" t="s">
        <v>2081</v>
      </c>
      <c r="J985" s="32" t="s">
        <v>2081</v>
      </c>
      <c r="K985" s="0" t="n">
        <v>0</v>
      </c>
      <c r="L985" s="32" t="s">
        <v>776</v>
      </c>
      <c r="M985" s="0" t="str">
        <f aca="false">IF(L985="GEN","GM",L985)</f>
        <v>GS</v>
      </c>
    </row>
    <row r="986" customFormat="false" ht="15" hidden="false" customHeight="false" outlineLevel="0" collapsed="false">
      <c r="A986" s="0" t="s">
        <v>8231</v>
      </c>
      <c r="B986" s="0" t="s">
        <v>8232</v>
      </c>
      <c r="C986" s="0" t="s">
        <v>6286</v>
      </c>
      <c r="D986" s="0" t="s">
        <v>2124</v>
      </c>
      <c r="E986" s="31" t="n">
        <v>45697</v>
      </c>
      <c r="F986" s="32" t="s">
        <v>6283</v>
      </c>
      <c r="G986" s="0" t="n">
        <v>11.5</v>
      </c>
      <c r="H986" s="0" t="n">
        <v>11.5</v>
      </c>
      <c r="I986" s="32" t="s">
        <v>2081</v>
      </c>
      <c r="J986" s="32" t="s">
        <v>2081</v>
      </c>
      <c r="K986" s="0" t="n">
        <v>0</v>
      </c>
      <c r="L986" s="32" t="s">
        <v>802</v>
      </c>
      <c r="M986" s="0" t="str">
        <f aca="false">IF(L986="GEN","GM",L986)</f>
        <v>GYN</v>
      </c>
    </row>
    <row r="987" customFormat="false" ht="15" hidden="false" customHeight="false" outlineLevel="0" collapsed="false">
      <c r="A987" s="0" t="s">
        <v>8233</v>
      </c>
      <c r="B987" s="0" t="s">
        <v>8234</v>
      </c>
      <c r="C987" s="0" t="s">
        <v>6282</v>
      </c>
      <c r="D987" s="0" t="s">
        <v>2124</v>
      </c>
      <c r="E987" s="31" t="n">
        <v>45697</v>
      </c>
      <c r="F987" s="32" t="s">
        <v>6283</v>
      </c>
      <c r="G987" s="0" t="n">
        <v>11.5</v>
      </c>
      <c r="H987" s="0" t="n">
        <v>11.5</v>
      </c>
      <c r="I987" s="32" t="s">
        <v>2081</v>
      </c>
      <c r="J987" s="32" t="s">
        <v>2081</v>
      </c>
      <c r="K987" s="0" t="n">
        <v>0</v>
      </c>
      <c r="L987" s="32" t="s">
        <v>793</v>
      </c>
      <c r="M987" s="0" t="str">
        <f aca="false">IF(L987="GEN","GM",L987)</f>
        <v>EM</v>
      </c>
    </row>
    <row r="988" customFormat="false" ht="15" hidden="false" customHeight="false" outlineLevel="0" collapsed="false">
      <c r="A988" s="0" t="s">
        <v>8235</v>
      </c>
      <c r="B988" s="0" t="s">
        <v>8236</v>
      </c>
      <c r="C988" s="0" t="s">
        <v>6295</v>
      </c>
      <c r="D988" s="0" t="s">
        <v>2104</v>
      </c>
      <c r="E988" s="31" t="n">
        <v>45697</v>
      </c>
      <c r="F988" s="32" t="s">
        <v>6283</v>
      </c>
      <c r="G988" s="0" t="n">
        <v>11.5</v>
      </c>
      <c r="H988" s="0" t="n">
        <v>11.5</v>
      </c>
      <c r="I988" s="32" t="s">
        <v>2081</v>
      </c>
      <c r="J988" s="32" t="s">
        <v>2081</v>
      </c>
      <c r="K988" s="0" t="n">
        <v>0</v>
      </c>
      <c r="L988" s="32" t="s">
        <v>810</v>
      </c>
      <c r="M988" s="0" t="str">
        <f aca="false">IF(L988="GEN","GM",L988)</f>
        <v>URO</v>
      </c>
    </row>
    <row r="989" customFormat="false" ht="15" hidden="false" customHeight="false" outlineLevel="0" collapsed="false">
      <c r="A989" s="0" t="s">
        <v>8237</v>
      </c>
      <c r="B989" s="0" t="s">
        <v>8238</v>
      </c>
      <c r="C989" s="0" t="s">
        <v>6286</v>
      </c>
      <c r="D989" s="0" t="s">
        <v>3356</v>
      </c>
      <c r="E989" s="31" t="n">
        <v>45697</v>
      </c>
      <c r="F989" s="32" t="s">
        <v>6287</v>
      </c>
      <c r="G989" s="0" t="n">
        <v>7.5</v>
      </c>
      <c r="H989" s="0" t="n">
        <v>7.5</v>
      </c>
      <c r="I989" s="32" t="s">
        <v>2081</v>
      </c>
      <c r="J989" s="32" t="s">
        <v>2081</v>
      </c>
      <c r="K989" s="0" t="n">
        <v>0</v>
      </c>
      <c r="L989" s="32" t="s">
        <v>802</v>
      </c>
      <c r="M989" s="0" t="str">
        <f aca="false">IF(L989="GEN","GM",L989)</f>
        <v>GYN</v>
      </c>
    </row>
    <row r="990" customFormat="false" ht="15" hidden="false" customHeight="false" outlineLevel="0" collapsed="false">
      <c r="A990" s="0" t="s">
        <v>8239</v>
      </c>
      <c r="B990" s="0" t="s">
        <v>8240</v>
      </c>
      <c r="C990" s="0" t="s">
        <v>6295</v>
      </c>
      <c r="D990" s="0" t="s">
        <v>2104</v>
      </c>
      <c r="E990" s="31" t="n">
        <v>45697</v>
      </c>
      <c r="F990" s="32" t="s">
        <v>6287</v>
      </c>
      <c r="G990" s="0" t="n">
        <v>7.5</v>
      </c>
      <c r="H990" s="0" t="n">
        <v>7.5</v>
      </c>
      <c r="I990" s="32" t="s">
        <v>2081</v>
      </c>
      <c r="J990" s="32" t="s">
        <v>2081</v>
      </c>
      <c r="K990" s="0" t="n">
        <v>0</v>
      </c>
      <c r="L990" s="32" t="s">
        <v>802</v>
      </c>
      <c r="M990" s="0" t="str">
        <f aca="false">IF(L990="GEN","GM",L990)</f>
        <v>GYN</v>
      </c>
    </row>
    <row r="991" customFormat="false" ht="15" hidden="false" customHeight="false" outlineLevel="0" collapsed="false">
      <c r="A991" s="0" t="s">
        <v>8241</v>
      </c>
      <c r="B991" s="0" t="s">
        <v>8242</v>
      </c>
      <c r="C991" s="0" t="s">
        <v>6295</v>
      </c>
      <c r="D991" s="0" t="s">
        <v>3035</v>
      </c>
      <c r="E991" s="31" t="n">
        <v>45697</v>
      </c>
      <c r="F991" s="32" t="s">
        <v>1125</v>
      </c>
      <c r="G991" s="0" t="n">
        <v>12</v>
      </c>
      <c r="H991" s="0" t="n">
        <v>12</v>
      </c>
      <c r="I991" s="32" t="s">
        <v>2106</v>
      </c>
      <c r="J991" s="32" t="s">
        <v>2081</v>
      </c>
      <c r="K991" s="0" t="n">
        <v>0</v>
      </c>
      <c r="L991" s="32" t="s">
        <v>766</v>
      </c>
      <c r="M991" s="0" t="str">
        <f aca="false">IF(L991="GEN","GM",L991)</f>
        <v>OR</v>
      </c>
    </row>
    <row r="992" customFormat="false" ht="15" hidden="false" customHeight="false" outlineLevel="0" collapsed="false">
      <c r="A992" s="0" t="s">
        <v>8243</v>
      </c>
      <c r="B992" s="0" t="s">
        <v>8244</v>
      </c>
      <c r="C992" s="0" t="s">
        <v>6295</v>
      </c>
      <c r="D992" s="0" t="s">
        <v>3035</v>
      </c>
      <c r="E992" s="31" t="n">
        <v>45697</v>
      </c>
      <c r="F992" s="32" t="s">
        <v>6283</v>
      </c>
      <c r="G992" s="0" t="n">
        <v>11.5</v>
      </c>
      <c r="H992" s="0" t="n">
        <v>11.5</v>
      </c>
      <c r="I992" s="32" t="s">
        <v>2106</v>
      </c>
      <c r="J992" s="32" t="s">
        <v>2081</v>
      </c>
      <c r="K992" s="0" t="n">
        <v>0</v>
      </c>
      <c r="L992" s="32" t="s">
        <v>810</v>
      </c>
      <c r="M992" s="0" t="str">
        <f aca="false">IF(L992="GEN","GM",L992)</f>
        <v>URO</v>
      </c>
    </row>
    <row r="993" customFormat="false" ht="15" hidden="false" customHeight="false" outlineLevel="0" collapsed="false">
      <c r="A993" s="0" t="s">
        <v>8245</v>
      </c>
      <c r="B993" s="0" t="s">
        <v>8246</v>
      </c>
      <c r="C993" s="0" t="s">
        <v>6282</v>
      </c>
      <c r="D993" s="0" t="s">
        <v>3035</v>
      </c>
      <c r="E993" s="31" t="n">
        <v>45697</v>
      </c>
      <c r="F993" s="32" t="s">
        <v>6287</v>
      </c>
      <c r="G993" s="0" t="n">
        <v>7.5</v>
      </c>
      <c r="H993" s="0" t="n">
        <v>7.5</v>
      </c>
      <c r="I993" s="32" t="s">
        <v>2081</v>
      </c>
      <c r="J993" s="32" t="s">
        <v>2081</v>
      </c>
      <c r="K993" s="0" t="n">
        <v>0</v>
      </c>
      <c r="L993" s="32" t="s">
        <v>766</v>
      </c>
      <c r="M993" s="0" t="str">
        <f aca="false">IF(L993="GEN","GM",L993)</f>
        <v>OR</v>
      </c>
    </row>
    <row r="994" customFormat="false" ht="15" hidden="false" customHeight="false" outlineLevel="0" collapsed="false">
      <c r="A994" s="0" t="s">
        <v>8247</v>
      </c>
      <c r="B994" s="0" t="s">
        <v>8248</v>
      </c>
      <c r="C994" s="0" t="s">
        <v>780</v>
      </c>
      <c r="D994" s="0" t="s">
        <v>2088</v>
      </c>
      <c r="E994" s="31" t="n">
        <v>45698</v>
      </c>
      <c r="F994" s="32" t="s">
        <v>6287</v>
      </c>
      <c r="G994" s="0" t="n">
        <v>7.5</v>
      </c>
      <c r="H994" s="0" t="n">
        <v>7.5</v>
      </c>
      <c r="I994" s="32" t="s">
        <v>2081</v>
      </c>
      <c r="J994" s="32" t="s">
        <v>2081</v>
      </c>
      <c r="K994" s="0" t="n">
        <v>0</v>
      </c>
      <c r="L994" s="32" t="s">
        <v>776</v>
      </c>
      <c r="M994" s="0" t="str">
        <f aca="false">IF(L994="GEN","GM",L994)</f>
        <v>GS</v>
      </c>
    </row>
    <row r="995" customFormat="false" ht="15" hidden="false" customHeight="false" outlineLevel="0" collapsed="false">
      <c r="A995" s="0" t="s">
        <v>8249</v>
      </c>
      <c r="B995" s="0" t="s">
        <v>8250</v>
      </c>
      <c r="C995" s="0" t="s">
        <v>6290</v>
      </c>
      <c r="D995" s="0" t="s">
        <v>2088</v>
      </c>
      <c r="E995" s="31" t="n">
        <v>45698</v>
      </c>
      <c r="F995" s="32" t="s">
        <v>6287</v>
      </c>
      <c r="G995" s="0" t="n">
        <v>7.5</v>
      </c>
      <c r="H995" s="0" t="n">
        <v>8.8</v>
      </c>
      <c r="I995" s="32" t="s">
        <v>2106</v>
      </c>
      <c r="J995" s="32" t="s">
        <v>2081</v>
      </c>
      <c r="K995" s="0" t="n">
        <v>1.3</v>
      </c>
      <c r="L995" s="32" t="s">
        <v>785</v>
      </c>
      <c r="M995" s="0" t="str">
        <f aca="false">IF(L995="GEN","GM",L995)</f>
        <v>RS</v>
      </c>
    </row>
    <row r="996" customFormat="false" ht="15" hidden="false" customHeight="false" outlineLevel="0" collapsed="false">
      <c r="A996" s="0" t="s">
        <v>8251</v>
      </c>
      <c r="B996" s="0" t="s">
        <v>8252</v>
      </c>
      <c r="C996" s="0" t="s">
        <v>6295</v>
      </c>
      <c r="D996" s="0" t="s">
        <v>2088</v>
      </c>
      <c r="E996" s="31" t="n">
        <v>45698</v>
      </c>
      <c r="F996" s="32" t="s">
        <v>1125</v>
      </c>
      <c r="G996" s="0" t="n">
        <v>12</v>
      </c>
      <c r="H996" s="0" t="n">
        <v>12</v>
      </c>
      <c r="I996" s="32" t="s">
        <v>2081</v>
      </c>
      <c r="J996" s="32" t="s">
        <v>2081</v>
      </c>
      <c r="K996" s="0" t="n">
        <v>0</v>
      </c>
      <c r="L996" s="32" t="s">
        <v>747</v>
      </c>
      <c r="M996" s="0" t="str">
        <f aca="false">IF(L996="GEN","GM",L996)</f>
        <v>GM</v>
      </c>
    </row>
    <row r="997" customFormat="false" ht="15" hidden="false" customHeight="false" outlineLevel="0" collapsed="false">
      <c r="A997" s="0" t="s">
        <v>8253</v>
      </c>
      <c r="B997" s="0" t="s">
        <v>8254</v>
      </c>
      <c r="C997" s="0" t="s">
        <v>6286</v>
      </c>
      <c r="D997" s="0" t="s">
        <v>2088</v>
      </c>
      <c r="E997" s="31" t="n">
        <v>45698</v>
      </c>
      <c r="F997" s="32" t="s">
        <v>1125</v>
      </c>
      <c r="G997" s="0" t="n">
        <v>12</v>
      </c>
      <c r="H997" s="0" t="n">
        <v>12</v>
      </c>
      <c r="I997" s="32" t="s">
        <v>2081</v>
      </c>
      <c r="J997" s="32" t="s">
        <v>2081</v>
      </c>
      <c r="K997" s="0" t="n">
        <v>0</v>
      </c>
      <c r="L997" s="32" t="s">
        <v>802</v>
      </c>
      <c r="M997" s="0" t="str">
        <f aca="false">IF(L997="GEN","GM",L997)</f>
        <v>GYN</v>
      </c>
    </row>
    <row r="998" customFormat="false" ht="15" hidden="false" customHeight="false" outlineLevel="0" collapsed="false">
      <c r="A998" s="0" t="s">
        <v>8255</v>
      </c>
      <c r="B998" s="0" t="s">
        <v>8256</v>
      </c>
      <c r="C998" s="0" t="s">
        <v>6290</v>
      </c>
      <c r="D998" s="0" t="s">
        <v>2079</v>
      </c>
      <c r="E998" s="31" t="n">
        <v>45698</v>
      </c>
      <c r="F998" s="32" t="s">
        <v>1125</v>
      </c>
      <c r="G998" s="0" t="n">
        <v>12</v>
      </c>
      <c r="H998" s="0" t="n">
        <v>12</v>
      </c>
      <c r="I998" s="32" t="s">
        <v>2081</v>
      </c>
      <c r="J998" s="32" t="s">
        <v>2081</v>
      </c>
      <c r="K998" s="0" t="n">
        <v>0</v>
      </c>
      <c r="L998" s="32" t="s">
        <v>802</v>
      </c>
      <c r="M998" s="0" t="str">
        <f aca="false">IF(L998="GEN","GM",L998)</f>
        <v>GYN</v>
      </c>
    </row>
    <row r="999" customFormat="false" ht="15" hidden="false" customHeight="false" outlineLevel="0" collapsed="false">
      <c r="A999" s="0" t="s">
        <v>8257</v>
      </c>
      <c r="B999" s="0" t="s">
        <v>8258</v>
      </c>
      <c r="C999" s="0" t="s">
        <v>6286</v>
      </c>
      <c r="D999" s="0" t="s">
        <v>2079</v>
      </c>
      <c r="E999" s="31" t="n">
        <v>45698</v>
      </c>
      <c r="F999" s="32" t="s">
        <v>6283</v>
      </c>
      <c r="G999" s="0" t="n">
        <v>11.5</v>
      </c>
      <c r="H999" s="0" t="n">
        <v>11.5</v>
      </c>
      <c r="I999" s="32" t="s">
        <v>2081</v>
      </c>
      <c r="J999" s="32" t="s">
        <v>2081</v>
      </c>
      <c r="K999" s="0" t="n">
        <v>0</v>
      </c>
      <c r="L999" s="32" t="s">
        <v>776</v>
      </c>
      <c r="M999" s="0" t="str">
        <f aca="false">IF(L999="GEN","GM",L999)</f>
        <v>GS</v>
      </c>
    </row>
    <row r="1000" customFormat="false" ht="15" hidden="false" customHeight="false" outlineLevel="0" collapsed="false">
      <c r="A1000" s="0" t="s">
        <v>8259</v>
      </c>
      <c r="B1000" s="0" t="s">
        <v>8260</v>
      </c>
      <c r="C1000" s="0" t="s">
        <v>6295</v>
      </c>
      <c r="D1000" s="0" t="s">
        <v>2079</v>
      </c>
      <c r="E1000" s="31" t="n">
        <v>45698</v>
      </c>
      <c r="F1000" s="32" t="s">
        <v>1125</v>
      </c>
      <c r="G1000" s="0" t="n">
        <v>12</v>
      </c>
      <c r="H1000" s="0" t="n">
        <v>12</v>
      </c>
      <c r="I1000" s="32" t="s">
        <v>2081</v>
      </c>
      <c r="J1000" s="32" t="s">
        <v>2081</v>
      </c>
      <c r="K1000" s="0" t="n">
        <v>0</v>
      </c>
      <c r="L1000" s="32" t="s">
        <v>776</v>
      </c>
      <c r="M1000" s="0" t="str">
        <f aca="false">IF(L1000="GEN","GM",L1000)</f>
        <v>GS</v>
      </c>
    </row>
    <row r="1001" customFormat="false" ht="15" hidden="false" customHeight="false" outlineLevel="0" collapsed="false">
      <c r="A1001" s="0" t="s">
        <v>8261</v>
      </c>
      <c r="B1001" s="0" t="s">
        <v>8262</v>
      </c>
      <c r="C1001" s="0" t="s">
        <v>6286</v>
      </c>
      <c r="D1001" s="0" t="s">
        <v>2079</v>
      </c>
      <c r="E1001" s="31" t="n">
        <v>45698</v>
      </c>
      <c r="F1001" s="32" t="s">
        <v>6283</v>
      </c>
      <c r="G1001" s="0" t="n">
        <v>11.5</v>
      </c>
      <c r="H1001" s="0" t="n">
        <v>11.5</v>
      </c>
      <c r="I1001" s="32" t="s">
        <v>2081</v>
      </c>
      <c r="J1001" s="32" t="s">
        <v>2081</v>
      </c>
      <c r="K1001" s="0" t="n">
        <v>0</v>
      </c>
      <c r="L1001" s="32" t="s">
        <v>802</v>
      </c>
      <c r="M1001" s="0" t="str">
        <f aca="false">IF(L1001="GEN","GM",L1001)</f>
        <v>GYN</v>
      </c>
    </row>
    <row r="1002" customFormat="false" ht="15" hidden="false" customHeight="false" outlineLevel="0" collapsed="false">
      <c r="A1002" s="0" t="s">
        <v>8263</v>
      </c>
      <c r="B1002" s="0" t="s">
        <v>8264</v>
      </c>
      <c r="C1002" s="0" t="s">
        <v>6295</v>
      </c>
      <c r="D1002" s="0" t="s">
        <v>2099</v>
      </c>
      <c r="E1002" s="31" t="n">
        <v>45698</v>
      </c>
      <c r="F1002" s="32" t="s">
        <v>6283</v>
      </c>
      <c r="G1002" s="0" t="n">
        <v>11.5</v>
      </c>
      <c r="H1002" s="0" t="n">
        <v>11.5</v>
      </c>
      <c r="I1002" s="32" t="s">
        <v>2081</v>
      </c>
      <c r="J1002" s="32" t="s">
        <v>2081</v>
      </c>
      <c r="K1002" s="0" t="n">
        <v>0</v>
      </c>
      <c r="L1002" s="32" t="s">
        <v>747</v>
      </c>
      <c r="M1002" s="0" t="str">
        <f aca="false">IF(L1002="GEN","GM",L1002)</f>
        <v>GM</v>
      </c>
    </row>
    <row r="1003" customFormat="false" ht="15" hidden="false" customHeight="false" outlineLevel="0" collapsed="false">
      <c r="A1003" s="0" t="s">
        <v>8265</v>
      </c>
      <c r="B1003" s="0" t="s">
        <v>8266</v>
      </c>
      <c r="C1003" s="0" t="s">
        <v>6295</v>
      </c>
      <c r="D1003" s="0" t="s">
        <v>2099</v>
      </c>
      <c r="E1003" s="31" t="n">
        <v>45698</v>
      </c>
      <c r="F1003" s="32" t="s">
        <v>6283</v>
      </c>
      <c r="G1003" s="0" t="n">
        <v>11.5</v>
      </c>
      <c r="H1003" s="0" t="n">
        <v>11.5</v>
      </c>
      <c r="I1003" s="32" t="s">
        <v>2081</v>
      </c>
      <c r="J1003" s="32" t="s">
        <v>2081</v>
      </c>
      <c r="K1003" s="0" t="n">
        <v>0</v>
      </c>
      <c r="L1003" s="32" t="s">
        <v>802</v>
      </c>
      <c r="M1003" s="0" t="str">
        <f aca="false">IF(L1003="GEN","GM",L1003)</f>
        <v>GYN</v>
      </c>
    </row>
    <row r="1004" customFormat="false" ht="15" hidden="false" customHeight="false" outlineLevel="0" collapsed="false">
      <c r="A1004" s="0" t="s">
        <v>8267</v>
      </c>
      <c r="B1004" s="0" t="s">
        <v>8268</v>
      </c>
      <c r="C1004" s="0" t="s">
        <v>780</v>
      </c>
      <c r="D1004" s="0" t="s">
        <v>2099</v>
      </c>
      <c r="E1004" s="31" t="n">
        <v>45698</v>
      </c>
      <c r="F1004" s="32" t="s">
        <v>1125</v>
      </c>
      <c r="G1004" s="0" t="n">
        <v>12</v>
      </c>
      <c r="H1004" s="0" t="n">
        <v>12</v>
      </c>
      <c r="I1004" s="32" t="s">
        <v>2081</v>
      </c>
      <c r="J1004" s="32" t="s">
        <v>2081</v>
      </c>
      <c r="K1004" s="0" t="n">
        <v>0</v>
      </c>
      <c r="L1004" s="32" t="s">
        <v>793</v>
      </c>
      <c r="M1004" s="0" t="str">
        <f aca="false">IF(L1004="GEN","GM",L1004)</f>
        <v>EM</v>
      </c>
    </row>
    <row r="1005" customFormat="false" ht="15" hidden="false" customHeight="false" outlineLevel="0" collapsed="false">
      <c r="A1005" s="0" t="s">
        <v>8269</v>
      </c>
      <c r="B1005" s="0" t="s">
        <v>8270</v>
      </c>
      <c r="C1005" s="0" t="s">
        <v>6295</v>
      </c>
      <c r="D1005" s="0" t="s">
        <v>2099</v>
      </c>
      <c r="E1005" s="31" t="n">
        <v>45698</v>
      </c>
      <c r="F1005" s="32" t="s">
        <v>6287</v>
      </c>
      <c r="G1005" s="0" t="n">
        <v>7.5</v>
      </c>
      <c r="H1005" s="0" t="n">
        <v>6.1</v>
      </c>
      <c r="I1005" s="32" t="s">
        <v>2106</v>
      </c>
      <c r="J1005" s="32" t="s">
        <v>2081</v>
      </c>
      <c r="K1005" s="0" t="n">
        <v>0</v>
      </c>
      <c r="L1005" s="32" t="s">
        <v>802</v>
      </c>
      <c r="M1005" s="0" t="str">
        <f aca="false">IF(L1005="GEN","GM",L1005)</f>
        <v>GYN</v>
      </c>
    </row>
    <row r="1006" customFormat="false" ht="15" hidden="false" customHeight="false" outlineLevel="0" collapsed="false">
      <c r="A1006" s="0" t="s">
        <v>8271</v>
      </c>
      <c r="B1006" s="0" t="s">
        <v>8272</v>
      </c>
      <c r="C1006" s="0" t="s">
        <v>780</v>
      </c>
      <c r="D1006" s="0" t="s">
        <v>2099</v>
      </c>
      <c r="E1006" s="31" t="n">
        <v>45698</v>
      </c>
      <c r="F1006" s="32" t="s">
        <v>6283</v>
      </c>
      <c r="G1006" s="0" t="n">
        <v>11.5</v>
      </c>
      <c r="H1006" s="0" t="n">
        <v>11.5</v>
      </c>
      <c r="I1006" s="32" t="s">
        <v>2081</v>
      </c>
      <c r="J1006" s="32" t="s">
        <v>2081</v>
      </c>
      <c r="K1006" s="0" t="n">
        <v>0</v>
      </c>
      <c r="L1006" s="32" t="s">
        <v>747</v>
      </c>
      <c r="M1006" s="0" t="str">
        <f aca="false">IF(L1006="GEN","GM",L1006)</f>
        <v>GM</v>
      </c>
    </row>
    <row r="1007" customFormat="false" ht="15" hidden="false" customHeight="false" outlineLevel="0" collapsed="false">
      <c r="A1007" s="0" t="s">
        <v>8273</v>
      </c>
      <c r="B1007" s="0" t="s">
        <v>8274</v>
      </c>
      <c r="C1007" s="0" t="s">
        <v>6282</v>
      </c>
      <c r="D1007" s="0" t="s">
        <v>2115</v>
      </c>
      <c r="E1007" s="31" t="n">
        <v>45698</v>
      </c>
      <c r="F1007" s="32" t="s">
        <v>6287</v>
      </c>
      <c r="G1007" s="0" t="n">
        <v>7.5</v>
      </c>
      <c r="H1007" s="0" t="n">
        <v>7.5</v>
      </c>
      <c r="I1007" s="32" t="s">
        <v>2106</v>
      </c>
      <c r="J1007" s="32" t="s">
        <v>2081</v>
      </c>
      <c r="K1007" s="0" t="n">
        <v>0</v>
      </c>
      <c r="L1007" s="32" t="s">
        <v>826</v>
      </c>
      <c r="M1007" s="0" t="str">
        <f aca="false">IF(L1007="GEN","GM",L1007)</f>
        <v>RHE</v>
      </c>
    </row>
    <row r="1008" customFormat="false" ht="15" hidden="false" customHeight="false" outlineLevel="0" collapsed="false">
      <c r="A1008" s="0" t="s">
        <v>8275</v>
      </c>
      <c r="B1008" s="0" t="s">
        <v>8276</v>
      </c>
      <c r="C1008" s="0" t="s">
        <v>6286</v>
      </c>
      <c r="D1008" s="0" t="s">
        <v>2115</v>
      </c>
      <c r="E1008" s="31" t="n">
        <v>45698</v>
      </c>
      <c r="F1008" s="32" t="s">
        <v>6283</v>
      </c>
      <c r="G1008" s="0" t="n">
        <v>11.5</v>
      </c>
      <c r="H1008" s="0" t="n">
        <v>11.5</v>
      </c>
      <c r="I1008" s="32" t="s">
        <v>2081</v>
      </c>
      <c r="J1008" s="32" t="s">
        <v>2106</v>
      </c>
      <c r="K1008" s="0" t="n">
        <v>0</v>
      </c>
      <c r="L1008" s="32" t="s">
        <v>793</v>
      </c>
      <c r="M1008" s="0" t="str">
        <f aca="false">IF(L1008="GEN","GM",L1008)</f>
        <v>EM</v>
      </c>
    </row>
    <row r="1009" customFormat="false" ht="15" hidden="false" customHeight="false" outlineLevel="0" collapsed="false">
      <c r="A1009" s="0" t="s">
        <v>8277</v>
      </c>
      <c r="B1009" s="0" t="s">
        <v>8278</v>
      </c>
      <c r="C1009" s="0" t="s">
        <v>6290</v>
      </c>
      <c r="D1009" s="0" t="s">
        <v>2115</v>
      </c>
      <c r="E1009" s="31" t="n">
        <v>45698</v>
      </c>
      <c r="F1009" s="32" t="s">
        <v>1125</v>
      </c>
      <c r="G1009" s="0" t="n">
        <v>12</v>
      </c>
      <c r="H1009" s="0" t="n">
        <v>12</v>
      </c>
      <c r="I1009" s="32" t="s">
        <v>2081</v>
      </c>
      <c r="J1009" s="32" t="s">
        <v>2081</v>
      </c>
      <c r="K1009" s="0" t="n">
        <v>0</v>
      </c>
      <c r="L1009" s="32" t="s">
        <v>785</v>
      </c>
      <c r="M1009" s="0" t="str">
        <f aca="false">IF(L1009="GEN","GM",L1009)</f>
        <v>RS</v>
      </c>
    </row>
    <row r="1010" customFormat="false" ht="15" hidden="false" customHeight="false" outlineLevel="0" collapsed="false">
      <c r="A1010" s="0" t="s">
        <v>8279</v>
      </c>
      <c r="B1010" s="0" t="s">
        <v>8280</v>
      </c>
      <c r="C1010" s="0" t="s">
        <v>6295</v>
      </c>
      <c r="D1010" s="0" t="s">
        <v>2115</v>
      </c>
      <c r="E1010" s="31" t="n">
        <v>45698</v>
      </c>
      <c r="F1010" s="32" t="s">
        <v>6287</v>
      </c>
      <c r="G1010" s="0" t="n">
        <v>7.5</v>
      </c>
      <c r="H1010" s="0" t="n">
        <v>6.1</v>
      </c>
      <c r="I1010" s="32" t="s">
        <v>2081</v>
      </c>
      <c r="J1010" s="32" t="s">
        <v>2081</v>
      </c>
      <c r="K1010" s="0" t="n">
        <v>0</v>
      </c>
      <c r="L1010" s="32" t="s">
        <v>747</v>
      </c>
      <c r="M1010" s="0" t="str">
        <f aca="false">IF(L1010="GEN","GM",L1010)</f>
        <v>GM</v>
      </c>
    </row>
    <row r="1011" customFormat="false" ht="15" hidden="false" customHeight="false" outlineLevel="0" collapsed="false">
      <c r="A1011" s="0" t="s">
        <v>8281</v>
      </c>
      <c r="B1011" s="0" t="s">
        <v>8282</v>
      </c>
      <c r="C1011" s="0" t="s">
        <v>6282</v>
      </c>
      <c r="D1011" s="0" t="s">
        <v>2124</v>
      </c>
      <c r="E1011" s="31" t="n">
        <v>45698</v>
      </c>
      <c r="F1011" s="32" t="s">
        <v>6287</v>
      </c>
      <c r="G1011" s="0" t="n">
        <v>7.5</v>
      </c>
      <c r="H1011" s="0" t="n">
        <v>7.5</v>
      </c>
      <c r="I1011" s="32" t="s">
        <v>2081</v>
      </c>
      <c r="J1011" s="32" t="s">
        <v>2081</v>
      </c>
      <c r="K1011" s="0" t="n">
        <v>0</v>
      </c>
      <c r="L1011" s="32" t="s">
        <v>776</v>
      </c>
      <c r="M1011" s="0" t="str">
        <f aca="false">IF(L1011="GEN","GM",L1011)</f>
        <v>GS</v>
      </c>
    </row>
    <row r="1012" customFormat="false" ht="15" hidden="false" customHeight="false" outlineLevel="0" collapsed="false">
      <c r="A1012" s="0" t="s">
        <v>8283</v>
      </c>
      <c r="B1012" s="0" t="s">
        <v>8284</v>
      </c>
      <c r="C1012" s="0" t="s">
        <v>6295</v>
      </c>
      <c r="D1012" s="0" t="s">
        <v>2124</v>
      </c>
      <c r="E1012" s="31" t="n">
        <v>45698</v>
      </c>
      <c r="F1012" s="32" t="s">
        <v>6287</v>
      </c>
      <c r="G1012" s="0" t="n">
        <v>7.5</v>
      </c>
      <c r="H1012" s="0" t="n">
        <v>7.5</v>
      </c>
      <c r="I1012" s="32" t="s">
        <v>2106</v>
      </c>
      <c r="J1012" s="32" t="s">
        <v>2081</v>
      </c>
      <c r="K1012" s="0" t="n">
        <v>0</v>
      </c>
      <c r="L1012" s="32" t="s">
        <v>747</v>
      </c>
      <c r="M1012" s="0" t="str">
        <f aca="false">IF(L1012="GEN","GM",L1012)</f>
        <v>GM</v>
      </c>
    </row>
    <row r="1013" customFormat="false" ht="15" hidden="false" customHeight="false" outlineLevel="0" collapsed="false">
      <c r="A1013" s="0" t="s">
        <v>8285</v>
      </c>
      <c r="B1013" s="0" t="s">
        <v>8286</v>
      </c>
      <c r="C1013" s="0" t="s">
        <v>6282</v>
      </c>
      <c r="D1013" s="0" t="s">
        <v>2124</v>
      </c>
      <c r="E1013" s="31" t="n">
        <v>45698</v>
      </c>
      <c r="F1013" s="32" t="s">
        <v>1125</v>
      </c>
      <c r="G1013" s="0" t="n">
        <v>12</v>
      </c>
      <c r="H1013" s="0" t="n">
        <v>12</v>
      </c>
      <c r="I1013" s="32" t="s">
        <v>2081</v>
      </c>
      <c r="J1013" s="32" t="s">
        <v>2081</v>
      </c>
      <c r="K1013" s="0" t="n">
        <v>0</v>
      </c>
      <c r="L1013" s="32" t="s">
        <v>810</v>
      </c>
      <c r="M1013" s="0" t="str">
        <f aca="false">IF(L1013="GEN","GM",L1013)</f>
        <v>URO</v>
      </c>
    </row>
    <row r="1014" customFormat="false" ht="15" hidden="false" customHeight="false" outlineLevel="0" collapsed="false">
      <c r="A1014" s="0" t="s">
        <v>8287</v>
      </c>
      <c r="B1014" s="0" t="s">
        <v>8288</v>
      </c>
      <c r="C1014" s="0" t="s">
        <v>6290</v>
      </c>
      <c r="D1014" s="0" t="s">
        <v>2104</v>
      </c>
      <c r="E1014" s="31" t="n">
        <v>45698</v>
      </c>
      <c r="F1014" s="32" t="s">
        <v>6283</v>
      </c>
      <c r="G1014" s="0" t="n">
        <v>11.5</v>
      </c>
      <c r="H1014" s="0" t="n">
        <v>11.5</v>
      </c>
      <c r="I1014" s="32" t="s">
        <v>2106</v>
      </c>
      <c r="J1014" s="32" t="s">
        <v>2081</v>
      </c>
      <c r="K1014" s="0" t="n">
        <v>0</v>
      </c>
      <c r="L1014" s="32" t="s">
        <v>776</v>
      </c>
      <c r="M1014" s="0" t="str">
        <f aca="false">IF(L1014="GEN","GM",L1014)</f>
        <v>GS</v>
      </c>
    </row>
    <row r="1015" customFormat="false" ht="15" hidden="false" customHeight="false" outlineLevel="0" collapsed="false">
      <c r="A1015" s="0" t="s">
        <v>8289</v>
      </c>
      <c r="B1015" s="0" t="s">
        <v>8290</v>
      </c>
      <c r="C1015" s="0" t="s">
        <v>6282</v>
      </c>
      <c r="D1015" s="0" t="s">
        <v>2104</v>
      </c>
      <c r="E1015" s="31" t="n">
        <v>45698</v>
      </c>
      <c r="F1015" s="32" t="s">
        <v>6283</v>
      </c>
      <c r="G1015" s="0" t="n">
        <v>11.5</v>
      </c>
      <c r="H1015" s="0" t="n">
        <v>11.5</v>
      </c>
      <c r="I1015" s="32" t="s">
        <v>2081</v>
      </c>
      <c r="J1015" s="32" t="s">
        <v>2081</v>
      </c>
      <c r="K1015" s="0" t="n">
        <v>0</v>
      </c>
      <c r="L1015" s="32" t="s">
        <v>766</v>
      </c>
      <c r="M1015" s="0" t="str">
        <f aca="false">IF(L1015="GEN","GM",L1015)</f>
        <v>OR</v>
      </c>
    </row>
    <row r="1016" customFormat="false" ht="15" hidden="false" customHeight="false" outlineLevel="0" collapsed="false">
      <c r="A1016" s="0" t="s">
        <v>8291</v>
      </c>
      <c r="B1016" s="0" t="s">
        <v>8292</v>
      </c>
      <c r="C1016" s="0" t="s">
        <v>6282</v>
      </c>
      <c r="D1016" s="0" t="s">
        <v>2104</v>
      </c>
      <c r="E1016" s="31" t="n">
        <v>45698</v>
      </c>
      <c r="F1016" s="32" t="s">
        <v>6287</v>
      </c>
      <c r="G1016" s="0" t="n">
        <v>7.5</v>
      </c>
      <c r="H1016" s="0" t="n">
        <v>7.5</v>
      </c>
      <c r="I1016" s="32" t="s">
        <v>2081</v>
      </c>
      <c r="J1016" s="32" t="s">
        <v>2081</v>
      </c>
      <c r="K1016" s="0" t="n">
        <v>0</v>
      </c>
      <c r="L1016" s="32" t="s">
        <v>776</v>
      </c>
      <c r="M1016" s="0" t="str">
        <f aca="false">IF(L1016="GEN","GM",L1016)</f>
        <v>GS</v>
      </c>
    </row>
    <row r="1017" customFormat="false" ht="15" hidden="false" customHeight="false" outlineLevel="0" collapsed="false">
      <c r="A1017" s="0" t="s">
        <v>8293</v>
      </c>
      <c r="B1017" s="0" t="s">
        <v>8294</v>
      </c>
      <c r="C1017" s="0" t="s">
        <v>6290</v>
      </c>
      <c r="D1017" s="0" t="s">
        <v>2104</v>
      </c>
      <c r="E1017" s="31" t="n">
        <v>45698</v>
      </c>
      <c r="F1017" s="32" t="s">
        <v>6287</v>
      </c>
      <c r="G1017" s="0" t="n">
        <v>7.5</v>
      </c>
      <c r="H1017" s="0" t="n">
        <v>7.5</v>
      </c>
      <c r="I1017" s="32" t="s">
        <v>2106</v>
      </c>
      <c r="J1017" s="32" t="s">
        <v>2081</v>
      </c>
      <c r="K1017" s="0" t="n">
        <v>0</v>
      </c>
      <c r="L1017" s="32" t="s">
        <v>793</v>
      </c>
      <c r="M1017" s="0" t="str">
        <f aca="false">IF(L1017="GEN","GM",L1017)</f>
        <v>EM</v>
      </c>
    </row>
    <row r="1018" customFormat="false" ht="15" hidden="false" customHeight="false" outlineLevel="0" collapsed="false">
      <c r="A1018" s="0" t="s">
        <v>8295</v>
      </c>
      <c r="B1018" s="0" t="s">
        <v>8296</v>
      </c>
      <c r="C1018" s="0" t="s">
        <v>6295</v>
      </c>
      <c r="D1018" s="0" t="s">
        <v>2104</v>
      </c>
      <c r="E1018" s="31" t="n">
        <v>45698</v>
      </c>
      <c r="F1018" s="32" t="s">
        <v>6287</v>
      </c>
      <c r="G1018" s="0" t="n">
        <v>7.5</v>
      </c>
      <c r="H1018" s="0" t="n">
        <v>7.5</v>
      </c>
      <c r="I1018" s="32" t="s">
        <v>2081</v>
      </c>
      <c r="J1018" s="32" t="s">
        <v>2081</v>
      </c>
      <c r="K1018" s="0" t="n">
        <v>0</v>
      </c>
      <c r="L1018" s="32" t="s">
        <v>810</v>
      </c>
      <c r="M1018" s="0" t="str">
        <f aca="false">IF(L1018="GEN","GM",L1018)</f>
        <v>URO</v>
      </c>
    </row>
    <row r="1019" customFormat="false" ht="15" hidden="false" customHeight="false" outlineLevel="0" collapsed="false">
      <c r="A1019" s="0" t="s">
        <v>8297</v>
      </c>
      <c r="B1019" s="0" t="s">
        <v>8298</v>
      </c>
      <c r="C1019" s="0" t="s">
        <v>6282</v>
      </c>
      <c r="D1019" s="0" t="s">
        <v>3035</v>
      </c>
      <c r="E1019" s="31" t="n">
        <v>45698</v>
      </c>
      <c r="F1019" s="32" t="s">
        <v>1125</v>
      </c>
      <c r="G1019" s="0" t="n">
        <v>12</v>
      </c>
      <c r="H1019" s="0" t="n">
        <v>12</v>
      </c>
      <c r="I1019" s="32" t="s">
        <v>2081</v>
      </c>
      <c r="J1019" s="32" t="s">
        <v>2081</v>
      </c>
      <c r="K1019" s="0" t="n">
        <v>0</v>
      </c>
      <c r="L1019" s="32" t="s">
        <v>747</v>
      </c>
      <c r="M1019" s="0" t="str">
        <f aca="false">IF(L1019="GEN","GM",L1019)</f>
        <v>GM</v>
      </c>
    </row>
    <row r="1020" customFormat="false" ht="15" hidden="false" customHeight="false" outlineLevel="0" collapsed="false">
      <c r="A1020" s="0" t="s">
        <v>8299</v>
      </c>
      <c r="B1020" s="0" t="s">
        <v>8300</v>
      </c>
      <c r="C1020" s="0" t="s">
        <v>6290</v>
      </c>
      <c r="D1020" s="0" t="s">
        <v>3035</v>
      </c>
      <c r="E1020" s="31" t="n">
        <v>45698</v>
      </c>
      <c r="F1020" s="32" t="s">
        <v>6283</v>
      </c>
      <c r="G1020" s="0" t="n">
        <v>11.5</v>
      </c>
      <c r="H1020" s="0" t="n">
        <v>11.5</v>
      </c>
      <c r="I1020" s="32" t="s">
        <v>2081</v>
      </c>
      <c r="J1020" s="32" t="s">
        <v>2081</v>
      </c>
      <c r="K1020" s="0" t="n">
        <v>0</v>
      </c>
      <c r="L1020" s="32" t="s">
        <v>747</v>
      </c>
      <c r="M1020" s="0" t="str">
        <f aca="false">IF(L1020="GEN","GM",L1020)</f>
        <v>GM</v>
      </c>
    </row>
    <row r="1021" customFormat="false" ht="15" hidden="false" customHeight="false" outlineLevel="0" collapsed="false">
      <c r="A1021" s="0" t="s">
        <v>8301</v>
      </c>
      <c r="B1021" s="0" t="s">
        <v>8302</v>
      </c>
      <c r="C1021" s="0" t="s">
        <v>6290</v>
      </c>
      <c r="D1021" s="0" t="s">
        <v>3035</v>
      </c>
      <c r="E1021" s="31" t="n">
        <v>45698</v>
      </c>
      <c r="F1021" s="32" t="s">
        <v>1125</v>
      </c>
      <c r="G1021" s="0" t="n">
        <v>12</v>
      </c>
      <c r="H1021" s="0" t="n">
        <v>12</v>
      </c>
      <c r="I1021" s="32" t="s">
        <v>2081</v>
      </c>
      <c r="J1021" s="32" t="s">
        <v>2081</v>
      </c>
      <c r="K1021" s="0" t="n">
        <v>0</v>
      </c>
      <c r="L1021" s="32" t="s">
        <v>793</v>
      </c>
      <c r="M1021" s="0" t="str">
        <f aca="false">IF(L1021="GEN","GM",L1021)</f>
        <v>EM</v>
      </c>
    </row>
    <row r="1022" customFormat="false" ht="15" hidden="false" customHeight="false" outlineLevel="0" collapsed="false">
      <c r="A1022" s="0" t="s">
        <v>8303</v>
      </c>
      <c r="B1022" s="0" t="s">
        <v>8304</v>
      </c>
      <c r="C1022" s="0" t="s">
        <v>6295</v>
      </c>
      <c r="D1022" s="0" t="s">
        <v>2088</v>
      </c>
      <c r="E1022" s="31" t="n">
        <v>45699</v>
      </c>
      <c r="F1022" s="32" t="s">
        <v>6283</v>
      </c>
      <c r="G1022" s="0" t="n">
        <v>11.5</v>
      </c>
      <c r="H1022" s="0" t="n">
        <v>11.5</v>
      </c>
      <c r="I1022" s="32" t="s">
        <v>2081</v>
      </c>
      <c r="J1022" s="32" t="s">
        <v>2081</v>
      </c>
      <c r="K1022" s="0" t="n">
        <v>0</v>
      </c>
      <c r="L1022" s="32" t="s">
        <v>802</v>
      </c>
      <c r="M1022" s="0" t="str">
        <f aca="false">IF(L1022="GEN","GM",L1022)</f>
        <v>GYN</v>
      </c>
    </row>
    <row r="1023" customFormat="false" ht="15" hidden="false" customHeight="false" outlineLevel="0" collapsed="false">
      <c r="A1023" s="0" t="s">
        <v>8305</v>
      </c>
      <c r="B1023" s="0" t="s">
        <v>8306</v>
      </c>
      <c r="C1023" s="0" t="s">
        <v>6286</v>
      </c>
      <c r="D1023" s="0" t="s">
        <v>2088</v>
      </c>
      <c r="E1023" s="31" t="n">
        <v>45699</v>
      </c>
      <c r="F1023" s="32" t="s">
        <v>6283</v>
      </c>
      <c r="G1023" s="0" t="n">
        <v>11.5</v>
      </c>
      <c r="H1023" s="0" t="n">
        <v>11.5</v>
      </c>
      <c r="I1023" s="32" t="s">
        <v>2081</v>
      </c>
      <c r="J1023" s="32" t="s">
        <v>2081</v>
      </c>
      <c r="K1023" s="0" t="n">
        <v>0</v>
      </c>
      <c r="L1023" s="32" t="s">
        <v>785</v>
      </c>
      <c r="M1023" s="0" t="str">
        <f aca="false">IF(L1023="GEN","GM",L1023)</f>
        <v>RS</v>
      </c>
    </row>
    <row r="1024" customFormat="false" ht="15" hidden="false" customHeight="false" outlineLevel="0" collapsed="false">
      <c r="A1024" s="0" t="s">
        <v>8307</v>
      </c>
      <c r="B1024" s="0" t="s">
        <v>8308</v>
      </c>
      <c r="C1024" s="0" t="s">
        <v>6295</v>
      </c>
      <c r="D1024" s="0" t="s">
        <v>2088</v>
      </c>
      <c r="E1024" s="31" t="n">
        <v>45699</v>
      </c>
      <c r="F1024" s="32" t="s">
        <v>1125</v>
      </c>
      <c r="G1024" s="0" t="n">
        <v>12</v>
      </c>
      <c r="H1024" s="0" t="n">
        <v>12</v>
      </c>
      <c r="I1024" s="32" t="s">
        <v>2081</v>
      </c>
      <c r="J1024" s="32" t="s">
        <v>2081</v>
      </c>
      <c r="K1024" s="0" t="n">
        <v>0</v>
      </c>
      <c r="L1024" s="32" t="s">
        <v>810</v>
      </c>
      <c r="M1024" s="0" t="str">
        <f aca="false">IF(L1024="GEN","GM",L1024)</f>
        <v>URO</v>
      </c>
    </row>
    <row r="1025" customFormat="false" ht="15" hidden="false" customHeight="false" outlineLevel="0" collapsed="false">
      <c r="A1025" s="0" t="s">
        <v>8309</v>
      </c>
      <c r="B1025" s="0" t="s">
        <v>8310</v>
      </c>
      <c r="C1025" s="0" t="s">
        <v>6282</v>
      </c>
      <c r="D1025" s="0" t="s">
        <v>2088</v>
      </c>
      <c r="E1025" s="31" t="n">
        <v>45699</v>
      </c>
      <c r="F1025" s="32" t="s">
        <v>6283</v>
      </c>
      <c r="G1025" s="0" t="n">
        <v>11.5</v>
      </c>
      <c r="H1025" s="0" t="n">
        <v>11.5</v>
      </c>
      <c r="I1025" s="32" t="s">
        <v>2106</v>
      </c>
      <c r="K1025" s="0" t="n">
        <v>0</v>
      </c>
      <c r="L1025" s="32" t="s">
        <v>776</v>
      </c>
      <c r="M1025" s="0" t="str">
        <f aca="false">IF(L1025="GEN","GM",L1025)</f>
        <v>GS</v>
      </c>
    </row>
    <row r="1026" customFormat="false" ht="15" hidden="false" customHeight="false" outlineLevel="0" collapsed="false">
      <c r="A1026" s="0" t="s">
        <v>8311</v>
      </c>
      <c r="B1026" s="0" t="s">
        <v>8312</v>
      </c>
      <c r="C1026" s="0" t="s">
        <v>6295</v>
      </c>
      <c r="D1026" s="0" t="s">
        <v>2088</v>
      </c>
      <c r="E1026" s="31" t="n">
        <v>45699</v>
      </c>
      <c r="F1026" s="32" t="s">
        <v>6287</v>
      </c>
      <c r="G1026" s="0" t="n">
        <v>7.5</v>
      </c>
      <c r="H1026" s="0" t="n">
        <v>7.5</v>
      </c>
      <c r="I1026" s="32" t="s">
        <v>2081</v>
      </c>
      <c r="J1026" s="32" t="s">
        <v>2081</v>
      </c>
      <c r="K1026" s="0" t="n">
        <v>0</v>
      </c>
      <c r="L1026" s="32" t="s">
        <v>785</v>
      </c>
      <c r="M1026" s="0" t="str">
        <f aca="false">IF(L1026="GEN","GM",L1026)</f>
        <v>RS</v>
      </c>
    </row>
    <row r="1027" customFormat="false" ht="15" hidden="false" customHeight="false" outlineLevel="0" collapsed="false">
      <c r="A1027" s="0" t="s">
        <v>8313</v>
      </c>
      <c r="B1027" s="0" t="s">
        <v>8314</v>
      </c>
      <c r="C1027" s="0" t="s">
        <v>6282</v>
      </c>
      <c r="D1027" s="0" t="s">
        <v>2079</v>
      </c>
      <c r="E1027" s="31" t="n">
        <v>45699</v>
      </c>
      <c r="F1027" s="32" t="s">
        <v>6283</v>
      </c>
      <c r="G1027" s="0" t="n">
        <v>11.5</v>
      </c>
      <c r="H1027" s="0" t="n">
        <v>11.5</v>
      </c>
      <c r="I1027" s="32" t="s">
        <v>2081</v>
      </c>
      <c r="J1027" s="32" t="s">
        <v>2106</v>
      </c>
      <c r="K1027" s="0" t="n">
        <v>0</v>
      </c>
      <c r="L1027" s="32" t="s">
        <v>802</v>
      </c>
      <c r="M1027" s="0" t="str">
        <f aca="false">IF(L1027="GEN","GM",L1027)</f>
        <v>GYN</v>
      </c>
    </row>
    <row r="1028" customFormat="false" ht="15" hidden="false" customHeight="false" outlineLevel="0" collapsed="false">
      <c r="A1028" s="0" t="s">
        <v>8315</v>
      </c>
      <c r="B1028" s="0" t="s">
        <v>8316</v>
      </c>
      <c r="C1028" s="0" t="s">
        <v>6295</v>
      </c>
      <c r="D1028" s="0" t="s">
        <v>2079</v>
      </c>
      <c r="E1028" s="31" t="n">
        <v>45699</v>
      </c>
      <c r="F1028" s="32" t="s">
        <v>6283</v>
      </c>
      <c r="G1028" s="0" t="n">
        <v>11.5</v>
      </c>
      <c r="H1028" s="0" t="n">
        <v>11.5</v>
      </c>
      <c r="I1028" s="32" t="s">
        <v>2081</v>
      </c>
      <c r="J1028" s="32" t="s">
        <v>2081</v>
      </c>
      <c r="K1028" s="0" t="n">
        <v>0</v>
      </c>
      <c r="L1028" s="32" t="s">
        <v>758</v>
      </c>
      <c r="M1028" s="0" t="str">
        <f aca="false">IF(L1028="GEN","GM",L1028)</f>
        <v>CS</v>
      </c>
    </row>
    <row r="1029" customFormat="false" ht="15" hidden="false" customHeight="false" outlineLevel="0" collapsed="false">
      <c r="A1029" s="0" t="s">
        <v>8317</v>
      </c>
      <c r="B1029" s="0" t="s">
        <v>8318</v>
      </c>
      <c r="C1029" s="0" t="s">
        <v>6295</v>
      </c>
      <c r="D1029" s="0" t="s">
        <v>2079</v>
      </c>
      <c r="E1029" s="31" t="n">
        <v>45699</v>
      </c>
      <c r="F1029" s="32" t="s">
        <v>6283</v>
      </c>
      <c r="G1029" s="0" t="n">
        <v>11.5</v>
      </c>
      <c r="H1029" s="0" t="n">
        <v>11.5</v>
      </c>
      <c r="I1029" s="32" t="s">
        <v>2106</v>
      </c>
      <c r="J1029" s="32" t="s">
        <v>2081</v>
      </c>
      <c r="K1029" s="0" t="n">
        <v>0</v>
      </c>
      <c r="L1029" s="32" t="s">
        <v>793</v>
      </c>
      <c r="M1029" s="0" t="str">
        <f aca="false">IF(L1029="GEN","GM",L1029)</f>
        <v>EM</v>
      </c>
    </row>
    <row r="1030" customFormat="false" ht="15" hidden="false" customHeight="false" outlineLevel="0" collapsed="false">
      <c r="A1030" s="0" t="s">
        <v>8319</v>
      </c>
      <c r="B1030" s="0" t="s">
        <v>8320</v>
      </c>
      <c r="C1030" s="0" t="s">
        <v>6295</v>
      </c>
      <c r="D1030" s="0" t="s">
        <v>2079</v>
      </c>
      <c r="E1030" s="31" t="n">
        <v>45699</v>
      </c>
      <c r="F1030" s="32" t="s">
        <v>6283</v>
      </c>
      <c r="G1030" s="0" t="n">
        <v>11.5</v>
      </c>
      <c r="H1030" s="0" t="n">
        <v>12.6</v>
      </c>
      <c r="I1030" s="32" t="s">
        <v>2081</v>
      </c>
      <c r="J1030" s="32" t="s">
        <v>2081</v>
      </c>
      <c r="K1030" s="0" t="n">
        <v>1.1</v>
      </c>
      <c r="L1030" s="32" t="s">
        <v>826</v>
      </c>
      <c r="M1030" s="0" t="str">
        <f aca="false">IF(L1030="GEN","GM",L1030)</f>
        <v>RHE</v>
      </c>
    </row>
    <row r="1031" customFormat="false" ht="15" hidden="false" customHeight="false" outlineLevel="0" collapsed="false">
      <c r="A1031" s="0" t="s">
        <v>8321</v>
      </c>
      <c r="B1031" s="0" t="s">
        <v>8322</v>
      </c>
      <c r="C1031" s="0" t="s">
        <v>6295</v>
      </c>
      <c r="D1031" s="0" t="s">
        <v>2099</v>
      </c>
      <c r="E1031" s="31" t="n">
        <v>45699</v>
      </c>
      <c r="F1031" s="32" t="s">
        <v>1125</v>
      </c>
      <c r="G1031" s="0" t="n">
        <v>12</v>
      </c>
      <c r="H1031" s="0" t="n">
        <v>12.5</v>
      </c>
      <c r="I1031" s="32" t="s">
        <v>2081</v>
      </c>
      <c r="J1031" s="32" t="s">
        <v>2081</v>
      </c>
      <c r="K1031" s="0" t="n">
        <v>0.5</v>
      </c>
      <c r="L1031" s="32" t="s">
        <v>758</v>
      </c>
      <c r="M1031" s="0" t="str">
        <f aca="false">IF(L1031="GEN","GM",L1031)</f>
        <v>CS</v>
      </c>
    </row>
    <row r="1032" customFormat="false" ht="15" hidden="false" customHeight="false" outlineLevel="0" collapsed="false">
      <c r="A1032" s="0" t="s">
        <v>8323</v>
      </c>
      <c r="B1032" s="0" t="s">
        <v>8324</v>
      </c>
      <c r="C1032" s="0" t="s">
        <v>6295</v>
      </c>
      <c r="D1032" s="0" t="s">
        <v>2099</v>
      </c>
      <c r="E1032" s="31" t="n">
        <v>45699</v>
      </c>
      <c r="F1032" s="32" t="s">
        <v>6283</v>
      </c>
      <c r="G1032" s="0" t="n">
        <v>11.5</v>
      </c>
      <c r="H1032" s="0" t="n">
        <v>11.5</v>
      </c>
      <c r="I1032" s="32" t="s">
        <v>2081</v>
      </c>
      <c r="J1032" s="32" t="s">
        <v>2081</v>
      </c>
      <c r="K1032" s="0" t="n">
        <v>0</v>
      </c>
      <c r="L1032" s="32" t="s">
        <v>810</v>
      </c>
      <c r="M1032" s="0" t="str">
        <f aca="false">IF(L1032="GEN","GM",L1032)</f>
        <v>URO</v>
      </c>
    </row>
    <row r="1033" customFormat="false" ht="15" hidden="false" customHeight="false" outlineLevel="0" collapsed="false">
      <c r="A1033" s="0" t="s">
        <v>8325</v>
      </c>
      <c r="B1033" s="0" t="s">
        <v>8326</v>
      </c>
      <c r="C1033" s="0" t="s">
        <v>6295</v>
      </c>
      <c r="D1033" s="0" t="s">
        <v>2099</v>
      </c>
      <c r="E1033" s="31" t="n">
        <v>45699</v>
      </c>
      <c r="F1033" s="32" t="s">
        <v>6283</v>
      </c>
      <c r="G1033" s="0" t="n">
        <v>11.5</v>
      </c>
      <c r="H1033" s="0" t="n">
        <v>11.5</v>
      </c>
      <c r="I1033" s="32" t="s">
        <v>2081</v>
      </c>
      <c r="J1033" s="32" t="s">
        <v>2081</v>
      </c>
      <c r="K1033" s="0" t="n">
        <v>0</v>
      </c>
      <c r="L1033" s="32" t="s">
        <v>766</v>
      </c>
      <c r="M1033" s="0" t="str">
        <f aca="false">IF(L1033="GEN","GM",L1033)</f>
        <v>OR</v>
      </c>
    </row>
    <row r="1034" customFormat="false" ht="15" hidden="false" customHeight="false" outlineLevel="0" collapsed="false">
      <c r="A1034" s="0" t="s">
        <v>8327</v>
      </c>
      <c r="B1034" s="0" t="s">
        <v>8328</v>
      </c>
      <c r="C1034" s="0" t="s">
        <v>6295</v>
      </c>
      <c r="D1034" s="0" t="s">
        <v>2115</v>
      </c>
      <c r="E1034" s="31" t="n">
        <v>45699</v>
      </c>
      <c r="F1034" s="32" t="s">
        <v>6287</v>
      </c>
      <c r="G1034" s="0" t="n">
        <v>7.5</v>
      </c>
      <c r="H1034" s="0" t="n">
        <v>7.5</v>
      </c>
      <c r="I1034" s="32" t="s">
        <v>2081</v>
      </c>
      <c r="J1034" s="32" t="s">
        <v>2081</v>
      </c>
      <c r="K1034" s="0" t="n">
        <v>0</v>
      </c>
      <c r="L1034" s="32" t="s">
        <v>747</v>
      </c>
      <c r="M1034" s="0" t="str">
        <f aca="false">IF(L1034="GEN","GM",L1034)</f>
        <v>GM</v>
      </c>
    </row>
    <row r="1035" customFormat="false" ht="15" hidden="false" customHeight="false" outlineLevel="0" collapsed="false">
      <c r="A1035" s="0" t="s">
        <v>8329</v>
      </c>
      <c r="B1035" s="0" t="s">
        <v>8330</v>
      </c>
      <c r="C1035" s="0" t="s">
        <v>6282</v>
      </c>
      <c r="D1035" s="0" t="s">
        <v>2115</v>
      </c>
      <c r="E1035" s="31" t="n">
        <v>45699</v>
      </c>
      <c r="F1035" s="32" t="s">
        <v>1125</v>
      </c>
      <c r="G1035" s="0" t="n">
        <v>12</v>
      </c>
      <c r="H1035" s="0" t="n">
        <v>12.5</v>
      </c>
      <c r="I1035" s="32" t="s">
        <v>2106</v>
      </c>
      <c r="J1035" s="32" t="s">
        <v>2081</v>
      </c>
      <c r="K1035" s="0" t="n">
        <v>0.5</v>
      </c>
      <c r="L1035" s="32" t="s">
        <v>802</v>
      </c>
      <c r="M1035" s="0" t="str">
        <f aca="false">IF(L1035="GEN","GM",L1035)</f>
        <v>GYN</v>
      </c>
    </row>
    <row r="1036" customFormat="false" ht="15" hidden="false" customHeight="false" outlineLevel="0" collapsed="false">
      <c r="A1036" s="0" t="s">
        <v>8331</v>
      </c>
      <c r="B1036" s="0" t="s">
        <v>8332</v>
      </c>
      <c r="C1036" s="0" t="s">
        <v>6286</v>
      </c>
      <c r="D1036" s="0" t="s">
        <v>2115</v>
      </c>
      <c r="E1036" s="31" t="n">
        <v>45699</v>
      </c>
      <c r="F1036" s="32" t="s">
        <v>1125</v>
      </c>
      <c r="G1036" s="0" t="n">
        <v>12</v>
      </c>
      <c r="H1036" s="0" t="n">
        <v>12</v>
      </c>
      <c r="I1036" s="32" t="s">
        <v>2081</v>
      </c>
      <c r="J1036" s="32" t="s">
        <v>2081</v>
      </c>
      <c r="K1036" s="0" t="n">
        <v>0</v>
      </c>
      <c r="L1036" s="32" t="s">
        <v>793</v>
      </c>
      <c r="M1036" s="0" t="str">
        <f aca="false">IF(L1036="GEN","GM",L1036)</f>
        <v>EM</v>
      </c>
    </row>
    <row r="1037" customFormat="false" ht="15" hidden="false" customHeight="false" outlineLevel="0" collapsed="false">
      <c r="A1037" s="0" t="s">
        <v>8333</v>
      </c>
      <c r="B1037" s="0" t="s">
        <v>8334</v>
      </c>
      <c r="C1037" s="0" t="s">
        <v>6286</v>
      </c>
      <c r="D1037" s="0" t="s">
        <v>2124</v>
      </c>
      <c r="E1037" s="31" t="n">
        <v>45699</v>
      </c>
      <c r="F1037" s="32" t="s">
        <v>1125</v>
      </c>
      <c r="G1037" s="0" t="n">
        <v>12</v>
      </c>
      <c r="H1037" s="0" t="n">
        <v>12</v>
      </c>
      <c r="I1037" s="32" t="s">
        <v>2081</v>
      </c>
      <c r="J1037" s="32" t="s">
        <v>2081</v>
      </c>
      <c r="K1037" s="0" t="n">
        <v>0</v>
      </c>
      <c r="L1037" s="32" t="s">
        <v>776</v>
      </c>
      <c r="M1037" s="0" t="str">
        <f aca="false">IF(L1037="GEN","GM",L1037)</f>
        <v>GS</v>
      </c>
    </row>
    <row r="1038" customFormat="false" ht="15" hidden="false" customHeight="false" outlineLevel="0" collapsed="false">
      <c r="A1038" s="0" t="s">
        <v>8335</v>
      </c>
      <c r="B1038" s="0" t="s">
        <v>8336</v>
      </c>
      <c r="C1038" s="0" t="s">
        <v>6295</v>
      </c>
      <c r="D1038" s="0" t="s">
        <v>2124</v>
      </c>
      <c r="E1038" s="31" t="n">
        <v>45699</v>
      </c>
      <c r="F1038" s="32" t="s">
        <v>1125</v>
      </c>
      <c r="G1038" s="0" t="n">
        <v>12</v>
      </c>
      <c r="H1038" s="0" t="n">
        <v>12</v>
      </c>
      <c r="I1038" s="32" t="s">
        <v>2081</v>
      </c>
      <c r="J1038" s="32" t="s">
        <v>2081</v>
      </c>
      <c r="K1038" s="0" t="n">
        <v>0</v>
      </c>
      <c r="L1038" s="32" t="s">
        <v>747</v>
      </c>
      <c r="M1038" s="0" t="str">
        <f aca="false">IF(L1038="GEN","GM",L1038)</f>
        <v>GM</v>
      </c>
    </row>
    <row r="1039" customFormat="false" ht="15" hidden="false" customHeight="false" outlineLevel="0" collapsed="false">
      <c r="A1039" s="0" t="s">
        <v>8337</v>
      </c>
      <c r="B1039" s="0" t="s">
        <v>8338</v>
      </c>
      <c r="C1039" s="0" t="s">
        <v>6295</v>
      </c>
      <c r="D1039" s="0" t="s">
        <v>2124</v>
      </c>
      <c r="E1039" s="31" t="n">
        <v>45699</v>
      </c>
      <c r="F1039" s="32" t="s">
        <v>6283</v>
      </c>
      <c r="G1039" s="0" t="n">
        <v>11.5</v>
      </c>
      <c r="H1039" s="0" t="n">
        <v>11.5</v>
      </c>
      <c r="I1039" s="32" t="s">
        <v>2081</v>
      </c>
      <c r="J1039" s="32" t="s">
        <v>2081</v>
      </c>
      <c r="K1039" s="0" t="n">
        <v>0</v>
      </c>
      <c r="L1039" s="32" t="s">
        <v>785</v>
      </c>
      <c r="M1039" s="0" t="str">
        <f aca="false">IF(L1039="GEN","GM",L1039)</f>
        <v>RS</v>
      </c>
    </row>
    <row r="1040" customFormat="false" ht="15" hidden="false" customHeight="false" outlineLevel="0" collapsed="false">
      <c r="A1040" s="0" t="s">
        <v>8339</v>
      </c>
      <c r="B1040" s="0" t="s">
        <v>8340</v>
      </c>
      <c r="C1040" s="0" t="s">
        <v>6295</v>
      </c>
      <c r="D1040" s="0" t="s">
        <v>2104</v>
      </c>
      <c r="E1040" s="31" t="n">
        <v>45699</v>
      </c>
      <c r="F1040" s="32" t="s">
        <v>1125</v>
      </c>
      <c r="G1040" s="0" t="n">
        <v>12</v>
      </c>
      <c r="H1040" s="0" t="n">
        <v>12</v>
      </c>
      <c r="I1040" s="32" t="s">
        <v>2081</v>
      </c>
      <c r="J1040" s="32" t="s">
        <v>2081</v>
      </c>
      <c r="K1040" s="0" t="n">
        <v>0</v>
      </c>
      <c r="L1040" s="32" t="s">
        <v>793</v>
      </c>
      <c r="M1040" s="0" t="str">
        <f aca="false">IF(L1040="GEN","GM",L1040)</f>
        <v>EM</v>
      </c>
    </row>
    <row r="1041" customFormat="false" ht="15" hidden="false" customHeight="false" outlineLevel="0" collapsed="false">
      <c r="A1041" s="0" t="s">
        <v>8341</v>
      </c>
      <c r="B1041" s="0" t="s">
        <v>8342</v>
      </c>
      <c r="C1041" s="0" t="s">
        <v>6286</v>
      </c>
      <c r="D1041" s="0" t="s">
        <v>2104</v>
      </c>
      <c r="E1041" s="31" t="n">
        <v>45699</v>
      </c>
      <c r="F1041" s="32" t="s">
        <v>1125</v>
      </c>
      <c r="G1041" s="0" t="n">
        <v>12</v>
      </c>
      <c r="H1041" s="0" t="n">
        <v>12</v>
      </c>
      <c r="I1041" s="32" t="s">
        <v>2081</v>
      </c>
      <c r="J1041" s="32" t="s">
        <v>2081</v>
      </c>
      <c r="K1041" s="0" t="n">
        <v>0</v>
      </c>
      <c r="L1041" s="32" t="s">
        <v>802</v>
      </c>
      <c r="M1041" s="0" t="str">
        <f aca="false">IF(L1041="GEN","GM",L1041)</f>
        <v>GYN</v>
      </c>
    </row>
    <row r="1042" customFormat="false" ht="15" hidden="false" customHeight="false" outlineLevel="0" collapsed="false">
      <c r="A1042" s="0" t="s">
        <v>8343</v>
      </c>
      <c r="B1042" s="0" t="s">
        <v>8344</v>
      </c>
      <c r="C1042" s="0" t="s">
        <v>6295</v>
      </c>
      <c r="D1042" s="0" t="s">
        <v>2104</v>
      </c>
      <c r="E1042" s="31" t="n">
        <v>45699</v>
      </c>
      <c r="F1042" s="32" t="s">
        <v>1125</v>
      </c>
      <c r="G1042" s="0" t="n">
        <v>12</v>
      </c>
      <c r="H1042" s="0" t="n">
        <v>12</v>
      </c>
      <c r="I1042" s="32" t="s">
        <v>2081</v>
      </c>
      <c r="J1042" s="32" t="s">
        <v>2081</v>
      </c>
      <c r="K1042" s="0" t="n">
        <v>0</v>
      </c>
      <c r="L1042" s="32" t="s">
        <v>747</v>
      </c>
      <c r="M1042" s="0" t="str">
        <f aca="false">IF(L1042="GEN","GM",L1042)</f>
        <v>GM</v>
      </c>
    </row>
    <row r="1043" customFormat="false" ht="15" hidden="false" customHeight="false" outlineLevel="0" collapsed="false">
      <c r="A1043" s="0" t="s">
        <v>8345</v>
      </c>
      <c r="B1043" s="0" t="s">
        <v>8346</v>
      </c>
      <c r="C1043" s="0" t="s">
        <v>6282</v>
      </c>
      <c r="D1043" s="0" t="s">
        <v>2104</v>
      </c>
      <c r="E1043" s="31" t="n">
        <v>45699</v>
      </c>
      <c r="F1043" s="32" t="s">
        <v>6287</v>
      </c>
      <c r="G1043" s="0" t="n">
        <v>7.5</v>
      </c>
      <c r="H1043" s="0" t="n">
        <v>7.5</v>
      </c>
      <c r="I1043" s="32" t="s">
        <v>2081</v>
      </c>
      <c r="J1043" s="32" t="s">
        <v>2081</v>
      </c>
      <c r="K1043" s="0" t="n">
        <v>0</v>
      </c>
      <c r="L1043" s="32" t="s">
        <v>785</v>
      </c>
      <c r="M1043" s="0" t="str">
        <f aca="false">IF(L1043="GEN","GM",L1043)</f>
        <v>RS</v>
      </c>
    </row>
    <row r="1044" customFormat="false" ht="15" hidden="false" customHeight="false" outlineLevel="0" collapsed="false">
      <c r="A1044" s="0" t="s">
        <v>8347</v>
      </c>
      <c r="B1044" s="0" t="s">
        <v>8348</v>
      </c>
      <c r="C1044" s="0" t="s">
        <v>6295</v>
      </c>
      <c r="D1044" s="0" t="s">
        <v>2104</v>
      </c>
      <c r="E1044" s="31" t="n">
        <v>45699</v>
      </c>
      <c r="F1044" s="32" t="s">
        <v>6287</v>
      </c>
      <c r="G1044" s="0" t="n">
        <v>7.5</v>
      </c>
      <c r="H1044" s="0" t="n">
        <v>7.5</v>
      </c>
      <c r="I1044" s="32" t="s">
        <v>2081</v>
      </c>
      <c r="J1044" s="32" t="s">
        <v>2081</v>
      </c>
      <c r="K1044" s="0" t="n">
        <v>0</v>
      </c>
      <c r="L1044" s="32" t="s">
        <v>785</v>
      </c>
      <c r="M1044" s="0" t="str">
        <f aca="false">IF(L1044="GEN","GM",L1044)</f>
        <v>RS</v>
      </c>
    </row>
    <row r="1045" customFormat="false" ht="15" hidden="false" customHeight="false" outlineLevel="0" collapsed="false">
      <c r="A1045" s="0" t="s">
        <v>8349</v>
      </c>
      <c r="B1045" s="0" t="s">
        <v>8350</v>
      </c>
      <c r="C1045" s="0" t="s">
        <v>780</v>
      </c>
      <c r="D1045" s="0" t="s">
        <v>3035</v>
      </c>
      <c r="E1045" s="31" t="n">
        <v>45699</v>
      </c>
      <c r="F1045" s="32" t="s">
        <v>6287</v>
      </c>
      <c r="G1045" s="0" t="n">
        <v>7.5</v>
      </c>
      <c r="H1045" s="0" t="n">
        <v>7.5</v>
      </c>
      <c r="I1045" s="32" t="s">
        <v>2081</v>
      </c>
      <c r="J1045" s="32" t="s">
        <v>2081</v>
      </c>
      <c r="K1045" s="0" t="n">
        <v>0</v>
      </c>
      <c r="L1045" s="32" t="s">
        <v>776</v>
      </c>
      <c r="M1045" s="0" t="str">
        <f aca="false">IF(L1045="GEN","GM",L1045)</f>
        <v>GS</v>
      </c>
    </row>
    <row r="1046" customFormat="false" ht="15" hidden="false" customHeight="false" outlineLevel="0" collapsed="false">
      <c r="A1046" s="0" t="s">
        <v>8351</v>
      </c>
      <c r="B1046" s="0" t="s">
        <v>8352</v>
      </c>
      <c r="C1046" s="0" t="s">
        <v>6286</v>
      </c>
      <c r="D1046" s="0" t="s">
        <v>3035</v>
      </c>
      <c r="E1046" s="31" t="n">
        <v>45699</v>
      </c>
      <c r="F1046" s="32" t="s">
        <v>6287</v>
      </c>
      <c r="G1046" s="0" t="n">
        <v>7.5</v>
      </c>
      <c r="H1046" s="0" t="n">
        <v>7.5</v>
      </c>
      <c r="J1046" s="32" t="s">
        <v>2081</v>
      </c>
      <c r="K1046" s="0" t="n">
        <v>0</v>
      </c>
      <c r="L1046" s="32" t="s">
        <v>747</v>
      </c>
      <c r="M1046" s="0" t="str">
        <f aca="false">IF(L1046="GEN","GM",L1046)</f>
        <v>GM</v>
      </c>
    </row>
    <row r="1047" customFormat="false" ht="15" hidden="false" customHeight="false" outlineLevel="0" collapsed="false">
      <c r="A1047" s="0" t="s">
        <v>8353</v>
      </c>
      <c r="B1047" s="0" t="s">
        <v>8354</v>
      </c>
      <c r="C1047" s="0" t="s">
        <v>780</v>
      </c>
      <c r="D1047" s="0" t="s">
        <v>3035</v>
      </c>
      <c r="E1047" s="31" t="n">
        <v>45699</v>
      </c>
      <c r="F1047" s="32" t="s">
        <v>6287</v>
      </c>
      <c r="G1047" s="0" t="n">
        <v>7.5</v>
      </c>
      <c r="H1047" s="0" t="n">
        <v>7.5</v>
      </c>
      <c r="I1047" s="32" t="s">
        <v>2081</v>
      </c>
      <c r="J1047" s="32" t="s">
        <v>2081</v>
      </c>
      <c r="K1047" s="0" t="n">
        <v>0</v>
      </c>
      <c r="L1047" s="32" t="s">
        <v>766</v>
      </c>
      <c r="M1047" s="0" t="str">
        <f aca="false">IF(L1047="GEN","GM",L1047)</f>
        <v>OR</v>
      </c>
    </row>
    <row r="1048" customFormat="false" ht="15" hidden="false" customHeight="false" outlineLevel="0" collapsed="false">
      <c r="A1048" s="0" t="s">
        <v>8355</v>
      </c>
      <c r="B1048" s="0" t="s">
        <v>8356</v>
      </c>
      <c r="C1048" s="0" t="s">
        <v>780</v>
      </c>
      <c r="D1048" s="0" t="s">
        <v>3035</v>
      </c>
      <c r="E1048" s="31" t="n">
        <v>45699</v>
      </c>
      <c r="F1048" s="32" t="s">
        <v>6287</v>
      </c>
      <c r="G1048" s="0" t="n">
        <v>7.5</v>
      </c>
      <c r="H1048" s="0" t="n">
        <v>8.1</v>
      </c>
      <c r="I1048" s="32" t="s">
        <v>2081</v>
      </c>
      <c r="J1048" s="32" t="s">
        <v>2081</v>
      </c>
      <c r="K1048" s="0" t="n">
        <v>0.6</v>
      </c>
      <c r="L1048" s="32" t="s">
        <v>826</v>
      </c>
      <c r="M1048" s="0" t="str">
        <f aca="false">IF(L1048="GEN","GM",L1048)</f>
        <v>RHE</v>
      </c>
    </row>
    <row r="1049" customFormat="false" ht="15" hidden="false" customHeight="false" outlineLevel="0" collapsed="false">
      <c r="A1049" s="0" t="s">
        <v>8357</v>
      </c>
      <c r="B1049" s="0" t="s">
        <v>8358</v>
      </c>
      <c r="C1049" s="0" t="s">
        <v>6295</v>
      </c>
      <c r="D1049" s="0" t="s">
        <v>2088</v>
      </c>
      <c r="E1049" s="31" t="n">
        <v>45700</v>
      </c>
      <c r="F1049" s="32" t="s">
        <v>6283</v>
      </c>
      <c r="G1049" s="0" t="n">
        <v>11.5</v>
      </c>
      <c r="H1049" s="0" t="n">
        <v>11.5</v>
      </c>
      <c r="I1049" s="32" t="s">
        <v>2081</v>
      </c>
      <c r="J1049" s="32" t="s">
        <v>2081</v>
      </c>
      <c r="K1049" s="0" t="n">
        <v>0</v>
      </c>
      <c r="L1049" s="32" t="s">
        <v>810</v>
      </c>
      <c r="M1049" s="0" t="str">
        <f aca="false">IF(L1049="GEN","GM",L1049)</f>
        <v>URO</v>
      </c>
    </row>
    <row r="1050" customFormat="false" ht="15" hidden="false" customHeight="false" outlineLevel="0" collapsed="false">
      <c r="A1050" s="0" t="s">
        <v>8359</v>
      </c>
      <c r="B1050" s="0" t="s">
        <v>8360</v>
      </c>
      <c r="C1050" s="0" t="s">
        <v>6286</v>
      </c>
      <c r="D1050" s="0" t="s">
        <v>2088</v>
      </c>
      <c r="E1050" s="31" t="n">
        <v>45700</v>
      </c>
      <c r="F1050" s="32" t="s">
        <v>1125</v>
      </c>
      <c r="G1050" s="0" t="n">
        <v>12</v>
      </c>
      <c r="H1050" s="0" t="n">
        <v>12</v>
      </c>
      <c r="I1050" s="32" t="s">
        <v>2081</v>
      </c>
      <c r="J1050" s="32" t="s">
        <v>2106</v>
      </c>
      <c r="K1050" s="0" t="n">
        <v>0</v>
      </c>
      <c r="L1050" s="32" t="s">
        <v>793</v>
      </c>
      <c r="M1050" s="0" t="str">
        <f aca="false">IF(L1050="GEN","GM",L1050)</f>
        <v>EM</v>
      </c>
    </row>
    <row r="1051" customFormat="false" ht="15" hidden="false" customHeight="false" outlineLevel="0" collapsed="false">
      <c r="A1051" s="0" t="s">
        <v>8361</v>
      </c>
      <c r="B1051" s="0" t="s">
        <v>8362</v>
      </c>
      <c r="C1051" s="0" t="s">
        <v>6286</v>
      </c>
      <c r="D1051" s="0" t="s">
        <v>2088</v>
      </c>
      <c r="E1051" s="31" t="n">
        <v>45700</v>
      </c>
      <c r="F1051" s="32" t="s">
        <v>6287</v>
      </c>
      <c r="G1051" s="0" t="n">
        <v>7.5</v>
      </c>
      <c r="H1051" s="0" t="n">
        <v>7.5</v>
      </c>
      <c r="I1051" s="32" t="s">
        <v>2081</v>
      </c>
      <c r="J1051" s="32" t="s">
        <v>2081</v>
      </c>
      <c r="K1051" s="0" t="n">
        <v>0</v>
      </c>
      <c r="L1051" s="32" t="s">
        <v>785</v>
      </c>
      <c r="M1051" s="0" t="str">
        <f aca="false">IF(L1051="GEN","GM",L1051)</f>
        <v>RS</v>
      </c>
    </row>
    <row r="1052" customFormat="false" ht="15" hidden="false" customHeight="false" outlineLevel="0" collapsed="false">
      <c r="A1052" s="0" t="s">
        <v>8363</v>
      </c>
      <c r="B1052" s="0" t="s">
        <v>8364</v>
      </c>
      <c r="C1052" s="0" t="s">
        <v>6295</v>
      </c>
      <c r="D1052" s="0" t="s">
        <v>2088</v>
      </c>
      <c r="E1052" s="31" t="n">
        <v>45700</v>
      </c>
      <c r="F1052" s="32" t="s">
        <v>1125</v>
      </c>
      <c r="G1052" s="0" t="n">
        <v>12</v>
      </c>
      <c r="H1052" s="0" t="n">
        <v>12</v>
      </c>
      <c r="I1052" s="32" t="s">
        <v>2081</v>
      </c>
      <c r="J1052" s="32" t="s">
        <v>2081</v>
      </c>
      <c r="K1052" s="0" t="n">
        <v>0</v>
      </c>
      <c r="L1052" s="32" t="s">
        <v>802</v>
      </c>
      <c r="M1052" s="0" t="str">
        <f aca="false">IF(L1052="GEN","GM",L1052)</f>
        <v>GYN</v>
      </c>
    </row>
    <row r="1053" customFormat="false" ht="15" hidden="false" customHeight="false" outlineLevel="0" collapsed="false">
      <c r="A1053" s="0" t="s">
        <v>8365</v>
      </c>
      <c r="B1053" s="0" t="s">
        <v>8366</v>
      </c>
      <c r="C1053" s="0" t="s">
        <v>6295</v>
      </c>
      <c r="D1053" s="0" t="s">
        <v>2088</v>
      </c>
      <c r="E1053" s="31" t="n">
        <v>45700</v>
      </c>
      <c r="F1053" s="32" t="s">
        <v>1125</v>
      </c>
      <c r="G1053" s="0" t="n">
        <v>12</v>
      </c>
      <c r="H1053" s="0" t="n">
        <v>12</v>
      </c>
      <c r="I1053" s="32" t="s">
        <v>2081</v>
      </c>
      <c r="J1053" s="32" t="s">
        <v>2081</v>
      </c>
      <c r="K1053" s="0" t="n">
        <v>0</v>
      </c>
      <c r="L1053" s="32" t="s">
        <v>793</v>
      </c>
      <c r="M1053" s="0" t="str">
        <f aca="false">IF(L1053="GEN","GM",L1053)</f>
        <v>EM</v>
      </c>
    </row>
    <row r="1054" customFormat="false" ht="15" hidden="false" customHeight="false" outlineLevel="0" collapsed="false">
      <c r="A1054" s="0" t="s">
        <v>8367</v>
      </c>
      <c r="B1054" s="0" t="s">
        <v>8368</v>
      </c>
      <c r="C1054" s="0" t="s">
        <v>6286</v>
      </c>
      <c r="D1054" s="0" t="s">
        <v>2079</v>
      </c>
      <c r="E1054" s="31" t="n">
        <v>45700</v>
      </c>
      <c r="F1054" s="32" t="s">
        <v>6287</v>
      </c>
      <c r="G1054" s="0" t="n">
        <v>7.5</v>
      </c>
      <c r="H1054" s="0" t="n">
        <v>7.5</v>
      </c>
      <c r="I1054" s="32" t="s">
        <v>2081</v>
      </c>
      <c r="J1054" s="32" t="s">
        <v>2081</v>
      </c>
      <c r="K1054" s="0" t="n">
        <v>0</v>
      </c>
      <c r="L1054" s="32" t="s">
        <v>802</v>
      </c>
      <c r="M1054" s="0" t="str">
        <f aca="false">IF(L1054="GEN","GM",L1054)</f>
        <v>GYN</v>
      </c>
    </row>
    <row r="1055" customFormat="false" ht="15" hidden="false" customHeight="false" outlineLevel="0" collapsed="false">
      <c r="A1055" s="0" t="s">
        <v>8369</v>
      </c>
      <c r="B1055" s="0" t="s">
        <v>8370</v>
      </c>
      <c r="C1055" s="0" t="s">
        <v>6286</v>
      </c>
      <c r="D1055" s="0" t="s">
        <v>2079</v>
      </c>
      <c r="E1055" s="31" t="n">
        <v>45700</v>
      </c>
      <c r="F1055" s="32" t="s">
        <v>6287</v>
      </c>
      <c r="G1055" s="0" t="n">
        <v>7.5</v>
      </c>
      <c r="H1055" s="0" t="n">
        <v>7.5</v>
      </c>
      <c r="I1055" s="32" t="s">
        <v>2081</v>
      </c>
      <c r="J1055" s="32" t="s">
        <v>2081</v>
      </c>
      <c r="K1055" s="0" t="n">
        <v>0</v>
      </c>
      <c r="L1055" s="32" t="s">
        <v>826</v>
      </c>
      <c r="M1055" s="0" t="str">
        <f aca="false">IF(L1055="GEN","GM",L1055)</f>
        <v>RHE</v>
      </c>
    </row>
    <row r="1056" customFormat="false" ht="15" hidden="false" customHeight="false" outlineLevel="0" collapsed="false">
      <c r="A1056" s="0" t="s">
        <v>8371</v>
      </c>
      <c r="B1056" s="0" t="s">
        <v>8372</v>
      </c>
      <c r="C1056" s="0" t="s">
        <v>6290</v>
      </c>
      <c r="D1056" s="0" t="s">
        <v>2079</v>
      </c>
      <c r="E1056" s="31" t="n">
        <v>45700</v>
      </c>
      <c r="F1056" s="32" t="s">
        <v>6283</v>
      </c>
      <c r="G1056" s="0" t="n">
        <v>11.5</v>
      </c>
      <c r="H1056" s="0" t="n">
        <v>11.5</v>
      </c>
      <c r="I1056" s="32" t="s">
        <v>2081</v>
      </c>
      <c r="J1056" s="32" t="s">
        <v>2081</v>
      </c>
      <c r="K1056" s="0" t="n">
        <v>0</v>
      </c>
      <c r="L1056" s="32" t="s">
        <v>785</v>
      </c>
      <c r="M1056" s="0" t="str">
        <f aca="false">IF(L1056="GEN","GM",L1056)</f>
        <v>RS</v>
      </c>
    </row>
    <row r="1057" customFormat="false" ht="15" hidden="false" customHeight="false" outlineLevel="0" collapsed="false">
      <c r="A1057" s="0" t="s">
        <v>8373</v>
      </c>
      <c r="B1057" s="0" t="s">
        <v>8374</v>
      </c>
      <c r="C1057" s="0" t="s">
        <v>6295</v>
      </c>
      <c r="D1057" s="0" t="s">
        <v>2099</v>
      </c>
      <c r="E1057" s="31" t="n">
        <v>45700</v>
      </c>
      <c r="F1057" s="32" t="s">
        <v>6283</v>
      </c>
      <c r="G1057" s="0" t="n">
        <v>11.5</v>
      </c>
      <c r="H1057" s="0" t="n">
        <v>11.5</v>
      </c>
      <c r="I1057" s="32" t="s">
        <v>2106</v>
      </c>
      <c r="J1057" s="32" t="s">
        <v>2081</v>
      </c>
      <c r="K1057" s="0" t="n">
        <v>0</v>
      </c>
      <c r="L1057" s="32" t="s">
        <v>747</v>
      </c>
      <c r="M1057" s="0" t="str">
        <f aca="false">IF(L1057="GEN","GM",L1057)</f>
        <v>GM</v>
      </c>
    </row>
    <row r="1058" customFormat="false" ht="15" hidden="false" customHeight="false" outlineLevel="0" collapsed="false">
      <c r="A1058" s="0" t="s">
        <v>8375</v>
      </c>
      <c r="B1058" s="0" t="s">
        <v>8376</v>
      </c>
      <c r="C1058" s="0" t="s">
        <v>6295</v>
      </c>
      <c r="D1058" s="0" t="s">
        <v>2099</v>
      </c>
      <c r="E1058" s="31" t="n">
        <v>45700</v>
      </c>
      <c r="F1058" s="32" t="s">
        <v>1125</v>
      </c>
      <c r="G1058" s="0" t="n">
        <v>12</v>
      </c>
      <c r="H1058" s="0" t="n">
        <v>12</v>
      </c>
      <c r="I1058" s="32" t="s">
        <v>2081</v>
      </c>
      <c r="J1058" s="32" t="s">
        <v>2081</v>
      </c>
      <c r="K1058" s="0" t="n">
        <v>0</v>
      </c>
      <c r="L1058" s="32" t="s">
        <v>785</v>
      </c>
      <c r="M1058" s="0" t="str">
        <f aca="false">IF(L1058="GEN","GM",L1058)</f>
        <v>RS</v>
      </c>
    </row>
    <row r="1059" customFormat="false" ht="15" hidden="false" customHeight="false" outlineLevel="0" collapsed="false">
      <c r="A1059" s="0" t="s">
        <v>8377</v>
      </c>
      <c r="B1059" s="0" t="s">
        <v>8378</v>
      </c>
      <c r="C1059" s="0" t="s">
        <v>780</v>
      </c>
      <c r="D1059" s="0" t="s">
        <v>2099</v>
      </c>
      <c r="E1059" s="31" t="n">
        <v>45700</v>
      </c>
      <c r="F1059" s="32" t="s">
        <v>1125</v>
      </c>
      <c r="G1059" s="0" t="n">
        <v>12</v>
      </c>
      <c r="H1059" s="0" t="n">
        <v>12</v>
      </c>
      <c r="I1059" s="32" t="s">
        <v>2081</v>
      </c>
      <c r="J1059" s="32" t="s">
        <v>2081</v>
      </c>
      <c r="K1059" s="0" t="n">
        <v>0</v>
      </c>
      <c r="L1059" s="32" t="s">
        <v>785</v>
      </c>
      <c r="M1059" s="0" t="str">
        <f aca="false">IF(L1059="GEN","GM",L1059)</f>
        <v>RS</v>
      </c>
    </row>
    <row r="1060" customFormat="false" ht="15" hidden="false" customHeight="false" outlineLevel="0" collapsed="false">
      <c r="A1060" s="0" t="s">
        <v>8379</v>
      </c>
      <c r="B1060" s="0" t="s">
        <v>8380</v>
      </c>
      <c r="C1060" s="0" t="s">
        <v>780</v>
      </c>
      <c r="D1060" s="0" t="s">
        <v>2115</v>
      </c>
      <c r="E1060" s="31" t="n">
        <v>45700</v>
      </c>
      <c r="F1060" s="32" t="s">
        <v>6287</v>
      </c>
      <c r="G1060" s="0" t="n">
        <v>7.5</v>
      </c>
      <c r="H1060" s="0" t="n">
        <v>7.5</v>
      </c>
      <c r="I1060" s="32" t="s">
        <v>2081</v>
      </c>
      <c r="J1060" s="32" t="s">
        <v>2081</v>
      </c>
      <c r="K1060" s="0" t="n">
        <v>0</v>
      </c>
      <c r="L1060" s="32" t="s">
        <v>747</v>
      </c>
      <c r="M1060" s="0" t="str">
        <f aca="false">IF(L1060="GEN","GM",L1060)</f>
        <v>GM</v>
      </c>
    </row>
    <row r="1061" customFormat="false" ht="15" hidden="false" customHeight="false" outlineLevel="0" collapsed="false">
      <c r="A1061" s="0" t="s">
        <v>8381</v>
      </c>
      <c r="B1061" s="0" t="s">
        <v>8382</v>
      </c>
      <c r="C1061" s="0" t="s">
        <v>6282</v>
      </c>
      <c r="D1061" s="0" t="s">
        <v>2115</v>
      </c>
      <c r="E1061" s="31" t="n">
        <v>45700</v>
      </c>
      <c r="F1061" s="32" t="s">
        <v>1125</v>
      </c>
      <c r="G1061" s="0" t="n">
        <v>12</v>
      </c>
      <c r="H1061" s="0" t="n">
        <v>12</v>
      </c>
      <c r="I1061" s="32" t="s">
        <v>2081</v>
      </c>
      <c r="J1061" s="32" t="s">
        <v>2106</v>
      </c>
      <c r="K1061" s="0" t="n">
        <v>0</v>
      </c>
      <c r="L1061" s="32" t="s">
        <v>826</v>
      </c>
      <c r="M1061" s="0" t="str">
        <f aca="false">IF(L1061="GEN","GM",L1061)</f>
        <v>RHE</v>
      </c>
    </row>
    <row r="1062" customFormat="false" ht="15" hidden="false" customHeight="false" outlineLevel="0" collapsed="false">
      <c r="A1062" s="0" t="s">
        <v>8383</v>
      </c>
      <c r="B1062" s="0" t="s">
        <v>8384</v>
      </c>
      <c r="C1062" s="0" t="s">
        <v>6290</v>
      </c>
      <c r="D1062" s="0" t="s">
        <v>2115</v>
      </c>
      <c r="E1062" s="31" t="n">
        <v>45700</v>
      </c>
      <c r="F1062" s="32" t="s">
        <v>6287</v>
      </c>
      <c r="G1062" s="0" t="n">
        <v>7.5</v>
      </c>
      <c r="H1062" s="0" t="n">
        <v>7.5</v>
      </c>
      <c r="I1062" s="32" t="s">
        <v>2081</v>
      </c>
      <c r="J1062" s="32" t="s">
        <v>2081</v>
      </c>
      <c r="K1062" s="0" t="n">
        <v>0</v>
      </c>
      <c r="L1062" s="32" t="s">
        <v>785</v>
      </c>
      <c r="M1062" s="0" t="str">
        <f aca="false">IF(L1062="GEN","GM",L1062)</f>
        <v>RS</v>
      </c>
    </row>
    <row r="1063" customFormat="false" ht="15" hidden="false" customHeight="false" outlineLevel="0" collapsed="false">
      <c r="A1063" s="0" t="s">
        <v>8385</v>
      </c>
      <c r="B1063" s="0" t="s">
        <v>8386</v>
      </c>
      <c r="C1063" s="0" t="s">
        <v>6286</v>
      </c>
      <c r="D1063" s="0" t="s">
        <v>2115</v>
      </c>
      <c r="E1063" s="31" t="n">
        <v>45700</v>
      </c>
      <c r="F1063" s="32" t="s">
        <v>6283</v>
      </c>
      <c r="G1063" s="0" t="n">
        <v>11.5</v>
      </c>
      <c r="H1063" s="0" t="n">
        <v>11.5</v>
      </c>
      <c r="I1063" s="32" t="s">
        <v>2106</v>
      </c>
      <c r="J1063" s="32" t="s">
        <v>2081</v>
      </c>
      <c r="K1063" s="0" t="n">
        <v>0</v>
      </c>
      <c r="L1063" s="32" t="s">
        <v>785</v>
      </c>
      <c r="M1063" s="0" t="str">
        <f aca="false">IF(L1063="GEN","GM",L1063)</f>
        <v>RS</v>
      </c>
    </row>
    <row r="1064" customFormat="false" ht="15" hidden="false" customHeight="false" outlineLevel="0" collapsed="false">
      <c r="A1064" s="0" t="s">
        <v>8387</v>
      </c>
      <c r="B1064" s="0" t="s">
        <v>8388</v>
      </c>
      <c r="C1064" s="0" t="s">
        <v>780</v>
      </c>
      <c r="D1064" s="0" t="s">
        <v>2115</v>
      </c>
      <c r="E1064" s="31" t="n">
        <v>45700</v>
      </c>
      <c r="F1064" s="32" t="s">
        <v>1125</v>
      </c>
      <c r="G1064" s="0" t="n">
        <v>12</v>
      </c>
      <c r="H1064" s="0" t="n">
        <v>12</v>
      </c>
      <c r="I1064" s="32" t="s">
        <v>2081</v>
      </c>
      <c r="J1064" s="32" t="s">
        <v>2081</v>
      </c>
      <c r="K1064" s="0" t="n">
        <v>0</v>
      </c>
      <c r="L1064" s="32" t="s">
        <v>802</v>
      </c>
      <c r="M1064" s="0" t="str">
        <f aca="false">IF(L1064="GEN","GM",L1064)</f>
        <v>GYN</v>
      </c>
    </row>
    <row r="1065" customFormat="false" ht="15" hidden="false" customHeight="false" outlineLevel="0" collapsed="false">
      <c r="A1065" s="0" t="s">
        <v>8389</v>
      </c>
      <c r="B1065" s="0" t="s">
        <v>8390</v>
      </c>
      <c r="C1065" s="0" t="s">
        <v>6286</v>
      </c>
      <c r="D1065" s="0" t="s">
        <v>2124</v>
      </c>
      <c r="E1065" s="31" t="n">
        <v>45700</v>
      </c>
      <c r="F1065" s="32" t="s">
        <v>6283</v>
      </c>
      <c r="G1065" s="0" t="n">
        <v>11.5</v>
      </c>
      <c r="H1065" s="0" t="n">
        <v>11.5</v>
      </c>
      <c r="I1065" s="32" t="s">
        <v>2081</v>
      </c>
      <c r="J1065" s="32" t="s">
        <v>2081</v>
      </c>
      <c r="K1065" s="0" t="n">
        <v>0</v>
      </c>
      <c r="L1065" s="32" t="s">
        <v>793</v>
      </c>
      <c r="M1065" s="0" t="str">
        <f aca="false">IF(L1065="GEN","GM",L1065)</f>
        <v>EM</v>
      </c>
    </row>
    <row r="1066" customFormat="false" ht="15" hidden="false" customHeight="false" outlineLevel="0" collapsed="false">
      <c r="A1066" s="0" t="s">
        <v>8391</v>
      </c>
      <c r="B1066" s="0" t="s">
        <v>8392</v>
      </c>
      <c r="C1066" s="0" t="s">
        <v>6286</v>
      </c>
      <c r="D1066" s="0" t="s">
        <v>2124</v>
      </c>
      <c r="E1066" s="31" t="n">
        <v>45700</v>
      </c>
      <c r="F1066" s="32" t="s">
        <v>6283</v>
      </c>
      <c r="G1066" s="0" t="n">
        <v>11.5</v>
      </c>
      <c r="H1066" s="0" t="n">
        <v>11.5</v>
      </c>
      <c r="I1066" s="32" t="s">
        <v>2081</v>
      </c>
      <c r="J1066" s="32" t="s">
        <v>2081</v>
      </c>
      <c r="K1066" s="0" t="n">
        <v>0</v>
      </c>
      <c r="L1066" s="32" t="s">
        <v>758</v>
      </c>
      <c r="M1066" s="0" t="str">
        <f aca="false">IF(L1066="GEN","GM",L1066)</f>
        <v>CS</v>
      </c>
    </row>
    <row r="1067" customFormat="false" ht="15" hidden="false" customHeight="false" outlineLevel="0" collapsed="false">
      <c r="A1067" s="0" t="s">
        <v>8393</v>
      </c>
      <c r="B1067" s="0" t="s">
        <v>8394</v>
      </c>
      <c r="C1067" s="0" t="s">
        <v>6282</v>
      </c>
      <c r="D1067" s="0" t="s">
        <v>2124</v>
      </c>
      <c r="E1067" s="31" t="n">
        <v>45700</v>
      </c>
      <c r="F1067" s="32" t="s">
        <v>6287</v>
      </c>
      <c r="G1067" s="0" t="n">
        <v>7.5</v>
      </c>
      <c r="H1067" s="0" t="n">
        <v>7.5</v>
      </c>
      <c r="I1067" s="32" t="s">
        <v>2081</v>
      </c>
      <c r="J1067" s="32" t="s">
        <v>2081</v>
      </c>
      <c r="K1067" s="0" t="n">
        <v>0</v>
      </c>
      <c r="L1067" s="32" t="s">
        <v>810</v>
      </c>
      <c r="M1067" s="0" t="str">
        <f aca="false">IF(L1067="GEN","GM",L1067)</f>
        <v>URO</v>
      </c>
    </row>
    <row r="1068" customFormat="false" ht="15" hidden="false" customHeight="false" outlineLevel="0" collapsed="false">
      <c r="A1068" s="0" t="s">
        <v>8395</v>
      </c>
      <c r="B1068" s="0" t="s">
        <v>8396</v>
      </c>
      <c r="C1068" s="0" t="s">
        <v>6295</v>
      </c>
      <c r="D1068" s="0" t="s">
        <v>2124</v>
      </c>
      <c r="E1068" s="31" t="n">
        <v>45700</v>
      </c>
      <c r="F1068" s="32" t="s">
        <v>1125</v>
      </c>
      <c r="G1068" s="0" t="n">
        <v>12</v>
      </c>
      <c r="H1068" s="0" t="n">
        <v>12.5</v>
      </c>
      <c r="I1068" s="32" t="s">
        <v>2106</v>
      </c>
      <c r="J1068" s="32" t="s">
        <v>2081</v>
      </c>
      <c r="K1068" s="0" t="n">
        <v>0.5</v>
      </c>
      <c r="L1068" s="32" t="s">
        <v>766</v>
      </c>
      <c r="M1068" s="0" t="str">
        <f aca="false">IF(L1068="GEN","GM",L1068)</f>
        <v>OR</v>
      </c>
    </row>
    <row r="1069" customFormat="false" ht="15" hidden="false" customHeight="false" outlineLevel="0" collapsed="false">
      <c r="A1069" s="0" t="s">
        <v>8397</v>
      </c>
      <c r="B1069" s="0" t="s">
        <v>8398</v>
      </c>
      <c r="C1069" s="0" t="s">
        <v>6295</v>
      </c>
      <c r="D1069" s="0" t="s">
        <v>2104</v>
      </c>
      <c r="E1069" s="31" t="n">
        <v>45700</v>
      </c>
      <c r="F1069" s="32" t="s">
        <v>6283</v>
      </c>
      <c r="G1069" s="0" t="n">
        <v>11.5</v>
      </c>
      <c r="H1069" s="0" t="n">
        <v>11.5</v>
      </c>
      <c r="I1069" s="32" t="s">
        <v>2081</v>
      </c>
      <c r="J1069" s="32" t="s">
        <v>2081</v>
      </c>
      <c r="K1069" s="0" t="n">
        <v>0</v>
      </c>
      <c r="L1069" s="32" t="s">
        <v>758</v>
      </c>
      <c r="M1069" s="0" t="str">
        <f aca="false">IF(L1069="GEN","GM",L1069)</f>
        <v>CS</v>
      </c>
    </row>
    <row r="1070" customFormat="false" ht="15" hidden="false" customHeight="false" outlineLevel="0" collapsed="false">
      <c r="A1070" s="0" t="s">
        <v>8399</v>
      </c>
      <c r="B1070" s="0" t="s">
        <v>8400</v>
      </c>
      <c r="C1070" s="0" t="s">
        <v>6295</v>
      </c>
      <c r="D1070" s="0" t="s">
        <v>2104</v>
      </c>
      <c r="E1070" s="31" t="n">
        <v>45700</v>
      </c>
      <c r="F1070" s="32" t="s">
        <v>6283</v>
      </c>
      <c r="G1070" s="0" t="n">
        <v>11.5</v>
      </c>
      <c r="H1070" s="0" t="n">
        <v>11.5</v>
      </c>
      <c r="I1070" s="32" t="s">
        <v>2081</v>
      </c>
      <c r="J1070" s="32" t="s">
        <v>2081</v>
      </c>
      <c r="K1070" s="0" t="n">
        <v>0</v>
      </c>
      <c r="L1070" s="32" t="s">
        <v>766</v>
      </c>
      <c r="M1070" s="0" t="str">
        <f aca="false">IF(L1070="GEN","GM",L1070)</f>
        <v>OR</v>
      </c>
    </row>
    <row r="1071" customFormat="false" ht="15" hidden="false" customHeight="false" outlineLevel="0" collapsed="false">
      <c r="A1071" s="0" t="s">
        <v>8401</v>
      </c>
      <c r="B1071" s="0" t="s">
        <v>8402</v>
      </c>
      <c r="C1071" s="0" t="s">
        <v>780</v>
      </c>
      <c r="D1071" s="0" t="s">
        <v>2104</v>
      </c>
      <c r="E1071" s="31" t="n">
        <v>45700</v>
      </c>
      <c r="F1071" s="32" t="s">
        <v>6287</v>
      </c>
      <c r="G1071" s="0" t="n">
        <v>7.5</v>
      </c>
      <c r="H1071" s="0" t="n">
        <v>7.5</v>
      </c>
      <c r="I1071" s="32" t="s">
        <v>2081</v>
      </c>
      <c r="J1071" s="32" t="s">
        <v>2106</v>
      </c>
      <c r="K1071" s="0" t="n">
        <v>0</v>
      </c>
      <c r="L1071" s="32" t="s">
        <v>747</v>
      </c>
      <c r="M1071" s="0" t="str">
        <f aca="false">IF(L1071="GEN","GM",L1071)</f>
        <v>GM</v>
      </c>
    </row>
    <row r="1072" customFormat="false" ht="15" hidden="false" customHeight="false" outlineLevel="0" collapsed="false">
      <c r="A1072" s="0" t="s">
        <v>8403</v>
      </c>
      <c r="B1072" s="0" t="s">
        <v>8404</v>
      </c>
      <c r="C1072" s="0" t="s">
        <v>6295</v>
      </c>
      <c r="D1072" s="0" t="s">
        <v>2104</v>
      </c>
      <c r="E1072" s="31" t="n">
        <v>45700</v>
      </c>
      <c r="F1072" s="32" t="s">
        <v>6283</v>
      </c>
      <c r="G1072" s="0" t="n">
        <v>11.5</v>
      </c>
      <c r="H1072" s="0" t="n">
        <v>11.5</v>
      </c>
      <c r="I1072" s="32" t="s">
        <v>2106</v>
      </c>
      <c r="J1072" s="32" t="s">
        <v>2081</v>
      </c>
      <c r="K1072" s="0" t="n">
        <v>0</v>
      </c>
      <c r="L1072" s="32" t="s">
        <v>758</v>
      </c>
      <c r="M1072" s="0" t="str">
        <f aca="false">IF(L1072="GEN","GM",L1072)</f>
        <v>CS</v>
      </c>
    </row>
    <row r="1073" customFormat="false" ht="15" hidden="false" customHeight="false" outlineLevel="0" collapsed="false">
      <c r="A1073" s="0" t="s">
        <v>8405</v>
      </c>
      <c r="B1073" s="0" t="s">
        <v>8406</v>
      </c>
      <c r="C1073" s="0" t="s">
        <v>6282</v>
      </c>
      <c r="D1073" s="0" t="s">
        <v>2104</v>
      </c>
      <c r="E1073" s="31" t="n">
        <v>45700</v>
      </c>
      <c r="F1073" s="32" t="s">
        <v>6287</v>
      </c>
      <c r="G1073" s="0" t="n">
        <v>7.5</v>
      </c>
      <c r="H1073" s="0" t="n">
        <v>7.5</v>
      </c>
      <c r="I1073" s="32" t="s">
        <v>2081</v>
      </c>
      <c r="J1073" s="32" t="s">
        <v>2081</v>
      </c>
      <c r="K1073" s="0" t="n">
        <v>0</v>
      </c>
      <c r="L1073" s="32" t="s">
        <v>826</v>
      </c>
      <c r="M1073" s="0" t="str">
        <f aca="false">IF(L1073="GEN","GM",L1073)</f>
        <v>RHE</v>
      </c>
    </row>
    <row r="1074" customFormat="false" ht="15" hidden="false" customHeight="false" outlineLevel="0" collapsed="false">
      <c r="A1074" s="0" t="s">
        <v>8407</v>
      </c>
      <c r="B1074" s="0" t="s">
        <v>8408</v>
      </c>
      <c r="C1074" s="0" t="s">
        <v>780</v>
      </c>
      <c r="D1074" s="0" t="s">
        <v>3035</v>
      </c>
      <c r="E1074" s="31" t="n">
        <v>45700</v>
      </c>
      <c r="F1074" s="32" t="s">
        <v>6287</v>
      </c>
      <c r="G1074" s="0" t="n">
        <v>7.5</v>
      </c>
      <c r="H1074" s="0" t="n">
        <v>8.8</v>
      </c>
      <c r="I1074" s="32" t="s">
        <v>2081</v>
      </c>
      <c r="J1074" s="32" t="s">
        <v>2081</v>
      </c>
      <c r="K1074" s="0" t="n">
        <v>1.3</v>
      </c>
      <c r="L1074" s="32" t="s">
        <v>776</v>
      </c>
      <c r="M1074" s="0" t="str">
        <f aca="false">IF(L1074="GEN","GM",L1074)</f>
        <v>GS</v>
      </c>
    </row>
    <row r="1075" customFormat="false" ht="15" hidden="false" customHeight="false" outlineLevel="0" collapsed="false">
      <c r="A1075" s="0" t="s">
        <v>8409</v>
      </c>
      <c r="B1075" s="0" t="s">
        <v>8410</v>
      </c>
      <c r="C1075" s="0" t="s">
        <v>6295</v>
      </c>
      <c r="D1075" s="0" t="s">
        <v>3035</v>
      </c>
      <c r="E1075" s="31" t="n">
        <v>45700</v>
      </c>
      <c r="F1075" s="32" t="s">
        <v>1125</v>
      </c>
      <c r="G1075" s="0" t="n">
        <v>12</v>
      </c>
      <c r="H1075" s="0" t="n">
        <v>11.5</v>
      </c>
      <c r="I1075" s="32" t="s">
        <v>2081</v>
      </c>
      <c r="J1075" s="32" t="s">
        <v>2081</v>
      </c>
      <c r="K1075" s="0" t="n">
        <v>0</v>
      </c>
      <c r="L1075" s="32" t="s">
        <v>810</v>
      </c>
      <c r="M1075" s="0" t="str">
        <f aca="false">IF(L1075="GEN","GM",L1075)</f>
        <v>URO</v>
      </c>
    </row>
    <row r="1076" customFormat="false" ht="15" hidden="false" customHeight="false" outlineLevel="0" collapsed="false">
      <c r="A1076" s="0" t="s">
        <v>8411</v>
      </c>
      <c r="B1076" s="0" t="s">
        <v>8412</v>
      </c>
      <c r="C1076" s="0" t="s">
        <v>6290</v>
      </c>
      <c r="D1076" s="0" t="s">
        <v>3035</v>
      </c>
      <c r="E1076" s="31" t="n">
        <v>45700</v>
      </c>
      <c r="F1076" s="32" t="s">
        <v>6287</v>
      </c>
      <c r="G1076" s="0" t="n">
        <v>7.5</v>
      </c>
      <c r="H1076" s="0" t="n">
        <v>7.5</v>
      </c>
      <c r="I1076" s="32" t="s">
        <v>2081</v>
      </c>
      <c r="J1076" s="32" t="s">
        <v>2106</v>
      </c>
      <c r="K1076" s="0" t="n">
        <v>0</v>
      </c>
      <c r="L1076" s="32" t="s">
        <v>776</v>
      </c>
      <c r="M1076" s="0" t="str">
        <f aca="false">IF(L1076="GEN","GM",L1076)</f>
        <v>GS</v>
      </c>
    </row>
    <row r="1077" customFormat="false" ht="15" hidden="false" customHeight="false" outlineLevel="0" collapsed="false">
      <c r="A1077" s="0" t="s">
        <v>8413</v>
      </c>
      <c r="B1077" s="0" t="s">
        <v>8414</v>
      </c>
      <c r="C1077" s="0" t="s">
        <v>6295</v>
      </c>
      <c r="D1077" s="0" t="s">
        <v>2088</v>
      </c>
      <c r="E1077" s="31" t="n">
        <v>45701</v>
      </c>
      <c r="F1077" s="32" t="s">
        <v>6287</v>
      </c>
      <c r="G1077" s="0" t="n">
        <v>7.5</v>
      </c>
      <c r="H1077" s="0" t="n">
        <v>7.5</v>
      </c>
      <c r="I1077" s="32" t="s">
        <v>2081</v>
      </c>
      <c r="J1077" s="32" t="s">
        <v>2081</v>
      </c>
      <c r="K1077" s="0" t="n">
        <v>0</v>
      </c>
      <c r="L1077" s="32" t="s">
        <v>785</v>
      </c>
      <c r="M1077" s="0" t="str">
        <f aca="false">IF(L1077="GEN","GM",L1077)</f>
        <v>RS</v>
      </c>
    </row>
    <row r="1078" customFormat="false" ht="15" hidden="false" customHeight="false" outlineLevel="0" collapsed="false">
      <c r="A1078" s="0" t="s">
        <v>8415</v>
      </c>
      <c r="B1078" s="0" t="s">
        <v>8416</v>
      </c>
      <c r="C1078" s="0" t="s">
        <v>6295</v>
      </c>
      <c r="D1078" s="0" t="s">
        <v>2088</v>
      </c>
      <c r="E1078" s="31" t="n">
        <v>45701</v>
      </c>
      <c r="F1078" s="32" t="s">
        <v>6287</v>
      </c>
      <c r="G1078" s="0" t="n">
        <v>7.5</v>
      </c>
      <c r="H1078" s="0" t="n">
        <v>7.5</v>
      </c>
      <c r="I1078" s="32" t="s">
        <v>2081</v>
      </c>
      <c r="J1078" s="32" t="s">
        <v>2081</v>
      </c>
      <c r="K1078" s="0" t="n">
        <v>0</v>
      </c>
      <c r="L1078" s="32" t="s">
        <v>776</v>
      </c>
      <c r="M1078" s="0" t="str">
        <f aca="false">IF(L1078="GEN","GM",L1078)</f>
        <v>GS</v>
      </c>
    </row>
    <row r="1079" customFormat="false" ht="15" hidden="false" customHeight="false" outlineLevel="0" collapsed="false">
      <c r="A1079" s="0" t="s">
        <v>8417</v>
      </c>
      <c r="B1079" s="0" t="s">
        <v>8418</v>
      </c>
      <c r="C1079" s="0" t="s">
        <v>6282</v>
      </c>
      <c r="D1079" s="0" t="s">
        <v>2088</v>
      </c>
      <c r="E1079" s="31" t="n">
        <v>45701</v>
      </c>
      <c r="F1079" s="32" t="s">
        <v>6287</v>
      </c>
      <c r="G1079" s="0" t="n">
        <v>7.5</v>
      </c>
      <c r="H1079" s="0" t="n">
        <v>7.5</v>
      </c>
      <c r="I1079" s="32" t="s">
        <v>2081</v>
      </c>
      <c r="J1079" s="32" t="s">
        <v>2081</v>
      </c>
      <c r="K1079" s="0" t="n">
        <v>0</v>
      </c>
      <c r="L1079" s="32" t="s">
        <v>826</v>
      </c>
      <c r="M1079" s="0" t="str">
        <f aca="false">IF(L1079="GEN","GM",L1079)</f>
        <v>RHE</v>
      </c>
    </row>
    <row r="1080" customFormat="false" ht="15" hidden="false" customHeight="false" outlineLevel="0" collapsed="false">
      <c r="A1080" s="0" t="s">
        <v>8419</v>
      </c>
      <c r="B1080" s="0" t="s">
        <v>8420</v>
      </c>
      <c r="C1080" s="0" t="s">
        <v>6295</v>
      </c>
      <c r="D1080" s="0" t="s">
        <v>2088</v>
      </c>
      <c r="E1080" s="31" t="n">
        <v>45701</v>
      </c>
      <c r="F1080" s="32" t="s">
        <v>1125</v>
      </c>
      <c r="G1080" s="0" t="n">
        <v>12</v>
      </c>
      <c r="H1080" s="0" t="n">
        <v>12</v>
      </c>
      <c r="I1080" s="32" t="s">
        <v>2081</v>
      </c>
      <c r="J1080" s="32" t="s">
        <v>2081</v>
      </c>
      <c r="K1080" s="0" t="n">
        <v>0</v>
      </c>
      <c r="L1080" s="32" t="s">
        <v>810</v>
      </c>
      <c r="M1080" s="0" t="str">
        <f aca="false">IF(L1080="GEN","GM",L1080)</f>
        <v>URO</v>
      </c>
    </row>
    <row r="1081" customFormat="false" ht="15" hidden="false" customHeight="false" outlineLevel="0" collapsed="false">
      <c r="A1081" s="0" t="s">
        <v>8421</v>
      </c>
      <c r="B1081" s="0" t="s">
        <v>8422</v>
      </c>
      <c r="C1081" s="0" t="s">
        <v>6295</v>
      </c>
      <c r="D1081" s="0" t="s">
        <v>2079</v>
      </c>
      <c r="E1081" s="31" t="n">
        <v>45701</v>
      </c>
      <c r="F1081" s="32" t="s">
        <v>6287</v>
      </c>
      <c r="G1081" s="0" t="n">
        <v>7.5</v>
      </c>
      <c r="H1081" s="0" t="n">
        <v>7.5</v>
      </c>
      <c r="I1081" s="32" t="s">
        <v>2106</v>
      </c>
      <c r="J1081" s="32" t="s">
        <v>2081</v>
      </c>
      <c r="K1081" s="0" t="n">
        <v>0</v>
      </c>
      <c r="L1081" s="32" t="s">
        <v>776</v>
      </c>
      <c r="M1081" s="0" t="str">
        <f aca="false">IF(L1081="GEN","GM",L1081)</f>
        <v>GS</v>
      </c>
    </row>
    <row r="1082" customFormat="false" ht="15" hidden="false" customHeight="false" outlineLevel="0" collapsed="false">
      <c r="A1082" s="0" t="s">
        <v>8423</v>
      </c>
      <c r="B1082" s="0" t="s">
        <v>8424</v>
      </c>
      <c r="C1082" s="0" t="s">
        <v>6290</v>
      </c>
      <c r="D1082" s="0" t="s">
        <v>2079</v>
      </c>
      <c r="E1082" s="31" t="n">
        <v>45701</v>
      </c>
      <c r="F1082" s="32" t="s">
        <v>1125</v>
      </c>
      <c r="G1082" s="0" t="n">
        <v>12</v>
      </c>
      <c r="H1082" s="0" t="n">
        <v>12</v>
      </c>
      <c r="I1082" s="32" t="s">
        <v>2106</v>
      </c>
      <c r="J1082" s="32" t="s">
        <v>2081</v>
      </c>
      <c r="K1082" s="0" t="n">
        <v>0</v>
      </c>
      <c r="L1082" s="32" t="s">
        <v>747</v>
      </c>
      <c r="M1082" s="0" t="str">
        <f aca="false">IF(L1082="GEN","GM",L1082)</f>
        <v>GM</v>
      </c>
    </row>
    <row r="1083" customFormat="false" ht="15" hidden="false" customHeight="false" outlineLevel="0" collapsed="false">
      <c r="A1083" s="0" t="s">
        <v>8425</v>
      </c>
      <c r="B1083" s="0" t="s">
        <v>8426</v>
      </c>
      <c r="C1083" s="0" t="s">
        <v>780</v>
      </c>
      <c r="D1083" s="0" t="s">
        <v>2079</v>
      </c>
      <c r="E1083" s="31" t="n">
        <v>45701</v>
      </c>
      <c r="F1083" s="32" t="s">
        <v>6283</v>
      </c>
      <c r="G1083" s="0" t="n">
        <v>11.5</v>
      </c>
      <c r="H1083" s="0" t="n">
        <v>12</v>
      </c>
      <c r="I1083" s="32" t="s">
        <v>2081</v>
      </c>
      <c r="J1083" s="32" t="s">
        <v>2106</v>
      </c>
      <c r="K1083" s="0" t="n">
        <v>0.5</v>
      </c>
      <c r="L1083" s="32" t="s">
        <v>758</v>
      </c>
      <c r="M1083" s="0" t="str">
        <f aca="false">IF(L1083="GEN","GM",L1083)</f>
        <v>CS</v>
      </c>
    </row>
    <row r="1084" customFormat="false" ht="15" hidden="false" customHeight="false" outlineLevel="0" collapsed="false">
      <c r="A1084" s="0" t="s">
        <v>8427</v>
      </c>
      <c r="B1084" s="0" t="s">
        <v>8428</v>
      </c>
      <c r="C1084" s="0" t="s">
        <v>6295</v>
      </c>
      <c r="D1084" s="0" t="s">
        <v>2079</v>
      </c>
      <c r="E1084" s="31" t="n">
        <v>45701</v>
      </c>
      <c r="F1084" s="32" t="s">
        <v>6283</v>
      </c>
      <c r="G1084" s="0" t="n">
        <v>11.5</v>
      </c>
      <c r="H1084" s="0" t="n">
        <v>11.5</v>
      </c>
      <c r="I1084" s="32" t="s">
        <v>2106</v>
      </c>
      <c r="J1084" s="32" t="s">
        <v>2081</v>
      </c>
      <c r="K1084" s="0" t="n">
        <v>0</v>
      </c>
      <c r="L1084" s="32" t="s">
        <v>826</v>
      </c>
      <c r="M1084" s="0" t="str">
        <f aca="false">IF(L1084="GEN","GM",L1084)</f>
        <v>RHE</v>
      </c>
    </row>
    <row r="1085" customFormat="false" ht="15" hidden="false" customHeight="false" outlineLevel="0" collapsed="false">
      <c r="A1085" s="0" t="s">
        <v>8429</v>
      </c>
      <c r="B1085" s="0" t="s">
        <v>8430</v>
      </c>
      <c r="C1085" s="0" t="s">
        <v>6286</v>
      </c>
      <c r="D1085" s="0" t="s">
        <v>2079</v>
      </c>
      <c r="E1085" s="31" t="n">
        <v>45701</v>
      </c>
      <c r="F1085" s="32" t="s">
        <v>6287</v>
      </c>
      <c r="G1085" s="0" t="n">
        <v>7.5</v>
      </c>
      <c r="H1085" s="0" t="n">
        <v>7.5</v>
      </c>
      <c r="I1085" s="32" t="s">
        <v>2081</v>
      </c>
      <c r="J1085" s="32" t="s">
        <v>2081</v>
      </c>
      <c r="K1085" s="0" t="n">
        <v>0</v>
      </c>
      <c r="L1085" s="32" t="s">
        <v>766</v>
      </c>
      <c r="M1085" s="0" t="str">
        <f aca="false">IF(L1085="GEN","GM",L1085)</f>
        <v>OR</v>
      </c>
    </row>
    <row r="1086" customFormat="false" ht="15" hidden="false" customHeight="false" outlineLevel="0" collapsed="false">
      <c r="A1086" s="0" t="s">
        <v>8431</v>
      </c>
      <c r="B1086" s="0" t="s">
        <v>8432</v>
      </c>
      <c r="C1086" s="0" t="s">
        <v>6282</v>
      </c>
      <c r="D1086" s="0" t="s">
        <v>2099</v>
      </c>
      <c r="E1086" s="31" t="n">
        <v>45701</v>
      </c>
      <c r="F1086" s="32" t="s">
        <v>6287</v>
      </c>
      <c r="G1086" s="0" t="n">
        <v>7.5</v>
      </c>
      <c r="H1086" s="0" t="n">
        <v>8.5</v>
      </c>
      <c r="I1086" s="32" t="s">
        <v>2081</v>
      </c>
      <c r="J1086" s="32" t="s">
        <v>2081</v>
      </c>
      <c r="K1086" s="0" t="n">
        <v>1</v>
      </c>
      <c r="L1086" s="32" t="s">
        <v>1391</v>
      </c>
      <c r="M1086" s="0" t="str">
        <f aca="false">IF(L1086="GEN","GM",L1086)</f>
        <v>GM</v>
      </c>
    </row>
    <row r="1087" customFormat="false" ht="15" hidden="false" customHeight="false" outlineLevel="0" collapsed="false">
      <c r="A1087" s="0" t="s">
        <v>8433</v>
      </c>
      <c r="B1087" s="0" t="s">
        <v>8434</v>
      </c>
      <c r="C1087" s="0" t="s">
        <v>6295</v>
      </c>
      <c r="D1087" s="0" t="s">
        <v>2099</v>
      </c>
      <c r="E1087" s="31" t="n">
        <v>45701</v>
      </c>
      <c r="F1087" s="32" t="s">
        <v>6283</v>
      </c>
      <c r="G1087" s="0" t="n">
        <v>11.5</v>
      </c>
      <c r="H1087" s="0" t="n">
        <v>11.5</v>
      </c>
      <c r="I1087" s="32" t="s">
        <v>2106</v>
      </c>
      <c r="J1087" s="32" t="s">
        <v>2081</v>
      </c>
      <c r="K1087" s="0" t="n">
        <v>0</v>
      </c>
      <c r="L1087" s="32" t="s">
        <v>766</v>
      </c>
      <c r="M1087" s="0" t="str">
        <f aca="false">IF(L1087="GEN","GM",L1087)</f>
        <v>OR</v>
      </c>
    </row>
    <row r="1088" customFormat="false" ht="15" hidden="false" customHeight="false" outlineLevel="0" collapsed="false">
      <c r="A1088" s="0" t="s">
        <v>8435</v>
      </c>
      <c r="B1088" s="0" t="s">
        <v>8436</v>
      </c>
      <c r="C1088" s="0" t="s">
        <v>6286</v>
      </c>
      <c r="D1088" s="0" t="s">
        <v>2099</v>
      </c>
      <c r="E1088" s="31" t="n">
        <v>45701</v>
      </c>
      <c r="F1088" s="32" t="s">
        <v>1125</v>
      </c>
      <c r="G1088" s="0" t="n">
        <v>12</v>
      </c>
      <c r="H1088" s="0" t="n">
        <v>12</v>
      </c>
      <c r="I1088" s="32" t="s">
        <v>2081</v>
      </c>
      <c r="J1088" s="32" t="s">
        <v>2106</v>
      </c>
      <c r="K1088" s="0" t="n">
        <v>0</v>
      </c>
      <c r="L1088" s="32" t="s">
        <v>785</v>
      </c>
      <c r="M1088" s="0" t="str">
        <f aca="false">IF(L1088="GEN","GM",L1088)</f>
        <v>RS</v>
      </c>
    </row>
    <row r="1089" customFormat="false" ht="15" hidden="false" customHeight="false" outlineLevel="0" collapsed="false">
      <c r="A1089" s="0" t="s">
        <v>8437</v>
      </c>
      <c r="B1089" s="0" t="s">
        <v>8438</v>
      </c>
      <c r="C1089" s="0" t="s">
        <v>6295</v>
      </c>
      <c r="D1089" s="0" t="s">
        <v>2099</v>
      </c>
      <c r="E1089" s="31" t="n">
        <v>45701</v>
      </c>
      <c r="F1089" s="32" t="s">
        <v>6283</v>
      </c>
      <c r="G1089" s="0" t="n">
        <v>11.5</v>
      </c>
      <c r="H1089" s="0" t="n">
        <v>11.5</v>
      </c>
      <c r="I1089" s="32" t="s">
        <v>2081</v>
      </c>
      <c r="J1089" s="32" t="s">
        <v>2081</v>
      </c>
      <c r="K1089" s="0" t="n">
        <v>0</v>
      </c>
      <c r="L1089" s="32" t="s">
        <v>758</v>
      </c>
      <c r="M1089" s="0" t="str">
        <f aca="false">IF(L1089="GEN","GM",L1089)</f>
        <v>CS</v>
      </c>
    </row>
    <row r="1090" customFormat="false" ht="15" hidden="false" customHeight="false" outlineLevel="0" collapsed="false">
      <c r="A1090" s="0" t="s">
        <v>8439</v>
      </c>
      <c r="B1090" s="0" t="s">
        <v>8440</v>
      </c>
      <c r="C1090" s="0" t="s">
        <v>6290</v>
      </c>
      <c r="D1090" s="0" t="s">
        <v>2115</v>
      </c>
      <c r="E1090" s="31" t="n">
        <v>45701</v>
      </c>
      <c r="F1090" s="32" t="s">
        <v>6283</v>
      </c>
      <c r="G1090" s="0" t="n">
        <v>11.5</v>
      </c>
      <c r="H1090" s="0" t="n">
        <v>11.5</v>
      </c>
      <c r="J1090" s="32" t="s">
        <v>2106</v>
      </c>
      <c r="K1090" s="0" t="n">
        <v>0</v>
      </c>
      <c r="L1090" s="32" t="s">
        <v>766</v>
      </c>
      <c r="M1090" s="0" t="str">
        <f aca="false">IF(L1090="GEN","GM",L1090)</f>
        <v>OR</v>
      </c>
    </row>
    <row r="1091" customFormat="false" ht="15" hidden="false" customHeight="false" outlineLevel="0" collapsed="false">
      <c r="A1091" s="0" t="s">
        <v>8441</v>
      </c>
      <c r="B1091" s="0" t="s">
        <v>8442</v>
      </c>
      <c r="C1091" s="0" t="s">
        <v>6295</v>
      </c>
      <c r="D1091" s="0" t="s">
        <v>2115</v>
      </c>
      <c r="E1091" s="31" t="n">
        <v>45701</v>
      </c>
      <c r="F1091" s="32" t="s">
        <v>6283</v>
      </c>
      <c r="G1091" s="0" t="n">
        <v>11.5</v>
      </c>
      <c r="H1091" s="0" t="n">
        <v>11.5</v>
      </c>
      <c r="I1091" s="32" t="s">
        <v>2081</v>
      </c>
      <c r="J1091" s="32" t="s">
        <v>2081</v>
      </c>
      <c r="K1091" s="0" t="n">
        <v>0</v>
      </c>
      <c r="L1091" s="32" t="s">
        <v>758</v>
      </c>
      <c r="M1091" s="0" t="str">
        <f aca="false">IF(L1091="GEN","GM",L1091)</f>
        <v>CS</v>
      </c>
    </row>
    <row r="1092" customFormat="false" ht="15" hidden="false" customHeight="false" outlineLevel="0" collapsed="false">
      <c r="A1092" s="0" t="s">
        <v>8443</v>
      </c>
      <c r="B1092" s="0" t="s">
        <v>8444</v>
      </c>
      <c r="C1092" s="0" t="s">
        <v>6295</v>
      </c>
      <c r="D1092" s="0" t="s">
        <v>2115</v>
      </c>
      <c r="E1092" s="31" t="n">
        <v>45701</v>
      </c>
      <c r="F1092" s="32" t="s">
        <v>6287</v>
      </c>
      <c r="G1092" s="0" t="n">
        <v>7.5</v>
      </c>
      <c r="H1092" s="0" t="n">
        <v>7.5</v>
      </c>
      <c r="I1092" s="32" t="s">
        <v>2106</v>
      </c>
      <c r="J1092" s="32" t="s">
        <v>2081</v>
      </c>
      <c r="K1092" s="0" t="n">
        <v>0</v>
      </c>
      <c r="L1092" s="32" t="s">
        <v>793</v>
      </c>
      <c r="M1092" s="0" t="str">
        <f aca="false">IF(L1092="GEN","GM",L1092)</f>
        <v>EM</v>
      </c>
    </row>
    <row r="1093" customFormat="false" ht="15" hidden="false" customHeight="false" outlineLevel="0" collapsed="false">
      <c r="A1093" s="0" t="s">
        <v>8445</v>
      </c>
      <c r="B1093" s="0" t="s">
        <v>8446</v>
      </c>
      <c r="C1093" s="0" t="s">
        <v>6282</v>
      </c>
      <c r="D1093" s="0" t="s">
        <v>2124</v>
      </c>
      <c r="E1093" s="31" t="n">
        <v>45701</v>
      </c>
      <c r="F1093" s="32" t="s">
        <v>6287</v>
      </c>
      <c r="G1093" s="0" t="n">
        <v>7.5</v>
      </c>
      <c r="H1093" s="0" t="n">
        <v>7.5</v>
      </c>
      <c r="I1093" s="32" t="s">
        <v>2081</v>
      </c>
      <c r="J1093" s="32" t="s">
        <v>2081</v>
      </c>
      <c r="K1093" s="0" t="n">
        <v>0</v>
      </c>
      <c r="L1093" s="32" t="s">
        <v>810</v>
      </c>
      <c r="M1093" s="0" t="str">
        <f aca="false">IF(L1093="GEN","GM",L1093)</f>
        <v>URO</v>
      </c>
    </row>
    <row r="1094" customFormat="false" ht="15" hidden="false" customHeight="false" outlineLevel="0" collapsed="false">
      <c r="A1094" s="0" t="s">
        <v>8447</v>
      </c>
      <c r="B1094" s="0" t="s">
        <v>8448</v>
      </c>
      <c r="C1094" s="0" t="s">
        <v>6295</v>
      </c>
      <c r="D1094" s="0" t="s">
        <v>2124</v>
      </c>
      <c r="E1094" s="31" t="n">
        <v>45701</v>
      </c>
      <c r="F1094" s="32" t="s">
        <v>6283</v>
      </c>
      <c r="G1094" s="0" t="n">
        <v>11.5</v>
      </c>
      <c r="H1094" s="0" t="n">
        <v>11.5</v>
      </c>
      <c r="I1094" s="32" t="s">
        <v>2081</v>
      </c>
      <c r="J1094" s="32" t="s">
        <v>2081</v>
      </c>
      <c r="K1094" s="0" t="n">
        <v>0</v>
      </c>
      <c r="L1094" s="32" t="s">
        <v>758</v>
      </c>
      <c r="M1094" s="0" t="str">
        <f aca="false">IF(L1094="GEN","GM",L1094)</f>
        <v>CS</v>
      </c>
    </row>
    <row r="1095" customFormat="false" ht="15" hidden="false" customHeight="false" outlineLevel="0" collapsed="false">
      <c r="A1095" s="0" t="s">
        <v>8449</v>
      </c>
      <c r="B1095" s="0" t="s">
        <v>8450</v>
      </c>
      <c r="C1095" s="0" t="s">
        <v>6286</v>
      </c>
      <c r="D1095" s="0" t="s">
        <v>2124</v>
      </c>
      <c r="E1095" s="31" t="n">
        <v>45701</v>
      </c>
      <c r="F1095" s="32" t="s">
        <v>1125</v>
      </c>
      <c r="G1095" s="0" t="n">
        <v>12</v>
      </c>
      <c r="H1095" s="0" t="n">
        <v>12</v>
      </c>
      <c r="I1095" s="32" t="s">
        <v>2081</v>
      </c>
      <c r="J1095" s="32" t="s">
        <v>2081</v>
      </c>
      <c r="K1095" s="0" t="n">
        <v>0</v>
      </c>
      <c r="L1095" s="32" t="s">
        <v>758</v>
      </c>
      <c r="M1095" s="0" t="str">
        <f aca="false">IF(L1095="GEN","GM",L1095)</f>
        <v>CS</v>
      </c>
    </row>
    <row r="1096" customFormat="false" ht="15" hidden="false" customHeight="false" outlineLevel="0" collapsed="false">
      <c r="A1096" s="0" t="s">
        <v>8451</v>
      </c>
      <c r="B1096" s="0" t="s">
        <v>8452</v>
      </c>
      <c r="C1096" s="0" t="s">
        <v>6295</v>
      </c>
      <c r="D1096" s="0" t="s">
        <v>2124</v>
      </c>
      <c r="E1096" s="31" t="n">
        <v>45701</v>
      </c>
      <c r="F1096" s="32" t="s">
        <v>6283</v>
      </c>
      <c r="G1096" s="0" t="n">
        <v>11.5</v>
      </c>
      <c r="H1096" s="0" t="n">
        <v>11.5</v>
      </c>
      <c r="I1096" s="32" t="s">
        <v>2081</v>
      </c>
      <c r="J1096" s="32" t="s">
        <v>2081</v>
      </c>
      <c r="K1096" s="0" t="n">
        <v>0</v>
      </c>
      <c r="L1096" s="32" t="s">
        <v>802</v>
      </c>
      <c r="M1096" s="0" t="str">
        <f aca="false">IF(L1096="GEN","GM",L1096)</f>
        <v>GYN</v>
      </c>
    </row>
    <row r="1097" customFormat="false" ht="15" hidden="false" customHeight="false" outlineLevel="0" collapsed="false">
      <c r="A1097" s="0" t="s">
        <v>8453</v>
      </c>
      <c r="B1097" s="0" t="s">
        <v>8454</v>
      </c>
      <c r="C1097" s="0" t="s">
        <v>6295</v>
      </c>
      <c r="D1097" s="0" t="s">
        <v>2124</v>
      </c>
      <c r="E1097" s="31" t="n">
        <v>45701</v>
      </c>
      <c r="F1097" s="32" t="s">
        <v>1125</v>
      </c>
      <c r="G1097" s="0" t="n">
        <v>12</v>
      </c>
      <c r="H1097" s="0" t="n">
        <v>12</v>
      </c>
      <c r="J1097" s="32" t="s">
        <v>2081</v>
      </c>
      <c r="K1097" s="0" t="n">
        <v>0</v>
      </c>
      <c r="L1097" s="32" t="s">
        <v>826</v>
      </c>
      <c r="M1097" s="0" t="str">
        <f aca="false">IF(L1097="GEN","GM",L1097)</f>
        <v>RHE</v>
      </c>
    </row>
    <row r="1098" customFormat="false" ht="15" hidden="false" customHeight="false" outlineLevel="0" collapsed="false">
      <c r="A1098" s="0" t="s">
        <v>8455</v>
      </c>
      <c r="B1098" s="0" t="s">
        <v>8456</v>
      </c>
      <c r="C1098" s="0" t="s">
        <v>6286</v>
      </c>
      <c r="D1098" s="0" t="s">
        <v>2104</v>
      </c>
      <c r="E1098" s="31" t="n">
        <v>45701</v>
      </c>
      <c r="F1098" s="32" t="s">
        <v>6287</v>
      </c>
      <c r="G1098" s="0" t="n">
        <v>7.5</v>
      </c>
      <c r="H1098" s="0" t="n">
        <v>7.5</v>
      </c>
      <c r="I1098" s="32" t="s">
        <v>2106</v>
      </c>
      <c r="J1098" s="32" t="s">
        <v>2081</v>
      </c>
      <c r="K1098" s="0" t="n">
        <v>0</v>
      </c>
      <c r="L1098" s="32" t="s">
        <v>826</v>
      </c>
      <c r="M1098" s="0" t="str">
        <f aca="false">IF(L1098="GEN","GM",L1098)</f>
        <v>RHE</v>
      </c>
    </row>
    <row r="1099" customFormat="false" ht="15" hidden="false" customHeight="false" outlineLevel="0" collapsed="false">
      <c r="A1099" s="0" t="s">
        <v>8457</v>
      </c>
      <c r="B1099" s="0" t="s">
        <v>8458</v>
      </c>
      <c r="C1099" s="0" t="s">
        <v>6286</v>
      </c>
      <c r="D1099" s="0" t="s">
        <v>2104</v>
      </c>
      <c r="E1099" s="31" t="n">
        <v>45701</v>
      </c>
      <c r="F1099" s="32" t="s">
        <v>6283</v>
      </c>
      <c r="G1099" s="0" t="n">
        <v>11.5</v>
      </c>
      <c r="H1099" s="0" t="n">
        <v>11.5</v>
      </c>
      <c r="I1099" s="32" t="s">
        <v>2106</v>
      </c>
      <c r="J1099" s="32" t="s">
        <v>2081</v>
      </c>
      <c r="K1099" s="0" t="n">
        <v>0</v>
      </c>
      <c r="L1099" s="32" t="s">
        <v>776</v>
      </c>
      <c r="M1099" s="0" t="str">
        <f aca="false">IF(L1099="GEN","GM",L1099)</f>
        <v>GS</v>
      </c>
    </row>
    <row r="1100" customFormat="false" ht="15" hidden="false" customHeight="false" outlineLevel="0" collapsed="false">
      <c r="A1100" s="0" t="s">
        <v>8459</v>
      </c>
      <c r="B1100" s="0" t="s">
        <v>8460</v>
      </c>
      <c r="C1100" s="0" t="s">
        <v>6295</v>
      </c>
      <c r="D1100" s="0" t="s">
        <v>2104</v>
      </c>
      <c r="E1100" s="31" t="n">
        <v>45701</v>
      </c>
      <c r="F1100" s="32" t="s">
        <v>6287</v>
      </c>
      <c r="G1100" s="0" t="n">
        <v>7.5</v>
      </c>
      <c r="H1100" s="0" t="n">
        <v>9.3</v>
      </c>
      <c r="I1100" s="32" t="s">
        <v>2106</v>
      </c>
      <c r="J1100" s="32" t="s">
        <v>2081</v>
      </c>
      <c r="K1100" s="0" t="n">
        <v>1.8</v>
      </c>
      <c r="L1100" s="32" t="s">
        <v>766</v>
      </c>
      <c r="M1100" s="0" t="str">
        <f aca="false">IF(L1100="GEN","GM",L1100)</f>
        <v>OR</v>
      </c>
    </row>
    <row r="1101" customFormat="false" ht="15" hidden="false" customHeight="false" outlineLevel="0" collapsed="false">
      <c r="A1101" s="0" t="s">
        <v>8461</v>
      </c>
      <c r="B1101" s="0" t="s">
        <v>8462</v>
      </c>
      <c r="C1101" s="0" t="s">
        <v>6286</v>
      </c>
      <c r="D1101" s="0" t="s">
        <v>3035</v>
      </c>
      <c r="E1101" s="31" t="n">
        <v>45701</v>
      </c>
      <c r="F1101" s="32" t="s">
        <v>6287</v>
      </c>
      <c r="G1101" s="0" t="n">
        <v>7.5</v>
      </c>
      <c r="H1101" s="0" t="n">
        <v>7.5</v>
      </c>
      <c r="J1101" s="32" t="s">
        <v>2081</v>
      </c>
      <c r="K1101" s="0" t="n">
        <v>0</v>
      </c>
      <c r="L1101" s="32" t="s">
        <v>776</v>
      </c>
      <c r="M1101" s="0" t="str">
        <f aca="false">IF(L1101="GEN","GM",L1101)</f>
        <v>GS</v>
      </c>
    </row>
    <row r="1102" customFormat="false" ht="15" hidden="false" customHeight="false" outlineLevel="0" collapsed="false">
      <c r="A1102" s="0" t="s">
        <v>8463</v>
      </c>
      <c r="B1102" s="0" t="s">
        <v>8464</v>
      </c>
      <c r="C1102" s="0" t="s">
        <v>6282</v>
      </c>
      <c r="D1102" s="0" t="s">
        <v>3035</v>
      </c>
      <c r="E1102" s="31" t="n">
        <v>45701</v>
      </c>
      <c r="F1102" s="32" t="s">
        <v>6283</v>
      </c>
      <c r="G1102" s="0" t="n">
        <v>11.5</v>
      </c>
      <c r="H1102" s="0" t="n">
        <v>11.5</v>
      </c>
      <c r="I1102" s="32" t="s">
        <v>2081</v>
      </c>
      <c r="J1102" s="32" t="s">
        <v>2081</v>
      </c>
      <c r="K1102" s="0" t="n">
        <v>0</v>
      </c>
      <c r="L1102" s="32" t="s">
        <v>793</v>
      </c>
      <c r="M1102" s="0" t="str">
        <f aca="false">IF(L1102="GEN","GM",L1102)</f>
        <v>EM</v>
      </c>
    </row>
    <row r="1103" customFormat="false" ht="15" hidden="false" customHeight="false" outlineLevel="0" collapsed="false">
      <c r="A1103" s="0" t="s">
        <v>8465</v>
      </c>
      <c r="B1103" s="0" t="s">
        <v>8466</v>
      </c>
      <c r="C1103" s="0" t="s">
        <v>6286</v>
      </c>
      <c r="D1103" s="0" t="s">
        <v>3035</v>
      </c>
      <c r="E1103" s="31" t="n">
        <v>45701</v>
      </c>
      <c r="F1103" s="32" t="s">
        <v>1125</v>
      </c>
      <c r="G1103" s="0" t="n">
        <v>12</v>
      </c>
      <c r="H1103" s="0" t="n">
        <v>12</v>
      </c>
      <c r="I1103" s="32" t="s">
        <v>2081</v>
      </c>
      <c r="J1103" s="32" t="s">
        <v>2081</v>
      </c>
      <c r="K1103" s="0" t="n">
        <v>0</v>
      </c>
      <c r="L1103" s="32" t="s">
        <v>766</v>
      </c>
      <c r="M1103" s="0" t="str">
        <f aca="false">IF(L1103="GEN","GM",L1103)</f>
        <v>OR</v>
      </c>
    </row>
    <row r="1104" customFormat="false" ht="15" hidden="false" customHeight="false" outlineLevel="0" collapsed="false">
      <c r="A1104" s="0" t="s">
        <v>8467</v>
      </c>
      <c r="B1104" s="0" t="s">
        <v>8468</v>
      </c>
      <c r="C1104" s="0" t="s">
        <v>6286</v>
      </c>
      <c r="D1104" s="0" t="s">
        <v>3035</v>
      </c>
      <c r="E1104" s="31" t="n">
        <v>45701</v>
      </c>
      <c r="F1104" s="32" t="s">
        <v>6287</v>
      </c>
      <c r="G1104" s="0" t="n">
        <v>7.5</v>
      </c>
      <c r="H1104" s="0" t="n">
        <v>7.5</v>
      </c>
      <c r="I1104" s="32" t="s">
        <v>2081</v>
      </c>
      <c r="J1104" s="32" t="s">
        <v>2081</v>
      </c>
      <c r="K1104" s="0" t="n">
        <v>0</v>
      </c>
      <c r="L1104" s="32" t="s">
        <v>793</v>
      </c>
      <c r="M1104" s="0" t="str">
        <f aca="false">IF(L1104="GEN","GM",L1104)</f>
        <v>EM</v>
      </c>
    </row>
    <row r="1105" customFormat="false" ht="15" hidden="false" customHeight="false" outlineLevel="0" collapsed="false">
      <c r="A1105" s="0" t="s">
        <v>8469</v>
      </c>
      <c r="B1105" s="0" t="s">
        <v>8470</v>
      </c>
      <c r="C1105" s="0" t="s">
        <v>780</v>
      </c>
      <c r="D1105" s="0" t="s">
        <v>2088</v>
      </c>
      <c r="E1105" s="31" t="n">
        <v>45702</v>
      </c>
      <c r="F1105" s="32" t="s">
        <v>6287</v>
      </c>
      <c r="G1105" s="0" t="n">
        <v>7.5</v>
      </c>
      <c r="H1105" s="0" t="n">
        <v>7.5</v>
      </c>
      <c r="I1105" s="32" t="s">
        <v>2081</v>
      </c>
      <c r="J1105" s="32" t="s">
        <v>2081</v>
      </c>
      <c r="K1105" s="0" t="n">
        <v>0</v>
      </c>
      <c r="L1105" s="32" t="s">
        <v>810</v>
      </c>
      <c r="M1105" s="0" t="str">
        <f aca="false">IF(L1105="GEN","GM",L1105)</f>
        <v>URO</v>
      </c>
    </row>
    <row r="1106" customFormat="false" ht="15" hidden="false" customHeight="false" outlineLevel="0" collapsed="false">
      <c r="A1106" s="0" t="s">
        <v>8471</v>
      </c>
      <c r="B1106" s="0" t="s">
        <v>8472</v>
      </c>
      <c r="C1106" s="0" t="s">
        <v>6286</v>
      </c>
      <c r="D1106" s="0" t="s">
        <v>2088</v>
      </c>
      <c r="E1106" s="31" t="n">
        <v>45702</v>
      </c>
      <c r="F1106" s="32" t="s">
        <v>1125</v>
      </c>
      <c r="G1106" s="0" t="n">
        <v>12</v>
      </c>
      <c r="H1106" s="0" t="n">
        <v>12</v>
      </c>
      <c r="J1106" s="32" t="s">
        <v>2081</v>
      </c>
      <c r="K1106" s="0" t="n">
        <v>0</v>
      </c>
      <c r="L1106" s="32" t="s">
        <v>758</v>
      </c>
      <c r="M1106" s="0" t="str">
        <f aca="false">IF(L1106="GEN","GM",L1106)</f>
        <v>CS</v>
      </c>
    </row>
    <row r="1107" customFormat="false" ht="15" hidden="false" customHeight="false" outlineLevel="0" collapsed="false">
      <c r="A1107" s="0" t="s">
        <v>8473</v>
      </c>
      <c r="B1107" s="0" t="s">
        <v>8474</v>
      </c>
      <c r="C1107" s="0" t="s">
        <v>6295</v>
      </c>
      <c r="D1107" s="0" t="s">
        <v>2088</v>
      </c>
      <c r="E1107" s="31" t="n">
        <v>45702</v>
      </c>
      <c r="F1107" s="32" t="s">
        <v>1125</v>
      </c>
      <c r="G1107" s="0" t="n">
        <v>12</v>
      </c>
      <c r="H1107" s="0" t="n">
        <v>12.5</v>
      </c>
      <c r="I1107" s="32" t="s">
        <v>2081</v>
      </c>
      <c r="J1107" s="32" t="s">
        <v>2081</v>
      </c>
      <c r="K1107" s="0" t="n">
        <v>0.5</v>
      </c>
      <c r="L1107" s="32" t="s">
        <v>826</v>
      </c>
      <c r="M1107" s="0" t="str">
        <f aca="false">IF(L1107="GEN","GM",L1107)</f>
        <v>RHE</v>
      </c>
    </row>
    <row r="1108" customFormat="false" ht="15" hidden="false" customHeight="false" outlineLevel="0" collapsed="false">
      <c r="A1108" s="0" t="s">
        <v>8475</v>
      </c>
      <c r="B1108" s="0" t="s">
        <v>8476</v>
      </c>
      <c r="C1108" s="0" t="s">
        <v>6295</v>
      </c>
      <c r="D1108" s="0" t="s">
        <v>2079</v>
      </c>
      <c r="E1108" s="31" t="n">
        <v>45702</v>
      </c>
      <c r="F1108" s="32" t="s">
        <v>6287</v>
      </c>
      <c r="G1108" s="0" t="n">
        <v>7.5</v>
      </c>
      <c r="H1108" s="0" t="n">
        <v>7.5</v>
      </c>
      <c r="I1108" s="32" t="s">
        <v>2081</v>
      </c>
      <c r="J1108" s="32" t="s">
        <v>2081</v>
      </c>
      <c r="K1108" s="0" t="n">
        <v>0</v>
      </c>
      <c r="L1108" s="32" t="s">
        <v>802</v>
      </c>
      <c r="M1108" s="0" t="str">
        <f aca="false">IF(L1108="GEN","GM",L1108)</f>
        <v>GYN</v>
      </c>
    </row>
    <row r="1109" customFormat="false" ht="15" hidden="false" customHeight="false" outlineLevel="0" collapsed="false">
      <c r="A1109" s="0" t="s">
        <v>8477</v>
      </c>
      <c r="B1109" s="0" t="s">
        <v>8478</v>
      </c>
      <c r="C1109" s="0" t="s">
        <v>6286</v>
      </c>
      <c r="D1109" s="0" t="s">
        <v>2079</v>
      </c>
      <c r="E1109" s="31" t="n">
        <v>45702</v>
      </c>
      <c r="F1109" s="32" t="s">
        <v>6287</v>
      </c>
      <c r="G1109" s="0" t="n">
        <v>7.5</v>
      </c>
      <c r="H1109" s="0" t="n">
        <v>7.5</v>
      </c>
      <c r="I1109" s="32" t="s">
        <v>2106</v>
      </c>
      <c r="J1109" s="32" t="s">
        <v>2081</v>
      </c>
      <c r="K1109" s="0" t="n">
        <v>0</v>
      </c>
      <c r="L1109" s="32" t="s">
        <v>747</v>
      </c>
      <c r="M1109" s="0" t="str">
        <f aca="false">IF(L1109="GEN","GM",L1109)</f>
        <v>GM</v>
      </c>
    </row>
    <row r="1110" customFormat="false" ht="15" hidden="false" customHeight="false" outlineLevel="0" collapsed="false">
      <c r="A1110" s="0" t="s">
        <v>8479</v>
      </c>
      <c r="B1110" s="0" t="s">
        <v>8480</v>
      </c>
      <c r="C1110" s="0" t="s">
        <v>6295</v>
      </c>
      <c r="D1110" s="0" t="s">
        <v>2079</v>
      </c>
      <c r="E1110" s="31" t="n">
        <v>45702</v>
      </c>
      <c r="F1110" s="32" t="s">
        <v>1125</v>
      </c>
      <c r="G1110" s="0" t="n">
        <v>12</v>
      </c>
      <c r="H1110" s="0" t="n">
        <v>12</v>
      </c>
      <c r="I1110" s="32" t="s">
        <v>2081</v>
      </c>
      <c r="J1110" s="32" t="s">
        <v>2081</v>
      </c>
      <c r="K1110" s="0" t="n">
        <v>0</v>
      </c>
      <c r="L1110" s="32" t="s">
        <v>747</v>
      </c>
      <c r="M1110" s="0" t="str">
        <f aca="false">IF(L1110="GEN","GM",L1110)</f>
        <v>GM</v>
      </c>
    </row>
    <row r="1111" customFormat="false" ht="15" hidden="false" customHeight="false" outlineLevel="0" collapsed="false">
      <c r="A1111" s="0" t="s">
        <v>8481</v>
      </c>
      <c r="B1111" s="0" t="s">
        <v>8482</v>
      </c>
      <c r="C1111" s="0" t="s">
        <v>6286</v>
      </c>
      <c r="D1111" s="0" t="s">
        <v>2079</v>
      </c>
      <c r="E1111" s="31" t="n">
        <v>45702</v>
      </c>
      <c r="F1111" s="32" t="s">
        <v>1125</v>
      </c>
      <c r="G1111" s="0" t="n">
        <v>12</v>
      </c>
      <c r="H1111" s="0" t="n">
        <v>12.5</v>
      </c>
      <c r="I1111" s="32" t="s">
        <v>2081</v>
      </c>
      <c r="J1111" s="32" t="s">
        <v>2081</v>
      </c>
      <c r="K1111" s="0" t="n">
        <v>0.5</v>
      </c>
      <c r="L1111" s="32" t="s">
        <v>785</v>
      </c>
      <c r="M1111" s="0" t="str">
        <f aca="false">IF(L1111="GEN","GM",L1111)</f>
        <v>RS</v>
      </c>
    </row>
    <row r="1112" customFormat="false" ht="15" hidden="false" customHeight="false" outlineLevel="0" collapsed="false">
      <c r="A1112" s="0" t="s">
        <v>8483</v>
      </c>
      <c r="B1112" s="0" t="s">
        <v>8484</v>
      </c>
      <c r="C1112" s="0" t="s">
        <v>6282</v>
      </c>
      <c r="D1112" s="0" t="s">
        <v>2079</v>
      </c>
      <c r="E1112" s="31" t="n">
        <v>45702</v>
      </c>
      <c r="F1112" s="32" t="s">
        <v>6283</v>
      </c>
      <c r="G1112" s="0" t="n">
        <v>11.5</v>
      </c>
      <c r="H1112" s="0" t="n">
        <v>11.5</v>
      </c>
      <c r="I1112" s="32" t="s">
        <v>2081</v>
      </c>
      <c r="J1112" s="32" t="s">
        <v>2081</v>
      </c>
      <c r="K1112" s="0" t="n">
        <v>0</v>
      </c>
      <c r="L1112" s="32" t="s">
        <v>793</v>
      </c>
      <c r="M1112" s="0" t="str">
        <f aca="false">IF(L1112="GEN","GM",L1112)</f>
        <v>EM</v>
      </c>
    </row>
    <row r="1113" customFormat="false" ht="15" hidden="false" customHeight="false" outlineLevel="0" collapsed="false">
      <c r="A1113" s="0" t="s">
        <v>8485</v>
      </c>
      <c r="B1113" s="0" t="s">
        <v>8486</v>
      </c>
      <c r="C1113" s="0" t="s">
        <v>6290</v>
      </c>
      <c r="D1113" s="0" t="s">
        <v>2099</v>
      </c>
      <c r="E1113" s="31" t="n">
        <v>45702</v>
      </c>
      <c r="F1113" s="32" t="s">
        <v>1125</v>
      </c>
      <c r="G1113" s="0" t="n">
        <v>12</v>
      </c>
      <c r="H1113" s="0" t="n">
        <v>12</v>
      </c>
      <c r="I1113" s="32" t="s">
        <v>2081</v>
      </c>
      <c r="J1113" s="32" t="s">
        <v>2081</v>
      </c>
      <c r="K1113" s="0" t="n">
        <v>0</v>
      </c>
      <c r="L1113" s="32" t="s">
        <v>776</v>
      </c>
      <c r="M1113" s="0" t="str">
        <f aca="false">IF(L1113="GEN","GM",L1113)</f>
        <v>GS</v>
      </c>
    </row>
    <row r="1114" customFormat="false" ht="15" hidden="false" customHeight="false" outlineLevel="0" collapsed="false">
      <c r="A1114" s="0" t="s">
        <v>8487</v>
      </c>
      <c r="B1114" s="0" t="s">
        <v>8488</v>
      </c>
      <c r="C1114" s="0" t="s">
        <v>6286</v>
      </c>
      <c r="D1114" s="0" t="s">
        <v>2099</v>
      </c>
      <c r="E1114" s="31" t="n">
        <v>45702</v>
      </c>
      <c r="F1114" s="32" t="s">
        <v>6283</v>
      </c>
      <c r="G1114" s="0" t="n">
        <v>11.5</v>
      </c>
      <c r="H1114" s="0" t="n">
        <v>10.6</v>
      </c>
      <c r="I1114" s="32" t="s">
        <v>2081</v>
      </c>
      <c r="J1114" s="32" t="s">
        <v>2081</v>
      </c>
      <c r="K1114" s="0" t="n">
        <v>0</v>
      </c>
      <c r="L1114" s="32" t="s">
        <v>826</v>
      </c>
      <c r="M1114" s="0" t="str">
        <f aca="false">IF(L1114="GEN","GM",L1114)</f>
        <v>RHE</v>
      </c>
    </row>
    <row r="1115" customFormat="false" ht="15" hidden="false" customHeight="false" outlineLevel="0" collapsed="false">
      <c r="A1115" s="0" t="s">
        <v>8489</v>
      </c>
      <c r="B1115" s="0" t="s">
        <v>8490</v>
      </c>
      <c r="C1115" s="0" t="s">
        <v>6295</v>
      </c>
      <c r="D1115" s="0" t="s">
        <v>2099</v>
      </c>
      <c r="E1115" s="31" t="n">
        <v>45702</v>
      </c>
      <c r="F1115" s="32" t="s">
        <v>6283</v>
      </c>
      <c r="G1115" s="0" t="n">
        <v>11.5</v>
      </c>
      <c r="H1115" s="0" t="n">
        <v>11.5</v>
      </c>
      <c r="I1115" s="32" t="s">
        <v>2081</v>
      </c>
      <c r="J1115" s="32" t="s">
        <v>2081</v>
      </c>
      <c r="K1115" s="0" t="n">
        <v>0</v>
      </c>
      <c r="L1115" s="32" t="s">
        <v>766</v>
      </c>
      <c r="M1115" s="0" t="str">
        <f aca="false">IF(L1115="GEN","GM",L1115)</f>
        <v>OR</v>
      </c>
    </row>
    <row r="1116" customFormat="false" ht="15" hidden="false" customHeight="false" outlineLevel="0" collapsed="false">
      <c r="A1116" s="0" t="s">
        <v>8491</v>
      </c>
      <c r="B1116" s="0" t="s">
        <v>8492</v>
      </c>
      <c r="C1116" s="0" t="s">
        <v>6295</v>
      </c>
      <c r="D1116" s="0" t="s">
        <v>2099</v>
      </c>
      <c r="E1116" s="31" t="n">
        <v>45702</v>
      </c>
      <c r="F1116" s="32" t="s">
        <v>6283</v>
      </c>
      <c r="G1116" s="0" t="n">
        <v>11.5</v>
      </c>
      <c r="H1116" s="0" t="n">
        <v>11.5</v>
      </c>
      <c r="I1116" s="32" t="s">
        <v>2106</v>
      </c>
      <c r="J1116" s="32" t="s">
        <v>2081</v>
      </c>
      <c r="K1116" s="0" t="n">
        <v>0</v>
      </c>
      <c r="L1116" s="32" t="s">
        <v>785</v>
      </c>
      <c r="M1116" s="0" t="str">
        <f aca="false">IF(L1116="GEN","GM",L1116)</f>
        <v>RS</v>
      </c>
    </row>
    <row r="1117" customFormat="false" ht="15" hidden="false" customHeight="false" outlineLevel="0" collapsed="false">
      <c r="A1117" s="0" t="s">
        <v>8493</v>
      </c>
      <c r="B1117" s="0" t="s">
        <v>8494</v>
      </c>
      <c r="C1117" s="0" t="s">
        <v>780</v>
      </c>
      <c r="D1117" s="0" t="s">
        <v>2115</v>
      </c>
      <c r="E1117" s="31" t="n">
        <v>45702</v>
      </c>
      <c r="F1117" s="32" t="s">
        <v>6283</v>
      </c>
      <c r="G1117" s="0" t="n">
        <v>11.5</v>
      </c>
      <c r="H1117" s="0" t="n">
        <v>11.5</v>
      </c>
      <c r="I1117" s="32" t="s">
        <v>2081</v>
      </c>
      <c r="J1117" s="32" t="s">
        <v>2081</v>
      </c>
      <c r="K1117" s="0" t="n">
        <v>0</v>
      </c>
      <c r="L1117" s="32" t="s">
        <v>758</v>
      </c>
      <c r="M1117" s="0" t="str">
        <f aca="false">IF(L1117="GEN","GM",L1117)</f>
        <v>CS</v>
      </c>
    </row>
    <row r="1118" customFormat="false" ht="15" hidden="false" customHeight="false" outlineLevel="0" collapsed="false">
      <c r="A1118" s="0" t="s">
        <v>8495</v>
      </c>
      <c r="B1118" s="0" t="s">
        <v>8496</v>
      </c>
      <c r="C1118" s="0" t="s">
        <v>6295</v>
      </c>
      <c r="D1118" s="0" t="s">
        <v>2115</v>
      </c>
      <c r="E1118" s="31" t="n">
        <v>45702</v>
      </c>
      <c r="F1118" s="32" t="s">
        <v>6283</v>
      </c>
      <c r="G1118" s="0" t="n">
        <v>11.5</v>
      </c>
      <c r="H1118" s="0" t="n">
        <v>11.5</v>
      </c>
      <c r="I1118" s="32" t="s">
        <v>2106</v>
      </c>
      <c r="J1118" s="32" t="s">
        <v>2081</v>
      </c>
      <c r="K1118" s="0" t="n">
        <v>0</v>
      </c>
      <c r="L1118" s="32" t="s">
        <v>758</v>
      </c>
      <c r="M1118" s="0" t="str">
        <f aca="false">IF(L1118="GEN","GM",L1118)</f>
        <v>CS</v>
      </c>
    </row>
    <row r="1119" customFormat="false" ht="15" hidden="false" customHeight="false" outlineLevel="0" collapsed="false">
      <c r="A1119" s="0" t="s">
        <v>8497</v>
      </c>
      <c r="B1119" s="0" t="s">
        <v>8498</v>
      </c>
      <c r="C1119" s="0" t="s">
        <v>6286</v>
      </c>
      <c r="D1119" s="0" t="s">
        <v>2115</v>
      </c>
      <c r="E1119" s="31" t="n">
        <v>45702</v>
      </c>
      <c r="F1119" s="32" t="s">
        <v>6287</v>
      </c>
      <c r="G1119" s="0" t="n">
        <v>7.5</v>
      </c>
      <c r="H1119" s="0" t="n">
        <v>7.5</v>
      </c>
      <c r="I1119" s="32" t="s">
        <v>2081</v>
      </c>
      <c r="J1119" s="32" t="s">
        <v>2081</v>
      </c>
      <c r="K1119" s="0" t="n">
        <v>0</v>
      </c>
      <c r="L1119" s="32" t="s">
        <v>810</v>
      </c>
      <c r="M1119" s="0" t="str">
        <f aca="false">IF(L1119="GEN","GM",L1119)</f>
        <v>URO</v>
      </c>
    </row>
    <row r="1120" customFormat="false" ht="15" hidden="false" customHeight="false" outlineLevel="0" collapsed="false">
      <c r="A1120" s="0" t="s">
        <v>8499</v>
      </c>
      <c r="B1120" s="0" t="s">
        <v>8500</v>
      </c>
      <c r="C1120" s="0" t="s">
        <v>6295</v>
      </c>
      <c r="D1120" s="0" t="s">
        <v>2115</v>
      </c>
      <c r="E1120" s="31" t="n">
        <v>45702</v>
      </c>
      <c r="F1120" s="32" t="s">
        <v>1125</v>
      </c>
      <c r="G1120" s="0" t="n">
        <v>12</v>
      </c>
      <c r="H1120" s="0" t="n">
        <v>12</v>
      </c>
      <c r="I1120" s="32" t="s">
        <v>2081</v>
      </c>
      <c r="J1120" s="32" t="s">
        <v>2081</v>
      </c>
      <c r="K1120" s="0" t="n">
        <v>0</v>
      </c>
      <c r="L1120" s="32" t="s">
        <v>802</v>
      </c>
      <c r="M1120" s="0" t="str">
        <f aca="false">IF(L1120="GEN","GM",L1120)</f>
        <v>GYN</v>
      </c>
    </row>
    <row r="1121" customFormat="false" ht="15" hidden="false" customHeight="false" outlineLevel="0" collapsed="false">
      <c r="A1121" s="0" t="s">
        <v>8501</v>
      </c>
      <c r="B1121" s="0" t="s">
        <v>8502</v>
      </c>
      <c r="C1121" s="0" t="s">
        <v>780</v>
      </c>
      <c r="D1121" s="0" t="s">
        <v>2124</v>
      </c>
      <c r="E1121" s="31" t="n">
        <v>45702</v>
      </c>
      <c r="F1121" s="32" t="s">
        <v>1125</v>
      </c>
      <c r="G1121" s="0" t="n">
        <v>12</v>
      </c>
      <c r="H1121" s="0" t="n">
        <v>12</v>
      </c>
      <c r="I1121" s="32" t="s">
        <v>2106</v>
      </c>
      <c r="J1121" s="32" t="s">
        <v>2081</v>
      </c>
      <c r="K1121" s="0" t="n">
        <v>0</v>
      </c>
      <c r="L1121" s="32" t="s">
        <v>758</v>
      </c>
      <c r="M1121" s="0" t="str">
        <f aca="false">IF(L1121="GEN","GM",L1121)</f>
        <v>CS</v>
      </c>
    </row>
    <row r="1122" customFormat="false" ht="15" hidden="false" customHeight="false" outlineLevel="0" collapsed="false">
      <c r="A1122" s="0" t="s">
        <v>8503</v>
      </c>
      <c r="B1122" s="0" t="s">
        <v>8504</v>
      </c>
      <c r="C1122" s="0" t="s">
        <v>6286</v>
      </c>
      <c r="D1122" s="0" t="s">
        <v>2124</v>
      </c>
      <c r="E1122" s="31" t="n">
        <v>45702</v>
      </c>
      <c r="F1122" s="32" t="s">
        <v>6287</v>
      </c>
      <c r="G1122" s="0" t="n">
        <v>7.5</v>
      </c>
      <c r="H1122" s="0" t="n">
        <v>7.5</v>
      </c>
      <c r="I1122" s="32" t="s">
        <v>2081</v>
      </c>
      <c r="J1122" s="32" t="s">
        <v>2081</v>
      </c>
      <c r="K1122" s="0" t="n">
        <v>0</v>
      </c>
      <c r="L1122" s="32" t="s">
        <v>785</v>
      </c>
      <c r="M1122" s="0" t="str">
        <f aca="false">IF(L1122="GEN","GM",L1122)</f>
        <v>RS</v>
      </c>
    </row>
    <row r="1123" customFormat="false" ht="15" hidden="false" customHeight="false" outlineLevel="0" collapsed="false">
      <c r="A1123" s="0" t="s">
        <v>8505</v>
      </c>
      <c r="B1123" s="0" t="s">
        <v>8506</v>
      </c>
      <c r="C1123" s="0" t="s">
        <v>6295</v>
      </c>
      <c r="D1123" s="0" t="s">
        <v>2124</v>
      </c>
      <c r="E1123" s="31" t="n">
        <v>45702</v>
      </c>
      <c r="F1123" s="32" t="s">
        <v>6283</v>
      </c>
      <c r="G1123" s="0" t="n">
        <v>11.5</v>
      </c>
      <c r="H1123" s="0" t="n">
        <v>11.5</v>
      </c>
      <c r="I1123" s="32" t="s">
        <v>2081</v>
      </c>
      <c r="J1123" s="32" t="s">
        <v>2081</v>
      </c>
      <c r="K1123" s="0" t="n">
        <v>0</v>
      </c>
      <c r="L1123" s="32" t="s">
        <v>810</v>
      </c>
      <c r="M1123" s="0" t="str">
        <f aca="false">IF(L1123="GEN","GM",L1123)</f>
        <v>URO</v>
      </c>
    </row>
    <row r="1124" customFormat="false" ht="15" hidden="false" customHeight="false" outlineLevel="0" collapsed="false">
      <c r="A1124" s="0" t="s">
        <v>8507</v>
      </c>
      <c r="B1124" s="0" t="s">
        <v>8508</v>
      </c>
      <c r="C1124" s="0" t="s">
        <v>6290</v>
      </c>
      <c r="D1124" s="0" t="s">
        <v>2104</v>
      </c>
      <c r="E1124" s="31" t="n">
        <v>45702</v>
      </c>
      <c r="F1124" s="32" t="s">
        <v>6287</v>
      </c>
      <c r="G1124" s="0" t="n">
        <v>7.5</v>
      </c>
      <c r="H1124" s="0" t="n">
        <v>7.5</v>
      </c>
      <c r="I1124" s="32" t="s">
        <v>2081</v>
      </c>
      <c r="J1124" s="32" t="s">
        <v>2081</v>
      </c>
      <c r="K1124" s="0" t="n">
        <v>0</v>
      </c>
      <c r="L1124" s="32" t="s">
        <v>810</v>
      </c>
      <c r="M1124" s="0" t="str">
        <f aca="false">IF(L1124="GEN","GM",L1124)</f>
        <v>URO</v>
      </c>
    </row>
    <row r="1125" customFormat="false" ht="15" hidden="false" customHeight="false" outlineLevel="0" collapsed="false">
      <c r="A1125" s="0" t="s">
        <v>8509</v>
      </c>
      <c r="B1125" s="0" t="s">
        <v>8510</v>
      </c>
      <c r="C1125" s="0" t="s">
        <v>6286</v>
      </c>
      <c r="D1125" s="0" t="s">
        <v>2104</v>
      </c>
      <c r="E1125" s="31" t="n">
        <v>45702</v>
      </c>
      <c r="F1125" s="32" t="s">
        <v>6287</v>
      </c>
      <c r="G1125" s="0" t="n">
        <v>7.5</v>
      </c>
      <c r="H1125" s="0" t="n">
        <v>7.5</v>
      </c>
      <c r="I1125" s="32" t="s">
        <v>2081</v>
      </c>
      <c r="J1125" s="32" t="s">
        <v>2081</v>
      </c>
      <c r="K1125" s="0" t="n">
        <v>0</v>
      </c>
      <c r="L1125" s="32" t="s">
        <v>802</v>
      </c>
      <c r="M1125" s="0" t="str">
        <f aca="false">IF(L1125="GEN","GM",L1125)</f>
        <v>GYN</v>
      </c>
    </row>
    <row r="1126" customFormat="false" ht="15" hidden="false" customHeight="false" outlineLevel="0" collapsed="false">
      <c r="A1126" s="0" t="s">
        <v>8511</v>
      </c>
      <c r="B1126" s="0" t="s">
        <v>8512</v>
      </c>
      <c r="C1126" s="0" t="s">
        <v>6295</v>
      </c>
      <c r="D1126" s="0" t="s">
        <v>2104</v>
      </c>
      <c r="E1126" s="31" t="n">
        <v>45702</v>
      </c>
      <c r="F1126" s="32" t="s">
        <v>1125</v>
      </c>
      <c r="G1126" s="0" t="n">
        <v>12</v>
      </c>
      <c r="H1126" s="0" t="n">
        <v>12.5</v>
      </c>
      <c r="I1126" s="32" t="s">
        <v>2081</v>
      </c>
      <c r="J1126" s="32" t="s">
        <v>2106</v>
      </c>
      <c r="K1126" s="0" t="n">
        <v>0.5</v>
      </c>
      <c r="L1126" s="32" t="s">
        <v>766</v>
      </c>
      <c r="M1126" s="0" t="str">
        <f aca="false">IF(L1126="GEN","GM",L1126)</f>
        <v>OR</v>
      </c>
    </row>
    <row r="1127" customFormat="false" ht="15" hidden="false" customHeight="false" outlineLevel="0" collapsed="false">
      <c r="A1127" s="0" t="s">
        <v>8513</v>
      </c>
      <c r="B1127" s="0" t="s">
        <v>8514</v>
      </c>
      <c r="C1127" s="0" t="s">
        <v>6295</v>
      </c>
      <c r="D1127" s="0" t="s">
        <v>2104</v>
      </c>
      <c r="E1127" s="31" t="n">
        <v>45702</v>
      </c>
      <c r="F1127" s="32" t="s">
        <v>6287</v>
      </c>
      <c r="G1127" s="0" t="n">
        <v>7.5</v>
      </c>
      <c r="H1127" s="0" t="n">
        <v>7.5</v>
      </c>
      <c r="I1127" s="32" t="s">
        <v>2106</v>
      </c>
      <c r="J1127" s="32" t="s">
        <v>2081</v>
      </c>
      <c r="K1127" s="0" t="n">
        <v>0</v>
      </c>
      <c r="L1127" s="32" t="s">
        <v>793</v>
      </c>
      <c r="M1127" s="0" t="str">
        <f aca="false">IF(L1127="GEN","GM",L1127)</f>
        <v>EM</v>
      </c>
    </row>
    <row r="1128" customFormat="false" ht="15" hidden="false" customHeight="false" outlineLevel="0" collapsed="false">
      <c r="A1128" s="0" t="s">
        <v>8515</v>
      </c>
      <c r="B1128" s="0" t="s">
        <v>8516</v>
      </c>
      <c r="C1128" s="0" t="s">
        <v>6295</v>
      </c>
      <c r="D1128" s="0" t="s">
        <v>2104</v>
      </c>
      <c r="E1128" s="31" t="n">
        <v>45702</v>
      </c>
      <c r="F1128" s="32" t="s">
        <v>6283</v>
      </c>
      <c r="G1128" s="0" t="n">
        <v>11.5</v>
      </c>
      <c r="H1128" s="0" t="n">
        <v>11.5</v>
      </c>
      <c r="I1128" s="32" t="s">
        <v>2081</v>
      </c>
      <c r="J1128" s="32" t="s">
        <v>2081</v>
      </c>
      <c r="K1128" s="0" t="n">
        <v>0</v>
      </c>
      <c r="L1128" s="32" t="s">
        <v>793</v>
      </c>
      <c r="M1128" s="0" t="str">
        <f aca="false">IF(L1128="GEN","GM",L1128)</f>
        <v>EM</v>
      </c>
    </row>
    <row r="1129" customFormat="false" ht="15" hidden="false" customHeight="false" outlineLevel="0" collapsed="false">
      <c r="A1129" s="0" t="s">
        <v>8517</v>
      </c>
      <c r="B1129" s="0" t="s">
        <v>8518</v>
      </c>
      <c r="C1129" s="0" t="s">
        <v>6295</v>
      </c>
      <c r="D1129" s="0" t="s">
        <v>3035</v>
      </c>
      <c r="E1129" s="31" t="n">
        <v>45702</v>
      </c>
      <c r="F1129" s="32" t="s">
        <v>6283</v>
      </c>
      <c r="G1129" s="0" t="n">
        <v>11.5</v>
      </c>
      <c r="H1129" s="0" t="n">
        <v>12.6</v>
      </c>
      <c r="I1129" s="32" t="s">
        <v>2081</v>
      </c>
      <c r="J1129" s="32" t="s">
        <v>2081</v>
      </c>
      <c r="K1129" s="0" t="n">
        <v>1.1</v>
      </c>
      <c r="L1129" s="32" t="s">
        <v>793</v>
      </c>
      <c r="M1129" s="0" t="str">
        <f aca="false">IF(L1129="GEN","GM",L1129)</f>
        <v>EM</v>
      </c>
    </row>
    <row r="1130" customFormat="false" ht="15" hidden="false" customHeight="false" outlineLevel="0" collapsed="false">
      <c r="A1130" s="0" t="s">
        <v>8519</v>
      </c>
      <c r="B1130" s="0" t="s">
        <v>8520</v>
      </c>
      <c r="C1130" s="0" t="s">
        <v>6290</v>
      </c>
      <c r="D1130" s="0" t="s">
        <v>3035</v>
      </c>
      <c r="E1130" s="31" t="n">
        <v>45702</v>
      </c>
      <c r="F1130" s="32" t="s">
        <v>6287</v>
      </c>
      <c r="G1130" s="0" t="n">
        <v>7.5</v>
      </c>
      <c r="H1130" s="0" t="n">
        <v>8</v>
      </c>
      <c r="I1130" s="32" t="s">
        <v>2081</v>
      </c>
      <c r="J1130" s="32" t="s">
        <v>2081</v>
      </c>
      <c r="K1130" s="0" t="n">
        <v>0.5</v>
      </c>
      <c r="L1130" s="32" t="s">
        <v>758</v>
      </c>
      <c r="M1130" s="0" t="str">
        <f aca="false">IF(L1130="GEN","GM",L1130)</f>
        <v>CS</v>
      </c>
    </row>
    <row r="1131" customFormat="false" ht="15" hidden="false" customHeight="false" outlineLevel="0" collapsed="false">
      <c r="A1131" s="0" t="s">
        <v>8521</v>
      </c>
      <c r="B1131" s="0" t="s">
        <v>8522</v>
      </c>
      <c r="C1131" s="0" t="s">
        <v>6286</v>
      </c>
      <c r="D1131" s="0" t="s">
        <v>3035</v>
      </c>
      <c r="E1131" s="31" t="n">
        <v>45702</v>
      </c>
      <c r="F1131" s="32" t="s">
        <v>1125</v>
      </c>
      <c r="G1131" s="0" t="n">
        <v>12</v>
      </c>
      <c r="H1131" s="0" t="n">
        <v>12</v>
      </c>
      <c r="I1131" s="32" t="s">
        <v>2081</v>
      </c>
      <c r="J1131" s="32" t="s">
        <v>2081</v>
      </c>
      <c r="K1131" s="0" t="n">
        <v>0</v>
      </c>
      <c r="L1131" s="32" t="s">
        <v>776</v>
      </c>
      <c r="M1131" s="0" t="str">
        <f aca="false">IF(L1131="GEN","GM",L1131)</f>
        <v>GS</v>
      </c>
    </row>
    <row r="1132" customFormat="false" ht="15" hidden="false" customHeight="false" outlineLevel="0" collapsed="false">
      <c r="A1132" s="0" t="s">
        <v>8523</v>
      </c>
      <c r="B1132" s="0" t="s">
        <v>8524</v>
      </c>
      <c r="C1132" s="0" t="s">
        <v>6282</v>
      </c>
      <c r="D1132" s="0" t="s">
        <v>3035</v>
      </c>
      <c r="E1132" s="31" t="n">
        <v>45702</v>
      </c>
      <c r="F1132" s="32" t="s">
        <v>1125</v>
      </c>
      <c r="G1132" s="0" t="n">
        <v>12</v>
      </c>
      <c r="H1132" s="0" t="n">
        <v>12</v>
      </c>
      <c r="I1132" s="32" t="s">
        <v>2106</v>
      </c>
      <c r="J1132" s="32" t="s">
        <v>2081</v>
      </c>
      <c r="K1132" s="0" t="n">
        <v>0</v>
      </c>
      <c r="L1132" s="32" t="s">
        <v>785</v>
      </c>
      <c r="M1132" s="0" t="str">
        <f aca="false">IF(L1132="GEN","GM",L1132)</f>
        <v>RS</v>
      </c>
    </row>
    <row r="1133" customFormat="false" ht="15" hidden="false" customHeight="false" outlineLevel="0" collapsed="false">
      <c r="A1133" s="0" t="s">
        <v>8525</v>
      </c>
      <c r="B1133" s="0" t="s">
        <v>8526</v>
      </c>
      <c r="C1133" s="0" t="s">
        <v>6295</v>
      </c>
      <c r="D1133" s="0" t="s">
        <v>3035</v>
      </c>
      <c r="E1133" s="31" t="n">
        <v>45702</v>
      </c>
      <c r="F1133" s="32" t="s">
        <v>6287</v>
      </c>
      <c r="G1133" s="0" t="n">
        <v>7.5</v>
      </c>
      <c r="H1133" s="0" t="n">
        <v>7.5</v>
      </c>
      <c r="I1133" s="32" t="s">
        <v>2106</v>
      </c>
      <c r="J1133" s="32" t="s">
        <v>2081</v>
      </c>
      <c r="K1133" s="0" t="n">
        <v>0</v>
      </c>
      <c r="L1133" s="32" t="s">
        <v>776</v>
      </c>
      <c r="M1133" s="0" t="str">
        <f aca="false">IF(L1133="GEN","GM",L1133)</f>
        <v>GS</v>
      </c>
    </row>
    <row r="1134" customFormat="false" ht="15" hidden="false" customHeight="false" outlineLevel="0" collapsed="false">
      <c r="A1134" s="0" t="s">
        <v>8527</v>
      </c>
      <c r="B1134" s="0" t="s">
        <v>8528</v>
      </c>
      <c r="C1134" s="0" t="s">
        <v>6295</v>
      </c>
      <c r="D1134" s="0" t="s">
        <v>2088</v>
      </c>
      <c r="E1134" s="31" t="n">
        <v>45703</v>
      </c>
      <c r="F1134" s="32" t="s">
        <v>6283</v>
      </c>
      <c r="G1134" s="0" t="n">
        <v>11.5</v>
      </c>
      <c r="H1134" s="0" t="n">
        <v>11.5</v>
      </c>
      <c r="J1134" s="32" t="s">
        <v>2081</v>
      </c>
      <c r="K1134" s="0" t="n">
        <v>0</v>
      </c>
      <c r="L1134" s="32" t="s">
        <v>802</v>
      </c>
      <c r="M1134" s="0" t="str">
        <f aca="false">IF(L1134="GEN","GM",L1134)</f>
        <v>GYN</v>
      </c>
    </row>
    <row r="1135" customFormat="false" ht="15" hidden="false" customHeight="false" outlineLevel="0" collapsed="false">
      <c r="A1135" s="0" t="s">
        <v>8529</v>
      </c>
      <c r="B1135" s="0" t="s">
        <v>8530</v>
      </c>
      <c r="C1135" s="0" t="s">
        <v>6295</v>
      </c>
      <c r="D1135" s="0" t="s">
        <v>2088</v>
      </c>
      <c r="E1135" s="31" t="n">
        <v>45703</v>
      </c>
      <c r="F1135" s="32" t="s">
        <v>1125</v>
      </c>
      <c r="G1135" s="0" t="n">
        <v>12</v>
      </c>
      <c r="H1135" s="0" t="n">
        <v>12</v>
      </c>
      <c r="I1135" s="32" t="s">
        <v>2081</v>
      </c>
      <c r="J1135" s="32" t="s">
        <v>2106</v>
      </c>
      <c r="K1135" s="0" t="n">
        <v>0</v>
      </c>
      <c r="L1135" s="32" t="s">
        <v>802</v>
      </c>
      <c r="M1135" s="0" t="str">
        <f aca="false">IF(L1135="GEN","GM",L1135)</f>
        <v>GYN</v>
      </c>
    </row>
    <row r="1136" customFormat="false" ht="15" hidden="false" customHeight="false" outlineLevel="0" collapsed="false">
      <c r="A1136" s="0" t="s">
        <v>8531</v>
      </c>
      <c r="B1136" s="0" t="s">
        <v>8532</v>
      </c>
      <c r="C1136" s="0" t="s">
        <v>6295</v>
      </c>
      <c r="D1136" s="0" t="s">
        <v>2088</v>
      </c>
      <c r="E1136" s="31" t="n">
        <v>45703</v>
      </c>
      <c r="F1136" s="32" t="s">
        <v>6283</v>
      </c>
      <c r="G1136" s="0" t="n">
        <v>11.5</v>
      </c>
      <c r="H1136" s="0" t="n">
        <v>11.5</v>
      </c>
      <c r="I1136" s="32" t="s">
        <v>2081</v>
      </c>
      <c r="J1136" s="32" t="s">
        <v>2081</v>
      </c>
      <c r="K1136" s="0" t="n">
        <v>0</v>
      </c>
      <c r="L1136" s="32" t="s">
        <v>758</v>
      </c>
      <c r="M1136" s="0" t="str">
        <f aca="false">IF(L1136="GEN","GM",L1136)</f>
        <v>CS</v>
      </c>
    </row>
    <row r="1137" customFormat="false" ht="15" hidden="false" customHeight="false" outlineLevel="0" collapsed="false">
      <c r="A1137" s="0" t="s">
        <v>8533</v>
      </c>
      <c r="B1137" s="0" t="s">
        <v>8534</v>
      </c>
      <c r="C1137" s="0" t="s">
        <v>6295</v>
      </c>
      <c r="D1137" s="0" t="s">
        <v>2079</v>
      </c>
      <c r="E1137" s="31" t="n">
        <v>45703</v>
      </c>
      <c r="F1137" s="32" t="s">
        <v>6287</v>
      </c>
      <c r="G1137" s="0" t="n">
        <v>7.5</v>
      </c>
      <c r="H1137" s="0" t="n">
        <v>9.3</v>
      </c>
      <c r="I1137" s="32" t="s">
        <v>2081</v>
      </c>
      <c r="J1137" s="32" t="s">
        <v>2081</v>
      </c>
      <c r="K1137" s="0" t="n">
        <v>1.8</v>
      </c>
      <c r="L1137" s="32" t="s">
        <v>776</v>
      </c>
      <c r="M1137" s="0" t="str">
        <f aca="false">IF(L1137="GEN","GM",L1137)</f>
        <v>GS</v>
      </c>
    </row>
    <row r="1138" customFormat="false" ht="15" hidden="false" customHeight="false" outlineLevel="0" collapsed="false">
      <c r="A1138" s="0" t="s">
        <v>8535</v>
      </c>
      <c r="B1138" s="0" t="s">
        <v>8536</v>
      </c>
      <c r="C1138" s="0" t="s">
        <v>780</v>
      </c>
      <c r="D1138" s="0" t="s">
        <v>2079</v>
      </c>
      <c r="E1138" s="31" t="n">
        <v>45703</v>
      </c>
      <c r="F1138" s="32" t="s">
        <v>6287</v>
      </c>
      <c r="G1138" s="0" t="n">
        <v>7.5</v>
      </c>
      <c r="H1138" s="0" t="n">
        <v>7.5</v>
      </c>
      <c r="I1138" s="32" t="s">
        <v>2081</v>
      </c>
      <c r="J1138" s="32" t="s">
        <v>2106</v>
      </c>
      <c r="K1138" s="0" t="n">
        <v>0</v>
      </c>
      <c r="L1138" s="32" t="s">
        <v>826</v>
      </c>
      <c r="M1138" s="0" t="str">
        <f aca="false">IF(L1138="GEN","GM",L1138)</f>
        <v>RHE</v>
      </c>
    </row>
    <row r="1139" customFormat="false" ht="15" hidden="false" customHeight="false" outlineLevel="0" collapsed="false">
      <c r="A1139" s="0" t="s">
        <v>8537</v>
      </c>
      <c r="B1139" s="0" t="s">
        <v>6486</v>
      </c>
      <c r="C1139" s="0" t="s">
        <v>780</v>
      </c>
      <c r="D1139" s="0" t="s">
        <v>2079</v>
      </c>
      <c r="E1139" s="31" t="n">
        <v>45703</v>
      </c>
      <c r="F1139" s="32" t="s">
        <v>6287</v>
      </c>
      <c r="G1139" s="0" t="n">
        <v>7.5</v>
      </c>
      <c r="H1139" s="0" t="n">
        <v>7.5</v>
      </c>
      <c r="I1139" s="32" t="s">
        <v>2081</v>
      </c>
      <c r="J1139" s="32" t="s">
        <v>2081</v>
      </c>
      <c r="K1139" s="0" t="n">
        <v>0</v>
      </c>
      <c r="L1139" s="32" t="s">
        <v>793</v>
      </c>
      <c r="M1139" s="0" t="str">
        <f aca="false">IF(L1139="GEN","GM",L1139)</f>
        <v>EM</v>
      </c>
    </row>
    <row r="1140" customFormat="false" ht="15" hidden="false" customHeight="false" outlineLevel="0" collapsed="false">
      <c r="A1140" s="0" t="s">
        <v>8538</v>
      </c>
      <c r="B1140" s="0" t="s">
        <v>8539</v>
      </c>
      <c r="C1140" s="0" t="s">
        <v>6295</v>
      </c>
      <c r="D1140" s="0" t="s">
        <v>2079</v>
      </c>
      <c r="E1140" s="31" t="n">
        <v>45703</v>
      </c>
      <c r="F1140" s="32" t="s">
        <v>6287</v>
      </c>
      <c r="G1140" s="0" t="n">
        <v>7.5</v>
      </c>
      <c r="H1140" s="0" t="n">
        <v>7.5</v>
      </c>
      <c r="I1140" s="32" t="s">
        <v>2081</v>
      </c>
      <c r="J1140" s="32" t="s">
        <v>2081</v>
      </c>
      <c r="K1140" s="0" t="n">
        <v>0</v>
      </c>
      <c r="L1140" s="32" t="s">
        <v>758</v>
      </c>
      <c r="M1140" s="0" t="str">
        <f aca="false">IF(L1140="GEN","GM",L1140)</f>
        <v>CS</v>
      </c>
    </row>
    <row r="1141" customFormat="false" ht="15" hidden="false" customHeight="false" outlineLevel="0" collapsed="false">
      <c r="A1141" s="0" t="s">
        <v>8540</v>
      </c>
      <c r="B1141" s="0" t="s">
        <v>8541</v>
      </c>
      <c r="C1141" s="0" t="s">
        <v>6295</v>
      </c>
      <c r="D1141" s="0" t="s">
        <v>2079</v>
      </c>
      <c r="E1141" s="31" t="n">
        <v>45703</v>
      </c>
      <c r="F1141" s="32" t="s">
        <v>6283</v>
      </c>
      <c r="G1141" s="0" t="n">
        <v>11.5</v>
      </c>
      <c r="H1141" s="0" t="n">
        <v>11.5</v>
      </c>
      <c r="I1141" s="32" t="s">
        <v>2106</v>
      </c>
      <c r="J1141" s="32" t="s">
        <v>2081</v>
      </c>
      <c r="K1141" s="0" t="n">
        <v>0</v>
      </c>
      <c r="L1141" s="32" t="s">
        <v>785</v>
      </c>
      <c r="M1141" s="0" t="str">
        <f aca="false">IF(L1141="GEN","GM",L1141)</f>
        <v>RS</v>
      </c>
    </row>
    <row r="1142" customFormat="false" ht="15" hidden="false" customHeight="false" outlineLevel="0" collapsed="false">
      <c r="A1142" s="0" t="s">
        <v>8542</v>
      </c>
      <c r="B1142" s="0" t="s">
        <v>8543</v>
      </c>
      <c r="C1142" s="0" t="s">
        <v>6282</v>
      </c>
      <c r="D1142" s="0" t="s">
        <v>2099</v>
      </c>
      <c r="E1142" s="31" t="n">
        <v>45703</v>
      </c>
      <c r="F1142" s="32" t="s">
        <v>1125</v>
      </c>
      <c r="G1142" s="0" t="n">
        <v>12</v>
      </c>
      <c r="H1142" s="0" t="n">
        <v>12</v>
      </c>
      <c r="I1142" s="32" t="s">
        <v>2081</v>
      </c>
      <c r="J1142" s="32" t="s">
        <v>2081</v>
      </c>
      <c r="K1142" s="0" t="n">
        <v>0</v>
      </c>
      <c r="L1142" s="32" t="s">
        <v>785</v>
      </c>
      <c r="M1142" s="0" t="str">
        <f aca="false">IF(L1142="GEN","GM",L1142)</f>
        <v>RS</v>
      </c>
    </row>
    <row r="1143" customFormat="false" ht="15" hidden="false" customHeight="false" outlineLevel="0" collapsed="false">
      <c r="A1143" s="0" t="s">
        <v>8544</v>
      </c>
      <c r="B1143" s="0" t="s">
        <v>8545</v>
      </c>
      <c r="C1143" s="0" t="s">
        <v>6286</v>
      </c>
      <c r="D1143" s="0" t="s">
        <v>2099</v>
      </c>
      <c r="E1143" s="31" t="n">
        <v>45703</v>
      </c>
      <c r="F1143" s="32" t="s">
        <v>6287</v>
      </c>
      <c r="G1143" s="0" t="n">
        <v>7.5</v>
      </c>
      <c r="H1143" s="0" t="n">
        <v>7.5</v>
      </c>
      <c r="I1143" s="32" t="s">
        <v>2081</v>
      </c>
      <c r="J1143" s="32" t="s">
        <v>2081</v>
      </c>
      <c r="K1143" s="0" t="n">
        <v>0</v>
      </c>
      <c r="L1143" s="32" t="s">
        <v>747</v>
      </c>
      <c r="M1143" s="0" t="str">
        <f aca="false">IF(L1143="GEN","GM",L1143)</f>
        <v>GM</v>
      </c>
    </row>
    <row r="1144" customFormat="false" ht="15" hidden="false" customHeight="false" outlineLevel="0" collapsed="false">
      <c r="A1144" s="0" t="s">
        <v>8546</v>
      </c>
      <c r="B1144" s="0" t="s">
        <v>8547</v>
      </c>
      <c r="C1144" s="0" t="s">
        <v>6295</v>
      </c>
      <c r="D1144" s="0" t="s">
        <v>2099</v>
      </c>
      <c r="E1144" s="31" t="n">
        <v>45703</v>
      </c>
      <c r="F1144" s="32" t="s">
        <v>1125</v>
      </c>
      <c r="G1144" s="0" t="n">
        <v>12</v>
      </c>
      <c r="H1144" s="0" t="n">
        <v>12</v>
      </c>
      <c r="I1144" s="32" t="s">
        <v>2081</v>
      </c>
      <c r="J1144" s="32" t="s">
        <v>2081</v>
      </c>
      <c r="K1144" s="0" t="n">
        <v>0</v>
      </c>
      <c r="L1144" s="32" t="s">
        <v>810</v>
      </c>
      <c r="M1144" s="0" t="str">
        <f aca="false">IF(L1144="GEN","GM",L1144)</f>
        <v>URO</v>
      </c>
    </row>
    <row r="1145" customFormat="false" ht="15" hidden="false" customHeight="false" outlineLevel="0" collapsed="false">
      <c r="A1145" s="0" t="s">
        <v>8548</v>
      </c>
      <c r="B1145" s="0" t="s">
        <v>8549</v>
      </c>
      <c r="C1145" s="0" t="s">
        <v>6282</v>
      </c>
      <c r="D1145" s="0" t="s">
        <v>2099</v>
      </c>
      <c r="E1145" s="31" t="n">
        <v>45703</v>
      </c>
      <c r="F1145" s="32" t="s">
        <v>6287</v>
      </c>
      <c r="G1145" s="0" t="n">
        <v>7.5</v>
      </c>
      <c r="H1145" s="0" t="n">
        <v>7.5</v>
      </c>
      <c r="I1145" s="32" t="s">
        <v>2081</v>
      </c>
      <c r="J1145" s="32" t="s">
        <v>2081</v>
      </c>
      <c r="K1145" s="0" t="n">
        <v>0</v>
      </c>
      <c r="L1145" s="32" t="s">
        <v>802</v>
      </c>
      <c r="M1145" s="0" t="str">
        <f aca="false">IF(L1145="GEN","GM",L1145)</f>
        <v>GYN</v>
      </c>
    </row>
    <row r="1146" customFormat="false" ht="15" hidden="false" customHeight="false" outlineLevel="0" collapsed="false">
      <c r="A1146" s="0" t="s">
        <v>8550</v>
      </c>
      <c r="B1146" s="0" t="s">
        <v>8551</v>
      </c>
      <c r="C1146" s="0" t="s">
        <v>780</v>
      </c>
      <c r="D1146" s="0" t="s">
        <v>2099</v>
      </c>
      <c r="E1146" s="31" t="n">
        <v>45703</v>
      </c>
      <c r="F1146" s="32" t="s">
        <v>6287</v>
      </c>
      <c r="G1146" s="0" t="n">
        <v>7.5</v>
      </c>
      <c r="H1146" s="0" t="n">
        <v>7.5</v>
      </c>
      <c r="I1146" s="32" t="s">
        <v>2081</v>
      </c>
      <c r="J1146" s="32" t="s">
        <v>2081</v>
      </c>
      <c r="K1146" s="0" t="n">
        <v>0</v>
      </c>
      <c r="L1146" s="32" t="s">
        <v>810</v>
      </c>
      <c r="M1146" s="0" t="str">
        <f aca="false">IF(L1146="GEN","GM",L1146)</f>
        <v>URO</v>
      </c>
    </row>
    <row r="1147" customFormat="false" ht="15" hidden="false" customHeight="false" outlineLevel="0" collapsed="false">
      <c r="A1147" s="0" t="s">
        <v>8552</v>
      </c>
      <c r="B1147" s="0" t="s">
        <v>8553</v>
      </c>
      <c r="C1147" s="0" t="s">
        <v>6290</v>
      </c>
      <c r="D1147" s="0" t="s">
        <v>2115</v>
      </c>
      <c r="E1147" s="31" t="n">
        <v>45703</v>
      </c>
      <c r="F1147" s="32" t="s">
        <v>6283</v>
      </c>
      <c r="G1147" s="0" t="n">
        <v>11.5</v>
      </c>
      <c r="H1147" s="0" t="n">
        <v>10.6</v>
      </c>
      <c r="I1147" s="32" t="s">
        <v>2081</v>
      </c>
      <c r="J1147" s="32" t="s">
        <v>2081</v>
      </c>
      <c r="K1147" s="0" t="n">
        <v>0</v>
      </c>
      <c r="L1147" s="32" t="s">
        <v>776</v>
      </c>
      <c r="M1147" s="0" t="str">
        <f aca="false">IF(L1147="GEN","GM",L1147)</f>
        <v>GS</v>
      </c>
    </row>
    <row r="1148" customFormat="false" ht="15" hidden="false" customHeight="false" outlineLevel="0" collapsed="false">
      <c r="A1148" s="0" t="s">
        <v>8554</v>
      </c>
      <c r="B1148" s="0" t="s">
        <v>8555</v>
      </c>
      <c r="C1148" s="0" t="s">
        <v>6290</v>
      </c>
      <c r="D1148" s="0" t="s">
        <v>2115</v>
      </c>
      <c r="E1148" s="31" t="n">
        <v>45703</v>
      </c>
      <c r="F1148" s="32" t="s">
        <v>1125</v>
      </c>
      <c r="G1148" s="0" t="n">
        <v>12</v>
      </c>
      <c r="H1148" s="0" t="n">
        <v>12</v>
      </c>
      <c r="I1148" s="32" t="s">
        <v>2081</v>
      </c>
      <c r="J1148" s="32" t="s">
        <v>2081</v>
      </c>
      <c r="K1148" s="0" t="n">
        <v>0</v>
      </c>
      <c r="L1148" s="32" t="s">
        <v>802</v>
      </c>
      <c r="M1148" s="0" t="str">
        <f aca="false">IF(L1148="GEN","GM",L1148)</f>
        <v>GYN</v>
      </c>
    </row>
    <row r="1149" customFormat="false" ht="15" hidden="false" customHeight="false" outlineLevel="0" collapsed="false">
      <c r="A1149" s="0" t="s">
        <v>8556</v>
      </c>
      <c r="B1149" s="0" t="s">
        <v>8557</v>
      </c>
      <c r="C1149" s="0" t="s">
        <v>6286</v>
      </c>
      <c r="D1149" s="0" t="s">
        <v>2115</v>
      </c>
      <c r="E1149" s="31" t="n">
        <v>45703</v>
      </c>
      <c r="F1149" s="32" t="s">
        <v>6283</v>
      </c>
      <c r="G1149" s="0" t="n">
        <v>11.5</v>
      </c>
      <c r="H1149" s="0" t="n">
        <v>11.5</v>
      </c>
      <c r="I1149" s="32" t="s">
        <v>2081</v>
      </c>
      <c r="J1149" s="32" t="s">
        <v>2081</v>
      </c>
      <c r="K1149" s="0" t="n">
        <v>0</v>
      </c>
      <c r="L1149" s="32" t="s">
        <v>810</v>
      </c>
      <c r="M1149" s="0" t="str">
        <f aca="false">IF(L1149="GEN","GM",L1149)</f>
        <v>URO</v>
      </c>
    </row>
    <row r="1150" customFormat="false" ht="15" hidden="false" customHeight="false" outlineLevel="0" collapsed="false">
      <c r="A1150" s="0" t="s">
        <v>8558</v>
      </c>
      <c r="B1150" s="0" t="s">
        <v>8559</v>
      </c>
      <c r="C1150" s="0" t="s">
        <v>6295</v>
      </c>
      <c r="D1150" s="0" t="s">
        <v>2124</v>
      </c>
      <c r="E1150" s="31" t="n">
        <v>45703</v>
      </c>
      <c r="F1150" s="32" t="s">
        <v>6287</v>
      </c>
      <c r="G1150" s="0" t="n">
        <v>7.5</v>
      </c>
      <c r="H1150" s="0" t="n">
        <v>7.5</v>
      </c>
      <c r="I1150" s="32" t="s">
        <v>2081</v>
      </c>
      <c r="J1150" s="32" t="s">
        <v>2081</v>
      </c>
      <c r="K1150" s="0" t="n">
        <v>0</v>
      </c>
      <c r="L1150" s="32" t="s">
        <v>766</v>
      </c>
      <c r="M1150" s="0" t="str">
        <f aca="false">IF(L1150="GEN","GM",L1150)</f>
        <v>OR</v>
      </c>
    </row>
    <row r="1151" customFormat="false" ht="15" hidden="false" customHeight="false" outlineLevel="0" collapsed="false">
      <c r="A1151" s="0" t="s">
        <v>8560</v>
      </c>
      <c r="B1151" s="0" t="s">
        <v>8561</v>
      </c>
      <c r="C1151" s="0" t="s">
        <v>780</v>
      </c>
      <c r="D1151" s="0" t="s">
        <v>2124</v>
      </c>
      <c r="E1151" s="31" t="n">
        <v>45703</v>
      </c>
      <c r="F1151" s="32" t="s">
        <v>6283</v>
      </c>
      <c r="G1151" s="0" t="n">
        <v>11.5</v>
      </c>
      <c r="H1151" s="0" t="n">
        <v>11.5</v>
      </c>
      <c r="I1151" s="32" t="s">
        <v>2106</v>
      </c>
      <c r="J1151" s="32" t="s">
        <v>2081</v>
      </c>
      <c r="K1151" s="0" t="n">
        <v>0</v>
      </c>
      <c r="L1151" s="32" t="s">
        <v>758</v>
      </c>
      <c r="M1151" s="0" t="str">
        <f aca="false">IF(L1151="GEN","GM",L1151)</f>
        <v>CS</v>
      </c>
    </row>
    <row r="1152" customFormat="false" ht="15" hidden="false" customHeight="false" outlineLevel="0" collapsed="false">
      <c r="A1152" s="0" t="s">
        <v>8562</v>
      </c>
      <c r="B1152" s="0" t="s">
        <v>8563</v>
      </c>
      <c r="C1152" s="0" t="s">
        <v>6295</v>
      </c>
      <c r="D1152" s="0" t="s">
        <v>2124</v>
      </c>
      <c r="E1152" s="31" t="n">
        <v>45703</v>
      </c>
      <c r="F1152" s="32" t="s">
        <v>1125</v>
      </c>
      <c r="G1152" s="0" t="n">
        <v>12</v>
      </c>
      <c r="H1152" s="0" t="n">
        <v>12</v>
      </c>
      <c r="I1152" s="32" t="s">
        <v>2081</v>
      </c>
      <c r="J1152" s="32" t="s">
        <v>2081</v>
      </c>
      <c r="K1152" s="0" t="n">
        <v>0</v>
      </c>
      <c r="L1152" s="32" t="s">
        <v>793</v>
      </c>
      <c r="M1152" s="0" t="str">
        <f aca="false">IF(L1152="GEN","GM",L1152)</f>
        <v>EM</v>
      </c>
    </row>
    <row r="1153" customFormat="false" ht="15" hidden="false" customHeight="false" outlineLevel="0" collapsed="false">
      <c r="A1153" s="0" t="s">
        <v>8564</v>
      </c>
      <c r="B1153" s="0" t="s">
        <v>8565</v>
      </c>
      <c r="C1153" s="0" t="s">
        <v>6286</v>
      </c>
      <c r="D1153" s="0" t="s">
        <v>2124</v>
      </c>
      <c r="E1153" s="31" t="n">
        <v>45703</v>
      </c>
      <c r="F1153" s="32" t="s">
        <v>1125</v>
      </c>
      <c r="G1153" s="0" t="n">
        <v>12</v>
      </c>
      <c r="H1153" s="0" t="n">
        <v>12</v>
      </c>
      <c r="I1153" s="32" t="s">
        <v>2081</v>
      </c>
      <c r="J1153" s="32" t="s">
        <v>2081</v>
      </c>
      <c r="K1153" s="0" t="n">
        <v>0</v>
      </c>
      <c r="L1153" s="32" t="s">
        <v>826</v>
      </c>
      <c r="M1153" s="0" t="str">
        <f aca="false">IF(L1153="GEN","GM",L1153)</f>
        <v>RHE</v>
      </c>
    </row>
    <row r="1154" customFormat="false" ht="15" hidden="false" customHeight="false" outlineLevel="0" collapsed="false">
      <c r="A1154" s="0" t="s">
        <v>8566</v>
      </c>
      <c r="B1154" s="0" t="s">
        <v>8567</v>
      </c>
      <c r="C1154" s="0" t="s">
        <v>780</v>
      </c>
      <c r="D1154" s="0" t="s">
        <v>2124</v>
      </c>
      <c r="E1154" s="31" t="n">
        <v>45703</v>
      </c>
      <c r="F1154" s="32" t="s">
        <v>6283</v>
      </c>
      <c r="G1154" s="0" t="n">
        <v>11.5</v>
      </c>
      <c r="H1154" s="0" t="n">
        <v>11.5</v>
      </c>
      <c r="I1154" s="32" t="s">
        <v>2081</v>
      </c>
      <c r="J1154" s="32" t="s">
        <v>2081</v>
      </c>
      <c r="K1154" s="0" t="n">
        <v>0</v>
      </c>
      <c r="L1154" s="32" t="s">
        <v>758</v>
      </c>
      <c r="M1154" s="0" t="str">
        <f aca="false">IF(L1154="GEN","GM",L1154)</f>
        <v>CS</v>
      </c>
    </row>
    <row r="1155" customFormat="false" ht="15" hidden="false" customHeight="false" outlineLevel="0" collapsed="false">
      <c r="A1155" s="0" t="s">
        <v>8568</v>
      </c>
      <c r="B1155" s="0" t="s">
        <v>8569</v>
      </c>
      <c r="C1155" s="0" t="s">
        <v>780</v>
      </c>
      <c r="D1155" s="0" t="s">
        <v>2104</v>
      </c>
      <c r="E1155" s="31" t="n">
        <v>45703</v>
      </c>
      <c r="F1155" s="32" t="s">
        <v>6287</v>
      </c>
      <c r="G1155" s="0" t="n">
        <v>7.5</v>
      </c>
      <c r="H1155" s="0" t="n">
        <v>7.5</v>
      </c>
      <c r="I1155" s="32" t="s">
        <v>2106</v>
      </c>
      <c r="J1155" s="32" t="s">
        <v>2081</v>
      </c>
      <c r="K1155" s="0" t="n">
        <v>0</v>
      </c>
      <c r="L1155" s="32" t="s">
        <v>802</v>
      </c>
      <c r="M1155" s="0" t="str">
        <f aca="false">IF(L1155="GEN","GM",L1155)</f>
        <v>GYN</v>
      </c>
    </row>
    <row r="1156" customFormat="false" ht="15" hidden="false" customHeight="false" outlineLevel="0" collapsed="false">
      <c r="A1156" s="0" t="s">
        <v>8570</v>
      </c>
      <c r="B1156" s="0" t="s">
        <v>8571</v>
      </c>
      <c r="C1156" s="0" t="s">
        <v>6295</v>
      </c>
      <c r="D1156" s="0" t="s">
        <v>2104</v>
      </c>
      <c r="E1156" s="31" t="n">
        <v>45703</v>
      </c>
      <c r="F1156" s="32" t="s">
        <v>6287</v>
      </c>
      <c r="G1156" s="0" t="n">
        <v>7.5</v>
      </c>
      <c r="H1156" s="0" t="n">
        <v>7.5</v>
      </c>
      <c r="I1156" s="32" t="s">
        <v>2081</v>
      </c>
      <c r="J1156" s="32" t="s">
        <v>2081</v>
      </c>
      <c r="K1156" s="0" t="n">
        <v>0</v>
      </c>
      <c r="L1156" s="32" t="s">
        <v>766</v>
      </c>
      <c r="M1156" s="0" t="str">
        <f aca="false">IF(L1156="GEN","GM",L1156)</f>
        <v>OR</v>
      </c>
    </row>
    <row r="1157" customFormat="false" ht="15" hidden="false" customHeight="false" outlineLevel="0" collapsed="false">
      <c r="A1157" s="0" t="s">
        <v>8572</v>
      </c>
      <c r="B1157" s="0" t="s">
        <v>8573</v>
      </c>
      <c r="C1157" s="0" t="s">
        <v>6295</v>
      </c>
      <c r="D1157" s="0" t="s">
        <v>2104</v>
      </c>
      <c r="E1157" s="31" t="n">
        <v>45703</v>
      </c>
      <c r="F1157" s="32" t="s">
        <v>6287</v>
      </c>
      <c r="G1157" s="0" t="n">
        <v>7.5</v>
      </c>
      <c r="H1157" s="0" t="n">
        <v>7.5</v>
      </c>
      <c r="I1157" s="32" t="s">
        <v>2081</v>
      </c>
      <c r="J1157" s="32" t="s">
        <v>2106</v>
      </c>
      <c r="K1157" s="0" t="n">
        <v>0</v>
      </c>
      <c r="L1157" s="32" t="s">
        <v>747</v>
      </c>
      <c r="M1157" s="0" t="str">
        <f aca="false">IF(L1157="GEN","GM",L1157)</f>
        <v>GM</v>
      </c>
    </row>
    <row r="1158" customFormat="false" ht="15" hidden="false" customHeight="false" outlineLevel="0" collapsed="false">
      <c r="A1158" s="0" t="s">
        <v>8574</v>
      </c>
      <c r="B1158" s="0" t="s">
        <v>8575</v>
      </c>
      <c r="C1158" s="0" t="s">
        <v>780</v>
      </c>
      <c r="D1158" s="0" t="s">
        <v>2104</v>
      </c>
      <c r="E1158" s="31" t="n">
        <v>45703</v>
      </c>
      <c r="F1158" s="32" t="s">
        <v>6283</v>
      </c>
      <c r="G1158" s="0" t="n">
        <v>11.5</v>
      </c>
      <c r="H1158" s="0" t="n">
        <v>12</v>
      </c>
      <c r="I1158" s="32" t="s">
        <v>2081</v>
      </c>
      <c r="J1158" s="32" t="s">
        <v>2081</v>
      </c>
      <c r="K1158" s="0" t="n">
        <v>0.5</v>
      </c>
      <c r="L1158" s="32" t="s">
        <v>758</v>
      </c>
      <c r="M1158" s="0" t="str">
        <f aca="false">IF(L1158="GEN","GM",L1158)</f>
        <v>CS</v>
      </c>
    </row>
    <row r="1159" customFormat="false" ht="15" hidden="false" customHeight="false" outlineLevel="0" collapsed="false">
      <c r="A1159" s="0" t="s">
        <v>8576</v>
      </c>
      <c r="B1159" s="0" t="s">
        <v>8577</v>
      </c>
      <c r="C1159" s="0" t="s">
        <v>6290</v>
      </c>
      <c r="D1159" s="0" t="s">
        <v>3035</v>
      </c>
      <c r="E1159" s="31" t="n">
        <v>45703</v>
      </c>
      <c r="F1159" s="32" t="s">
        <v>1125</v>
      </c>
      <c r="G1159" s="0" t="n">
        <v>12</v>
      </c>
      <c r="H1159" s="0" t="n">
        <v>12</v>
      </c>
      <c r="I1159" s="32" t="s">
        <v>2081</v>
      </c>
      <c r="J1159" s="32" t="s">
        <v>2081</v>
      </c>
      <c r="K1159" s="0" t="n">
        <v>0</v>
      </c>
      <c r="L1159" s="32" t="s">
        <v>826</v>
      </c>
      <c r="M1159" s="0" t="str">
        <f aca="false">IF(L1159="GEN","GM",L1159)</f>
        <v>RHE</v>
      </c>
    </row>
    <row r="1160" customFormat="false" ht="15" hidden="false" customHeight="false" outlineLevel="0" collapsed="false">
      <c r="A1160" s="0" t="s">
        <v>8578</v>
      </c>
      <c r="B1160" s="0" t="s">
        <v>8579</v>
      </c>
      <c r="C1160" s="0" t="s">
        <v>6295</v>
      </c>
      <c r="D1160" s="0" t="s">
        <v>3035</v>
      </c>
      <c r="E1160" s="31" t="n">
        <v>45703</v>
      </c>
      <c r="F1160" s="32" t="s">
        <v>6287</v>
      </c>
      <c r="G1160" s="0" t="n">
        <v>7.5</v>
      </c>
      <c r="H1160" s="0" t="n">
        <v>7.5</v>
      </c>
      <c r="I1160" s="32" t="s">
        <v>2081</v>
      </c>
      <c r="J1160" s="32" t="s">
        <v>2081</v>
      </c>
      <c r="K1160" s="0" t="n">
        <v>0</v>
      </c>
      <c r="L1160" s="32" t="s">
        <v>766</v>
      </c>
      <c r="M1160" s="0" t="str">
        <f aca="false">IF(L1160="GEN","GM",L1160)</f>
        <v>OR</v>
      </c>
    </row>
    <row r="1161" customFormat="false" ht="15" hidden="false" customHeight="false" outlineLevel="0" collapsed="false">
      <c r="A1161" s="0" t="s">
        <v>8580</v>
      </c>
      <c r="B1161" s="0" t="s">
        <v>8581</v>
      </c>
      <c r="C1161" s="0" t="s">
        <v>6282</v>
      </c>
      <c r="D1161" s="0" t="s">
        <v>3035</v>
      </c>
      <c r="E1161" s="31" t="n">
        <v>45703</v>
      </c>
      <c r="F1161" s="32" t="s">
        <v>6283</v>
      </c>
      <c r="G1161" s="0" t="n">
        <v>11.5</v>
      </c>
      <c r="H1161" s="0" t="n">
        <v>11.5</v>
      </c>
      <c r="I1161" s="32" t="s">
        <v>2106</v>
      </c>
      <c r="J1161" s="32" t="s">
        <v>2081</v>
      </c>
      <c r="K1161" s="0" t="n">
        <v>0</v>
      </c>
      <c r="L1161" s="32" t="s">
        <v>826</v>
      </c>
      <c r="M1161" s="0" t="str">
        <f aca="false">IF(L1161="GEN","GM",L1161)</f>
        <v>RHE</v>
      </c>
    </row>
    <row r="1162" customFormat="false" ht="15" hidden="false" customHeight="false" outlineLevel="0" collapsed="false">
      <c r="A1162" s="0" t="s">
        <v>8582</v>
      </c>
      <c r="B1162" s="0" t="s">
        <v>8583</v>
      </c>
      <c r="C1162" s="0" t="s">
        <v>6295</v>
      </c>
      <c r="D1162" s="0" t="s">
        <v>3035</v>
      </c>
      <c r="E1162" s="31" t="n">
        <v>45703</v>
      </c>
      <c r="F1162" s="32" t="s">
        <v>6287</v>
      </c>
      <c r="G1162" s="0" t="n">
        <v>7.5</v>
      </c>
      <c r="H1162" s="0" t="n">
        <v>9.1</v>
      </c>
      <c r="I1162" s="32" t="s">
        <v>2081</v>
      </c>
      <c r="J1162" s="32" t="s">
        <v>2081</v>
      </c>
      <c r="K1162" s="0" t="n">
        <v>1.6</v>
      </c>
      <c r="L1162" s="32" t="s">
        <v>793</v>
      </c>
      <c r="M1162" s="0" t="str">
        <f aca="false">IF(L1162="GEN","GM",L1162)</f>
        <v>EM</v>
      </c>
    </row>
    <row r="1163" customFormat="false" ht="15" hidden="false" customHeight="false" outlineLevel="0" collapsed="false">
      <c r="A1163" s="0" t="s">
        <v>8584</v>
      </c>
      <c r="B1163" s="0" t="s">
        <v>8585</v>
      </c>
      <c r="C1163" s="0" t="s">
        <v>6286</v>
      </c>
      <c r="D1163" s="0" t="s">
        <v>3035</v>
      </c>
      <c r="E1163" s="31" t="n">
        <v>45703</v>
      </c>
      <c r="F1163" s="32" t="s">
        <v>6287</v>
      </c>
      <c r="G1163" s="0" t="n">
        <v>7.5</v>
      </c>
      <c r="H1163" s="0" t="n">
        <v>7.5</v>
      </c>
      <c r="I1163" s="32" t="s">
        <v>2081</v>
      </c>
      <c r="J1163" s="32" t="s">
        <v>2081</v>
      </c>
      <c r="K1163" s="0" t="n">
        <v>0</v>
      </c>
      <c r="L1163" s="32" t="s">
        <v>810</v>
      </c>
      <c r="M1163" s="0" t="str">
        <f aca="false">IF(L1163="GEN","GM",L1163)</f>
        <v>URO</v>
      </c>
    </row>
    <row r="1164" customFormat="false" ht="15" hidden="false" customHeight="false" outlineLevel="0" collapsed="false">
      <c r="A1164" s="0" t="s">
        <v>8586</v>
      </c>
      <c r="B1164" s="0" t="s">
        <v>8587</v>
      </c>
      <c r="C1164" s="0" t="s">
        <v>6282</v>
      </c>
      <c r="D1164" s="0" t="s">
        <v>2088</v>
      </c>
      <c r="E1164" s="31" t="n">
        <v>45704</v>
      </c>
      <c r="F1164" s="32" t="s">
        <v>1125</v>
      </c>
      <c r="G1164" s="0" t="n">
        <v>12</v>
      </c>
      <c r="H1164" s="0" t="n">
        <v>12</v>
      </c>
      <c r="I1164" s="32" t="s">
        <v>2081</v>
      </c>
      <c r="J1164" s="32" t="s">
        <v>2081</v>
      </c>
      <c r="K1164" s="0" t="n">
        <v>0</v>
      </c>
      <c r="L1164" s="32" t="s">
        <v>793</v>
      </c>
      <c r="M1164" s="0" t="str">
        <f aca="false">IF(L1164="GEN","GM",L1164)</f>
        <v>EM</v>
      </c>
    </row>
    <row r="1165" customFormat="false" ht="15" hidden="false" customHeight="false" outlineLevel="0" collapsed="false">
      <c r="A1165" s="0" t="s">
        <v>8588</v>
      </c>
      <c r="B1165" s="0" t="s">
        <v>8589</v>
      </c>
      <c r="C1165" s="0" t="s">
        <v>6286</v>
      </c>
      <c r="D1165" s="0" t="s">
        <v>2088</v>
      </c>
      <c r="E1165" s="31" t="n">
        <v>45704</v>
      </c>
      <c r="F1165" s="32" t="s">
        <v>6283</v>
      </c>
      <c r="G1165" s="0" t="n">
        <v>11.5</v>
      </c>
      <c r="H1165" s="0" t="n">
        <v>11.5</v>
      </c>
      <c r="I1165" s="32" t="s">
        <v>2081</v>
      </c>
      <c r="J1165" s="32" t="s">
        <v>2106</v>
      </c>
      <c r="K1165" s="0" t="n">
        <v>0</v>
      </c>
      <c r="L1165" s="32" t="s">
        <v>766</v>
      </c>
      <c r="M1165" s="0" t="str">
        <f aca="false">IF(L1165="GEN","GM",L1165)</f>
        <v>OR</v>
      </c>
    </row>
    <row r="1166" customFormat="false" ht="15" hidden="false" customHeight="false" outlineLevel="0" collapsed="false">
      <c r="A1166" s="0" t="s">
        <v>8590</v>
      </c>
      <c r="B1166" s="0" t="s">
        <v>8591</v>
      </c>
      <c r="C1166" s="0" t="s">
        <v>780</v>
      </c>
      <c r="D1166" s="0" t="s">
        <v>2088</v>
      </c>
      <c r="E1166" s="31" t="n">
        <v>45704</v>
      </c>
      <c r="F1166" s="32" t="s">
        <v>6283</v>
      </c>
      <c r="G1166" s="0" t="n">
        <v>11.5</v>
      </c>
      <c r="H1166" s="0" t="n">
        <v>11.5</v>
      </c>
      <c r="I1166" s="32" t="s">
        <v>2081</v>
      </c>
      <c r="J1166" s="32" t="s">
        <v>2081</v>
      </c>
      <c r="K1166" s="0" t="n">
        <v>0</v>
      </c>
      <c r="L1166" s="32" t="s">
        <v>747</v>
      </c>
      <c r="M1166" s="0" t="str">
        <f aca="false">IF(L1166="GEN","GM",L1166)</f>
        <v>GM</v>
      </c>
    </row>
    <row r="1167" customFormat="false" ht="15" hidden="false" customHeight="false" outlineLevel="0" collapsed="false">
      <c r="A1167" s="0" t="s">
        <v>8592</v>
      </c>
      <c r="B1167" s="0" t="s">
        <v>8593</v>
      </c>
      <c r="C1167" s="0" t="s">
        <v>6286</v>
      </c>
      <c r="D1167" s="0" t="s">
        <v>2079</v>
      </c>
      <c r="E1167" s="31" t="n">
        <v>45704</v>
      </c>
      <c r="F1167" s="32" t="s">
        <v>6287</v>
      </c>
      <c r="G1167" s="0" t="n">
        <v>7.5</v>
      </c>
      <c r="H1167" s="0" t="n">
        <v>7.5</v>
      </c>
      <c r="J1167" s="32" t="s">
        <v>2081</v>
      </c>
      <c r="K1167" s="0" t="n">
        <v>0</v>
      </c>
      <c r="L1167" s="32" t="s">
        <v>793</v>
      </c>
      <c r="M1167" s="0" t="str">
        <f aca="false">IF(L1167="GEN","GM",L1167)</f>
        <v>EM</v>
      </c>
    </row>
    <row r="1168" customFormat="false" ht="15" hidden="false" customHeight="false" outlineLevel="0" collapsed="false">
      <c r="A1168" s="0" t="s">
        <v>8594</v>
      </c>
      <c r="B1168" s="0" t="s">
        <v>8595</v>
      </c>
      <c r="C1168" s="0" t="s">
        <v>6286</v>
      </c>
      <c r="D1168" s="0" t="s">
        <v>2079</v>
      </c>
      <c r="E1168" s="31" t="n">
        <v>45704</v>
      </c>
      <c r="F1168" s="32" t="s">
        <v>1125</v>
      </c>
      <c r="G1168" s="0" t="n">
        <v>12</v>
      </c>
      <c r="H1168" s="0" t="n">
        <v>12</v>
      </c>
      <c r="I1168" s="32" t="s">
        <v>2106</v>
      </c>
      <c r="J1168" s="32" t="s">
        <v>2081</v>
      </c>
      <c r="K1168" s="0" t="n">
        <v>0</v>
      </c>
      <c r="L1168" s="32" t="s">
        <v>776</v>
      </c>
      <c r="M1168" s="0" t="str">
        <f aca="false">IF(L1168="GEN","GM",L1168)</f>
        <v>GS</v>
      </c>
    </row>
    <row r="1169" customFormat="false" ht="15" hidden="false" customHeight="false" outlineLevel="0" collapsed="false">
      <c r="A1169" s="0" t="s">
        <v>8596</v>
      </c>
      <c r="B1169" s="0" t="s">
        <v>8597</v>
      </c>
      <c r="C1169" s="0" t="s">
        <v>6286</v>
      </c>
      <c r="D1169" s="0" t="s">
        <v>2079</v>
      </c>
      <c r="E1169" s="31" t="n">
        <v>45704</v>
      </c>
      <c r="F1169" s="32" t="s">
        <v>6283</v>
      </c>
      <c r="G1169" s="0" t="n">
        <v>11.5</v>
      </c>
      <c r="H1169" s="0" t="n">
        <v>11.5</v>
      </c>
      <c r="I1169" s="32" t="s">
        <v>2081</v>
      </c>
      <c r="J1169" s="32" t="s">
        <v>2081</v>
      </c>
      <c r="K1169" s="0" t="n">
        <v>0</v>
      </c>
      <c r="L1169" s="32" t="s">
        <v>747</v>
      </c>
      <c r="M1169" s="0" t="str">
        <f aca="false">IF(L1169="GEN","GM",L1169)</f>
        <v>GM</v>
      </c>
    </row>
    <row r="1170" customFormat="false" ht="15" hidden="false" customHeight="false" outlineLevel="0" collapsed="false">
      <c r="A1170" s="0" t="s">
        <v>8598</v>
      </c>
      <c r="B1170" s="0" t="s">
        <v>8599</v>
      </c>
      <c r="C1170" s="0" t="s">
        <v>6290</v>
      </c>
      <c r="D1170" s="0" t="s">
        <v>2099</v>
      </c>
      <c r="E1170" s="31" t="n">
        <v>45704</v>
      </c>
      <c r="F1170" s="32" t="s">
        <v>1125</v>
      </c>
      <c r="G1170" s="0" t="n">
        <v>12</v>
      </c>
      <c r="H1170" s="0" t="n">
        <v>12</v>
      </c>
      <c r="I1170" s="32" t="s">
        <v>2081</v>
      </c>
      <c r="J1170" s="32" t="s">
        <v>2081</v>
      </c>
      <c r="K1170" s="0" t="n">
        <v>0</v>
      </c>
      <c r="L1170" s="32" t="s">
        <v>802</v>
      </c>
      <c r="M1170" s="0" t="str">
        <f aca="false">IF(L1170="GEN","GM",L1170)</f>
        <v>GYN</v>
      </c>
    </row>
    <row r="1171" customFormat="false" ht="15" hidden="false" customHeight="false" outlineLevel="0" collapsed="false">
      <c r="A1171" s="0" t="s">
        <v>8600</v>
      </c>
      <c r="B1171" s="0" t="s">
        <v>8601</v>
      </c>
      <c r="C1171" s="0" t="s">
        <v>6286</v>
      </c>
      <c r="D1171" s="0" t="s">
        <v>2099</v>
      </c>
      <c r="E1171" s="31" t="n">
        <v>45704</v>
      </c>
      <c r="F1171" s="32" t="s">
        <v>6287</v>
      </c>
      <c r="G1171" s="0" t="n">
        <v>7.5</v>
      </c>
      <c r="H1171" s="0" t="n">
        <v>7.5</v>
      </c>
      <c r="I1171" s="32" t="s">
        <v>2081</v>
      </c>
      <c r="J1171" s="32" t="s">
        <v>2081</v>
      </c>
      <c r="K1171" s="0" t="n">
        <v>0</v>
      </c>
      <c r="L1171" s="32" t="s">
        <v>785</v>
      </c>
      <c r="M1171" s="0" t="str">
        <f aca="false">IF(L1171="GEN","GM",L1171)</f>
        <v>RS</v>
      </c>
    </row>
    <row r="1172" customFormat="false" ht="15" hidden="false" customHeight="false" outlineLevel="0" collapsed="false">
      <c r="A1172" s="0" t="s">
        <v>8602</v>
      </c>
      <c r="B1172" s="0" t="s">
        <v>8603</v>
      </c>
      <c r="C1172" s="0" t="s">
        <v>6295</v>
      </c>
      <c r="D1172" s="0" t="s">
        <v>2099</v>
      </c>
      <c r="E1172" s="31" t="n">
        <v>45704</v>
      </c>
      <c r="F1172" s="32" t="s">
        <v>6287</v>
      </c>
      <c r="G1172" s="0" t="n">
        <v>7.5</v>
      </c>
      <c r="H1172" s="0" t="n">
        <v>7.5</v>
      </c>
      <c r="I1172" s="32" t="s">
        <v>2081</v>
      </c>
      <c r="J1172" s="32" t="s">
        <v>2081</v>
      </c>
      <c r="K1172" s="0" t="n">
        <v>0</v>
      </c>
      <c r="L1172" s="32" t="s">
        <v>810</v>
      </c>
      <c r="M1172" s="0" t="str">
        <f aca="false">IF(L1172="GEN","GM",L1172)</f>
        <v>URO</v>
      </c>
    </row>
    <row r="1173" customFormat="false" ht="15" hidden="false" customHeight="false" outlineLevel="0" collapsed="false">
      <c r="A1173" s="0" t="s">
        <v>8604</v>
      </c>
      <c r="B1173" s="0" t="s">
        <v>8605</v>
      </c>
      <c r="C1173" s="0" t="s">
        <v>6286</v>
      </c>
      <c r="D1173" s="0" t="s">
        <v>2099</v>
      </c>
      <c r="E1173" s="31" t="n">
        <v>45704</v>
      </c>
      <c r="F1173" s="32" t="s">
        <v>1125</v>
      </c>
      <c r="G1173" s="0" t="n">
        <v>12</v>
      </c>
      <c r="H1173" s="0" t="n">
        <v>12</v>
      </c>
      <c r="I1173" s="32" t="s">
        <v>2081</v>
      </c>
      <c r="J1173" s="32" t="s">
        <v>2081</v>
      </c>
      <c r="K1173" s="0" t="n">
        <v>0</v>
      </c>
      <c r="L1173" s="32" t="s">
        <v>802</v>
      </c>
      <c r="M1173" s="0" t="str">
        <f aca="false">IF(L1173="GEN","GM",L1173)</f>
        <v>GYN</v>
      </c>
    </row>
    <row r="1174" customFormat="false" ht="15" hidden="false" customHeight="false" outlineLevel="0" collapsed="false">
      <c r="A1174" s="0" t="s">
        <v>8606</v>
      </c>
      <c r="B1174" s="0" t="s">
        <v>8607</v>
      </c>
      <c r="C1174" s="0" t="s">
        <v>6282</v>
      </c>
      <c r="D1174" s="0" t="s">
        <v>2099</v>
      </c>
      <c r="E1174" s="31" t="n">
        <v>45704</v>
      </c>
      <c r="F1174" s="32" t="s">
        <v>6283</v>
      </c>
      <c r="G1174" s="0" t="n">
        <v>11.5</v>
      </c>
      <c r="H1174" s="0" t="n">
        <v>11.5</v>
      </c>
      <c r="I1174" s="32" t="s">
        <v>2081</v>
      </c>
      <c r="J1174" s="32" t="s">
        <v>2081</v>
      </c>
      <c r="K1174" s="0" t="n">
        <v>0</v>
      </c>
      <c r="L1174" s="32" t="s">
        <v>758</v>
      </c>
      <c r="M1174" s="0" t="str">
        <f aca="false">IF(L1174="GEN","GM",L1174)</f>
        <v>CS</v>
      </c>
    </row>
    <row r="1175" customFormat="false" ht="15" hidden="false" customHeight="false" outlineLevel="0" collapsed="false">
      <c r="A1175" s="0" t="s">
        <v>8608</v>
      </c>
      <c r="B1175" s="0" t="s">
        <v>8609</v>
      </c>
      <c r="C1175" s="0" t="s">
        <v>6295</v>
      </c>
      <c r="D1175" s="0" t="s">
        <v>2115</v>
      </c>
      <c r="E1175" s="31" t="n">
        <v>45704</v>
      </c>
      <c r="F1175" s="32" t="s">
        <v>1125</v>
      </c>
      <c r="G1175" s="0" t="n">
        <v>12</v>
      </c>
      <c r="H1175" s="0" t="n">
        <v>12</v>
      </c>
      <c r="I1175" s="32" t="s">
        <v>2081</v>
      </c>
      <c r="J1175" s="32" t="s">
        <v>2081</v>
      </c>
      <c r="K1175" s="0" t="n">
        <v>0</v>
      </c>
      <c r="L1175" s="32" t="s">
        <v>793</v>
      </c>
      <c r="M1175" s="0" t="str">
        <f aca="false">IF(L1175="GEN","GM",L1175)</f>
        <v>EM</v>
      </c>
    </row>
    <row r="1176" customFormat="false" ht="15" hidden="false" customHeight="false" outlineLevel="0" collapsed="false">
      <c r="A1176" s="0" t="s">
        <v>8610</v>
      </c>
      <c r="B1176" s="0" t="s">
        <v>8611</v>
      </c>
      <c r="C1176" s="0" t="s">
        <v>6295</v>
      </c>
      <c r="D1176" s="0" t="s">
        <v>2115</v>
      </c>
      <c r="E1176" s="31" t="n">
        <v>45704</v>
      </c>
      <c r="F1176" s="32" t="s">
        <v>1125</v>
      </c>
      <c r="G1176" s="0" t="n">
        <v>12</v>
      </c>
      <c r="H1176" s="0" t="n">
        <v>12</v>
      </c>
      <c r="I1176" s="32" t="s">
        <v>2081</v>
      </c>
      <c r="J1176" s="32" t="s">
        <v>2081</v>
      </c>
      <c r="K1176" s="0" t="n">
        <v>0</v>
      </c>
      <c r="L1176" s="32" t="s">
        <v>826</v>
      </c>
      <c r="M1176" s="0" t="str">
        <f aca="false">IF(L1176="GEN","GM",L1176)</f>
        <v>RHE</v>
      </c>
    </row>
    <row r="1177" customFormat="false" ht="15" hidden="false" customHeight="false" outlineLevel="0" collapsed="false">
      <c r="A1177" s="0" t="s">
        <v>8612</v>
      </c>
      <c r="B1177" s="0" t="s">
        <v>8613</v>
      </c>
      <c r="C1177" s="0" t="s">
        <v>6290</v>
      </c>
      <c r="D1177" s="0" t="s">
        <v>2115</v>
      </c>
      <c r="E1177" s="31" t="n">
        <v>45704</v>
      </c>
      <c r="F1177" s="32" t="s">
        <v>6287</v>
      </c>
      <c r="G1177" s="0" t="n">
        <v>7.5</v>
      </c>
      <c r="H1177" s="0" t="n">
        <v>7.5</v>
      </c>
      <c r="I1177" s="32" t="s">
        <v>2081</v>
      </c>
      <c r="J1177" s="32" t="s">
        <v>2081</v>
      </c>
      <c r="K1177" s="0" t="n">
        <v>0</v>
      </c>
      <c r="L1177" s="32" t="s">
        <v>810</v>
      </c>
      <c r="M1177" s="0" t="str">
        <f aca="false">IF(L1177="GEN","GM",L1177)</f>
        <v>URO</v>
      </c>
    </row>
    <row r="1178" customFormat="false" ht="15" hidden="false" customHeight="false" outlineLevel="0" collapsed="false">
      <c r="A1178" s="0" t="s">
        <v>8614</v>
      </c>
      <c r="B1178" s="0" t="s">
        <v>8615</v>
      </c>
      <c r="C1178" s="0" t="s">
        <v>780</v>
      </c>
      <c r="D1178" s="0" t="s">
        <v>2115</v>
      </c>
      <c r="E1178" s="31" t="n">
        <v>45704</v>
      </c>
      <c r="F1178" s="32" t="s">
        <v>6287</v>
      </c>
      <c r="G1178" s="0" t="n">
        <v>7.5</v>
      </c>
      <c r="H1178" s="0" t="n">
        <v>7.5</v>
      </c>
      <c r="I1178" s="32" t="s">
        <v>2106</v>
      </c>
      <c r="J1178" s="32" t="s">
        <v>2081</v>
      </c>
      <c r="K1178" s="0" t="n">
        <v>0</v>
      </c>
      <c r="L1178" s="32" t="s">
        <v>826</v>
      </c>
      <c r="M1178" s="0" t="str">
        <f aca="false">IF(L1178="GEN","GM",L1178)</f>
        <v>RHE</v>
      </c>
    </row>
    <row r="1179" customFormat="false" ht="15" hidden="false" customHeight="false" outlineLevel="0" collapsed="false">
      <c r="A1179" s="0" t="s">
        <v>8616</v>
      </c>
      <c r="B1179" s="0" t="s">
        <v>8617</v>
      </c>
      <c r="C1179" s="0" t="s">
        <v>6295</v>
      </c>
      <c r="D1179" s="0" t="s">
        <v>2115</v>
      </c>
      <c r="E1179" s="31" t="n">
        <v>45704</v>
      </c>
      <c r="F1179" s="32" t="s">
        <v>6287</v>
      </c>
      <c r="G1179" s="0" t="n">
        <v>7.5</v>
      </c>
      <c r="H1179" s="0" t="n">
        <v>7.5</v>
      </c>
      <c r="I1179" s="32" t="s">
        <v>2081</v>
      </c>
      <c r="J1179" s="32" t="s">
        <v>2081</v>
      </c>
      <c r="K1179" s="0" t="n">
        <v>0</v>
      </c>
      <c r="L1179" s="32" t="s">
        <v>810</v>
      </c>
      <c r="M1179" s="0" t="str">
        <f aca="false">IF(L1179="GEN","GM",L1179)</f>
        <v>URO</v>
      </c>
    </row>
    <row r="1180" customFormat="false" ht="15" hidden="false" customHeight="false" outlineLevel="0" collapsed="false">
      <c r="A1180" s="0" t="s">
        <v>8618</v>
      </c>
      <c r="B1180" s="0" t="s">
        <v>8619</v>
      </c>
      <c r="C1180" s="0" t="s">
        <v>780</v>
      </c>
      <c r="D1180" s="0" t="s">
        <v>2124</v>
      </c>
      <c r="E1180" s="31" t="n">
        <v>45704</v>
      </c>
      <c r="F1180" s="32" t="s">
        <v>8620</v>
      </c>
      <c r="G1180" s="0" t="n">
        <v>12</v>
      </c>
      <c r="H1180" s="0" t="n">
        <v>12</v>
      </c>
      <c r="I1180" s="32" t="s">
        <v>2081</v>
      </c>
      <c r="J1180" s="32" t="s">
        <v>2081</v>
      </c>
      <c r="K1180" s="0" t="n">
        <v>0</v>
      </c>
      <c r="L1180" s="32" t="s">
        <v>826</v>
      </c>
      <c r="M1180" s="0" t="str">
        <f aca="false">IF(L1180="GEN","GM",L1180)</f>
        <v>RHE</v>
      </c>
    </row>
    <row r="1181" customFormat="false" ht="15" hidden="false" customHeight="false" outlineLevel="0" collapsed="false">
      <c r="A1181" s="0" t="s">
        <v>8621</v>
      </c>
      <c r="B1181" s="0" t="s">
        <v>8622</v>
      </c>
      <c r="C1181" s="0" t="s">
        <v>780</v>
      </c>
      <c r="D1181" s="0" t="s">
        <v>2124</v>
      </c>
      <c r="E1181" s="31" t="n">
        <v>45704</v>
      </c>
      <c r="F1181" s="32" t="s">
        <v>6287</v>
      </c>
      <c r="G1181" s="0" t="n">
        <v>7.5</v>
      </c>
      <c r="H1181" s="0" t="n">
        <v>7.5</v>
      </c>
      <c r="I1181" s="32" t="s">
        <v>2081</v>
      </c>
      <c r="J1181" s="32" t="s">
        <v>2081</v>
      </c>
      <c r="K1181" s="0" t="n">
        <v>0</v>
      </c>
      <c r="L1181" s="32" t="s">
        <v>785</v>
      </c>
      <c r="M1181" s="0" t="str">
        <f aca="false">IF(L1181="GEN","GM",L1181)</f>
        <v>RS</v>
      </c>
    </row>
    <row r="1182" customFormat="false" ht="15" hidden="false" customHeight="false" outlineLevel="0" collapsed="false">
      <c r="A1182" s="0" t="s">
        <v>8623</v>
      </c>
      <c r="B1182" s="0" t="s">
        <v>8624</v>
      </c>
      <c r="C1182" s="0" t="s">
        <v>6290</v>
      </c>
      <c r="D1182" s="0" t="s">
        <v>2124</v>
      </c>
      <c r="E1182" s="31" t="n">
        <v>45704</v>
      </c>
      <c r="F1182" s="32" t="s">
        <v>6283</v>
      </c>
      <c r="G1182" s="0" t="n">
        <v>11.5</v>
      </c>
      <c r="H1182" s="0" t="n">
        <v>11.5</v>
      </c>
      <c r="I1182" s="32" t="s">
        <v>2081</v>
      </c>
      <c r="J1182" s="32" t="s">
        <v>2081</v>
      </c>
      <c r="K1182" s="0" t="n">
        <v>0</v>
      </c>
      <c r="L1182" s="32" t="s">
        <v>747</v>
      </c>
      <c r="M1182" s="0" t="str">
        <f aca="false">IF(L1182="GEN","GM",L1182)</f>
        <v>GM</v>
      </c>
    </row>
    <row r="1183" customFormat="false" ht="15" hidden="false" customHeight="false" outlineLevel="0" collapsed="false">
      <c r="A1183" s="0" t="s">
        <v>8625</v>
      </c>
      <c r="B1183" s="0" t="s">
        <v>8626</v>
      </c>
      <c r="C1183" s="0" t="s">
        <v>6295</v>
      </c>
      <c r="D1183" s="0" t="s">
        <v>2124</v>
      </c>
      <c r="E1183" s="31" t="n">
        <v>45704</v>
      </c>
      <c r="F1183" s="32" t="s">
        <v>1125</v>
      </c>
      <c r="G1183" s="0" t="n">
        <v>12</v>
      </c>
      <c r="H1183" s="0" t="n">
        <v>12</v>
      </c>
      <c r="I1183" s="32" t="s">
        <v>2106</v>
      </c>
      <c r="J1183" s="32" t="s">
        <v>2081</v>
      </c>
      <c r="K1183" s="0" t="n">
        <v>0</v>
      </c>
      <c r="L1183" s="32" t="s">
        <v>785</v>
      </c>
      <c r="M1183" s="0" t="str">
        <f aca="false">IF(L1183="GEN","GM",L1183)</f>
        <v>RS</v>
      </c>
    </row>
    <row r="1184" customFormat="false" ht="15" hidden="false" customHeight="false" outlineLevel="0" collapsed="false">
      <c r="A1184" s="0" t="s">
        <v>8627</v>
      </c>
      <c r="B1184" s="0" t="s">
        <v>8628</v>
      </c>
      <c r="C1184" s="0" t="s">
        <v>6286</v>
      </c>
      <c r="D1184" s="0" t="s">
        <v>2124</v>
      </c>
      <c r="E1184" s="31" t="n">
        <v>45704</v>
      </c>
      <c r="F1184" s="32" t="s">
        <v>6283</v>
      </c>
      <c r="G1184" s="0" t="n">
        <v>11.5</v>
      </c>
      <c r="H1184" s="0" t="n">
        <v>11.5</v>
      </c>
      <c r="I1184" s="32" t="s">
        <v>2081</v>
      </c>
      <c r="J1184" s="32" t="s">
        <v>2081</v>
      </c>
      <c r="K1184" s="0" t="n">
        <v>0</v>
      </c>
      <c r="L1184" s="32" t="s">
        <v>776</v>
      </c>
      <c r="M1184" s="0" t="str">
        <f aca="false">IF(L1184="GEN","GM",L1184)</f>
        <v>GS</v>
      </c>
    </row>
    <row r="1185" customFormat="false" ht="15" hidden="false" customHeight="false" outlineLevel="0" collapsed="false">
      <c r="A1185" s="0" t="s">
        <v>8629</v>
      </c>
      <c r="B1185" s="0" t="s">
        <v>8630</v>
      </c>
      <c r="C1185" s="0" t="s">
        <v>6286</v>
      </c>
      <c r="D1185" s="0" t="s">
        <v>2104</v>
      </c>
      <c r="E1185" s="31" t="n">
        <v>45704</v>
      </c>
      <c r="F1185" s="32" t="s">
        <v>6283</v>
      </c>
      <c r="G1185" s="0" t="n">
        <v>11.5</v>
      </c>
      <c r="H1185" s="0" t="n">
        <v>11.5</v>
      </c>
      <c r="I1185" s="32" t="s">
        <v>2081</v>
      </c>
      <c r="J1185" s="32" t="s">
        <v>2081</v>
      </c>
      <c r="K1185" s="0" t="n">
        <v>0</v>
      </c>
      <c r="L1185" s="32" t="s">
        <v>766</v>
      </c>
      <c r="M1185" s="0" t="str">
        <f aca="false">IF(L1185="GEN","GM",L1185)</f>
        <v>OR</v>
      </c>
    </row>
    <row r="1186" customFormat="false" ht="15" hidden="false" customHeight="false" outlineLevel="0" collapsed="false">
      <c r="A1186" s="0" t="s">
        <v>8631</v>
      </c>
      <c r="B1186" s="0" t="s">
        <v>8632</v>
      </c>
      <c r="C1186" s="0" t="s">
        <v>6282</v>
      </c>
      <c r="D1186" s="0" t="s">
        <v>2104</v>
      </c>
      <c r="E1186" s="31" t="n">
        <v>45704</v>
      </c>
      <c r="F1186" s="32" t="s">
        <v>6287</v>
      </c>
      <c r="G1186" s="0" t="n">
        <v>7.5</v>
      </c>
      <c r="H1186" s="0" t="n">
        <v>7.5</v>
      </c>
      <c r="I1186" s="32" t="s">
        <v>2081</v>
      </c>
      <c r="J1186" s="32" t="s">
        <v>2081</v>
      </c>
      <c r="K1186" s="0" t="n">
        <v>0</v>
      </c>
      <c r="L1186" s="32" t="s">
        <v>810</v>
      </c>
      <c r="M1186" s="0" t="str">
        <f aca="false">IF(L1186="GEN","GM",L1186)</f>
        <v>URO</v>
      </c>
    </row>
    <row r="1187" customFormat="false" ht="15" hidden="false" customHeight="false" outlineLevel="0" collapsed="false">
      <c r="A1187" s="0" t="s">
        <v>8633</v>
      </c>
      <c r="B1187" s="0" t="s">
        <v>8634</v>
      </c>
      <c r="C1187" s="0" t="s">
        <v>6295</v>
      </c>
      <c r="D1187" s="0" t="s">
        <v>2104</v>
      </c>
      <c r="E1187" s="31" t="n">
        <v>45704</v>
      </c>
      <c r="F1187" s="32" t="s">
        <v>6283</v>
      </c>
      <c r="G1187" s="0" t="n">
        <v>11.5</v>
      </c>
      <c r="H1187" s="0" t="n">
        <v>12</v>
      </c>
      <c r="I1187" s="32" t="s">
        <v>2081</v>
      </c>
      <c r="J1187" s="32" t="s">
        <v>2081</v>
      </c>
      <c r="K1187" s="0" t="n">
        <v>0.5</v>
      </c>
      <c r="L1187" s="32" t="s">
        <v>766</v>
      </c>
      <c r="M1187" s="0" t="str">
        <f aca="false">IF(L1187="GEN","GM",L1187)</f>
        <v>OR</v>
      </c>
    </row>
    <row r="1188" customFormat="false" ht="15" hidden="false" customHeight="false" outlineLevel="0" collapsed="false">
      <c r="A1188" s="0" t="s">
        <v>8635</v>
      </c>
      <c r="B1188" s="0" t="s">
        <v>8636</v>
      </c>
      <c r="C1188" s="0" t="s">
        <v>6286</v>
      </c>
      <c r="D1188" s="0" t="s">
        <v>2104</v>
      </c>
      <c r="E1188" s="31" t="n">
        <v>45704</v>
      </c>
      <c r="F1188" s="32" t="s">
        <v>1125</v>
      </c>
      <c r="G1188" s="0" t="n">
        <v>12</v>
      </c>
      <c r="H1188" s="0" t="n">
        <v>12</v>
      </c>
      <c r="I1188" s="32" t="s">
        <v>2081</v>
      </c>
      <c r="J1188" s="32" t="s">
        <v>2081</v>
      </c>
      <c r="K1188" s="0" t="n">
        <v>0</v>
      </c>
      <c r="L1188" s="32" t="s">
        <v>766</v>
      </c>
      <c r="M1188" s="0" t="str">
        <f aca="false">IF(L1188="GEN","GM",L1188)</f>
        <v>OR</v>
      </c>
    </row>
    <row r="1189" customFormat="false" ht="15" hidden="false" customHeight="false" outlineLevel="0" collapsed="false">
      <c r="A1189" s="0" t="s">
        <v>8637</v>
      </c>
      <c r="B1189" s="0" t="s">
        <v>8638</v>
      </c>
      <c r="C1189" s="0" t="s">
        <v>6286</v>
      </c>
      <c r="D1189" s="0" t="s">
        <v>2104</v>
      </c>
      <c r="E1189" s="31" t="n">
        <v>45704</v>
      </c>
      <c r="F1189" s="32" t="s">
        <v>6287</v>
      </c>
      <c r="G1189" s="0" t="n">
        <v>7.5</v>
      </c>
      <c r="H1189" s="0" t="n">
        <v>7.5</v>
      </c>
      <c r="I1189" s="32" t="s">
        <v>2081</v>
      </c>
      <c r="J1189" s="32" t="s">
        <v>2081</v>
      </c>
      <c r="K1189" s="0" t="n">
        <v>0</v>
      </c>
      <c r="L1189" s="32" t="s">
        <v>785</v>
      </c>
      <c r="M1189" s="0" t="str">
        <f aca="false">IF(L1189="GEN","GM",L1189)</f>
        <v>RS</v>
      </c>
    </row>
    <row r="1190" customFormat="false" ht="15" hidden="false" customHeight="false" outlineLevel="0" collapsed="false">
      <c r="A1190" s="0" t="s">
        <v>8639</v>
      </c>
      <c r="B1190" s="0" t="s">
        <v>8640</v>
      </c>
      <c r="C1190" s="0" t="s">
        <v>6290</v>
      </c>
      <c r="D1190" s="0" t="s">
        <v>3035</v>
      </c>
      <c r="E1190" s="31" t="n">
        <v>45704</v>
      </c>
      <c r="F1190" s="32" t="s">
        <v>6283</v>
      </c>
      <c r="G1190" s="0" t="n">
        <v>11.5</v>
      </c>
      <c r="H1190" s="0" t="n">
        <v>11.5</v>
      </c>
      <c r="I1190" s="32" t="s">
        <v>2081</v>
      </c>
      <c r="J1190" s="32" t="s">
        <v>2106</v>
      </c>
      <c r="K1190" s="0" t="n">
        <v>0</v>
      </c>
      <c r="L1190" s="32" t="s">
        <v>766</v>
      </c>
      <c r="M1190" s="0" t="str">
        <f aca="false">IF(L1190="GEN","GM",L1190)</f>
        <v>OR</v>
      </c>
    </row>
    <row r="1191" customFormat="false" ht="15" hidden="false" customHeight="false" outlineLevel="0" collapsed="false">
      <c r="A1191" s="0" t="s">
        <v>8641</v>
      </c>
      <c r="B1191" s="0" t="s">
        <v>8642</v>
      </c>
      <c r="C1191" s="0" t="s">
        <v>6295</v>
      </c>
      <c r="D1191" s="0" t="s">
        <v>3035</v>
      </c>
      <c r="E1191" s="31" t="n">
        <v>45704</v>
      </c>
      <c r="F1191" s="32" t="s">
        <v>6287</v>
      </c>
      <c r="G1191" s="0" t="n">
        <v>7.5</v>
      </c>
      <c r="H1191" s="0" t="n">
        <v>7.5</v>
      </c>
      <c r="I1191" s="32" t="s">
        <v>2081</v>
      </c>
      <c r="J1191" s="32" t="s">
        <v>2081</v>
      </c>
      <c r="K1191" s="0" t="n">
        <v>0</v>
      </c>
      <c r="L1191" s="32" t="s">
        <v>810</v>
      </c>
      <c r="M1191" s="0" t="str">
        <f aca="false">IF(L1191="GEN","GM",L1191)</f>
        <v>URO</v>
      </c>
    </row>
    <row r="1192" customFormat="false" ht="15" hidden="false" customHeight="false" outlineLevel="0" collapsed="false">
      <c r="A1192" s="0" t="s">
        <v>8643</v>
      </c>
      <c r="B1192" s="0" t="s">
        <v>8644</v>
      </c>
      <c r="C1192" s="0" t="s">
        <v>6295</v>
      </c>
      <c r="D1192" s="0" t="s">
        <v>3035</v>
      </c>
      <c r="E1192" s="31" t="n">
        <v>45704</v>
      </c>
      <c r="F1192" s="32" t="s">
        <v>1125</v>
      </c>
      <c r="G1192" s="0" t="n">
        <v>12</v>
      </c>
      <c r="H1192" s="0" t="n">
        <v>12</v>
      </c>
      <c r="I1192" s="32" t="s">
        <v>2081</v>
      </c>
      <c r="J1192" s="32" t="s">
        <v>2081</v>
      </c>
      <c r="K1192" s="0" t="n">
        <v>0</v>
      </c>
      <c r="L1192" s="32" t="s">
        <v>747</v>
      </c>
      <c r="M1192" s="0" t="str">
        <f aca="false">IF(L1192="GEN","GM",L1192)</f>
        <v>GM</v>
      </c>
    </row>
    <row r="1193" customFormat="false" ht="15" hidden="false" customHeight="false" outlineLevel="0" collapsed="false">
      <c r="A1193" s="0" t="s">
        <v>8645</v>
      </c>
      <c r="B1193" s="0" t="s">
        <v>8646</v>
      </c>
      <c r="C1193" s="0" t="s">
        <v>6286</v>
      </c>
      <c r="D1193" s="0" t="s">
        <v>3035</v>
      </c>
      <c r="E1193" s="31" t="n">
        <v>45704</v>
      </c>
      <c r="F1193" s="32" t="s">
        <v>6287</v>
      </c>
      <c r="G1193" s="0" t="n">
        <v>7.5</v>
      </c>
      <c r="H1193" s="0" t="n">
        <v>7.5</v>
      </c>
      <c r="I1193" s="32" t="s">
        <v>2081</v>
      </c>
      <c r="J1193" s="32" t="s">
        <v>2081</v>
      </c>
      <c r="K1193" s="0" t="n">
        <v>0</v>
      </c>
      <c r="L1193" s="32" t="s">
        <v>747</v>
      </c>
      <c r="M1193" s="0" t="str">
        <f aca="false">IF(L1193="GEN","GM",L1193)</f>
        <v>GM</v>
      </c>
    </row>
    <row r="1194" customFormat="false" ht="15" hidden="false" customHeight="false" outlineLevel="0" collapsed="false">
      <c r="A1194" s="0" t="s">
        <v>8647</v>
      </c>
      <c r="B1194" s="0" t="s">
        <v>8648</v>
      </c>
      <c r="C1194" s="0" t="s">
        <v>780</v>
      </c>
      <c r="D1194" s="0" t="s">
        <v>3035</v>
      </c>
      <c r="E1194" s="31" t="n">
        <v>45704</v>
      </c>
      <c r="F1194" s="32" t="s">
        <v>6283</v>
      </c>
      <c r="G1194" s="0" t="n">
        <v>11.5</v>
      </c>
      <c r="H1194" s="0" t="n">
        <v>10.3</v>
      </c>
      <c r="I1194" s="32" t="s">
        <v>2081</v>
      </c>
      <c r="J1194" s="32" t="s">
        <v>2081</v>
      </c>
      <c r="K1194" s="0" t="n">
        <v>0</v>
      </c>
      <c r="L1194" s="32" t="s">
        <v>758</v>
      </c>
      <c r="M1194" s="0" t="str">
        <f aca="false">IF(L1194="GEN","GM",L1194)</f>
        <v>CS</v>
      </c>
    </row>
    <row r="1195" customFormat="false" ht="15" hidden="false" customHeight="false" outlineLevel="0" collapsed="false">
      <c r="A1195" s="0" t="s">
        <v>8649</v>
      </c>
      <c r="B1195" s="0" t="s">
        <v>8650</v>
      </c>
      <c r="C1195" s="0" t="s">
        <v>780</v>
      </c>
      <c r="D1195" s="0" t="s">
        <v>2088</v>
      </c>
      <c r="E1195" s="31" t="n">
        <v>45705</v>
      </c>
      <c r="F1195" s="32" t="s">
        <v>6287</v>
      </c>
      <c r="G1195" s="0" t="n">
        <v>7.5</v>
      </c>
      <c r="H1195" s="0" t="n">
        <v>7.5</v>
      </c>
      <c r="I1195" s="32" t="s">
        <v>2106</v>
      </c>
      <c r="J1195" s="32" t="s">
        <v>2081</v>
      </c>
      <c r="K1195" s="0" t="n">
        <v>0</v>
      </c>
      <c r="L1195" s="32" t="s">
        <v>810</v>
      </c>
      <c r="M1195" s="0" t="str">
        <f aca="false">IF(L1195="GEN","GM",L1195)</f>
        <v>URO</v>
      </c>
    </row>
    <row r="1196" customFormat="false" ht="15" hidden="false" customHeight="false" outlineLevel="0" collapsed="false">
      <c r="A1196" s="0" t="s">
        <v>8651</v>
      </c>
      <c r="B1196" s="0" t="s">
        <v>8652</v>
      </c>
      <c r="C1196" s="0" t="s">
        <v>780</v>
      </c>
      <c r="D1196" s="0" t="s">
        <v>2088</v>
      </c>
      <c r="E1196" s="31" t="n">
        <v>45705</v>
      </c>
      <c r="F1196" s="32" t="s">
        <v>6283</v>
      </c>
      <c r="G1196" s="0" t="n">
        <v>11.5</v>
      </c>
      <c r="H1196" s="0" t="n">
        <v>11.5</v>
      </c>
      <c r="I1196" s="32" t="s">
        <v>2081</v>
      </c>
      <c r="J1196" s="32" t="s">
        <v>2081</v>
      </c>
      <c r="K1196" s="0" t="n">
        <v>0</v>
      </c>
      <c r="L1196" s="32" t="s">
        <v>802</v>
      </c>
      <c r="M1196" s="0" t="str">
        <f aca="false">IF(L1196="GEN","GM",L1196)</f>
        <v>GYN</v>
      </c>
    </row>
    <row r="1197" customFormat="false" ht="15" hidden="false" customHeight="false" outlineLevel="0" collapsed="false">
      <c r="A1197" s="0" t="s">
        <v>8653</v>
      </c>
      <c r="B1197" s="0" t="s">
        <v>8654</v>
      </c>
      <c r="C1197" s="0" t="s">
        <v>6286</v>
      </c>
      <c r="D1197" s="0" t="s">
        <v>2088</v>
      </c>
      <c r="E1197" s="31" t="n">
        <v>45705</v>
      </c>
      <c r="F1197" s="32" t="s">
        <v>1125</v>
      </c>
      <c r="G1197" s="0" t="n">
        <v>12</v>
      </c>
      <c r="H1197" s="0" t="n">
        <v>12</v>
      </c>
      <c r="I1197" s="32" t="s">
        <v>2081</v>
      </c>
      <c r="J1197" s="32" t="s">
        <v>2106</v>
      </c>
      <c r="K1197" s="0" t="n">
        <v>0</v>
      </c>
      <c r="L1197" s="32" t="s">
        <v>810</v>
      </c>
      <c r="M1197" s="0" t="str">
        <f aca="false">IF(L1197="GEN","GM",L1197)</f>
        <v>URO</v>
      </c>
    </row>
    <row r="1198" customFormat="false" ht="15" hidden="false" customHeight="false" outlineLevel="0" collapsed="false">
      <c r="A1198" s="0" t="s">
        <v>8655</v>
      </c>
      <c r="B1198" s="0" t="s">
        <v>8656</v>
      </c>
      <c r="C1198" s="0" t="s">
        <v>6295</v>
      </c>
      <c r="D1198" s="0" t="s">
        <v>2079</v>
      </c>
      <c r="E1198" s="31" t="n">
        <v>45705</v>
      </c>
      <c r="F1198" s="32" t="s">
        <v>6283</v>
      </c>
      <c r="G1198" s="0" t="n">
        <v>11.5</v>
      </c>
      <c r="H1198" s="0" t="n">
        <v>11.5</v>
      </c>
      <c r="I1198" s="32" t="s">
        <v>2081</v>
      </c>
      <c r="J1198" s="32" t="s">
        <v>2081</v>
      </c>
      <c r="K1198" s="0" t="n">
        <v>0</v>
      </c>
      <c r="L1198" s="32" t="s">
        <v>776</v>
      </c>
      <c r="M1198" s="0" t="str">
        <f aca="false">IF(L1198="GEN","GM",L1198)</f>
        <v>GS</v>
      </c>
    </row>
    <row r="1199" customFormat="false" ht="15" hidden="false" customHeight="false" outlineLevel="0" collapsed="false">
      <c r="A1199" s="0" t="s">
        <v>8657</v>
      </c>
      <c r="B1199" s="0" t="s">
        <v>8658</v>
      </c>
      <c r="C1199" s="0" t="s">
        <v>6282</v>
      </c>
      <c r="D1199" s="0" t="s">
        <v>2079</v>
      </c>
      <c r="E1199" s="31" t="n">
        <v>45705</v>
      </c>
      <c r="F1199" s="32" t="s">
        <v>6287</v>
      </c>
      <c r="G1199" s="0" t="n">
        <v>7.5</v>
      </c>
      <c r="H1199" s="0" t="n">
        <v>7.5</v>
      </c>
      <c r="I1199" s="32" t="s">
        <v>2081</v>
      </c>
      <c r="J1199" s="32" t="s">
        <v>2106</v>
      </c>
      <c r="K1199" s="0" t="n">
        <v>0</v>
      </c>
      <c r="L1199" s="32" t="s">
        <v>793</v>
      </c>
      <c r="M1199" s="0" t="str">
        <f aca="false">IF(L1199="GEN","GM",L1199)</f>
        <v>EM</v>
      </c>
    </row>
    <row r="1200" customFormat="false" ht="15" hidden="false" customHeight="false" outlineLevel="0" collapsed="false">
      <c r="A1200" s="0" t="s">
        <v>8659</v>
      </c>
      <c r="B1200" s="0" t="s">
        <v>8660</v>
      </c>
      <c r="C1200" s="0" t="s">
        <v>6286</v>
      </c>
      <c r="D1200" s="0" t="s">
        <v>2079</v>
      </c>
      <c r="E1200" s="31" t="n">
        <v>45705</v>
      </c>
      <c r="F1200" s="32" t="s">
        <v>1125</v>
      </c>
      <c r="G1200" s="0" t="n">
        <v>12</v>
      </c>
      <c r="H1200" s="0" t="n">
        <v>12</v>
      </c>
      <c r="I1200" s="32" t="s">
        <v>2081</v>
      </c>
      <c r="J1200" s="32" t="s">
        <v>2081</v>
      </c>
      <c r="K1200" s="0" t="n">
        <v>0</v>
      </c>
      <c r="L1200" s="32" t="s">
        <v>776</v>
      </c>
      <c r="M1200" s="0" t="str">
        <f aca="false">IF(L1200="GEN","GM",L1200)</f>
        <v>GS</v>
      </c>
    </row>
    <row r="1201" customFormat="false" ht="15" hidden="false" customHeight="false" outlineLevel="0" collapsed="false">
      <c r="A1201" s="0" t="s">
        <v>8661</v>
      </c>
      <c r="B1201" s="0" t="s">
        <v>8662</v>
      </c>
      <c r="C1201" s="0" t="s">
        <v>6295</v>
      </c>
      <c r="D1201" s="0" t="s">
        <v>2079</v>
      </c>
      <c r="E1201" s="31" t="n">
        <v>45705</v>
      </c>
      <c r="F1201" s="32" t="s">
        <v>6283</v>
      </c>
      <c r="G1201" s="0" t="n">
        <v>11.5</v>
      </c>
      <c r="H1201" s="0" t="n">
        <v>11.5</v>
      </c>
      <c r="I1201" s="32" t="s">
        <v>2081</v>
      </c>
      <c r="J1201" s="32" t="s">
        <v>2081</v>
      </c>
      <c r="K1201" s="0" t="n">
        <v>0</v>
      </c>
      <c r="L1201" s="32" t="s">
        <v>785</v>
      </c>
      <c r="M1201" s="0" t="str">
        <f aca="false">IF(L1201="GEN","GM",L1201)</f>
        <v>RS</v>
      </c>
    </row>
    <row r="1202" customFormat="false" ht="15" hidden="false" customHeight="false" outlineLevel="0" collapsed="false">
      <c r="A1202" s="0" t="s">
        <v>8663</v>
      </c>
      <c r="B1202" s="0" t="s">
        <v>8664</v>
      </c>
      <c r="C1202" s="0" t="s">
        <v>6295</v>
      </c>
      <c r="D1202" s="0" t="s">
        <v>2079</v>
      </c>
      <c r="E1202" s="31" t="n">
        <v>45705</v>
      </c>
      <c r="F1202" s="32" t="s">
        <v>6283</v>
      </c>
      <c r="G1202" s="0" t="n">
        <v>11.5</v>
      </c>
      <c r="H1202" s="0" t="n">
        <v>11.5</v>
      </c>
      <c r="I1202" s="32" t="s">
        <v>2106</v>
      </c>
      <c r="J1202" s="32" t="s">
        <v>2081</v>
      </c>
      <c r="K1202" s="0" t="n">
        <v>0</v>
      </c>
      <c r="L1202" s="32" t="s">
        <v>785</v>
      </c>
      <c r="M1202" s="0" t="str">
        <f aca="false">IF(L1202="GEN","GM",L1202)</f>
        <v>RS</v>
      </c>
    </row>
    <row r="1203" customFormat="false" ht="15" hidden="false" customHeight="false" outlineLevel="0" collapsed="false">
      <c r="A1203" s="0" t="s">
        <v>8665</v>
      </c>
      <c r="B1203" s="0" t="s">
        <v>8666</v>
      </c>
      <c r="C1203" s="0" t="s">
        <v>6295</v>
      </c>
      <c r="D1203" s="0" t="s">
        <v>2099</v>
      </c>
      <c r="E1203" s="31" t="n">
        <v>45705</v>
      </c>
      <c r="F1203" s="32" t="s">
        <v>6283</v>
      </c>
      <c r="G1203" s="0" t="n">
        <v>11.5</v>
      </c>
      <c r="H1203" s="0" t="n">
        <v>11.5</v>
      </c>
      <c r="I1203" s="32" t="s">
        <v>2106</v>
      </c>
      <c r="J1203" s="32" t="s">
        <v>2081</v>
      </c>
      <c r="K1203" s="0" t="n">
        <v>0</v>
      </c>
      <c r="L1203" s="32" t="s">
        <v>785</v>
      </c>
      <c r="M1203" s="0" t="str">
        <f aca="false">IF(L1203="GEN","GM",L1203)</f>
        <v>RS</v>
      </c>
    </row>
    <row r="1204" customFormat="false" ht="15" hidden="false" customHeight="false" outlineLevel="0" collapsed="false">
      <c r="A1204" s="0" t="s">
        <v>8667</v>
      </c>
      <c r="B1204" s="0" t="s">
        <v>8668</v>
      </c>
      <c r="C1204" s="0" t="s">
        <v>6282</v>
      </c>
      <c r="D1204" s="0" t="s">
        <v>2099</v>
      </c>
      <c r="E1204" s="31" t="n">
        <v>45705</v>
      </c>
      <c r="F1204" s="32" t="s">
        <v>6287</v>
      </c>
      <c r="G1204" s="0" t="n">
        <v>7.5</v>
      </c>
      <c r="H1204" s="0" t="n">
        <v>7.5</v>
      </c>
      <c r="I1204" s="32" t="s">
        <v>2106</v>
      </c>
      <c r="J1204" s="32" t="s">
        <v>2081</v>
      </c>
      <c r="K1204" s="0" t="n">
        <v>0</v>
      </c>
      <c r="L1204" s="32" t="s">
        <v>747</v>
      </c>
      <c r="M1204" s="0" t="str">
        <f aca="false">IF(L1204="GEN","GM",L1204)</f>
        <v>GM</v>
      </c>
    </row>
    <row r="1205" customFormat="false" ht="15" hidden="false" customHeight="false" outlineLevel="0" collapsed="false">
      <c r="A1205" s="0" t="s">
        <v>8669</v>
      </c>
      <c r="B1205" s="0" t="s">
        <v>8670</v>
      </c>
      <c r="C1205" s="0" t="s">
        <v>6295</v>
      </c>
      <c r="D1205" s="0" t="s">
        <v>2099</v>
      </c>
      <c r="E1205" s="31" t="n">
        <v>45705</v>
      </c>
      <c r="F1205" s="32" t="s">
        <v>6287</v>
      </c>
      <c r="G1205" s="0" t="n">
        <v>7.5</v>
      </c>
      <c r="H1205" s="0" t="n">
        <v>7.5</v>
      </c>
      <c r="I1205" s="32" t="s">
        <v>2081</v>
      </c>
      <c r="J1205" s="32" t="s">
        <v>2081</v>
      </c>
      <c r="K1205" s="0" t="n">
        <v>0</v>
      </c>
      <c r="L1205" s="32" t="s">
        <v>785</v>
      </c>
      <c r="M1205" s="0" t="str">
        <f aca="false">IF(L1205="GEN","GM",L1205)</f>
        <v>RS</v>
      </c>
    </row>
    <row r="1206" customFormat="false" ht="15" hidden="false" customHeight="false" outlineLevel="0" collapsed="false">
      <c r="A1206" s="0" t="s">
        <v>8671</v>
      </c>
      <c r="B1206" s="0" t="s">
        <v>8672</v>
      </c>
      <c r="C1206" s="0" t="s">
        <v>6295</v>
      </c>
      <c r="D1206" s="0" t="s">
        <v>2099</v>
      </c>
      <c r="E1206" s="31" t="n">
        <v>45705</v>
      </c>
      <c r="F1206" s="32" t="s">
        <v>6283</v>
      </c>
      <c r="G1206" s="0" t="n">
        <v>11.5</v>
      </c>
      <c r="H1206" s="0" t="n">
        <v>11.5</v>
      </c>
      <c r="I1206" s="32" t="s">
        <v>2081</v>
      </c>
      <c r="J1206" s="32" t="s">
        <v>2081</v>
      </c>
      <c r="K1206" s="0" t="n">
        <v>0</v>
      </c>
      <c r="L1206" s="32" t="s">
        <v>758</v>
      </c>
      <c r="M1206" s="0" t="str">
        <f aca="false">IF(L1206="GEN","GM",L1206)</f>
        <v>CS</v>
      </c>
    </row>
    <row r="1207" customFormat="false" ht="15" hidden="false" customHeight="false" outlineLevel="0" collapsed="false">
      <c r="A1207" s="0" t="s">
        <v>8673</v>
      </c>
      <c r="B1207" s="0" t="s">
        <v>8674</v>
      </c>
      <c r="C1207" s="0" t="s">
        <v>6290</v>
      </c>
      <c r="D1207" s="0" t="s">
        <v>2115</v>
      </c>
      <c r="E1207" s="31" t="n">
        <v>45705</v>
      </c>
      <c r="F1207" s="32" t="s">
        <v>1125</v>
      </c>
      <c r="G1207" s="0" t="n">
        <v>12</v>
      </c>
      <c r="H1207" s="0" t="n">
        <v>12</v>
      </c>
      <c r="I1207" s="32" t="s">
        <v>2081</v>
      </c>
      <c r="J1207" s="32" t="s">
        <v>2081</v>
      </c>
      <c r="K1207" s="0" t="n">
        <v>0</v>
      </c>
      <c r="L1207" s="32" t="s">
        <v>826</v>
      </c>
      <c r="M1207" s="0" t="str">
        <f aca="false">IF(L1207="GEN","GM",L1207)</f>
        <v>RHE</v>
      </c>
    </row>
    <row r="1208" customFormat="false" ht="15" hidden="false" customHeight="false" outlineLevel="0" collapsed="false">
      <c r="A1208" s="0" t="s">
        <v>8675</v>
      </c>
      <c r="B1208" s="0" t="s">
        <v>8676</v>
      </c>
      <c r="C1208" s="0" t="s">
        <v>6295</v>
      </c>
      <c r="D1208" s="0" t="s">
        <v>2115</v>
      </c>
      <c r="E1208" s="31" t="n">
        <v>45705</v>
      </c>
      <c r="F1208" s="32" t="s">
        <v>6287</v>
      </c>
      <c r="G1208" s="0" t="n">
        <v>7.5</v>
      </c>
      <c r="H1208" s="0" t="n">
        <v>7.5</v>
      </c>
      <c r="I1208" s="32" t="s">
        <v>2081</v>
      </c>
      <c r="J1208" s="32" t="s">
        <v>2081</v>
      </c>
      <c r="K1208" s="0" t="n">
        <v>0</v>
      </c>
      <c r="L1208" s="32" t="s">
        <v>802</v>
      </c>
      <c r="M1208" s="0" t="str">
        <f aca="false">IF(L1208="GEN","GM",L1208)</f>
        <v>GYN</v>
      </c>
    </row>
    <row r="1209" customFormat="false" ht="15" hidden="false" customHeight="false" outlineLevel="0" collapsed="false">
      <c r="A1209" s="0" t="s">
        <v>8677</v>
      </c>
      <c r="B1209" s="0" t="s">
        <v>8678</v>
      </c>
      <c r="C1209" s="0" t="s">
        <v>6282</v>
      </c>
      <c r="D1209" s="0" t="s">
        <v>2115</v>
      </c>
      <c r="E1209" s="31" t="n">
        <v>45705</v>
      </c>
      <c r="F1209" s="32" t="s">
        <v>6813</v>
      </c>
      <c r="G1209" s="0" t="n">
        <v>7.5</v>
      </c>
      <c r="H1209" s="0" t="n">
        <v>8.3</v>
      </c>
      <c r="I1209" s="32" t="s">
        <v>2081</v>
      </c>
      <c r="J1209" s="32" t="s">
        <v>2106</v>
      </c>
      <c r="K1209" s="0" t="n">
        <v>0.8</v>
      </c>
      <c r="L1209" s="32" t="s">
        <v>776</v>
      </c>
      <c r="M1209" s="0" t="str">
        <f aca="false">IF(L1209="GEN","GM",L1209)</f>
        <v>GS</v>
      </c>
    </row>
    <row r="1210" customFormat="false" ht="15" hidden="false" customHeight="false" outlineLevel="0" collapsed="false">
      <c r="A1210" s="0" t="s">
        <v>8679</v>
      </c>
      <c r="B1210" s="0" t="s">
        <v>8680</v>
      </c>
      <c r="C1210" s="0" t="s">
        <v>6295</v>
      </c>
      <c r="D1210" s="0" t="s">
        <v>2115</v>
      </c>
      <c r="E1210" s="31" t="n">
        <v>45705</v>
      </c>
      <c r="F1210" s="32" t="s">
        <v>1125</v>
      </c>
      <c r="G1210" s="0" t="n">
        <v>12</v>
      </c>
      <c r="H1210" s="0" t="n">
        <v>12</v>
      </c>
      <c r="I1210" s="32" t="s">
        <v>2081</v>
      </c>
      <c r="J1210" s="32" t="s">
        <v>2081</v>
      </c>
      <c r="K1210" s="0" t="n">
        <v>0</v>
      </c>
      <c r="L1210" s="32" t="s">
        <v>785</v>
      </c>
      <c r="M1210" s="0" t="str">
        <f aca="false">IF(L1210="GEN","GM",L1210)</f>
        <v>RS</v>
      </c>
    </row>
    <row r="1211" customFormat="false" ht="15" hidden="false" customHeight="false" outlineLevel="0" collapsed="false">
      <c r="A1211" s="0" t="s">
        <v>8681</v>
      </c>
      <c r="B1211" s="0" t="s">
        <v>8682</v>
      </c>
      <c r="C1211" s="0" t="s">
        <v>6282</v>
      </c>
      <c r="D1211" s="0" t="s">
        <v>2115</v>
      </c>
      <c r="E1211" s="31" t="n">
        <v>45705</v>
      </c>
      <c r="F1211" s="32" t="s">
        <v>6283</v>
      </c>
      <c r="G1211" s="0" t="n">
        <v>11.5</v>
      </c>
      <c r="H1211" s="0" t="n">
        <v>11.5</v>
      </c>
      <c r="I1211" s="32" t="s">
        <v>2081</v>
      </c>
      <c r="J1211" s="32" t="s">
        <v>2081</v>
      </c>
      <c r="K1211" s="0" t="n">
        <v>0</v>
      </c>
      <c r="L1211" s="32" t="s">
        <v>802</v>
      </c>
      <c r="M1211" s="0" t="str">
        <f aca="false">IF(L1211="GEN","GM",L1211)</f>
        <v>GYN</v>
      </c>
    </row>
    <row r="1212" customFormat="false" ht="15" hidden="false" customHeight="false" outlineLevel="0" collapsed="false">
      <c r="A1212" s="0" t="s">
        <v>8683</v>
      </c>
      <c r="B1212" s="0" t="s">
        <v>8684</v>
      </c>
      <c r="C1212" s="0" t="s">
        <v>6286</v>
      </c>
      <c r="D1212" s="0" t="s">
        <v>2124</v>
      </c>
      <c r="E1212" s="31" t="n">
        <v>45705</v>
      </c>
      <c r="F1212" s="32" t="s">
        <v>1125</v>
      </c>
      <c r="G1212" s="0" t="n">
        <v>12</v>
      </c>
      <c r="H1212" s="0" t="n">
        <v>12</v>
      </c>
      <c r="I1212" s="32" t="s">
        <v>2081</v>
      </c>
      <c r="J1212" s="32" t="s">
        <v>2081</v>
      </c>
      <c r="K1212" s="0" t="n">
        <v>0</v>
      </c>
      <c r="L1212" s="32" t="s">
        <v>793</v>
      </c>
      <c r="M1212" s="0" t="str">
        <f aca="false">IF(L1212="GEN","GM",L1212)</f>
        <v>EM</v>
      </c>
    </row>
    <row r="1213" customFormat="false" ht="15" hidden="false" customHeight="false" outlineLevel="0" collapsed="false">
      <c r="A1213" s="0" t="s">
        <v>8685</v>
      </c>
      <c r="B1213" s="0" t="s">
        <v>8686</v>
      </c>
      <c r="C1213" s="0" t="s">
        <v>6286</v>
      </c>
      <c r="D1213" s="0" t="s">
        <v>2124</v>
      </c>
      <c r="E1213" s="31" t="n">
        <v>45705</v>
      </c>
      <c r="F1213" s="32" t="s">
        <v>1125</v>
      </c>
      <c r="G1213" s="0" t="n">
        <v>12</v>
      </c>
      <c r="H1213" s="0" t="n">
        <v>12</v>
      </c>
      <c r="I1213" s="32" t="s">
        <v>2106</v>
      </c>
      <c r="J1213" s="32" t="s">
        <v>2081</v>
      </c>
      <c r="K1213" s="0" t="n">
        <v>0</v>
      </c>
      <c r="L1213" s="32" t="s">
        <v>758</v>
      </c>
      <c r="M1213" s="0" t="str">
        <f aca="false">IF(L1213="GEN","GM",L1213)</f>
        <v>CS</v>
      </c>
    </row>
    <row r="1214" customFormat="false" ht="15" hidden="false" customHeight="false" outlineLevel="0" collapsed="false">
      <c r="A1214" s="0" t="s">
        <v>8687</v>
      </c>
      <c r="B1214" s="0" t="s">
        <v>8688</v>
      </c>
      <c r="C1214" s="0" t="s">
        <v>6282</v>
      </c>
      <c r="D1214" s="0" t="s">
        <v>2124</v>
      </c>
      <c r="E1214" s="31" t="n">
        <v>45705</v>
      </c>
      <c r="F1214" s="32" t="s">
        <v>1125</v>
      </c>
      <c r="G1214" s="0" t="n">
        <v>12</v>
      </c>
      <c r="H1214" s="0" t="n">
        <v>12</v>
      </c>
      <c r="I1214" s="32" t="s">
        <v>2081</v>
      </c>
      <c r="J1214" s="32" t="s">
        <v>2081</v>
      </c>
      <c r="K1214" s="0" t="n">
        <v>0</v>
      </c>
      <c r="L1214" s="32" t="s">
        <v>747</v>
      </c>
      <c r="M1214" s="0" t="str">
        <f aca="false">IF(L1214="GEN","GM",L1214)</f>
        <v>GM</v>
      </c>
    </row>
    <row r="1215" customFormat="false" ht="15" hidden="false" customHeight="false" outlineLevel="0" collapsed="false">
      <c r="A1215" s="0" t="s">
        <v>8689</v>
      </c>
      <c r="B1215" s="0" t="s">
        <v>8690</v>
      </c>
      <c r="C1215" s="0" t="s">
        <v>6286</v>
      </c>
      <c r="D1215" s="0" t="s">
        <v>2104</v>
      </c>
      <c r="E1215" s="31" t="n">
        <v>45705</v>
      </c>
      <c r="F1215" s="32" t="s">
        <v>1125</v>
      </c>
      <c r="G1215" s="0" t="n">
        <v>12</v>
      </c>
      <c r="H1215" s="0" t="n">
        <v>12.5</v>
      </c>
      <c r="I1215" s="32" t="s">
        <v>2081</v>
      </c>
      <c r="J1215" s="32" t="s">
        <v>2081</v>
      </c>
      <c r="K1215" s="0" t="n">
        <v>0.5</v>
      </c>
      <c r="L1215" s="32" t="s">
        <v>776</v>
      </c>
      <c r="M1215" s="0" t="str">
        <f aca="false">IF(L1215="GEN","GM",L1215)</f>
        <v>GS</v>
      </c>
    </row>
    <row r="1216" customFormat="false" ht="15" hidden="false" customHeight="false" outlineLevel="0" collapsed="false">
      <c r="A1216" s="0" t="s">
        <v>8691</v>
      </c>
      <c r="B1216" s="0" t="s">
        <v>8692</v>
      </c>
      <c r="C1216" s="0" t="s">
        <v>780</v>
      </c>
      <c r="D1216" s="0" t="s">
        <v>2104</v>
      </c>
      <c r="E1216" s="31" t="n">
        <v>45705</v>
      </c>
      <c r="F1216" s="32" t="s">
        <v>6287</v>
      </c>
      <c r="G1216" s="0" t="n">
        <v>7.5</v>
      </c>
      <c r="H1216" s="0" t="n">
        <v>7.5</v>
      </c>
      <c r="I1216" s="32" t="s">
        <v>2081</v>
      </c>
      <c r="J1216" s="32" t="s">
        <v>2081</v>
      </c>
      <c r="K1216" s="0" t="n">
        <v>0</v>
      </c>
      <c r="L1216" s="32" t="s">
        <v>802</v>
      </c>
      <c r="M1216" s="0" t="str">
        <f aca="false">IF(L1216="GEN","GM",L1216)</f>
        <v>GYN</v>
      </c>
    </row>
    <row r="1217" customFormat="false" ht="15" hidden="false" customHeight="false" outlineLevel="0" collapsed="false">
      <c r="A1217" s="0" t="s">
        <v>8693</v>
      </c>
      <c r="B1217" s="0" t="s">
        <v>8694</v>
      </c>
      <c r="C1217" s="0" t="s">
        <v>6286</v>
      </c>
      <c r="D1217" s="0" t="s">
        <v>2104</v>
      </c>
      <c r="E1217" s="31" t="n">
        <v>45705</v>
      </c>
      <c r="F1217" s="32" t="s">
        <v>6287</v>
      </c>
      <c r="G1217" s="0" t="n">
        <v>7.5</v>
      </c>
      <c r="H1217" s="0" t="n">
        <v>9.1</v>
      </c>
      <c r="I1217" s="32" t="s">
        <v>2081</v>
      </c>
      <c r="J1217" s="32" t="s">
        <v>2106</v>
      </c>
      <c r="K1217" s="0" t="n">
        <v>1.6</v>
      </c>
      <c r="L1217" s="32" t="s">
        <v>802</v>
      </c>
      <c r="M1217" s="0" t="str">
        <f aca="false">IF(L1217="GEN","GM",L1217)</f>
        <v>GYN</v>
      </c>
    </row>
    <row r="1218" customFormat="false" ht="15" hidden="false" customHeight="false" outlineLevel="0" collapsed="false">
      <c r="A1218" s="0" t="s">
        <v>8695</v>
      </c>
      <c r="B1218" s="0" t="s">
        <v>8696</v>
      </c>
      <c r="C1218" s="0" t="s">
        <v>6295</v>
      </c>
      <c r="D1218" s="0" t="s">
        <v>2104</v>
      </c>
      <c r="E1218" s="31" t="n">
        <v>45705</v>
      </c>
      <c r="F1218" s="32" t="s">
        <v>6287</v>
      </c>
      <c r="G1218" s="0" t="n">
        <v>7.5</v>
      </c>
      <c r="H1218" s="0" t="n">
        <v>7.5</v>
      </c>
      <c r="I1218" s="32" t="s">
        <v>2081</v>
      </c>
      <c r="J1218" s="32" t="s">
        <v>2081</v>
      </c>
      <c r="K1218" s="0" t="n">
        <v>0</v>
      </c>
      <c r="L1218" s="32" t="s">
        <v>785</v>
      </c>
      <c r="M1218" s="0" t="str">
        <f aca="false">IF(L1218="GEN","GM",L1218)</f>
        <v>RS</v>
      </c>
    </row>
    <row r="1219" customFormat="false" ht="15" hidden="false" customHeight="false" outlineLevel="0" collapsed="false">
      <c r="A1219" s="0" t="s">
        <v>8697</v>
      </c>
      <c r="B1219" s="0" t="s">
        <v>8698</v>
      </c>
      <c r="C1219" s="0" t="s">
        <v>6286</v>
      </c>
      <c r="D1219" s="0" t="s">
        <v>2104</v>
      </c>
      <c r="E1219" s="31" t="n">
        <v>45705</v>
      </c>
      <c r="F1219" s="32" t="s">
        <v>6283</v>
      </c>
      <c r="G1219" s="0" t="n">
        <v>11.5</v>
      </c>
      <c r="H1219" s="0" t="n">
        <v>11.5</v>
      </c>
      <c r="I1219" s="32" t="s">
        <v>2081</v>
      </c>
      <c r="J1219" s="32" t="s">
        <v>2106</v>
      </c>
      <c r="K1219" s="0" t="n">
        <v>0</v>
      </c>
      <c r="L1219" s="32" t="s">
        <v>793</v>
      </c>
      <c r="M1219" s="0" t="str">
        <f aca="false">IF(L1219="GEN","GM",L1219)</f>
        <v>EM</v>
      </c>
    </row>
    <row r="1220" customFormat="false" ht="15" hidden="false" customHeight="false" outlineLevel="0" collapsed="false">
      <c r="A1220" s="0" t="s">
        <v>8699</v>
      </c>
      <c r="B1220" s="0" t="s">
        <v>8700</v>
      </c>
      <c r="C1220" s="0" t="s">
        <v>6282</v>
      </c>
      <c r="D1220" s="0" t="s">
        <v>3035</v>
      </c>
      <c r="E1220" s="31" t="n">
        <v>45705</v>
      </c>
      <c r="F1220" s="32" t="s">
        <v>1125</v>
      </c>
      <c r="G1220" s="0" t="n">
        <v>12</v>
      </c>
      <c r="H1220" s="0" t="n">
        <v>12</v>
      </c>
      <c r="I1220" s="32" t="s">
        <v>2081</v>
      </c>
      <c r="J1220" s="32" t="s">
        <v>2081</v>
      </c>
      <c r="K1220" s="0" t="n">
        <v>0</v>
      </c>
      <c r="L1220" s="32" t="s">
        <v>766</v>
      </c>
      <c r="M1220" s="0" t="str">
        <f aca="false">IF(L1220="GEN","GM",L1220)</f>
        <v>OR</v>
      </c>
    </row>
    <row r="1221" customFormat="false" ht="15" hidden="false" customHeight="false" outlineLevel="0" collapsed="false">
      <c r="A1221" s="0" t="s">
        <v>8701</v>
      </c>
      <c r="B1221" s="0" t="s">
        <v>8702</v>
      </c>
      <c r="C1221" s="0" t="s">
        <v>6295</v>
      </c>
      <c r="D1221" s="0" t="s">
        <v>3035</v>
      </c>
      <c r="E1221" s="31" t="n">
        <v>45705</v>
      </c>
      <c r="F1221" s="32" t="s">
        <v>1125</v>
      </c>
      <c r="G1221" s="0" t="n">
        <v>12</v>
      </c>
      <c r="H1221" s="0" t="n">
        <v>12</v>
      </c>
      <c r="I1221" s="32" t="s">
        <v>2081</v>
      </c>
      <c r="J1221" s="32" t="s">
        <v>2081</v>
      </c>
      <c r="K1221" s="0" t="n">
        <v>0</v>
      </c>
      <c r="L1221" s="32" t="s">
        <v>766</v>
      </c>
      <c r="M1221" s="0" t="str">
        <f aca="false">IF(L1221="GEN","GM",L1221)</f>
        <v>OR</v>
      </c>
    </row>
    <row r="1222" customFormat="false" ht="15" hidden="false" customHeight="false" outlineLevel="0" collapsed="false">
      <c r="A1222" s="0" t="s">
        <v>8703</v>
      </c>
      <c r="B1222" s="0" t="s">
        <v>8704</v>
      </c>
      <c r="C1222" s="0" t="s">
        <v>6286</v>
      </c>
      <c r="D1222" s="0" t="s">
        <v>3035</v>
      </c>
      <c r="E1222" s="31" t="n">
        <v>45705</v>
      </c>
      <c r="F1222" s="32" t="s">
        <v>6287</v>
      </c>
      <c r="G1222" s="0" t="n">
        <v>7.5</v>
      </c>
      <c r="H1222" s="0" t="n">
        <v>7.5</v>
      </c>
      <c r="I1222" s="32" t="s">
        <v>2081</v>
      </c>
      <c r="J1222" s="32" t="s">
        <v>2081</v>
      </c>
      <c r="K1222" s="0" t="n">
        <v>0</v>
      </c>
      <c r="L1222" s="32" t="s">
        <v>793</v>
      </c>
      <c r="M1222" s="0" t="str">
        <f aca="false">IF(L1222="GEN","GM",L1222)</f>
        <v>EM</v>
      </c>
    </row>
    <row r="1223" customFormat="false" ht="15" hidden="false" customHeight="false" outlineLevel="0" collapsed="false">
      <c r="A1223" s="0" t="s">
        <v>8705</v>
      </c>
      <c r="B1223" s="0" t="s">
        <v>8706</v>
      </c>
      <c r="C1223" s="0" t="s">
        <v>6295</v>
      </c>
      <c r="D1223" s="0" t="s">
        <v>3035</v>
      </c>
      <c r="E1223" s="31" t="n">
        <v>45705</v>
      </c>
      <c r="F1223" s="32" t="s">
        <v>6283</v>
      </c>
      <c r="G1223" s="0" t="n">
        <v>11.5</v>
      </c>
      <c r="H1223" s="0" t="n">
        <v>11.5</v>
      </c>
      <c r="I1223" s="32" t="s">
        <v>2081</v>
      </c>
      <c r="J1223" s="32" t="s">
        <v>2081</v>
      </c>
      <c r="K1223" s="0" t="n">
        <v>0</v>
      </c>
      <c r="L1223" s="32" t="s">
        <v>826</v>
      </c>
      <c r="M1223" s="0" t="str">
        <f aca="false">IF(L1223="GEN","GM",L1223)</f>
        <v>RHE</v>
      </c>
    </row>
    <row r="1224" customFormat="false" ht="15" hidden="false" customHeight="false" outlineLevel="0" collapsed="false">
      <c r="A1224" s="0" t="s">
        <v>8707</v>
      </c>
      <c r="B1224" s="0" t="s">
        <v>8708</v>
      </c>
      <c r="C1224" s="0" t="s">
        <v>6290</v>
      </c>
      <c r="D1224" s="0" t="s">
        <v>2088</v>
      </c>
      <c r="E1224" s="31" t="n">
        <v>45706</v>
      </c>
      <c r="F1224" s="32" t="s">
        <v>1125</v>
      </c>
      <c r="G1224" s="0" t="n">
        <v>12</v>
      </c>
      <c r="H1224" s="0" t="n">
        <v>12</v>
      </c>
      <c r="I1224" s="32" t="s">
        <v>2081</v>
      </c>
      <c r="J1224" s="32" t="s">
        <v>2081</v>
      </c>
      <c r="K1224" s="0" t="n">
        <v>0</v>
      </c>
      <c r="L1224" s="32" t="s">
        <v>793</v>
      </c>
      <c r="M1224" s="0" t="str">
        <f aca="false">IF(L1224="GEN","GM",L1224)</f>
        <v>EM</v>
      </c>
    </row>
    <row r="1225" customFormat="false" ht="15" hidden="false" customHeight="false" outlineLevel="0" collapsed="false">
      <c r="A1225" s="0" t="s">
        <v>8709</v>
      </c>
      <c r="B1225" s="0" t="s">
        <v>8710</v>
      </c>
      <c r="C1225" s="0" t="s">
        <v>6295</v>
      </c>
      <c r="D1225" s="0" t="s">
        <v>2088</v>
      </c>
      <c r="E1225" s="31" t="n">
        <v>45706</v>
      </c>
      <c r="F1225" s="32" t="s">
        <v>6283</v>
      </c>
      <c r="G1225" s="0" t="n">
        <v>11.5</v>
      </c>
      <c r="H1225" s="0" t="n">
        <v>11.5</v>
      </c>
      <c r="I1225" s="32" t="s">
        <v>2081</v>
      </c>
      <c r="J1225" s="32" t="s">
        <v>2081</v>
      </c>
      <c r="K1225" s="0" t="n">
        <v>0</v>
      </c>
      <c r="L1225" s="32" t="s">
        <v>747</v>
      </c>
      <c r="M1225" s="0" t="str">
        <f aca="false">IF(L1225="GEN","GM",L1225)</f>
        <v>GM</v>
      </c>
    </row>
    <row r="1226" customFormat="false" ht="15" hidden="false" customHeight="false" outlineLevel="0" collapsed="false">
      <c r="A1226" s="0" t="s">
        <v>8711</v>
      </c>
      <c r="B1226" s="0" t="s">
        <v>8712</v>
      </c>
      <c r="C1226" s="0" t="s">
        <v>6295</v>
      </c>
      <c r="D1226" s="0" t="s">
        <v>2088</v>
      </c>
      <c r="E1226" s="31" t="n">
        <v>45706</v>
      </c>
      <c r="F1226" s="32" t="s">
        <v>6287</v>
      </c>
      <c r="G1226" s="0" t="n">
        <v>7.5</v>
      </c>
      <c r="H1226" s="0" t="n">
        <v>7.5</v>
      </c>
      <c r="I1226" s="32" t="s">
        <v>2081</v>
      </c>
      <c r="J1226" s="32" t="s">
        <v>2081</v>
      </c>
      <c r="K1226" s="0" t="n">
        <v>0</v>
      </c>
      <c r="L1226" s="32" t="s">
        <v>802</v>
      </c>
      <c r="M1226" s="0" t="str">
        <f aca="false">IF(L1226="GEN","GM",L1226)</f>
        <v>GYN</v>
      </c>
    </row>
    <row r="1227" customFormat="false" ht="15" hidden="false" customHeight="false" outlineLevel="0" collapsed="false">
      <c r="A1227" s="0" t="s">
        <v>8713</v>
      </c>
      <c r="B1227" s="0" t="s">
        <v>8714</v>
      </c>
      <c r="C1227" s="0" t="s">
        <v>6290</v>
      </c>
      <c r="D1227" s="0" t="s">
        <v>2088</v>
      </c>
      <c r="E1227" s="31" t="n">
        <v>45706</v>
      </c>
      <c r="F1227" s="32" t="s">
        <v>6287</v>
      </c>
      <c r="G1227" s="0" t="n">
        <v>7.5</v>
      </c>
      <c r="H1227" s="0" t="n">
        <v>7.5</v>
      </c>
      <c r="I1227" s="32" t="s">
        <v>2106</v>
      </c>
      <c r="J1227" s="32" t="s">
        <v>2081</v>
      </c>
      <c r="K1227" s="0" t="n">
        <v>0</v>
      </c>
      <c r="L1227" s="32" t="s">
        <v>758</v>
      </c>
      <c r="M1227" s="0" t="str">
        <f aca="false">IF(L1227="GEN","GM",L1227)</f>
        <v>CS</v>
      </c>
    </row>
    <row r="1228" customFormat="false" ht="15" hidden="false" customHeight="false" outlineLevel="0" collapsed="false">
      <c r="A1228" s="0" t="s">
        <v>8715</v>
      </c>
      <c r="B1228" s="0" t="s">
        <v>8716</v>
      </c>
      <c r="C1228" s="0" t="s">
        <v>6286</v>
      </c>
      <c r="D1228" s="0" t="s">
        <v>2088</v>
      </c>
      <c r="E1228" s="31" t="n">
        <v>45706</v>
      </c>
      <c r="F1228" s="32" t="s">
        <v>6283</v>
      </c>
      <c r="G1228" s="0" t="n">
        <v>11.5</v>
      </c>
      <c r="H1228" s="0" t="n">
        <v>11.5</v>
      </c>
      <c r="I1228" s="32" t="s">
        <v>2081</v>
      </c>
      <c r="J1228" s="32" t="s">
        <v>2081</v>
      </c>
      <c r="K1228" s="0" t="n">
        <v>0</v>
      </c>
      <c r="L1228" s="32" t="s">
        <v>810</v>
      </c>
      <c r="M1228" s="0" t="str">
        <f aca="false">IF(L1228="GEN","GM",L1228)</f>
        <v>URO</v>
      </c>
    </row>
    <row r="1229" customFormat="false" ht="15" hidden="false" customHeight="false" outlineLevel="0" collapsed="false">
      <c r="A1229" s="0" t="s">
        <v>8717</v>
      </c>
      <c r="B1229" s="0" t="s">
        <v>8718</v>
      </c>
      <c r="C1229" s="0" t="s">
        <v>780</v>
      </c>
      <c r="D1229" s="0" t="s">
        <v>2079</v>
      </c>
      <c r="E1229" s="31" t="n">
        <v>45706</v>
      </c>
      <c r="F1229" s="32" t="s">
        <v>6283</v>
      </c>
      <c r="G1229" s="0" t="n">
        <v>11.5</v>
      </c>
      <c r="H1229" s="0" t="n">
        <v>11.5</v>
      </c>
      <c r="I1229" s="32" t="s">
        <v>2081</v>
      </c>
      <c r="J1229" s="32" t="s">
        <v>2081</v>
      </c>
      <c r="K1229" s="0" t="n">
        <v>0</v>
      </c>
      <c r="L1229" s="32" t="s">
        <v>766</v>
      </c>
      <c r="M1229" s="0" t="str">
        <f aca="false">IF(L1229="GEN","GM",L1229)</f>
        <v>OR</v>
      </c>
    </row>
    <row r="1230" customFormat="false" ht="15" hidden="false" customHeight="false" outlineLevel="0" collapsed="false">
      <c r="A1230" s="0" t="s">
        <v>8719</v>
      </c>
      <c r="B1230" s="0" t="s">
        <v>8720</v>
      </c>
      <c r="C1230" s="0" t="s">
        <v>6295</v>
      </c>
      <c r="D1230" s="0" t="s">
        <v>2079</v>
      </c>
      <c r="E1230" s="31" t="n">
        <v>45706</v>
      </c>
      <c r="F1230" s="32" t="s">
        <v>6287</v>
      </c>
      <c r="G1230" s="0" t="n">
        <v>7.5</v>
      </c>
      <c r="H1230" s="0" t="n">
        <v>7.5</v>
      </c>
      <c r="I1230" s="32" t="s">
        <v>2081</v>
      </c>
      <c r="J1230" s="32" t="s">
        <v>2081</v>
      </c>
      <c r="K1230" s="0" t="n">
        <v>0</v>
      </c>
      <c r="L1230" s="32" t="s">
        <v>802</v>
      </c>
      <c r="M1230" s="0" t="str">
        <f aca="false">IF(L1230="GEN","GM",L1230)</f>
        <v>GYN</v>
      </c>
    </row>
    <row r="1231" customFormat="false" ht="15" hidden="false" customHeight="false" outlineLevel="0" collapsed="false">
      <c r="A1231" s="0" t="s">
        <v>8721</v>
      </c>
      <c r="B1231" s="0" t="s">
        <v>8722</v>
      </c>
      <c r="C1231" s="0" t="s">
        <v>6282</v>
      </c>
      <c r="D1231" s="0" t="s">
        <v>2079</v>
      </c>
      <c r="E1231" s="31" t="n">
        <v>45706</v>
      </c>
      <c r="F1231" s="32" t="s">
        <v>6287</v>
      </c>
      <c r="G1231" s="0" t="n">
        <v>7.5</v>
      </c>
      <c r="H1231" s="0" t="n">
        <v>7.5</v>
      </c>
      <c r="I1231" s="32" t="s">
        <v>2081</v>
      </c>
      <c r="J1231" s="32" t="s">
        <v>2081</v>
      </c>
      <c r="K1231" s="0" t="n">
        <v>0</v>
      </c>
      <c r="L1231" s="32" t="s">
        <v>766</v>
      </c>
      <c r="M1231" s="0" t="str">
        <f aca="false">IF(L1231="GEN","GM",L1231)</f>
        <v>OR</v>
      </c>
    </row>
    <row r="1232" customFormat="false" ht="15" hidden="false" customHeight="false" outlineLevel="0" collapsed="false">
      <c r="A1232" s="0" t="s">
        <v>8723</v>
      </c>
      <c r="B1232" s="0" t="s">
        <v>8724</v>
      </c>
      <c r="C1232" s="0" t="s">
        <v>6282</v>
      </c>
      <c r="D1232" s="0" t="s">
        <v>2079</v>
      </c>
      <c r="E1232" s="31" t="n">
        <v>45706</v>
      </c>
      <c r="F1232" s="32" t="s">
        <v>6287</v>
      </c>
      <c r="G1232" s="0" t="n">
        <v>7.5</v>
      </c>
      <c r="H1232" s="0" t="n">
        <v>7.5</v>
      </c>
      <c r="I1232" s="32" t="s">
        <v>2106</v>
      </c>
      <c r="J1232" s="32" t="s">
        <v>2081</v>
      </c>
      <c r="K1232" s="0" t="n">
        <v>0</v>
      </c>
      <c r="L1232" s="32" t="s">
        <v>802</v>
      </c>
      <c r="M1232" s="0" t="str">
        <f aca="false">IF(L1232="GEN","GM",L1232)</f>
        <v>GYN</v>
      </c>
    </row>
    <row r="1233" customFormat="false" ht="15" hidden="false" customHeight="false" outlineLevel="0" collapsed="false">
      <c r="A1233" s="0" t="s">
        <v>8725</v>
      </c>
      <c r="B1233" s="0" t="s">
        <v>8726</v>
      </c>
      <c r="C1233" s="0" t="s">
        <v>6295</v>
      </c>
      <c r="D1233" s="0" t="s">
        <v>2099</v>
      </c>
      <c r="E1233" s="31" t="n">
        <v>45706</v>
      </c>
      <c r="F1233" s="32" t="s">
        <v>1125</v>
      </c>
      <c r="G1233" s="0" t="n">
        <v>12</v>
      </c>
      <c r="H1233" s="0" t="n">
        <v>12</v>
      </c>
      <c r="I1233" s="32" t="s">
        <v>2106</v>
      </c>
      <c r="J1233" s="32" t="s">
        <v>2081</v>
      </c>
      <c r="K1233" s="0" t="n">
        <v>0</v>
      </c>
      <c r="L1233" s="32" t="s">
        <v>810</v>
      </c>
      <c r="M1233" s="0" t="str">
        <f aca="false">IF(L1233="GEN","GM",L1233)</f>
        <v>URO</v>
      </c>
    </row>
    <row r="1234" customFormat="false" ht="15" hidden="false" customHeight="false" outlineLevel="0" collapsed="false">
      <c r="A1234" s="0" t="s">
        <v>8727</v>
      </c>
      <c r="B1234" s="0" t="s">
        <v>8728</v>
      </c>
      <c r="C1234" s="0" t="s">
        <v>6295</v>
      </c>
      <c r="D1234" s="0" t="s">
        <v>2099</v>
      </c>
      <c r="E1234" s="31" t="n">
        <v>45706</v>
      </c>
      <c r="F1234" s="32" t="s">
        <v>1125</v>
      </c>
      <c r="G1234" s="0" t="n">
        <v>12</v>
      </c>
      <c r="H1234" s="0" t="n">
        <v>12</v>
      </c>
      <c r="I1234" s="32" t="s">
        <v>2081</v>
      </c>
      <c r="J1234" s="32" t="s">
        <v>2081</v>
      </c>
      <c r="K1234" s="0" t="n">
        <v>0</v>
      </c>
      <c r="L1234" s="32" t="s">
        <v>793</v>
      </c>
      <c r="M1234" s="0" t="str">
        <f aca="false">IF(L1234="GEN","GM",L1234)</f>
        <v>EM</v>
      </c>
    </row>
    <row r="1235" customFormat="false" ht="15" hidden="false" customHeight="false" outlineLevel="0" collapsed="false">
      <c r="A1235" s="0" t="s">
        <v>8729</v>
      </c>
      <c r="B1235" s="0" t="s">
        <v>8730</v>
      </c>
      <c r="C1235" s="0" t="s">
        <v>780</v>
      </c>
      <c r="D1235" s="0" t="s">
        <v>2099</v>
      </c>
      <c r="E1235" s="31" t="n">
        <v>45706</v>
      </c>
      <c r="F1235" s="32" t="s">
        <v>1125</v>
      </c>
      <c r="G1235" s="0" t="n">
        <v>12</v>
      </c>
      <c r="H1235" s="0" t="n">
        <v>12</v>
      </c>
      <c r="I1235" s="32" t="s">
        <v>2081</v>
      </c>
      <c r="J1235" s="32" t="s">
        <v>2081</v>
      </c>
      <c r="K1235" s="0" t="n">
        <v>0</v>
      </c>
      <c r="L1235" s="32" t="s">
        <v>747</v>
      </c>
      <c r="M1235" s="0" t="str">
        <f aca="false">IF(L1235="GEN","GM",L1235)</f>
        <v>GM</v>
      </c>
    </row>
    <row r="1236" customFormat="false" ht="15" hidden="false" customHeight="false" outlineLevel="0" collapsed="false">
      <c r="A1236" s="0" t="s">
        <v>8731</v>
      </c>
      <c r="B1236" s="0" t="s">
        <v>8732</v>
      </c>
      <c r="C1236" s="0" t="s">
        <v>6295</v>
      </c>
      <c r="D1236" s="0" t="s">
        <v>2099</v>
      </c>
      <c r="E1236" s="31" t="n">
        <v>45706</v>
      </c>
      <c r="F1236" s="32" t="s">
        <v>1125</v>
      </c>
      <c r="G1236" s="0" t="n">
        <v>12</v>
      </c>
      <c r="H1236" s="0" t="n">
        <v>12.5</v>
      </c>
      <c r="I1236" s="32" t="s">
        <v>2081</v>
      </c>
      <c r="J1236" s="32" t="s">
        <v>2081</v>
      </c>
      <c r="K1236" s="0" t="n">
        <v>0.5</v>
      </c>
      <c r="L1236" s="32" t="s">
        <v>758</v>
      </c>
      <c r="M1236" s="0" t="str">
        <f aca="false">IF(L1236="GEN","GM",L1236)</f>
        <v>CS</v>
      </c>
    </row>
    <row r="1237" customFormat="false" ht="15" hidden="false" customHeight="false" outlineLevel="0" collapsed="false">
      <c r="A1237" s="0" t="s">
        <v>8733</v>
      </c>
      <c r="B1237" s="0" t="s">
        <v>8734</v>
      </c>
      <c r="C1237" s="0" t="s">
        <v>6290</v>
      </c>
      <c r="D1237" s="0" t="s">
        <v>2115</v>
      </c>
      <c r="E1237" s="31" t="n">
        <v>45706</v>
      </c>
      <c r="F1237" s="32" t="s">
        <v>1125</v>
      </c>
      <c r="G1237" s="0" t="n">
        <v>12</v>
      </c>
      <c r="H1237" s="0" t="n">
        <v>12</v>
      </c>
      <c r="I1237" s="32" t="s">
        <v>2081</v>
      </c>
      <c r="J1237" s="32" t="s">
        <v>2081</v>
      </c>
      <c r="K1237" s="0" t="n">
        <v>0</v>
      </c>
      <c r="L1237" s="32" t="s">
        <v>793</v>
      </c>
      <c r="M1237" s="0" t="str">
        <f aca="false">IF(L1237="GEN","GM",L1237)</f>
        <v>EM</v>
      </c>
    </row>
    <row r="1238" customFormat="false" ht="15" hidden="false" customHeight="false" outlineLevel="0" collapsed="false">
      <c r="A1238" s="0" t="s">
        <v>8735</v>
      </c>
      <c r="B1238" s="0" t="s">
        <v>8736</v>
      </c>
      <c r="C1238" s="0" t="s">
        <v>6295</v>
      </c>
      <c r="D1238" s="0" t="s">
        <v>2115</v>
      </c>
      <c r="E1238" s="31" t="n">
        <v>45706</v>
      </c>
      <c r="F1238" s="32" t="s">
        <v>6283</v>
      </c>
      <c r="G1238" s="0" t="n">
        <v>11.5</v>
      </c>
      <c r="H1238" s="0" t="n">
        <v>11.5</v>
      </c>
      <c r="I1238" s="32" t="s">
        <v>2081</v>
      </c>
      <c r="J1238" s="32" t="s">
        <v>2081</v>
      </c>
      <c r="K1238" s="0" t="n">
        <v>0</v>
      </c>
      <c r="L1238" s="32" t="s">
        <v>747</v>
      </c>
      <c r="M1238" s="0" t="str">
        <f aca="false">IF(L1238="GEN","GM",L1238)</f>
        <v>GM</v>
      </c>
    </row>
    <row r="1239" customFormat="false" ht="15" hidden="false" customHeight="false" outlineLevel="0" collapsed="false">
      <c r="A1239" s="0" t="s">
        <v>8737</v>
      </c>
      <c r="B1239" s="0" t="s">
        <v>8738</v>
      </c>
      <c r="C1239" s="0" t="s">
        <v>6286</v>
      </c>
      <c r="D1239" s="0" t="s">
        <v>2115</v>
      </c>
      <c r="E1239" s="31" t="n">
        <v>45706</v>
      </c>
      <c r="F1239" s="32" t="s">
        <v>6287</v>
      </c>
      <c r="G1239" s="0" t="n">
        <v>7.5</v>
      </c>
      <c r="H1239" s="0" t="n">
        <v>7.5</v>
      </c>
      <c r="I1239" s="32" t="s">
        <v>2081</v>
      </c>
      <c r="J1239" s="32" t="s">
        <v>2081</v>
      </c>
      <c r="K1239" s="0" t="n">
        <v>0</v>
      </c>
      <c r="L1239" s="32" t="s">
        <v>747</v>
      </c>
      <c r="M1239" s="0" t="str">
        <f aca="false">IF(L1239="GEN","GM",L1239)</f>
        <v>GM</v>
      </c>
    </row>
    <row r="1240" customFormat="false" ht="15" hidden="false" customHeight="false" outlineLevel="0" collapsed="false">
      <c r="A1240" s="0" t="s">
        <v>8739</v>
      </c>
      <c r="B1240" s="0" t="s">
        <v>8740</v>
      </c>
      <c r="C1240" s="0" t="s">
        <v>6282</v>
      </c>
      <c r="D1240" s="0" t="s">
        <v>2115</v>
      </c>
      <c r="E1240" s="31" t="n">
        <v>45706</v>
      </c>
      <c r="F1240" s="32" t="s">
        <v>1125</v>
      </c>
      <c r="G1240" s="0" t="n">
        <v>12</v>
      </c>
      <c r="H1240" s="0" t="n">
        <v>12</v>
      </c>
      <c r="I1240" s="32" t="s">
        <v>2106</v>
      </c>
      <c r="J1240" s="32" t="s">
        <v>2081</v>
      </c>
      <c r="K1240" s="0" t="n">
        <v>0</v>
      </c>
      <c r="L1240" s="32" t="s">
        <v>785</v>
      </c>
      <c r="M1240" s="0" t="str">
        <f aca="false">IF(L1240="GEN","GM",L1240)</f>
        <v>RS</v>
      </c>
    </row>
    <row r="1241" customFormat="false" ht="15" hidden="false" customHeight="false" outlineLevel="0" collapsed="false">
      <c r="A1241" s="0" t="s">
        <v>8741</v>
      </c>
      <c r="B1241" s="0" t="s">
        <v>8742</v>
      </c>
      <c r="C1241" s="0" t="s">
        <v>6295</v>
      </c>
      <c r="D1241" s="0" t="s">
        <v>2115</v>
      </c>
      <c r="E1241" s="31" t="n">
        <v>45706</v>
      </c>
      <c r="F1241" s="32" t="s">
        <v>1125</v>
      </c>
      <c r="G1241" s="0" t="n">
        <v>12</v>
      </c>
      <c r="H1241" s="0" t="n">
        <v>12</v>
      </c>
      <c r="I1241" s="32" t="s">
        <v>2081</v>
      </c>
      <c r="J1241" s="32" t="s">
        <v>2081</v>
      </c>
      <c r="K1241" s="0" t="n">
        <v>0</v>
      </c>
      <c r="L1241" s="32" t="s">
        <v>747</v>
      </c>
      <c r="M1241" s="0" t="str">
        <f aca="false">IF(L1241="GEN","GM",L1241)</f>
        <v>GM</v>
      </c>
    </row>
    <row r="1242" customFormat="false" ht="15" hidden="false" customHeight="false" outlineLevel="0" collapsed="false">
      <c r="A1242" s="0" t="s">
        <v>8743</v>
      </c>
      <c r="B1242" s="0" t="s">
        <v>8744</v>
      </c>
      <c r="C1242" s="0" t="s">
        <v>780</v>
      </c>
      <c r="D1242" s="0" t="s">
        <v>2124</v>
      </c>
      <c r="E1242" s="31" t="n">
        <v>45706</v>
      </c>
      <c r="F1242" s="32" t="s">
        <v>6283</v>
      </c>
      <c r="G1242" s="0" t="n">
        <v>11.5</v>
      </c>
      <c r="H1242" s="0" t="n">
        <v>12</v>
      </c>
      <c r="I1242" s="32" t="s">
        <v>2081</v>
      </c>
      <c r="J1242" s="32" t="s">
        <v>2081</v>
      </c>
      <c r="K1242" s="0" t="n">
        <v>0.5</v>
      </c>
      <c r="L1242" s="32" t="s">
        <v>826</v>
      </c>
      <c r="M1242" s="0" t="str">
        <f aca="false">IF(L1242="GEN","GM",L1242)</f>
        <v>RHE</v>
      </c>
    </row>
    <row r="1243" customFormat="false" ht="15" hidden="false" customHeight="false" outlineLevel="0" collapsed="false">
      <c r="A1243" s="0" t="s">
        <v>8745</v>
      </c>
      <c r="B1243" s="0" t="s">
        <v>8746</v>
      </c>
      <c r="C1243" s="0" t="s">
        <v>6286</v>
      </c>
      <c r="D1243" s="0" t="s">
        <v>2124</v>
      </c>
      <c r="E1243" s="31" t="n">
        <v>45706</v>
      </c>
      <c r="F1243" s="32" t="s">
        <v>1125</v>
      </c>
      <c r="G1243" s="0" t="n">
        <v>12</v>
      </c>
      <c r="H1243" s="0" t="n">
        <v>12</v>
      </c>
      <c r="I1243" s="32" t="s">
        <v>2106</v>
      </c>
      <c r="J1243" s="32" t="s">
        <v>2081</v>
      </c>
      <c r="K1243" s="0" t="n">
        <v>0</v>
      </c>
      <c r="L1243" s="32" t="s">
        <v>785</v>
      </c>
      <c r="M1243" s="0" t="str">
        <f aca="false">IF(L1243="GEN","GM",L1243)</f>
        <v>RS</v>
      </c>
    </row>
    <row r="1244" customFormat="false" ht="15" hidden="false" customHeight="false" outlineLevel="0" collapsed="false">
      <c r="A1244" s="0" t="s">
        <v>8747</v>
      </c>
      <c r="B1244" s="0" t="s">
        <v>8748</v>
      </c>
      <c r="C1244" s="0" t="s">
        <v>6290</v>
      </c>
      <c r="D1244" s="0" t="s">
        <v>2124</v>
      </c>
      <c r="E1244" s="31" t="n">
        <v>45706</v>
      </c>
      <c r="F1244" s="32" t="s">
        <v>6283</v>
      </c>
      <c r="G1244" s="0" t="n">
        <v>11.5</v>
      </c>
      <c r="H1244" s="0" t="n">
        <v>11.5</v>
      </c>
      <c r="I1244" s="32" t="s">
        <v>2081</v>
      </c>
      <c r="J1244" s="32" t="s">
        <v>2081</v>
      </c>
      <c r="K1244" s="0" t="n">
        <v>0</v>
      </c>
      <c r="L1244" s="32" t="s">
        <v>802</v>
      </c>
      <c r="M1244" s="0" t="str">
        <f aca="false">IF(L1244="GEN","GM",L1244)</f>
        <v>GYN</v>
      </c>
    </row>
    <row r="1245" customFormat="false" ht="15" hidden="false" customHeight="false" outlineLevel="0" collapsed="false">
      <c r="A1245" s="0" t="s">
        <v>8749</v>
      </c>
      <c r="B1245" s="0" t="s">
        <v>8750</v>
      </c>
      <c r="C1245" s="0" t="s">
        <v>780</v>
      </c>
      <c r="D1245" s="0" t="s">
        <v>2124</v>
      </c>
      <c r="E1245" s="31" t="n">
        <v>45706</v>
      </c>
      <c r="F1245" s="32" t="s">
        <v>6287</v>
      </c>
      <c r="G1245" s="0" t="n">
        <v>7.5</v>
      </c>
      <c r="H1245" s="0" t="n">
        <v>7.5</v>
      </c>
      <c r="I1245" s="32" t="s">
        <v>2081</v>
      </c>
      <c r="J1245" s="32" t="s">
        <v>2081</v>
      </c>
      <c r="K1245" s="0" t="n">
        <v>0</v>
      </c>
      <c r="L1245" s="32" t="s">
        <v>747</v>
      </c>
      <c r="M1245" s="0" t="str">
        <f aca="false">IF(L1245="GEN","GM",L1245)</f>
        <v>GM</v>
      </c>
    </row>
    <row r="1246" customFormat="false" ht="15" hidden="false" customHeight="false" outlineLevel="0" collapsed="false">
      <c r="A1246" s="0" t="s">
        <v>8751</v>
      </c>
      <c r="B1246" s="0" t="s">
        <v>8752</v>
      </c>
      <c r="C1246" s="0" t="s">
        <v>6290</v>
      </c>
      <c r="D1246" s="0" t="s">
        <v>2124</v>
      </c>
      <c r="E1246" s="31" t="n">
        <v>45706</v>
      </c>
      <c r="F1246" s="32" t="s">
        <v>6287</v>
      </c>
      <c r="G1246" s="0" t="n">
        <v>7.5</v>
      </c>
      <c r="H1246" s="0" t="n">
        <v>7.5</v>
      </c>
      <c r="I1246" s="32" t="s">
        <v>2081</v>
      </c>
      <c r="J1246" s="32" t="s">
        <v>2081</v>
      </c>
      <c r="K1246" s="0" t="n">
        <v>0</v>
      </c>
      <c r="L1246" s="32" t="s">
        <v>826</v>
      </c>
      <c r="M1246" s="0" t="str">
        <f aca="false">IF(L1246="GEN","GM",L1246)</f>
        <v>RHE</v>
      </c>
    </row>
    <row r="1247" customFormat="false" ht="15" hidden="false" customHeight="false" outlineLevel="0" collapsed="false">
      <c r="A1247" s="0" t="s">
        <v>8753</v>
      </c>
      <c r="B1247" s="0" t="s">
        <v>8754</v>
      </c>
      <c r="C1247" s="0" t="s">
        <v>6286</v>
      </c>
      <c r="D1247" s="0" t="s">
        <v>2104</v>
      </c>
      <c r="E1247" s="31" t="n">
        <v>45706</v>
      </c>
      <c r="F1247" s="32" t="s">
        <v>6283</v>
      </c>
      <c r="G1247" s="0" t="n">
        <v>11.5</v>
      </c>
      <c r="H1247" s="0" t="n">
        <v>11.5</v>
      </c>
      <c r="I1247" s="32" t="s">
        <v>2081</v>
      </c>
      <c r="J1247" s="32" t="s">
        <v>2081</v>
      </c>
      <c r="K1247" s="0" t="n">
        <v>0</v>
      </c>
      <c r="L1247" s="32" t="s">
        <v>766</v>
      </c>
      <c r="M1247" s="0" t="str">
        <f aca="false">IF(L1247="GEN","GM",L1247)</f>
        <v>OR</v>
      </c>
    </row>
    <row r="1248" customFormat="false" ht="15" hidden="false" customHeight="false" outlineLevel="0" collapsed="false">
      <c r="A1248" s="0" t="s">
        <v>8755</v>
      </c>
      <c r="B1248" s="0" t="s">
        <v>8756</v>
      </c>
      <c r="C1248" s="0" t="s">
        <v>6282</v>
      </c>
      <c r="D1248" s="0" t="s">
        <v>2104</v>
      </c>
      <c r="E1248" s="31" t="n">
        <v>45706</v>
      </c>
      <c r="F1248" s="32" t="s">
        <v>1125</v>
      </c>
      <c r="G1248" s="0" t="n">
        <v>12</v>
      </c>
      <c r="H1248" s="0" t="n">
        <v>12</v>
      </c>
      <c r="I1248" s="32" t="s">
        <v>2081</v>
      </c>
      <c r="J1248" s="32" t="s">
        <v>2081</v>
      </c>
      <c r="K1248" s="0" t="n">
        <v>0</v>
      </c>
      <c r="L1248" s="32" t="s">
        <v>776</v>
      </c>
      <c r="M1248" s="0" t="str">
        <f aca="false">IF(L1248="GEN","GM",L1248)</f>
        <v>GS</v>
      </c>
    </row>
    <row r="1249" customFormat="false" ht="15" hidden="false" customHeight="false" outlineLevel="0" collapsed="false">
      <c r="A1249" s="0" t="s">
        <v>8757</v>
      </c>
      <c r="B1249" s="0" t="s">
        <v>8758</v>
      </c>
      <c r="C1249" s="0" t="s">
        <v>6295</v>
      </c>
      <c r="D1249" s="0" t="s">
        <v>2104</v>
      </c>
      <c r="E1249" s="31" t="n">
        <v>45706</v>
      </c>
      <c r="F1249" s="32" t="s">
        <v>6287</v>
      </c>
      <c r="G1249" s="0" t="n">
        <v>7.5</v>
      </c>
      <c r="H1249" s="0" t="n">
        <v>7.5</v>
      </c>
      <c r="I1249" s="32" t="s">
        <v>2081</v>
      </c>
      <c r="J1249" s="32" t="s">
        <v>2081</v>
      </c>
      <c r="K1249" s="0" t="n">
        <v>0</v>
      </c>
      <c r="L1249" s="32" t="s">
        <v>793</v>
      </c>
      <c r="M1249" s="0" t="str">
        <f aca="false">IF(L1249="GEN","GM",L1249)</f>
        <v>EM</v>
      </c>
    </row>
    <row r="1250" customFormat="false" ht="15" hidden="false" customHeight="false" outlineLevel="0" collapsed="false">
      <c r="A1250" s="0" t="s">
        <v>8759</v>
      </c>
      <c r="B1250" s="0" t="s">
        <v>8760</v>
      </c>
      <c r="C1250" s="0" t="s">
        <v>6295</v>
      </c>
      <c r="D1250" s="0" t="s">
        <v>3035</v>
      </c>
      <c r="E1250" s="31" t="n">
        <v>45706</v>
      </c>
      <c r="F1250" s="32" t="s">
        <v>6283</v>
      </c>
      <c r="G1250" s="0" t="n">
        <v>11.5</v>
      </c>
      <c r="H1250" s="0" t="n">
        <v>11.5</v>
      </c>
      <c r="I1250" s="32" t="s">
        <v>2106</v>
      </c>
      <c r="J1250" s="32" t="s">
        <v>2081</v>
      </c>
      <c r="K1250" s="0" t="n">
        <v>0</v>
      </c>
      <c r="L1250" s="32" t="s">
        <v>747</v>
      </c>
      <c r="M1250" s="0" t="str">
        <f aca="false">IF(L1250="GEN","GM",L1250)</f>
        <v>GM</v>
      </c>
    </row>
    <row r="1251" customFormat="false" ht="15" hidden="false" customHeight="false" outlineLevel="0" collapsed="false">
      <c r="A1251" s="0" t="s">
        <v>8761</v>
      </c>
      <c r="B1251" s="0" t="s">
        <v>8762</v>
      </c>
      <c r="C1251" s="0" t="s">
        <v>6286</v>
      </c>
      <c r="D1251" s="0" t="s">
        <v>3035</v>
      </c>
      <c r="E1251" s="31" t="n">
        <v>45706</v>
      </c>
      <c r="F1251" s="32" t="s">
        <v>6287</v>
      </c>
      <c r="G1251" s="0" t="n">
        <v>7.5</v>
      </c>
      <c r="H1251" s="0" t="n">
        <v>8.2</v>
      </c>
      <c r="I1251" s="32" t="s">
        <v>2081</v>
      </c>
      <c r="J1251" s="32" t="s">
        <v>2081</v>
      </c>
      <c r="K1251" s="0" t="n">
        <v>0.7</v>
      </c>
      <c r="L1251" s="32" t="s">
        <v>758</v>
      </c>
      <c r="M1251" s="0" t="str">
        <f aca="false">IF(L1251="GEN","GM",L1251)</f>
        <v>CS</v>
      </c>
    </row>
    <row r="1252" customFormat="false" ht="15" hidden="false" customHeight="false" outlineLevel="0" collapsed="false">
      <c r="A1252" s="0" t="s">
        <v>8763</v>
      </c>
      <c r="B1252" s="0" t="s">
        <v>8764</v>
      </c>
      <c r="C1252" s="0" t="s">
        <v>6286</v>
      </c>
      <c r="D1252" s="0" t="s">
        <v>3035</v>
      </c>
      <c r="E1252" s="31" t="n">
        <v>45706</v>
      </c>
      <c r="F1252" s="32" t="s">
        <v>6283</v>
      </c>
      <c r="G1252" s="0" t="n">
        <v>11.5</v>
      </c>
      <c r="H1252" s="0" t="n">
        <v>11.5</v>
      </c>
      <c r="I1252" s="32" t="s">
        <v>2081</v>
      </c>
      <c r="J1252" s="32" t="s">
        <v>2081</v>
      </c>
      <c r="K1252" s="0" t="n">
        <v>0</v>
      </c>
      <c r="L1252" s="32" t="s">
        <v>785</v>
      </c>
      <c r="M1252" s="0" t="str">
        <f aca="false">IF(L1252="GEN","GM",L1252)</f>
        <v>RS</v>
      </c>
    </row>
    <row r="1253" customFormat="false" ht="15" hidden="false" customHeight="false" outlineLevel="0" collapsed="false">
      <c r="A1253" s="0" t="s">
        <v>8765</v>
      </c>
      <c r="B1253" s="0" t="s">
        <v>8766</v>
      </c>
      <c r="C1253" s="0" t="s">
        <v>6295</v>
      </c>
      <c r="D1253" s="0" t="s">
        <v>3035</v>
      </c>
      <c r="E1253" s="31" t="n">
        <v>45706</v>
      </c>
      <c r="F1253" s="32" t="s">
        <v>6283</v>
      </c>
      <c r="G1253" s="0" t="n">
        <v>11.5</v>
      </c>
      <c r="H1253" s="0" t="n">
        <v>11.5</v>
      </c>
      <c r="I1253" s="32" t="s">
        <v>2081</v>
      </c>
      <c r="J1253" s="32" t="s">
        <v>2081</v>
      </c>
      <c r="K1253" s="0" t="n">
        <v>0</v>
      </c>
      <c r="L1253" s="32" t="s">
        <v>793</v>
      </c>
      <c r="M1253" s="0" t="str">
        <f aca="false">IF(L1253="GEN","GM",L1253)</f>
        <v>EM</v>
      </c>
    </row>
    <row r="1254" customFormat="false" ht="15" hidden="false" customHeight="false" outlineLevel="0" collapsed="false">
      <c r="A1254" s="0" t="s">
        <v>8767</v>
      </c>
      <c r="B1254" s="0" t="s">
        <v>8768</v>
      </c>
      <c r="C1254" s="0" t="s">
        <v>6282</v>
      </c>
      <c r="D1254" s="0" t="s">
        <v>2088</v>
      </c>
      <c r="E1254" s="31" t="n">
        <v>45707</v>
      </c>
      <c r="F1254" s="32" t="s">
        <v>6283</v>
      </c>
      <c r="G1254" s="0" t="n">
        <v>11.5</v>
      </c>
      <c r="H1254" s="0" t="n">
        <v>12.5</v>
      </c>
      <c r="I1254" s="32" t="s">
        <v>2081</v>
      </c>
      <c r="J1254" s="32" t="s">
        <v>2081</v>
      </c>
      <c r="K1254" s="0" t="n">
        <v>1</v>
      </c>
      <c r="L1254" s="32" t="s">
        <v>785</v>
      </c>
      <c r="M1254" s="0" t="str">
        <f aca="false">IF(L1254="GEN","GM",L1254)</f>
        <v>RS</v>
      </c>
    </row>
    <row r="1255" customFormat="false" ht="15" hidden="false" customHeight="false" outlineLevel="0" collapsed="false">
      <c r="A1255" s="0" t="s">
        <v>8769</v>
      </c>
      <c r="B1255" s="0" t="s">
        <v>8770</v>
      </c>
      <c r="C1255" s="0" t="s">
        <v>6286</v>
      </c>
      <c r="D1255" s="0" t="s">
        <v>2088</v>
      </c>
      <c r="E1255" s="31" t="n">
        <v>45707</v>
      </c>
      <c r="F1255" s="32" t="s">
        <v>1125</v>
      </c>
      <c r="G1255" s="0" t="n">
        <v>12</v>
      </c>
      <c r="H1255" s="0" t="n">
        <v>12</v>
      </c>
      <c r="I1255" s="32" t="s">
        <v>2081</v>
      </c>
      <c r="J1255" s="32" t="s">
        <v>2081</v>
      </c>
      <c r="K1255" s="0" t="n">
        <v>0</v>
      </c>
      <c r="L1255" s="32" t="s">
        <v>785</v>
      </c>
      <c r="M1255" s="0" t="str">
        <f aca="false">IF(L1255="GEN","GM",L1255)</f>
        <v>RS</v>
      </c>
    </row>
    <row r="1256" customFormat="false" ht="15" hidden="false" customHeight="false" outlineLevel="0" collapsed="false">
      <c r="A1256" s="0" t="s">
        <v>8771</v>
      </c>
      <c r="B1256" s="0" t="s">
        <v>8772</v>
      </c>
      <c r="C1256" s="0" t="s">
        <v>6286</v>
      </c>
      <c r="D1256" s="0" t="s">
        <v>2088</v>
      </c>
      <c r="E1256" s="31" t="n">
        <v>45707</v>
      </c>
      <c r="F1256" s="32" t="s">
        <v>1125</v>
      </c>
      <c r="G1256" s="0" t="n">
        <v>12</v>
      </c>
      <c r="H1256" s="0" t="n">
        <v>12</v>
      </c>
      <c r="I1256" s="32" t="s">
        <v>2081</v>
      </c>
      <c r="J1256" s="32" t="s">
        <v>2081</v>
      </c>
      <c r="K1256" s="0" t="n">
        <v>0</v>
      </c>
      <c r="L1256" s="32" t="s">
        <v>785</v>
      </c>
      <c r="M1256" s="0" t="str">
        <f aca="false">IF(L1256="GEN","GM",L1256)</f>
        <v>RS</v>
      </c>
    </row>
    <row r="1257" customFormat="false" ht="15" hidden="false" customHeight="false" outlineLevel="0" collapsed="false">
      <c r="A1257" s="0" t="s">
        <v>8773</v>
      </c>
      <c r="B1257" s="0" t="s">
        <v>8774</v>
      </c>
      <c r="C1257" s="0" t="s">
        <v>6286</v>
      </c>
      <c r="D1257" s="0" t="s">
        <v>2079</v>
      </c>
      <c r="E1257" s="31" t="n">
        <v>45707</v>
      </c>
      <c r="F1257" s="32" t="s">
        <v>1125</v>
      </c>
      <c r="G1257" s="0" t="n">
        <v>12</v>
      </c>
      <c r="H1257" s="0" t="n">
        <v>12</v>
      </c>
      <c r="I1257" s="32" t="s">
        <v>2081</v>
      </c>
      <c r="J1257" s="32" t="s">
        <v>2081</v>
      </c>
      <c r="K1257" s="0" t="n">
        <v>0</v>
      </c>
      <c r="L1257" s="32" t="s">
        <v>747</v>
      </c>
      <c r="M1257" s="0" t="str">
        <f aca="false">IF(L1257="GEN","GM",L1257)</f>
        <v>GM</v>
      </c>
    </row>
    <row r="1258" customFormat="false" ht="15" hidden="false" customHeight="false" outlineLevel="0" collapsed="false">
      <c r="A1258" s="0" t="s">
        <v>8775</v>
      </c>
      <c r="B1258" s="0" t="s">
        <v>8776</v>
      </c>
      <c r="C1258" s="0" t="s">
        <v>6286</v>
      </c>
      <c r="D1258" s="0" t="s">
        <v>2079</v>
      </c>
      <c r="E1258" s="31" t="n">
        <v>45707</v>
      </c>
      <c r="F1258" s="32" t="s">
        <v>6283</v>
      </c>
      <c r="G1258" s="0" t="n">
        <v>11.5</v>
      </c>
      <c r="H1258" s="0" t="n">
        <v>11.5</v>
      </c>
      <c r="I1258" s="32" t="s">
        <v>2081</v>
      </c>
      <c r="J1258" s="32" t="s">
        <v>2106</v>
      </c>
      <c r="K1258" s="0" t="n">
        <v>0</v>
      </c>
      <c r="L1258" s="32" t="s">
        <v>747</v>
      </c>
      <c r="M1258" s="0" t="str">
        <f aca="false">IF(L1258="GEN","GM",L1258)</f>
        <v>GM</v>
      </c>
    </row>
    <row r="1259" customFormat="false" ht="15" hidden="false" customHeight="false" outlineLevel="0" collapsed="false">
      <c r="A1259" s="0" t="s">
        <v>8777</v>
      </c>
      <c r="B1259" s="0" t="s">
        <v>8778</v>
      </c>
      <c r="C1259" s="0" t="s">
        <v>780</v>
      </c>
      <c r="D1259" s="0" t="s">
        <v>2079</v>
      </c>
      <c r="E1259" s="31" t="n">
        <v>45707</v>
      </c>
      <c r="F1259" s="32" t="s">
        <v>1125</v>
      </c>
      <c r="G1259" s="0" t="n">
        <v>12</v>
      </c>
      <c r="H1259" s="0" t="n">
        <v>12</v>
      </c>
      <c r="I1259" s="32" t="s">
        <v>2081</v>
      </c>
      <c r="J1259" s="32" t="s">
        <v>2081</v>
      </c>
      <c r="K1259" s="0" t="n">
        <v>0</v>
      </c>
      <c r="L1259" s="32" t="s">
        <v>776</v>
      </c>
      <c r="M1259" s="0" t="str">
        <f aca="false">IF(L1259="GEN","GM",L1259)</f>
        <v>GS</v>
      </c>
    </row>
    <row r="1260" customFormat="false" ht="15" hidden="false" customHeight="false" outlineLevel="0" collapsed="false">
      <c r="A1260" s="0" t="s">
        <v>8779</v>
      </c>
      <c r="B1260" s="0" t="s">
        <v>8780</v>
      </c>
      <c r="C1260" s="0" t="s">
        <v>6295</v>
      </c>
      <c r="D1260" s="0" t="s">
        <v>2079</v>
      </c>
      <c r="E1260" s="31" t="n">
        <v>45707</v>
      </c>
      <c r="F1260" s="32" t="s">
        <v>6287</v>
      </c>
      <c r="G1260" s="0" t="n">
        <v>7.5</v>
      </c>
      <c r="H1260" s="0" t="n">
        <v>7.5</v>
      </c>
      <c r="I1260" s="32" t="s">
        <v>2081</v>
      </c>
      <c r="J1260" s="32" t="s">
        <v>2081</v>
      </c>
      <c r="K1260" s="0" t="n">
        <v>0</v>
      </c>
      <c r="L1260" s="32" t="s">
        <v>785</v>
      </c>
      <c r="M1260" s="0" t="str">
        <f aca="false">IF(L1260="GEN","GM",L1260)</f>
        <v>RS</v>
      </c>
    </row>
    <row r="1261" customFormat="false" ht="15" hidden="false" customHeight="false" outlineLevel="0" collapsed="false">
      <c r="A1261" s="0" t="s">
        <v>8781</v>
      </c>
      <c r="B1261" s="0" t="s">
        <v>8782</v>
      </c>
      <c r="C1261" s="0" t="s">
        <v>6282</v>
      </c>
      <c r="D1261" s="0" t="s">
        <v>2099</v>
      </c>
      <c r="E1261" s="31" t="n">
        <v>45707</v>
      </c>
      <c r="F1261" s="32" t="s">
        <v>6283</v>
      </c>
      <c r="G1261" s="0" t="n">
        <v>11.5</v>
      </c>
      <c r="H1261" s="0" t="n">
        <v>11.5</v>
      </c>
      <c r="I1261" s="32" t="s">
        <v>2081</v>
      </c>
      <c r="J1261" s="32" t="s">
        <v>2081</v>
      </c>
      <c r="K1261" s="0" t="n">
        <v>0</v>
      </c>
      <c r="L1261" s="32" t="s">
        <v>826</v>
      </c>
      <c r="M1261" s="0" t="str">
        <f aca="false">IF(L1261="GEN","GM",L1261)</f>
        <v>RHE</v>
      </c>
    </row>
    <row r="1262" customFormat="false" ht="15" hidden="false" customHeight="false" outlineLevel="0" collapsed="false">
      <c r="A1262" s="0" t="s">
        <v>8783</v>
      </c>
      <c r="B1262" s="0" t="s">
        <v>8784</v>
      </c>
      <c r="C1262" s="0" t="s">
        <v>6295</v>
      </c>
      <c r="D1262" s="0" t="s">
        <v>2099</v>
      </c>
      <c r="E1262" s="31" t="n">
        <v>45707</v>
      </c>
      <c r="F1262" s="32" t="s">
        <v>1125</v>
      </c>
      <c r="G1262" s="0" t="n">
        <v>12</v>
      </c>
      <c r="H1262" s="0" t="n">
        <v>12</v>
      </c>
      <c r="I1262" s="32" t="s">
        <v>2081</v>
      </c>
      <c r="J1262" s="32" t="s">
        <v>2081</v>
      </c>
      <c r="K1262" s="0" t="n">
        <v>0</v>
      </c>
      <c r="L1262" s="32" t="s">
        <v>826</v>
      </c>
      <c r="M1262" s="0" t="str">
        <f aca="false">IF(L1262="GEN","GM",L1262)</f>
        <v>RHE</v>
      </c>
    </row>
    <row r="1263" customFormat="false" ht="15" hidden="false" customHeight="false" outlineLevel="0" collapsed="false">
      <c r="A1263" s="0" t="s">
        <v>8785</v>
      </c>
      <c r="B1263" s="0" t="s">
        <v>8786</v>
      </c>
      <c r="C1263" s="0" t="s">
        <v>6286</v>
      </c>
      <c r="D1263" s="0" t="s">
        <v>2099</v>
      </c>
      <c r="E1263" s="31" t="n">
        <v>45707</v>
      </c>
      <c r="F1263" s="32" t="s">
        <v>1125</v>
      </c>
      <c r="G1263" s="0" t="n">
        <v>12</v>
      </c>
      <c r="H1263" s="0" t="n">
        <v>12</v>
      </c>
      <c r="I1263" s="32" t="s">
        <v>2081</v>
      </c>
      <c r="J1263" s="32" t="s">
        <v>2081</v>
      </c>
      <c r="K1263" s="0" t="n">
        <v>0</v>
      </c>
      <c r="L1263" s="32" t="s">
        <v>758</v>
      </c>
      <c r="M1263" s="0" t="str">
        <f aca="false">IF(L1263="GEN","GM",L1263)</f>
        <v>CS</v>
      </c>
    </row>
    <row r="1264" customFormat="false" ht="15" hidden="false" customHeight="false" outlineLevel="0" collapsed="false">
      <c r="A1264" s="0" t="s">
        <v>8787</v>
      </c>
      <c r="B1264" s="0" t="s">
        <v>8788</v>
      </c>
      <c r="C1264" s="0" t="s">
        <v>6295</v>
      </c>
      <c r="D1264" s="0" t="s">
        <v>2099</v>
      </c>
      <c r="E1264" s="31" t="n">
        <v>45707</v>
      </c>
      <c r="F1264" s="32" t="s">
        <v>6287</v>
      </c>
      <c r="G1264" s="0" t="n">
        <v>7.5</v>
      </c>
      <c r="H1264" s="0" t="n">
        <v>7.5</v>
      </c>
      <c r="I1264" s="32" t="s">
        <v>2081</v>
      </c>
      <c r="J1264" s="32" t="s">
        <v>2081</v>
      </c>
      <c r="K1264" s="0" t="n">
        <v>0</v>
      </c>
      <c r="L1264" s="32" t="s">
        <v>776</v>
      </c>
      <c r="M1264" s="0" t="str">
        <f aca="false">IF(L1264="GEN","GM",L1264)</f>
        <v>GS</v>
      </c>
    </row>
    <row r="1265" customFormat="false" ht="15" hidden="false" customHeight="false" outlineLevel="0" collapsed="false">
      <c r="A1265" s="0" t="s">
        <v>8789</v>
      </c>
      <c r="B1265" s="0" t="s">
        <v>8790</v>
      </c>
      <c r="C1265" s="0" t="s">
        <v>6290</v>
      </c>
      <c r="D1265" s="0" t="s">
        <v>2099</v>
      </c>
      <c r="E1265" s="31" t="n">
        <v>45707</v>
      </c>
      <c r="F1265" s="32" t="s">
        <v>6283</v>
      </c>
      <c r="G1265" s="0" t="n">
        <v>11.5</v>
      </c>
      <c r="H1265" s="0" t="n">
        <v>11.5</v>
      </c>
      <c r="I1265" s="32" t="s">
        <v>2081</v>
      </c>
      <c r="J1265" s="32" t="s">
        <v>2081</v>
      </c>
      <c r="K1265" s="0" t="n">
        <v>0</v>
      </c>
      <c r="L1265" s="32" t="s">
        <v>776</v>
      </c>
      <c r="M1265" s="0" t="str">
        <f aca="false">IF(L1265="GEN","GM",L1265)</f>
        <v>GS</v>
      </c>
    </row>
    <row r="1266" customFormat="false" ht="15" hidden="false" customHeight="false" outlineLevel="0" collapsed="false">
      <c r="A1266" s="0" t="s">
        <v>8791</v>
      </c>
      <c r="B1266" s="0" t="s">
        <v>8792</v>
      </c>
      <c r="C1266" s="0" t="s">
        <v>6295</v>
      </c>
      <c r="D1266" s="0" t="s">
        <v>2115</v>
      </c>
      <c r="E1266" s="31" t="n">
        <v>45707</v>
      </c>
      <c r="F1266" s="32" t="s">
        <v>6283</v>
      </c>
      <c r="G1266" s="0" t="n">
        <v>11.5</v>
      </c>
      <c r="H1266" s="0" t="n">
        <v>12</v>
      </c>
      <c r="I1266" s="32" t="s">
        <v>2081</v>
      </c>
      <c r="J1266" s="32" t="s">
        <v>2081</v>
      </c>
      <c r="K1266" s="0" t="n">
        <v>0.5</v>
      </c>
      <c r="L1266" s="32" t="s">
        <v>793</v>
      </c>
      <c r="M1266" s="0" t="str">
        <f aca="false">IF(L1266="GEN","GM",L1266)</f>
        <v>EM</v>
      </c>
    </row>
    <row r="1267" customFormat="false" ht="15" hidden="false" customHeight="false" outlineLevel="0" collapsed="false">
      <c r="A1267" s="0" t="s">
        <v>8793</v>
      </c>
      <c r="B1267" s="0" t="s">
        <v>8794</v>
      </c>
      <c r="C1267" s="0" t="s">
        <v>780</v>
      </c>
      <c r="D1267" s="0" t="s">
        <v>2115</v>
      </c>
      <c r="E1267" s="31" t="n">
        <v>45707</v>
      </c>
      <c r="F1267" s="32" t="s">
        <v>1125</v>
      </c>
      <c r="G1267" s="0" t="n">
        <v>12</v>
      </c>
      <c r="H1267" s="0" t="n">
        <v>12</v>
      </c>
      <c r="I1267" s="32" t="s">
        <v>2081</v>
      </c>
      <c r="J1267" s="32" t="s">
        <v>2081</v>
      </c>
      <c r="K1267" s="0" t="n">
        <v>0</v>
      </c>
      <c r="L1267" s="32" t="s">
        <v>766</v>
      </c>
      <c r="M1267" s="0" t="str">
        <f aca="false">IF(L1267="GEN","GM",L1267)</f>
        <v>OR</v>
      </c>
    </row>
    <row r="1268" customFormat="false" ht="15" hidden="false" customHeight="false" outlineLevel="0" collapsed="false">
      <c r="A1268" s="0" t="s">
        <v>8795</v>
      </c>
      <c r="B1268" s="0" t="s">
        <v>8796</v>
      </c>
      <c r="C1268" s="0" t="s">
        <v>6282</v>
      </c>
      <c r="D1268" s="0" t="s">
        <v>2115</v>
      </c>
      <c r="E1268" s="31" t="n">
        <v>45707</v>
      </c>
      <c r="F1268" s="32" t="s">
        <v>1125</v>
      </c>
      <c r="G1268" s="0" t="n">
        <v>12</v>
      </c>
      <c r="H1268" s="0" t="n">
        <v>12</v>
      </c>
      <c r="I1268" s="32" t="s">
        <v>2081</v>
      </c>
      <c r="J1268" s="32" t="s">
        <v>2081</v>
      </c>
      <c r="K1268" s="0" t="n">
        <v>0</v>
      </c>
      <c r="L1268" s="32" t="s">
        <v>810</v>
      </c>
      <c r="M1268" s="0" t="str">
        <f aca="false">IF(L1268="GEN","GM",L1268)</f>
        <v>URO</v>
      </c>
    </row>
    <row r="1269" customFormat="false" ht="15" hidden="false" customHeight="false" outlineLevel="0" collapsed="false">
      <c r="A1269" s="0" t="s">
        <v>8797</v>
      </c>
      <c r="B1269" s="0" t="s">
        <v>8798</v>
      </c>
      <c r="C1269" s="0" t="s">
        <v>6290</v>
      </c>
      <c r="D1269" s="0" t="s">
        <v>2115</v>
      </c>
      <c r="E1269" s="31" t="n">
        <v>45707</v>
      </c>
      <c r="F1269" s="32" t="s">
        <v>6283</v>
      </c>
      <c r="G1269" s="0" t="n">
        <v>11.5</v>
      </c>
      <c r="H1269" s="0" t="n">
        <v>11.5</v>
      </c>
      <c r="I1269" s="32" t="s">
        <v>2081</v>
      </c>
      <c r="J1269" s="32" t="s">
        <v>2081</v>
      </c>
      <c r="K1269" s="0" t="n">
        <v>0</v>
      </c>
      <c r="L1269" s="32" t="s">
        <v>747</v>
      </c>
      <c r="M1269" s="0" t="str">
        <f aca="false">IF(L1269="GEN","GM",L1269)</f>
        <v>GM</v>
      </c>
    </row>
    <row r="1270" customFormat="false" ht="15" hidden="false" customHeight="false" outlineLevel="0" collapsed="false">
      <c r="A1270" s="0" t="s">
        <v>8799</v>
      </c>
      <c r="B1270" s="0" t="s">
        <v>8800</v>
      </c>
      <c r="C1270" s="0" t="s">
        <v>6295</v>
      </c>
      <c r="D1270" s="0" t="s">
        <v>2115</v>
      </c>
      <c r="E1270" s="31" t="n">
        <v>45707</v>
      </c>
      <c r="F1270" s="32" t="s">
        <v>6283</v>
      </c>
      <c r="G1270" s="0" t="n">
        <v>11.5</v>
      </c>
      <c r="H1270" s="0" t="n">
        <v>11.5</v>
      </c>
      <c r="I1270" s="32" t="s">
        <v>2081</v>
      </c>
      <c r="J1270" s="32" t="s">
        <v>2081</v>
      </c>
      <c r="K1270" s="0" t="n">
        <v>0</v>
      </c>
      <c r="L1270" s="32" t="s">
        <v>810</v>
      </c>
      <c r="M1270" s="0" t="str">
        <f aca="false">IF(L1270="GEN","GM",L1270)</f>
        <v>URO</v>
      </c>
    </row>
    <row r="1271" customFormat="false" ht="15" hidden="false" customHeight="false" outlineLevel="0" collapsed="false">
      <c r="A1271" s="0" t="s">
        <v>8801</v>
      </c>
      <c r="B1271" s="0" t="s">
        <v>8802</v>
      </c>
      <c r="C1271" s="0" t="s">
        <v>780</v>
      </c>
      <c r="D1271" s="0" t="s">
        <v>2124</v>
      </c>
      <c r="E1271" s="31" t="n">
        <v>45707</v>
      </c>
      <c r="F1271" s="32" t="s">
        <v>6287</v>
      </c>
      <c r="G1271" s="0" t="n">
        <v>7.5</v>
      </c>
      <c r="H1271" s="0" t="n">
        <v>8.7</v>
      </c>
      <c r="I1271" s="32" t="s">
        <v>2081</v>
      </c>
      <c r="J1271" s="32" t="s">
        <v>2106</v>
      </c>
      <c r="K1271" s="0" t="n">
        <v>1.2</v>
      </c>
      <c r="L1271" s="32" t="s">
        <v>793</v>
      </c>
      <c r="M1271" s="0" t="str">
        <f aca="false">IF(L1271="GEN","GM",L1271)</f>
        <v>EM</v>
      </c>
    </row>
    <row r="1272" customFormat="false" ht="15" hidden="false" customHeight="false" outlineLevel="0" collapsed="false">
      <c r="A1272" s="0" t="s">
        <v>8803</v>
      </c>
      <c r="B1272" s="0" t="s">
        <v>8804</v>
      </c>
      <c r="C1272" s="0" t="s">
        <v>6295</v>
      </c>
      <c r="D1272" s="0" t="s">
        <v>2124</v>
      </c>
      <c r="E1272" s="31" t="n">
        <v>45707</v>
      </c>
      <c r="F1272" s="32" t="s">
        <v>6283</v>
      </c>
      <c r="G1272" s="0" t="n">
        <v>11.5</v>
      </c>
      <c r="H1272" s="0" t="n">
        <v>11.5</v>
      </c>
      <c r="I1272" s="32" t="s">
        <v>2081</v>
      </c>
      <c r="J1272" s="32" t="s">
        <v>2081</v>
      </c>
      <c r="K1272" s="0" t="n">
        <v>0</v>
      </c>
      <c r="L1272" s="32" t="s">
        <v>747</v>
      </c>
      <c r="M1272" s="0" t="str">
        <f aca="false">IF(L1272="GEN","GM",L1272)</f>
        <v>GM</v>
      </c>
    </row>
    <row r="1273" customFormat="false" ht="15" hidden="false" customHeight="false" outlineLevel="0" collapsed="false">
      <c r="A1273" s="0" t="s">
        <v>8805</v>
      </c>
      <c r="B1273" s="0" t="s">
        <v>8806</v>
      </c>
      <c r="C1273" s="0" t="s">
        <v>6290</v>
      </c>
      <c r="D1273" s="0" t="s">
        <v>2124</v>
      </c>
      <c r="E1273" s="31" t="n">
        <v>45707</v>
      </c>
      <c r="F1273" s="32" t="s">
        <v>6283</v>
      </c>
      <c r="G1273" s="0" t="n">
        <v>11.5</v>
      </c>
      <c r="H1273" s="0" t="n">
        <v>11.5</v>
      </c>
      <c r="I1273" s="32" t="s">
        <v>2081</v>
      </c>
      <c r="J1273" s="32" t="s">
        <v>2081</v>
      </c>
      <c r="K1273" s="0" t="n">
        <v>0</v>
      </c>
      <c r="L1273" s="32" t="s">
        <v>776</v>
      </c>
      <c r="M1273" s="0" t="str">
        <f aca="false">IF(L1273="GEN","GM",L1273)</f>
        <v>GS</v>
      </c>
    </row>
    <row r="1274" customFormat="false" ht="15" hidden="false" customHeight="false" outlineLevel="0" collapsed="false">
      <c r="A1274" s="0" t="s">
        <v>8807</v>
      </c>
      <c r="B1274" s="0" t="s">
        <v>8808</v>
      </c>
      <c r="C1274" s="0" t="s">
        <v>780</v>
      </c>
      <c r="D1274" s="0" t="s">
        <v>2104</v>
      </c>
      <c r="E1274" s="31" t="n">
        <v>45707</v>
      </c>
      <c r="F1274" s="32" t="s">
        <v>1125</v>
      </c>
      <c r="G1274" s="0" t="n">
        <v>12</v>
      </c>
      <c r="H1274" s="0" t="n">
        <v>12</v>
      </c>
      <c r="I1274" s="32" t="s">
        <v>2081</v>
      </c>
      <c r="J1274" s="32" t="s">
        <v>2081</v>
      </c>
      <c r="K1274" s="0" t="n">
        <v>0</v>
      </c>
      <c r="L1274" s="32" t="s">
        <v>785</v>
      </c>
      <c r="M1274" s="0" t="str">
        <f aca="false">IF(L1274="GEN","GM",L1274)</f>
        <v>RS</v>
      </c>
    </row>
    <row r="1275" customFormat="false" ht="15" hidden="false" customHeight="false" outlineLevel="0" collapsed="false">
      <c r="A1275" s="0" t="s">
        <v>8809</v>
      </c>
      <c r="B1275" s="0" t="s">
        <v>8810</v>
      </c>
      <c r="C1275" s="0" t="s">
        <v>6295</v>
      </c>
      <c r="D1275" s="0" t="s">
        <v>2104</v>
      </c>
      <c r="E1275" s="31" t="n">
        <v>45707</v>
      </c>
      <c r="F1275" s="32" t="s">
        <v>6287</v>
      </c>
      <c r="G1275" s="0" t="n">
        <v>7.5</v>
      </c>
      <c r="H1275" s="0" t="n">
        <v>7.5</v>
      </c>
      <c r="I1275" s="32" t="s">
        <v>2081</v>
      </c>
      <c r="J1275" s="32" t="s">
        <v>2081</v>
      </c>
      <c r="K1275" s="0" t="n">
        <v>0</v>
      </c>
      <c r="L1275" s="32" t="s">
        <v>766</v>
      </c>
      <c r="M1275" s="0" t="str">
        <f aca="false">IF(L1275="GEN","GM",L1275)</f>
        <v>OR</v>
      </c>
    </row>
    <row r="1276" customFormat="false" ht="15" hidden="false" customHeight="false" outlineLevel="0" collapsed="false">
      <c r="A1276" s="0" t="s">
        <v>8811</v>
      </c>
      <c r="B1276" s="0" t="s">
        <v>8812</v>
      </c>
      <c r="C1276" s="0" t="s">
        <v>6295</v>
      </c>
      <c r="D1276" s="0" t="s">
        <v>2104</v>
      </c>
      <c r="E1276" s="31" t="n">
        <v>45707</v>
      </c>
      <c r="F1276" s="32" t="s">
        <v>6287</v>
      </c>
      <c r="G1276" s="0" t="n">
        <v>7.5</v>
      </c>
      <c r="H1276" s="0" t="n">
        <v>7.5</v>
      </c>
      <c r="I1276" s="32" t="s">
        <v>2106</v>
      </c>
      <c r="J1276" s="32" t="s">
        <v>2081</v>
      </c>
      <c r="K1276" s="0" t="n">
        <v>0</v>
      </c>
      <c r="L1276" s="32" t="s">
        <v>776</v>
      </c>
      <c r="M1276" s="0" t="str">
        <f aca="false">IF(L1276="GEN","GM",L1276)</f>
        <v>GS</v>
      </c>
    </row>
    <row r="1277" customFormat="false" ht="15" hidden="false" customHeight="false" outlineLevel="0" collapsed="false">
      <c r="A1277" s="0" t="s">
        <v>8813</v>
      </c>
      <c r="B1277" s="0" t="s">
        <v>8814</v>
      </c>
      <c r="C1277" s="0" t="s">
        <v>6295</v>
      </c>
      <c r="D1277" s="0" t="s">
        <v>2104</v>
      </c>
      <c r="E1277" s="31" t="n">
        <v>45707</v>
      </c>
      <c r="F1277" s="32" t="s">
        <v>6287</v>
      </c>
      <c r="G1277" s="0" t="n">
        <v>7.5</v>
      </c>
      <c r="H1277" s="0" t="n">
        <v>7.5</v>
      </c>
      <c r="I1277" s="32" t="s">
        <v>2081</v>
      </c>
      <c r="J1277" s="32" t="s">
        <v>2081</v>
      </c>
      <c r="K1277" s="0" t="n">
        <v>0</v>
      </c>
      <c r="L1277" s="32" t="s">
        <v>758</v>
      </c>
      <c r="M1277" s="0" t="str">
        <f aca="false">IF(L1277="GEN","GM",L1277)</f>
        <v>CS</v>
      </c>
    </row>
    <row r="1278" customFormat="false" ht="15" hidden="false" customHeight="false" outlineLevel="0" collapsed="false">
      <c r="A1278" s="0" t="s">
        <v>8815</v>
      </c>
      <c r="B1278" s="0" t="s">
        <v>8816</v>
      </c>
      <c r="C1278" s="0" t="s">
        <v>780</v>
      </c>
      <c r="D1278" s="0" t="s">
        <v>2104</v>
      </c>
      <c r="E1278" s="31" t="n">
        <v>45707</v>
      </c>
      <c r="F1278" s="32" t="s">
        <v>1125</v>
      </c>
      <c r="G1278" s="0" t="n">
        <v>12</v>
      </c>
      <c r="H1278" s="0" t="n">
        <v>12</v>
      </c>
      <c r="I1278" s="32" t="s">
        <v>2081</v>
      </c>
      <c r="K1278" s="0" t="n">
        <v>0</v>
      </c>
      <c r="L1278" s="32" t="s">
        <v>793</v>
      </c>
      <c r="M1278" s="0" t="str">
        <f aca="false">IF(L1278="GEN","GM",L1278)</f>
        <v>EM</v>
      </c>
    </row>
    <row r="1279" customFormat="false" ht="15" hidden="false" customHeight="false" outlineLevel="0" collapsed="false">
      <c r="A1279" s="0" t="s">
        <v>8817</v>
      </c>
      <c r="B1279" s="0" t="s">
        <v>8818</v>
      </c>
      <c r="C1279" s="0" t="s">
        <v>6295</v>
      </c>
      <c r="D1279" s="0" t="s">
        <v>3035</v>
      </c>
      <c r="E1279" s="31" t="n">
        <v>45707</v>
      </c>
      <c r="F1279" s="32" t="s">
        <v>1125</v>
      </c>
      <c r="G1279" s="0" t="n">
        <v>12</v>
      </c>
      <c r="H1279" s="0" t="n">
        <v>12</v>
      </c>
      <c r="I1279" s="32" t="s">
        <v>2081</v>
      </c>
      <c r="J1279" s="32" t="s">
        <v>2081</v>
      </c>
      <c r="K1279" s="0" t="n">
        <v>0</v>
      </c>
      <c r="L1279" s="32" t="s">
        <v>747</v>
      </c>
      <c r="M1279" s="0" t="str">
        <f aca="false">IF(L1279="GEN","GM",L1279)</f>
        <v>GM</v>
      </c>
    </row>
    <row r="1280" customFormat="false" ht="15" hidden="false" customHeight="false" outlineLevel="0" collapsed="false">
      <c r="A1280" s="0" t="s">
        <v>8819</v>
      </c>
      <c r="B1280" s="0" t="s">
        <v>8820</v>
      </c>
      <c r="C1280" s="0" t="s">
        <v>6295</v>
      </c>
      <c r="D1280" s="0" t="s">
        <v>3035</v>
      </c>
      <c r="E1280" s="31" t="n">
        <v>45707</v>
      </c>
      <c r="F1280" s="32" t="s">
        <v>1125</v>
      </c>
      <c r="G1280" s="0" t="n">
        <v>12</v>
      </c>
      <c r="H1280" s="0" t="n">
        <v>12</v>
      </c>
      <c r="I1280" s="32" t="s">
        <v>2081</v>
      </c>
      <c r="J1280" s="32" t="s">
        <v>2081</v>
      </c>
      <c r="K1280" s="0" t="n">
        <v>0</v>
      </c>
      <c r="L1280" s="32" t="s">
        <v>758</v>
      </c>
      <c r="M1280" s="0" t="str">
        <f aca="false">IF(L1280="GEN","GM",L1280)</f>
        <v>CS</v>
      </c>
    </row>
    <row r="1281" customFormat="false" ht="15" hidden="false" customHeight="false" outlineLevel="0" collapsed="false">
      <c r="A1281" s="0" t="s">
        <v>8821</v>
      </c>
      <c r="B1281" s="0" t="s">
        <v>8822</v>
      </c>
      <c r="C1281" s="0" t="s">
        <v>6295</v>
      </c>
      <c r="D1281" s="0" t="s">
        <v>3035</v>
      </c>
      <c r="E1281" s="31" t="n">
        <v>45707</v>
      </c>
      <c r="F1281" s="32" t="s">
        <v>6283</v>
      </c>
      <c r="G1281" s="0" t="n">
        <v>11.5</v>
      </c>
      <c r="H1281" s="0" t="n">
        <v>13</v>
      </c>
      <c r="I1281" s="32" t="s">
        <v>2081</v>
      </c>
      <c r="J1281" s="32" t="s">
        <v>2081</v>
      </c>
      <c r="K1281" s="0" t="n">
        <v>1.5</v>
      </c>
      <c r="L1281" s="32" t="s">
        <v>747</v>
      </c>
      <c r="M1281" s="0" t="str">
        <f aca="false">IF(L1281="GEN","GM",L1281)</f>
        <v>GM</v>
      </c>
    </row>
    <row r="1282" customFormat="false" ht="15" hidden="false" customHeight="false" outlineLevel="0" collapsed="false">
      <c r="A1282" s="0" t="s">
        <v>8823</v>
      </c>
      <c r="B1282" s="0" t="s">
        <v>6883</v>
      </c>
      <c r="C1282" s="0" t="s">
        <v>780</v>
      </c>
      <c r="D1282" s="0" t="s">
        <v>2088</v>
      </c>
      <c r="E1282" s="31" t="n">
        <v>45708</v>
      </c>
      <c r="F1282" s="32" t="s">
        <v>6283</v>
      </c>
      <c r="G1282" s="0" t="n">
        <v>11.5</v>
      </c>
      <c r="H1282" s="0" t="n">
        <v>11.5</v>
      </c>
      <c r="I1282" s="32" t="s">
        <v>2081</v>
      </c>
      <c r="J1282" s="32" t="s">
        <v>2081</v>
      </c>
      <c r="K1282" s="0" t="n">
        <v>0</v>
      </c>
      <c r="L1282" s="32" t="s">
        <v>747</v>
      </c>
      <c r="M1282" s="0" t="str">
        <f aca="false">IF(L1282="GEN","GM",L1282)</f>
        <v>GM</v>
      </c>
    </row>
    <row r="1283" customFormat="false" ht="15" hidden="false" customHeight="false" outlineLevel="0" collapsed="false">
      <c r="A1283" s="0" t="s">
        <v>8824</v>
      </c>
      <c r="B1283" s="0" t="s">
        <v>8825</v>
      </c>
      <c r="C1283" s="0" t="s">
        <v>780</v>
      </c>
      <c r="D1283" s="0" t="s">
        <v>2088</v>
      </c>
      <c r="E1283" s="31" t="n">
        <v>45708</v>
      </c>
      <c r="F1283" s="32" t="s">
        <v>1125</v>
      </c>
      <c r="G1283" s="0" t="n">
        <v>12</v>
      </c>
      <c r="H1283" s="0" t="n">
        <v>12</v>
      </c>
      <c r="I1283" s="32" t="s">
        <v>2081</v>
      </c>
      <c r="J1283" s="32" t="s">
        <v>2081</v>
      </c>
      <c r="K1283" s="0" t="n">
        <v>0</v>
      </c>
      <c r="L1283" s="32" t="s">
        <v>766</v>
      </c>
      <c r="M1283" s="0" t="str">
        <f aca="false">IF(L1283="GEN","GM",L1283)</f>
        <v>OR</v>
      </c>
    </row>
    <row r="1284" customFormat="false" ht="15" hidden="false" customHeight="false" outlineLevel="0" collapsed="false">
      <c r="A1284" s="0" t="s">
        <v>8826</v>
      </c>
      <c r="B1284" s="0" t="s">
        <v>8827</v>
      </c>
      <c r="C1284" s="0" t="s">
        <v>6295</v>
      </c>
      <c r="D1284" s="0" t="s">
        <v>2088</v>
      </c>
      <c r="E1284" s="31" t="n">
        <v>45708</v>
      </c>
      <c r="F1284" s="32" t="s">
        <v>1125</v>
      </c>
      <c r="G1284" s="0" t="n">
        <v>12</v>
      </c>
      <c r="H1284" s="0" t="n">
        <v>12</v>
      </c>
      <c r="I1284" s="32" t="s">
        <v>2081</v>
      </c>
      <c r="J1284" s="32" t="s">
        <v>2081</v>
      </c>
      <c r="K1284" s="0" t="n">
        <v>0</v>
      </c>
      <c r="L1284" s="32" t="s">
        <v>793</v>
      </c>
      <c r="M1284" s="0" t="str">
        <f aca="false">IF(L1284="GEN","GM",L1284)</f>
        <v>EM</v>
      </c>
    </row>
    <row r="1285" customFormat="false" ht="15" hidden="false" customHeight="false" outlineLevel="0" collapsed="false">
      <c r="A1285" s="0" t="s">
        <v>8828</v>
      </c>
      <c r="B1285" s="0" t="s">
        <v>8829</v>
      </c>
      <c r="C1285" s="0" t="s">
        <v>780</v>
      </c>
      <c r="D1285" s="0" t="s">
        <v>2088</v>
      </c>
      <c r="E1285" s="31" t="n">
        <v>45708</v>
      </c>
      <c r="F1285" s="32" t="s">
        <v>1125</v>
      </c>
      <c r="G1285" s="0" t="n">
        <v>12</v>
      </c>
      <c r="H1285" s="0" t="n">
        <v>12</v>
      </c>
      <c r="I1285" s="32" t="s">
        <v>2081</v>
      </c>
      <c r="J1285" s="32" t="s">
        <v>2081</v>
      </c>
      <c r="K1285" s="0" t="n">
        <v>0</v>
      </c>
      <c r="L1285" s="32" t="s">
        <v>802</v>
      </c>
      <c r="M1285" s="0" t="str">
        <f aca="false">IF(L1285="GEN","GM",L1285)</f>
        <v>GYN</v>
      </c>
    </row>
    <row r="1286" customFormat="false" ht="15" hidden="false" customHeight="false" outlineLevel="0" collapsed="false">
      <c r="A1286" s="0" t="s">
        <v>8830</v>
      </c>
      <c r="B1286" s="0" t="s">
        <v>8831</v>
      </c>
      <c r="C1286" s="0" t="s">
        <v>6282</v>
      </c>
      <c r="D1286" s="0" t="s">
        <v>2088</v>
      </c>
      <c r="E1286" s="31" t="n">
        <v>45708</v>
      </c>
      <c r="F1286" s="32" t="s">
        <v>6287</v>
      </c>
      <c r="G1286" s="0" t="n">
        <v>7.5</v>
      </c>
      <c r="H1286" s="0" t="n">
        <v>7.5</v>
      </c>
      <c r="I1286" s="32" t="s">
        <v>2081</v>
      </c>
      <c r="J1286" s="32" t="s">
        <v>2081</v>
      </c>
      <c r="K1286" s="0" t="n">
        <v>0</v>
      </c>
      <c r="L1286" s="32" t="s">
        <v>758</v>
      </c>
      <c r="M1286" s="0" t="str">
        <f aca="false">IF(L1286="GEN","GM",L1286)</f>
        <v>CS</v>
      </c>
    </row>
    <row r="1287" customFormat="false" ht="15" hidden="false" customHeight="false" outlineLevel="0" collapsed="false">
      <c r="A1287" s="0" t="s">
        <v>8832</v>
      </c>
      <c r="B1287" s="0" t="s">
        <v>8833</v>
      </c>
      <c r="C1287" s="0" t="s">
        <v>6295</v>
      </c>
      <c r="D1287" s="0" t="s">
        <v>2079</v>
      </c>
      <c r="E1287" s="31" t="n">
        <v>45708</v>
      </c>
      <c r="F1287" s="32" t="s">
        <v>6287</v>
      </c>
      <c r="G1287" s="0" t="n">
        <v>7.5</v>
      </c>
      <c r="H1287" s="0" t="n">
        <v>7.5</v>
      </c>
      <c r="I1287" s="32" t="s">
        <v>2081</v>
      </c>
      <c r="K1287" s="0" t="n">
        <v>0</v>
      </c>
      <c r="L1287" s="32" t="s">
        <v>776</v>
      </c>
      <c r="M1287" s="0" t="str">
        <f aca="false">IF(L1287="GEN","GM",L1287)</f>
        <v>GS</v>
      </c>
    </row>
    <row r="1288" customFormat="false" ht="15" hidden="false" customHeight="false" outlineLevel="0" collapsed="false">
      <c r="A1288" s="0" t="s">
        <v>8834</v>
      </c>
      <c r="B1288" s="0" t="s">
        <v>8835</v>
      </c>
      <c r="C1288" s="0" t="s">
        <v>6295</v>
      </c>
      <c r="D1288" s="0" t="s">
        <v>2079</v>
      </c>
      <c r="E1288" s="31" t="n">
        <v>45708</v>
      </c>
      <c r="F1288" s="32" t="s">
        <v>1125</v>
      </c>
      <c r="G1288" s="0" t="n">
        <v>12</v>
      </c>
      <c r="H1288" s="0" t="n">
        <v>12</v>
      </c>
      <c r="I1288" s="32" t="s">
        <v>2081</v>
      </c>
      <c r="J1288" s="32" t="s">
        <v>2081</v>
      </c>
      <c r="K1288" s="0" t="n">
        <v>0</v>
      </c>
      <c r="L1288" s="32" t="s">
        <v>826</v>
      </c>
      <c r="M1288" s="0" t="str">
        <f aca="false">IF(L1288="GEN","GM",L1288)</f>
        <v>RHE</v>
      </c>
    </row>
    <row r="1289" customFormat="false" ht="15" hidden="false" customHeight="false" outlineLevel="0" collapsed="false">
      <c r="A1289" s="0" t="s">
        <v>8836</v>
      </c>
      <c r="B1289" s="0" t="s">
        <v>8837</v>
      </c>
      <c r="C1289" s="0" t="s">
        <v>6295</v>
      </c>
      <c r="D1289" s="0" t="s">
        <v>2079</v>
      </c>
      <c r="E1289" s="31" t="n">
        <v>45708</v>
      </c>
      <c r="F1289" s="32" t="s">
        <v>6287</v>
      </c>
      <c r="G1289" s="0" t="n">
        <v>7.5</v>
      </c>
      <c r="H1289" s="0" t="n">
        <v>8</v>
      </c>
      <c r="I1289" s="32" t="s">
        <v>2081</v>
      </c>
      <c r="J1289" s="32" t="s">
        <v>2081</v>
      </c>
      <c r="K1289" s="0" t="n">
        <v>0.5</v>
      </c>
      <c r="L1289" s="32" t="s">
        <v>758</v>
      </c>
      <c r="M1289" s="0" t="str">
        <f aca="false">IF(L1289="GEN","GM",L1289)</f>
        <v>CS</v>
      </c>
    </row>
    <row r="1290" customFormat="false" ht="15" hidden="false" customHeight="false" outlineLevel="0" collapsed="false">
      <c r="A1290" s="0" t="s">
        <v>8838</v>
      </c>
      <c r="B1290" s="0" t="s">
        <v>8839</v>
      </c>
      <c r="C1290" s="0" t="s">
        <v>6295</v>
      </c>
      <c r="D1290" s="0" t="s">
        <v>2099</v>
      </c>
      <c r="E1290" s="31" t="n">
        <v>45708</v>
      </c>
      <c r="F1290" s="32" t="s">
        <v>1125</v>
      </c>
      <c r="G1290" s="0" t="n">
        <v>12</v>
      </c>
      <c r="H1290" s="0" t="n">
        <v>12</v>
      </c>
      <c r="I1290" s="32" t="s">
        <v>2081</v>
      </c>
      <c r="J1290" s="32" t="s">
        <v>2081</v>
      </c>
      <c r="K1290" s="0" t="n">
        <v>0</v>
      </c>
      <c r="L1290" s="32" t="s">
        <v>747</v>
      </c>
      <c r="M1290" s="0" t="str">
        <f aca="false">IF(L1290="GEN","GM",L1290)</f>
        <v>GM</v>
      </c>
    </row>
    <row r="1291" customFormat="false" ht="15" hidden="false" customHeight="false" outlineLevel="0" collapsed="false">
      <c r="A1291" s="0" t="s">
        <v>8840</v>
      </c>
      <c r="B1291" s="0" t="s">
        <v>8841</v>
      </c>
      <c r="C1291" s="0" t="s">
        <v>6295</v>
      </c>
      <c r="D1291" s="0" t="s">
        <v>2099</v>
      </c>
      <c r="E1291" s="31" t="n">
        <v>45708</v>
      </c>
      <c r="F1291" s="32" t="s">
        <v>1125</v>
      </c>
      <c r="G1291" s="0" t="n">
        <v>12</v>
      </c>
      <c r="H1291" s="0" t="n">
        <v>12</v>
      </c>
      <c r="I1291" s="32" t="s">
        <v>2081</v>
      </c>
      <c r="J1291" s="32" t="s">
        <v>2081</v>
      </c>
      <c r="K1291" s="0" t="n">
        <v>0</v>
      </c>
      <c r="L1291" s="32" t="s">
        <v>785</v>
      </c>
      <c r="M1291" s="0" t="str">
        <f aca="false">IF(L1291="GEN","GM",L1291)</f>
        <v>RS</v>
      </c>
    </row>
    <row r="1292" customFormat="false" ht="15" hidden="false" customHeight="false" outlineLevel="0" collapsed="false">
      <c r="A1292" s="0" t="s">
        <v>8842</v>
      </c>
      <c r="B1292" s="0" t="s">
        <v>8843</v>
      </c>
      <c r="C1292" s="0" t="s">
        <v>6295</v>
      </c>
      <c r="D1292" s="0" t="s">
        <v>2099</v>
      </c>
      <c r="E1292" s="31" t="n">
        <v>45708</v>
      </c>
      <c r="F1292" s="32" t="s">
        <v>6283</v>
      </c>
      <c r="G1292" s="0" t="n">
        <v>11.5</v>
      </c>
      <c r="H1292" s="0" t="n">
        <v>11.5</v>
      </c>
      <c r="I1292" s="32" t="s">
        <v>2081</v>
      </c>
      <c r="K1292" s="0" t="n">
        <v>0</v>
      </c>
      <c r="L1292" s="32" t="s">
        <v>747</v>
      </c>
      <c r="M1292" s="0" t="str">
        <f aca="false">IF(L1292="GEN","GM",L1292)</f>
        <v>GM</v>
      </c>
    </row>
    <row r="1293" customFormat="false" ht="15" hidden="false" customHeight="false" outlineLevel="0" collapsed="false">
      <c r="A1293" s="0" t="s">
        <v>8844</v>
      </c>
      <c r="B1293" s="0" t="s">
        <v>8845</v>
      </c>
      <c r="C1293" s="0" t="s">
        <v>6290</v>
      </c>
      <c r="D1293" s="0" t="s">
        <v>2115</v>
      </c>
      <c r="E1293" s="31" t="n">
        <v>45708</v>
      </c>
      <c r="F1293" s="32" t="s">
        <v>6283</v>
      </c>
      <c r="G1293" s="0" t="n">
        <v>11.5</v>
      </c>
      <c r="H1293" s="0" t="n">
        <v>11.5</v>
      </c>
      <c r="I1293" s="32" t="s">
        <v>2081</v>
      </c>
      <c r="J1293" s="32" t="s">
        <v>2081</v>
      </c>
      <c r="K1293" s="0" t="n">
        <v>0</v>
      </c>
      <c r="L1293" s="32" t="s">
        <v>802</v>
      </c>
      <c r="M1293" s="0" t="str">
        <f aca="false">IF(L1293="GEN","GM",L1293)</f>
        <v>GYN</v>
      </c>
    </row>
    <row r="1294" customFormat="false" ht="15" hidden="false" customHeight="false" outlineLevel="0" collapsed="false">
      <c r="A1294" s="0" t="s">
        <v>8846</v>
      </c>
      <c r="B1294" s="0" t="s">
        <v>8847</v>
      </c>
      <c r="C1294" s="0" t="s">
        <v>6295</v>
      </c>
      <c r="D1294" s="0" t="s">
        <v>2115</v>
      </c>
      <c r="E1294" s="31" t="n">
        <v>45708</v>
      </c>
      <c r="F1294" s="32" t="s">
        <v>6287</v>
      </c>
      <c r="G1294" s="0" t="n">
        <v>7.5</v>
      </c>
      <c r="H1294" s="0" t="n">
        <v>7.5</v>
      </c>
      <c r="I1294" s="32" t="s">
        <v>2081</v>
      </c>
      <c r="J1294" s="32" t="s">
        <v>2081</v>
      </c>
      <c r="K1294" s="0" t="n">
        <v>0</v>
      </c>
      <c r="L1294" s="32" t="s">
        <v>747</v>
      </c>
      <c r="M1294" s="0" t="str">
        <f aca="false">IF(L1294="GEN","GM",L1294)</f>
        <v>GM</v>
      </c>
    </row>
    <row r="1295" customFormat="false" ht="15" hidden="false" customHeight="false" outlineLevel="0" collapsed="false">
      <c r="A1295" s="0" t="s">
        <v>8848</v>
      </c>
      <c r="B1295" s="0" t="s">
        <v>8849</v>
      </c>
      <c r="C1295" s="0" t="s">
        <v>6295</v>
      </c>
      <c r="D1295" s="0" t="s">
        <v>2115</v>
      </c>
      <c r="E1295" s="31" t="n">
        <v>45708</v>
      </c>
      <c r="F1295" s="32" t="s">
        <v>6283</v>
      </c>
      <c r="G1295" s="0" t="n">
        <v>11.5</v>
      </c>
      <c r="H1295" s="0" t="n">
        <v>11.5</v>
      </c>
      <c r="I1295" s="32" t="s">
        <v>2081</v>
      </c>
      <c r="J1295" s="32" t="s">
        <v>2081</v>
      </c>
      <c r="K1295" s="0" t="n">
        <v>0</v>
      </c>
      <c r="L1295" s="32" t="s">
        <v>793</v>
      </c>
      <c r="M1295" s="0" t="str">
        <f aca="false">IF(L1295="GEN","GM",L1295)</f>
        <v>EM</v>
      </c>
    </row>
    <row r="1296" customFormat="false" ht="15" hidden="false" customHeight="false" outlineLevel="0" collapsed="false">
      <c r="A1296" s="0" t="s">
        <v>8850</v>
      </c>
      <c r="B1296" s="0" t="s">
        <v>8851</v>
      </c>
      <c r="C1296" s="0" t="s">
        <v>6295</v>
      </c>
      <c r="D1296" s="0" t="s">
        <v>2115</v>
      </c>
      <c r="E1296" s="31" t="n">
        <v>45708</v>
      </c>
      <c r="F1296" s="32" t="s">
        <v>1125</v>
      </c>
      <c r="G1296" s="0" t="n">
        <v>12</v>
      </c>
      <c r="H1296" s="0" t="n">
        <v>12.5</v>
      </c>
      <c r="I1296" s="32" t="s">
        <v>2081</v>
      </c>
      <c r="J1296" s="32" t="s">
        <v>2081</v>
      </c>
      <c r="K1296" s="0" t="n">
        <v>0.5</v>
      </c>
      <c r="L1296" s="32" t="s">
        <v>766</v>
      </c>
      <c r="M1296" s="0" t="str">
        <f aca="false">IF(L1296="GEN","GM",L1296)</f>
        <v>OR</v>
      </c>
    </row>
    <row r="1297" customFormat="false" ht="15" hidden="false" customHeight="false" outlineLevel="0" collapsed="false">
      <c r="A1297" s="0" t="s">
        <v>8852</v>
      </c>
      <c r="B1297" s="0" t="s">
        <v>8853</v>
      </c>
      <c r="C1297" s="0" t="s">
        <v>6286</v>
      </c>
      <c r="D1297" s="0" t="s">
        <v>2124</v>
      </c>
      <c r="E1297" s="31" t="n">
        <v>45708</v>
      </c>
      <c r="F1297" s="32" t="s">
        <v>6287</v>
      </c>
      <c r="G1297" s="0" t="n">
        <v>7.5</v>
      </c>
      <c r="H1297" s="0" t="n">
        <v>7.5</v>
      </c>
      <c r="I1297" s="32" t="s">
        <v>2081</v>
      </c>
      <c r="J1297" s="32" t="s">
        <v>2081</v>
      </c>
      <c r="K1297" s="0" t="n">
        <v>0</v>
      </c>
      <c r="L1297" s="32" t="s">
        <v>758</v>
      </c>
      <c r="M1297" s="0" t="str">
        <f aca="false">IF(L1297="GEN","GM",L1297)</f>
        <v>CS</v>
      </c>
    </row>
    <row r="1298" customFormat="false" ht="15" hidden="false" customHeight="false" outlineLevel="0" collapsed="false">
      <c r="A1298" s="0" t="s">
        <v>8854</v>
      </c>
      <c r="B1298" s="0" t="s">
        <v>8855</v>
      </c>
      <c r="C1298" s="0" t="s">
        <v>6295</v>
      </c>
      <c r="D1298" s="0" t="s">
        <v>2124</v>
      </c>
      <c r="E1298" s="31" t="n">
        <v>45708</v>
      </c>
      <c r="F1298" s="32" t="s">
        <v>6283</v>
      </c>
      <c r="G1298" s="0" t="n">
        <v>11.5</v>
      </c>
      <c r="H1298" s="0" t="n">
        <v>11.5</v>
      </c>
      <c r="I1298" s="32" t="s">
        <v>2081</v>
      </c>
      <c r="J1298" s="32" t="s">
        <v>2081</v>
      </c>
      <c r="K1298" s="0" t="n">
        <v>0</v>
      </c>
      <c r="L1298" s="32" t="s">
        <v>810</v>
      </c>
      <c r="M1298" s="0" t="str">
        <f aca="false">IF(L1298="GEN","GM",L1298)</f>
        <v>URO</v>
      </c>
    </row>
    <row r="1299" customFormat="false" ht="15" hidden="false" customHeight="false" outlineLevel="0" collapsed="false">
      <c r="A1299" s="0" t="s">
        <v>8856</v>
      </c>
      <c r="B1299" s="0" t="s">
        <v>8857</v>
      </c>
      <c r="C1299" s="0" t="s">
        <v>6290</v>
      </c>
      <c r="D1299" s="0" t="s">
        <v>2124</v>
      </c>
      <c r="E1299" s="31" t="n">
        <v>45708</v>
      </c>
      <c r="F1299" s="32" t="s">
        <v>6287</v>
      </c>
      <c r="G1299" s="0" t="n">
        <v>7.5</v>
      </c>
      <c r="H1299" s="0" t="n">
        <v>7.5</v>
      </c>
      <c r="I1299" s="32" t="s">
        <v>2081</v>
      </c>
      <c r="J1299" s="32" t="s">
        <v>2081</v>
      </c>
      <c r="K1299" s="0" t="n">
        <v>0</v>
      </c>
      <c r="L1299" s="32" t="s">
        <v>802</v>
      </c>
      <c r="M1299" s="0" t="str">
        <f aca="false">IF(L1299="GEN","GM",L1299)</f>
        <v>GYN</v>
      </c>
    </row>
    <row r="1300" customFormat="false" ht="15" hidden="false" customHeight="false" outlineLevel="0" collapsed="false">
      <c r="A1300" s="0" t="s">
        <v>8858</v>
      </c>
      <c r="B1300" s="0" t="s">
        <v>8859</v>
      </c>
      <c r="C1300" s="0" t="s">
        <v>6290</v>
      </c>
      <c r="D1300" s="0" t="s">
        <v>2124</v>
      </c>
      <c r="E1300" s="31" t="n">
        <v>45708</v>
      </c>
      <c r="F1300" s="32" t="s">
        <v>6283</v>
      </c>
      <c r="G1300" s="0" t="n">
        <v>11.5</v>
      </c>
      <c r="H1300" s="0" t="n">
        <v>11.5</v>
      </c>
      <c r="I1300" s="32" t="s">
        <v>2081</v>
      </c>
      <c r="J1300" s="32" t="s">
        <v>2081</v>
      </c>
      <c r="K1300" s="0" t="n">
        <v>0</v>
      </c>
      <c r="L1300" s="32" t="s">
        <v>810</v>
      </c>
      <c r="M1300" s="0" t="str">
        <f aca="false">IF(L1300="GEN","GM",L1300)</f>
        <v>URO</v>
      </c>
    </row>
    <row r="1301" customFormat="false" ht="15" hidden="false" customHeight="false" outlineLevel="0" collapsed="false">
      <c r="A1301" s="0" t="s">
        <v>8860</v>
      </c>
      <c r="B1301" s="0" t="s">
        <v>8861</v>
      </c>
      <c r="C1301" s="0" t="s">
        <v>6286</v>
      </c>
      <c r="D1301" s="0" t="s">
        <v>2124</v>
      </c>
      <c r="E1301" s="31" t="n">
        <v>45708</v>
      </c>
      <c r="F1301" s="32" t="s">
        <v>6287</v>
      </c>
      <c r="G1301" s="0" t="n">
        <v>7.5</v>
      </c>
      <c r="H1301" s="0" t="n">
        <v>7.5</v>
      </c>
      <c r="I1301" s="32" t="s">
        <v>2081</v>
      </c>
      <c r="J1301" s="32" t="s">
        <v>2081</v>
      </c>
      <c r="K1301" s="0" t="n">
        <v>0</v>
      </c>
      <c r="L1301" s="32" t="s">
        <v>826</v>
      </c>
      <c r="M1301" s="0" t="str">
        <f aca="false">IF(L1301="GEN","GM",L1301)</f>
        <v>RHE</v>
      </c>
    </row>
    <row r="1302" customFormat="false" ht="15" hidden="false" customHeight="false" outlineLevel="0" collapsed="false">
      <c r="A1302" s="0" t="s">
        <v>8862</v>
      </c>
      <c r="B1302" s="0" t="s">
        <v>8863</v>
      </c>
      <c r="C1302" s="0" t="s">
        <v>6295</v>
      </c>
      <c r="D1302" s="0" t="s">
        <v>2104</v>
      </c>
      <c r="E1302" s="31" t="n">
        <v>45708</v>
      </c>
      <c r="F1302" s="32" t="s">
        <v>6283</v>
      </c>
      <c r="G1302" s="0" t="n">
        <v>11.5</v>
      </c>
      <c r="H1302" s="0" t="n">
        <v>11.5</v>
      </c>
      <c r="I1302" s="32" t="s">
        <v>2081</v>
      </c>
      <c r="J1302" s="32" t="s">
        <v>2081</v>
      </c>
      <c r="K1302" s="0" t="n">
        <v>0</v>
      </c>
      <c r="L1302" s="32" t="s">
        <v>766</v>
      </c>
      <c r="M1302" s="0" t="str">
        <f aca="false">IF(L1302="GEN","GM",L1302)</f>
        <v>OR</v>
      </c>
    </row>
    <row r="1303" customFormat="false" ht="15" hidden="false" customHeight="false" outlineLevel="0" collapsed="false">
      <c r="A1303" s="0" t="s">
        <v>8864</v>
      </c>
      <c r="B1303" s="0" t="s">
        <v>8865</v>
      </c>
      <c r="C1303" s="0" t="s">
        <v>6295</v>
      </c>
      <c r="D1303" s="0" t="s">
        <v>2104</v>
      </c>
      <c r="E1303" s="31" t="n">
        <v>45708</v>
      </c>
      <c r="F1303" s="32" t="s">
        <v>6283</v>
      </c>
      <c r="G1303" s="0" t="n">
        <v>11.5</v>
      </c>
      <c r="H1303" s="0" t="n">
        <v>11.5</v>
      </c>
      <c r="I1303" s="32" t="s">
        <v>2081</v>
      </c>
      <c r="J1303" s="32" t="s">
        <v>2081</v>
      </c>
      <c r="K1303" s="0" t="n">
        <v>0</v>
      </c>
      <c r="L1303" s="32" t="s">
        <v>785</v>
      </c>
      <c r="M1303" s="0" t="str">
        <f aca="false">IF(L1303="GEN","GM",L1303)</f>
        <v>RS</v>
      </c>
    </row>
    <row r="1304" customFormat="false" ht="15" hidden="false" customHeight="false" outlineLevel="0" collapsed="false">
      <c r="A1304" s="0" t="s">
        <v>8866</v>
      </c>
      <c r="B1304" s="0" t="s">
        <v>8867</v>
      </c>
      <c r="C1304" s="0" t="s">
        <v>6696</v>
      </c>
      <c r="D1304" s="0" t="s">
        <v>2104</v>
      </c>
      <c r="E1304" s="31" t="n">
        <v>45708</v>
      </c>
      <c r="F1304" s="32" t="s">
        <v>6283</v>
      </c>
      <c r="G1304" s="0" t="n">
        <v>11.5</v>
      </c>
      <c r="H1304" s="0" t="n">
        <v>11.5</v>
      </c>
      <c r="I1304" s="32" t="s">
        <v>2081</v>
      </c>
      <c r="J1304" s="32" t="s">
        <v>2081</v>
      </c>
      <c r="K1304" s="0" t="n">
        <v>0</v>
      </c>
      <c r="L1304" s="32" t="s">
        <v>793</v>
      </c>
      <c r="M1304" s="0" t="str">
        <f aca="false">IF(L1304="GEN","GM",L1304)</f>
        <v>EM</v>
      </c>
    </row>
    <row r="1305" customFormat="false" ht="15" hidden="false" customHeight="false" outlineLevel="0" collapsed="false">
      <c r="A1305" s="0" t="s">
        <v>8868</v>
      </c>
      <c r="B1305" s="0" t="s">
        <v>8869</v>
      </c>
      <c r="C1305" s="0" t="s">
        <v>6290</v>
      </c>
      <c r="D1305" s="0" t="s">
        <v>2104</v>
      </c>
      <c r="E1305" s="31" t="n">
        <v>45708</v>
      </c>
      <c r="F1305" s="32" t="s">
        <v>6287</v>
      </c>
      <c r="G1305" s="0" t="n">
        <v>7.5</v>
      </c>
      <c r="H1305" s="0" t="n">
        <v>6.7</v>
      </c>
      <c r="I1305" s="32" t="s">
        <v>2081</v>
      </c>
      <c r="J1305" s="32" t="s">
        <v>2081</v>
      </c>
      <c r="K1305" s="0" t="n">
        <v>0</v>
      </c>
      <c r="L1305" s="32" t="s">
        <v>802</v>
      </c>
      <c r="M1305" s="0" t="str">
        <f aca="false">IF(L1305="GEN","GM",L1305)</f>
        <v>GYN</v>
      </c>
    </row>
    <row r="1306" customFormat="false" ht="15" hidden="false" customHeight="false" outlineLevel="0" collapsed="false">
      <c r="A1306" s="0" t="s">
        <v>8870</v>
      </c>
      <c r="B1306" s="0" t="s">
        <v>8871</v>
      </c>
      <c r="C1306" s="0" t="s">
        <v>6295</v>
      </c>
      <c r="D1306" s="0" t="s">
        <v>3035</v>
      </c>
      <c r="E1306" s="31" t="n">
        <v>45708</v>
      </c>
      <c r="F1306" s="32" t="s">
        <v>6287</v>
      </c>
      <c r="G1306" s="0" t="n">
        <v>7.5</v>
      </c>
      <c r="H1306" s="0" t="n">
        <v>7.5</v>
      </c>
      <c r="I1306" s="32" t="s">
        <v>2081</v>
      </c>
      <c r="J1306" s="32" t="s">
        <v>2081</v>
      </c>
      <c r="K1306" s="0" t="n">
        <v>0</v>
      </c>
      <c r="L1306" s="32" t="s">
        <v>802</v>
      </c>
      <c r="M1306" s="0" t="str">
        <f aca="false">IF(L1306="GEN","GM",L1306)</f>
        <v>GYN</v>
      </c>
    </row>
    <row r="1307" customFormat="false" ht="15" hidden="false" customHeight="false" outlineLevel="0" collapsed="false">
      <c r="A1307" s="0" t="s">
        <v>8872</v>
      </c>
      <c r="B1307" s="0" t="s">
        <v>8873</v>
      </c>
      <c r="C1307" s="0" t="s">
        <v>6282</v>
      </c>
      <c r="D1307" s="0" t="s">
        <v>3035</v>
      </c>
      <c r="E1307" s="31" t="n">
        <v>45708</v>
      </c>
      <c r="F1307" s="32" t="s">
        <v>6287</v>
      </c>
      <c r="G1307" s="0" t="n">
        <v>7.5</v>
      </c>
      <c r="H1307" s="0" t="n">
        <v>7.5</v>
      </c>
      <c r="I1307" s="32" t="s">
        <v>2106</v>
      </c>
      <c r="J1307" s="32" t="s">
        <v>2081</v>
      </c>
      <c r="K1307" s="0" t="n">
        <v>0</v>
      </c>
      <c r="L1307" s="32" t="s">
        <v>758</v>
      </c>
      <c r="M1307" s="0" t="str">
        <f aca="false">IF(L1307="GEN","GM",L1307)</f>
        <v>CS</v>
      </c>
    </row>
    <row r="1308" customFormat="false" ht="15" hidden="false" customHeight="false" outlineLevel="0" collapsed="false">
      <c r="A1308" s="0" t="s">
        <v>8874</v>
      </c>
      <c r="B1308" s="0" t="s">
        <v>8875</v>
      </c>
      <c r="C1308" s="0" t="s">
        <v>6295</v>
      </c>
      <c r="D1308" s="0" t="s">
        <v>3035</v>
      </c>
      <c r="E1308" s="31" t="n">
        <v>45708</v>
      </c>
      <c r="F1308" s="32" t="s">
        <v>6287</v>
      </c>
      <c r="G1308" s="0" t="n">
        <v>7.5</v>
      </c>
      <c r="H1308" s="0" t="n">
        <v>7.5</v>
      </c>
      <c r="I1308" s="32" t="s">
        <v>2081</v>
      </c>
      <c r="J1308" s="32" t="s">
        <v>2081</v>
      </c>
      <c r="K1308" s="0" t="n">
        <v>0</v>
      </c>
      <c r="L1308" s="32" t="s">
        <v>785</v>
      </c>
      <c r="M1308" s="0" t="str">
        <f aca="false">IF(L1308="GEN","GM",L1308)</f>
        <v>RS</v>
      </c>
    </row>
    <row r="1309" customFormat="false" ht="15" hidden="false" customHeight="false" outlineLevel="0" collapsed="false">
      <c r="A1309" s="0" t="s">
        <v>8876</v>
      </c>
      <c r="B1309" s="0" t="s">
        <v>8877</v>
      </c>
      <c r="C1309" s="0" t="s">
        <v>6295</v>
      </c>
      <c r="D1309" s="0" t="s">
        <v>3035</v>
      </c>
      <c r="E1309" s="31" t="n">
        <v>45708</v>
      </c>
      <c r="F1309" s="32" t="s">
        <v>1125</v>
      </c>
      <c r="G1309" s="0" t="n">
        <v>12</v>
      </c>
      <c r="H1309" s="0" t="n">
        <v>12</v>
      </c>
      <c r="I1309" s="32" t="s">
        <v>2081</v>
      </c>
      <c r="J1309" s="32" t="s">
        <v>2081</v>
      </c>
      <c r="K1309" s="0" t="n">
        <v>0</v>
      </c>
      <c r="L1309" s="32" t="s">
        <v>766</v>
      </c>
      <c r="M1309" s="0" t="str">
        <f aca="false">IF(L1309="GEN","GM",L1309)</f>
        <v>OR</v>
      </c>
    </row>
    <row r="1310" customFormat="false" ht="15" hidden="false" customHeight="false" outlineLevel="0" collapsed="false">
      <c r="A1310" s="0" t="s">
        <v>8878</v>
      </c>
      <c r="B1310" s="0" t="s">
        <v>8879</v>
      </c>
      <c r="C1310" s="0" t="s">
        <v>6290</v>
      </c>
      <c r="D1310" s="0" t="s">
        <v>2088</v>
      </c>
      <c r="E1310" s="31" t="n">
        <v>45709</v>
      </c>
      <c r="F1310" s="32" t="s">
        <v>6283</v>
      </c>
      <c r="G1310" s="0" t="n">
        <v>11.5</v>
      </c>
      <c r="H1310" s="0" t="n">
        <v>11.5</v>
      </c>
      <c r="I1310" s="32" t="s">
        <v>2081</v>
      </c>
      <c r="J1310" s="32" t="s">
        <v>2081</v>
      </c>
      <c r="K1310" s="0" t="n">
        <v>0</v>
      </c>
      <c r="L1310" s="32" t="s">
        <v>758</v>
      </c>
      <c r="M1310" s="0" t="str">
        <f aca="false">IF(L1310="GEN","GM",L1310)</f>
        <v>CS</v>
      </c>
    </row>
    <row r="1311" customFormat="false" ht="15" hidden="false" customHeight="false" outlineLevel="0" collapsed="false">
      <c r="A1311" s="0" t="s">
        <v>8880</v>
      </c>
      <c r="B1311" s="0" t="s">
        <v>8881</v>
      </c>
      <c r="C1311" s="0" t="s">
        <v>6286</v>
      </c>
      <c r="D1311" s="0" t="s">
        <v>2088</v>
      </c>
      <c r="E1311" s="31" t="n">
        <v>45709</v>
      </c>
      <c r="F1311" s="32" t="s">
        <v>6283</v>
      </c>
      <c r="G1311" s="0" t="n">
        <v>11.5</v>
      </c>
      <c r="H1311" s="0" t="n">
        <v>11.5</v>
      </c>
      <c r="I1311" s="32" t="s">
        <v>2081</v>
      </c>
      <c r="J1311" s="32" t="s">
        <v>2081</v>
      </c>
      <c r="K1311" s="0" t="n">
        <v>0</v>
      </c>
      <c r="L1311" s="32" t="s">
        <v>793</v>
      </c>
      <c r="M1311" s="0" t="str">
        <f aca="false">IF(L1311="GEN","GM",L1311)</f>
        <v>EM</v>
      </c>
    </row>
    <row r="1312" customFormat="false" ht="15" hidden="false" customHeight="false" outlineLevel="0" collapsed="false">
      <c r="A1312" s="0" t="s">
        <v>8882</v>
      </c>
      <c r="B1312" s="0" t="s">
        <v>8883</v>
      </c>
      <c r="C1312" s="0" t="s">
        <v>6282</v>
      </c>
      <c r="D1312" s="0" t="s">
        <v>2088</v>
      </c>
      <c r="E1312" s="31" t="n">
        <v>45709</v>
      </c>
      <c r="F1312" s="32" t="s">
        <v>1125</v>
      </c>
      <c r="G1312" s="0" t="n">
        <v>12</v>
      </c>
      <c r="H1312" s="0" t="n">
        <v>12</v>
      </c>
      <c r="I1312" s="32" t="s">
        <v>2106</v>
      </c>
      <c r="J1312" s="32" t="s">
        <v>2081</v>
      </c>
      <c r="K1312" s="0" t="n">
        <v>0</v>
      </c>
      <c r="L1312" s="32" t="s">
        <v>826</v>
      </c>
      <c r="M1312" s="0" t="str">
        <f aca="false">IF(L1312="GEN","GM",L1312)</f>
        <v>RHE</v>
      </c>
    </row>
    <row r="1313" customFormat="false" ht="15" hidden="false" customHeight="false" outlineLevel="0" collapsed="false">
      <c r="A1313" s="0" t="s">
        <v>8884</v>
      </c>
      <c r="B1313" s="0" t="s">
        <v>8885</v>
      </c>
      <c r="C1313" s="0" t="s">
        <v>6290</v>
      </c>
      <c r="D1313" s="0" t="s">
        <v>2088</v>
      </c>
      <c r="E1313" s="31" t="n">
        <v>45709</v>
      </c>
      <c r="F1313" s="32" t="s">
        <v>1125</v>
      </c>
      <c r="G1313" s="0" t="n">
        <v>12</v>
      </c>
      <c r="H1313" s="0" t="n">
        <v>12</v>
      </c>
      <c r="I1313" s="32" t="s">
        <v>2106</v>
      </c>
      <c r="J1313" s="32" t="s">
        <v>2081</v>
      </c>
      <c r="K1313" s="0" t="n">
        <v>0</v>
      </c>
      <c r="L1313" s="32" t="s">
        <v>785</v>
      </c>
      <c r="M1313" s="0" t="str">
        <f aca="false">IF(L1313="GEN","GM",L1313)</f>
        <v>RS</v>
      </c>
    </row>
    <row r="1314" customFormat="false" ht="15" hidden="false" customHeight="false" outlineLevel="0" collapsed="false">
      <c r="A1314" s="0" t="s">
        <v>8886</v>
      </c>
      <c r="B1314" s="0" t="s">
        <v>8887</v>
      </c>
      <c r="C1314" s="0" t="s">
        <v>780</v>
      </c>
      <c r="D1314" s="0" t="s">
        <v>2079</v>
      </c>
      <c r="E1314" s="31" t="n">
        <v>45709</v>
      </c>
      <c r="F1314" s="32" t="s">
        <v>6287</v>
      </c>
      <c r="G1314" s="0" t="n">
        <v>7.5</v>
      </c>
      <c r="H1314" s="0" t="n">
        <v>7.5</v>
      </c>
      <c r="I1314" s="32" t="s">
        <v>2081</v>
      </c>
      <c r="J1314" s="32" t="s">
        <v>2081</v>
      </c>
      <c r="K1314" s="0" t="n">
        <v>0</v>
      </c>
      <c r="L1314" s="32" t="s">
        <v>785</v>
      </c>
      <c r="M1314" s="0" t="str">
        <f aca="false">IF(L1314="GEN","GM",L1314)</f>
        <v>RS</v>
      </c>
    </row>
    <row r="1315" customFormat="false" ht="15" hidden="false" customHeight="false" outlineLevel="0" collapsed="false">
      <c r="A1315" s="0" t="s">
        <v>8888</v>
      </c>
      <c r="B1315" s="0" t="s">
        <v>8889</v>
      </c>
      <c r="C1315" s="0" t="s">
        <v>6286</v>
      </c>
      <c r="D1315" s="0" t="s">
        <v>2079</v>
      </c>
      <c r="E1315" s="31" t="n">
        <v>45709</v>
      </c>
      <c r="F1315" s="32" t="s">
        <v>6283</v>
      </c>
      <c r="G1315" s="0" t="n">
        <v>11.5</v>
      </c>
      <c r="H1315" s="0" t="n">
        <v>11.5</v>
      </c>
      <c r="I1315" s="32" t="s">
        <v>2081</v>
      </c>
      <c r="J1315" s="32" t="s">
        <v>2081</v>
      </c>
      <c r="K1315" s="0" t="n">
        <v>0</v>
      </c>
      <c r="L1315" s="32" t="s">
        <v>802</v>
      </c>
      <c r="M1315" s="0" t="str">
        <f aca="false">IF(L1315="GEN","GM",L1315)</f>
        <v>GYN</v>
      </c>
    </row>
    <row r="1316" customFormat="false" ht="15" hidden="false" customHeight="false" outlineLevel="0" collapsed="false">
      <c r="A1316" s="0" t="s">
        <v>8890</v>
      </c>
      <c r="B1316" s="0" t="s">
        <v>8891</v>
      </c>
      <c r="C1316" s="0" t="s">
        <v>6295</v>
      </c>
      <c r="D1316" s="0" t="s">
        <v>2079</v>
      </c>
      <c r="E1316" s="31" t="n">
        <v>45709</v>
      </c>
      <c r="F1316" s="32" t="s">
        <v>1125</v>
      </c>
      <c r="G1316" s="0" t="n">
        <v>12</v>
      </c>
      <c r="H1316" s="0" t="n">
        <v>12</v>
      </c>
      <c r="I1316" s="32" t="s">
        <v>2106</v>
      </c>
      <c r="J1316" s="32" t="s">
        <v>2081</v>
      </c>
      <c r="K1316" s="0" t="n">
        <v>0</v>
      </c>
      <c r="L1316" s="32" t="s">
        <v>766</v>
      </c>
      <c r="M1316" s="0" t="str">
        <f aca="false">IF(L1316="GEN","GM",L1316)</f>
        <v>OR</v>
      </c>
    </row>
    <row r="1317" customFormat="false" ht="15" hidden="false" customHeight="false" outlineLevel="0" collapsed="false">
      <c r="A1317" s="0" t="s">
        <v>8892</v>
      </c>
      <c r="B1317" s="0" t="s">
        <v>8893</v>
      </c>
      <c r="C1317" s="0" t="s">
        <v>6286</v>
      </c>
      <c r="D1317" s="0" t="s">
        <v>2099</v>
      </c>
      <c r="E1317" s="31" t="n">
        <v>45709</v>
      </c>
      <c r="F1317" s="32" t="s">
        <v>1125</v>
      </c>
      <c r="G1317" s="0" t="n">
        <v>12</v>
      </c>
      <c r="H1317" s="0" t="n">
        <v>12</v>
      </c>
      <c r="I1317" s="32" t="s">
        <v>2081</v>
      </c>
      <c r="J1317" s="32" t="s">
        <v>2081</v>
      </c>
      <c r="K1317" s="0" t="n">
        <v>0</v>
      </c>
      <c r="L1317" s="32" t="s">
        <v>810</v>
      </c>
      <c r="M1317" s="0" t="str">
        <f aca="false">IF(L1317="GEN","GM",L1317)</f>
        <v>URO</v>
      </c>
    </row>
    <row r="1318" customFormat="false" ht="15" hidden="false" customHeight="false" outlineLevel="0" collapsed="false">
      <c r="A1318" s="0" t="s">
        <v>8894</v>
      </c>
      <c r="B1318" s="0" t="s">
        <v>8895</v>
      </c>
      <c r="C1318" s="0" t="s">
        <v>6286</v>
      </c>
      <c r="D1318" s="0" t="s">
        <v>2099</v>
      </c>
      <c r="E1318" s="31" t="n">
        <v>45709</v>
      </c>
      <c r="F1318" s="32" t="s">
        <v>1125</v>
      </c>
      <c r="G1318" s="0" t="n">
        <v>12</v>
      </c>
      <c r="H1318" s="0" t="n">
        <v>12</v>
      </c>
      <c r="I1318" s="32" t="s">
        <v>2081</v>
      </c>
      <c r="J1318" s="32" t="s">
        <v>2081</v>
      </c>
      <c r="K1318" s="0" t="n">
        <v>0</v>
      </c>
      <c r="L1318" s="32" t="s">
        <v>826</v>
      </c>
      <c r="M1318" s="0" t="str">
        <f aca="false">IF(L1318="GEN","GM",L1318)</f>
        <v>RHE</v>
      </c>
    </row>
    <row r="1319" customFormat="false" ht="15" hidden="false" customHeight="false" outlineLevel="0" collapsed="false">
      <c r="A1319" s="0" t="s">
        <v>8896</v>
      </c>
      <c r="B1319" s="0" t="s">
        <v>8897</v>
      </c>
      <c r="C1319" s="0" t="s">
        <v>6696</v>
      </c>
      <c r="D1319" s="0" t="s">
        <v>2099</v>
      </c>
      <c r="E1319" s="31" t="n">
        <v>45709</v>
      </c>
      <c r="F1319" s="32" t="s">
        <v>1125</v>
      </c>
      <c r="G1319" s="0" t="n">
        <v>12</v>
      </c>
      <c r="H1319" s="0" t="n">
        <v>12</v>
      </c>
      <c r="I1319" s="32" t="s">
        <v>2081</v>
      </c>
      <c r="J1319" s="32" t="s">
        <v>2081</v>
      </c>
      <c r="K1319" s="0" t="n">
        <v>0</v>
      </c>
      <c r="L1319" s="32" t="s">
        <v>810</v>
      </c>
      <c r="M1319" s="0" t="str">
        <f aca="false">IF(L1319="GEN","GM",L1319)</f>
        <v>URO</v>
      </c>
    </row>
    <row r="1320" customFormat="false" ht="15" hidden="false" customHeight="false" outlineLevel="0" collapsed="false">
      <c r="A1320" s="0" t="s">
        <v>8898</v>
      </c>
      <c r="B1320" s="0" t="s">
        <v>8899</v>
      </c>
      <c r="C1320" s="0" t="s">
        <v>6295</v>
      </c>
      <c r="D1320" s="0" t="s">
        <v>2099</v>
      </c>
      <c r="E1320" s="31" t="n">
        <v>45709</v>
      </c>
      <c r="F1320" s="32" t="s">
        <v>1125</v>
      </c>
      <c r="G1320" s="0" t="n">
        <v>12</v>
      </c>
      <c r="H1320" s="0" t="n">
        <v>12</v>
      </c>
      <c r="I1320" s="32" t="s">
        <v>2081</v>
      </c>
      <c r="J1320" s="32" t="s">
        <v>2081</v>
      </c>
      <c r="K1320" s="0" t="n">
        <v>0</v>
      </c>
      <c r="L1320" s="32" t="s">
        <v>785</v>
      </c>
      <c r="M1320" s="0" t="str">
        <f aca="false">IF(L1320="GEN","GM",L1320)</f>
        <v>RS</v>
      </c>
    </row>
    <row r="1321" customFormat="false" ht="15" hidden="false" customHeight="false" outlineLevel="0" collapsed="false">
      <c r="A1321" s="0" t="s">
        <v>8900</v>
      </c>
      <c r="B1321" s="0" t="s">
        <v>8901</v>
      </c>
      <c r="C1321" s="0" t="s">
        <v>6290</v>
      </c>
      <c r="D1321" s="0" t="s">
        <v>2115</v>
      </c>
      <c r="E1321" s="31" t="n">
        <v>45709</v>
      </c>
      <c r="F1321" s="32" t="s">
        <v>1125</v>
      </c>
      <c r="G1321" s="0" t="n">
        <v>12</v>
      </c>
      <c r="H1321" s="0" t="n">
        <v>12</v>
      </c>
      <c r="I1321" s="32" t="s">
        <v>2081</v>
      </c>
      <c r="J1321" s="32" t="s">
        <v>2081</v>
      </c>
      <c r="K1321" s="0" t="n">
        <v>0</v>
      </c>
      <c r="L1321" s="32" t="s">
        <v>793</v>
      </c>
      <c r="M1321" s="0" t="str">
        <f aca="false">IF(L1321="GEN","GM",L1321)</f>
        <v>EM</v>
      </c>
    </row>
    <row r="1322" customFormat="false" ht="15" hidden="false" customHeight="false" outlineLevel="0" collapsed="false">
      <c r="A1322" s="0" t="s">
        <v>8902</v>
      </c>
      <c r="B1322" s="0" t="s">
        <v>8903</v>
      </c>
      <c r="C1322" s="0" t="s">
        <v>6295</v>
      </c>
      <c r="D1322" s="0" t="s">
        <v>2115</v>
      </c>
      <c r="E1322" s="31" t="n">
        <v>45709</v>
      </c>
      <c r="F1322" s="32" t="s">
        <v>6287</v>
      </c>
      <c r="G1322" s="0" t="n">
        <v>7.5</v>
      </c>
      <c r="H1322" s="0" t="n">
        <v>7.5</v>
      </c>
      <c r="I1322" s="32" t="s">
        <v>2106</v>
      </c>
      <c r="J1322" s="32" t="s">
        <v>2081</v>
      </c>
      <c r="K1322" s="0" t="n">
        <v>0</v>
      </c>
      <c r="L1322" s="32" t="s">
        <v>747</v>
      </c>
      <c r="M1322" s="0" t="str">
        <f aca="false">IF(L1322="GEN","GM",L1322)</f>
        <v>GM</v>
      </c>
    </row>
    <row r="1323" customFormat="false" ht="15" hidden="false" customHeight="false" outlineLevel="0" collapsed="false">
      <c r="A1323" s="0" t="s">
        <v>8904</v>
      </c>
      <c r="C1323" s="0" t="s">
        <v>780</v>
      </c>
      <c r="D1323" s="0" t="s">
        <v>2115</v>
      </c>
      <c r="E1323" s="31" t="n">
        <v>45709</v>
      </c>
      <c r="F1323" s="32" t="s">
        <v>1125</v>
      </c>
      <c r="G1323" s="0" t="n">
        <v>12</v>
      </c>
      <c r="H1323" s="0" t="n">
        <v>12</v>
      </c>
      <c r="I1323" s="32" t="s">
        <v>2081</v>
      </c>
      <c r="J1323" s="32" t="s">
        <v>2081</v>
      </c>
      <c r="K1323" s="0" t="n">
        <v>0</v>
      </c>
      <c r="L1323" s="32" t="s">
        <v>802</v>
      </c>
      <c r="M1323" s="0" t="str">
        <f aca="false">IF(L1323="GEN","GM",L1323)</f>
        <v>GYN</v>
      </c>
    </row>
    <row r="1324" customFormat="false" ht="15" hidden="false" customHeight="false" outlineLevel="0" collapsed="false">
      <c r="A1324" s="0" t="s">
        <v>8905</v>
      </c>
      <c r="B1324" s="0" t="s">
        <v>8906</v>
      </c>
      <c r="C1324" s="0" t="s">
        <v>6290</v>
      </c>
      <c r="D1324" s="0" t="s">
        <v>2115</v>
      </c>
      <c r="E1324" s="31" t="n">
        <v>45709</v>
      </c>
      <c r="F1324" s="32" t="s">
        <v>1125</v>
      </c>
      <c r="G1324" s="0" t="n">
        <v>12</v>
      </c>
      <c r="H1324" s="0" t="n">
        <v>12</v>
      </c>
      <c r="I1324" s="32" t="s">
        <v>2081</v>
      </c>
      <c r="J1324" s="32" t="s">
        <v>2081</v>
      </c>
      <c r="K1324" s="0" t="n">
        <v>0</v>
      </c>
      <c r="L1324" s="32" t="s">
        <v>793</v>
      </c>
      <c r="M1324" s="0" t="str">
        <f aca="false">IF(L1324="GEN","GM",L1324)</f>
        <v>EM</v>
      </c>
    </row>
    <row r="1325" customFormat="false" ht="15" hidden="false" customHeight="false" outlineLevel="0" collapsed="false">
      <c r="A1325" s="0" t="s">
        <v>8907</v>
      </c>
      <c r="B1325" s="0" t="s">
        <v>8908</v>
      </c>
      <c r="C1325" s="0" t="s">
        <v>6295</v>
      </c>
      <c r="D1325" s="0" t="s">
        <v>2124</v>
      </c>
      <c r="E1325" s="31" t="n">
        <v>45709</v>
      </c>
      <c r="F1325" s="32" t="s">
        <v>6287</v>
      </c>
      <c r="G1325" s="0" t="n">
        <v>7.5</v>
      </c>
      <c r="H1325" s="0" t="n">
        <v>7.5</v>
      </c>
      <c r="I1325" s="32" t="s">
        <v>2081</v>
      </c>
      <c r="J1325" s="32" t="s">
        <v>2081</v>
      </c>
      <c r="K1325" s="0" t="n">
        <v>0</v>
      </c>
      <c r="L1325" s="32" t="s">
        <v>747</v>
      </c>
      <c r="M1325" s="0" t="str">
        <f aca="false">IF(L1325="GEN","GM",L1325)</f>
        <v>GM</v>
      </c>
    </row>
    <row r="1326" customFormat="false" ht="15" hidden="false" customHeight="false" outlineLevel="0" collapsed="false">
      <c r="A1326" s="0" t="s">
        <v>8909</v>
      </c>
      <c r="B1326" s="0" t="s">
        <v>8910</v>
      </c>
      <c r="C1326" s="0" t="s">
        <v>6295</v>
      </c>
      <c r="D1326" s="0" t="s">
        <v>2124</v>
      </c>
      <c r="E1326" s="31" t="n">
        <v>45709</v>
      </c>
      <c r="F1326" s="32" t="s">
        <v>1125</v>
      </c>
      <c r="G1326" s="0" t="n">
        <v>12</v>
      </c>
      <c r="H1326" s="0" t="n">
        <v>12</v>
      </c>
      <c r="I1326" s="32" t="s">
        <v>2081</v>
      </c>
      <c r="J1326" s="32" t="s">
        <v>2081</v>
      </c>
      <c r="K1326" s="0" t="n">
        <v>0</v>
      </c>
      <c r="L1326" s="32" t="s">
        <v>793</v>
      </c>
      <c r="M1326" s="0" t="str">
        <f aca="false">IF(L1326="GEN","GM",L1326)</f>
        <v>EM</v>
      </c>
    </row>
    <row r="1327" customFormat="false" ht="15" hidden="false" customHeight="false" outlineLevel="0" collapsed="false">
      <c r="A1327" s="0" t="s">
        <v>8911</v>
      </c>
      <c r="B1327" s="0" t="s">
        <v>8912</v>
      </c>
      <c r="C1327" s="0" t="s">
        <v>780</v>
      </c>
      <c r="D1327" s="0" t="s">
        <v>2124</v>
      </c>
      <c r="E1327" s="31" t="n">
        <v>45709</v>
      </c>
      <c r="F1327" s="32" t="s">
        <v>1125</v>
      </c>
      <c r="G1327" s="0" t="n">
        <v>12</v>
      </c>
      <c r="H1327" s="0" t="n">
        <v>12</v>
      </c>
      <c r="I1327" s="32" t="s">
        <v>2081</v>
      </c>
      <c r="J1327" s="32" t="s">
        <v>2081</v>
      </c>
      <c r="K1327" s="0" t="n">
        <v>0</v>
      </c>
      <c r="L1327" s="32" t="s">
        <v>810</v>
      </c>
      <c r="M1327" s="0" t="str">
        <f aca="false">IF(L1327="GEN","GM",L1327)</f>
        <v>URO</v>
      </c>
    </row>
    <row r="1328" customFormat="false" ht="15" hidden="false" customHeight="false" outlineLevel="0" collapsed="false">
      <c r="A1328" s="0" t="s">
        <v>8913</v>
      </c>
      <c r="B1328" s="0" t="s">
        <v>8914</v>
      </c>
      <c r="C1328" s="0" t="s">
        <v>6286</v>
      </c>
      <c r="D1328" s="0" t="s">
        <v>2124</v>
      </c>
      <c r="E1328" s="31" t="n">
        <v>45709</v>
      </c>
      <c r="F1328" s="32" t="s">
        <v>1125</v>
      </c>
      <c r="G1328" s="0" t="n">
        <v>12</v>
      </c>
      <c r="H1328" s="0" t="n">
        <v>12</v>
      </c>
      <c r="I1328" s="32" t="s">
        <v>2081</v>
      </c>
      <c r="J1328" s="32" t="s">
        <v>2081</v>
      </c>
      <c r="K1328" s="0" t="n">
        <v>0</v>
      </c>
      <c r="L1328" s="32" t="s">
        <v>758</v>
      </c>
      <c r="M1328" s="0" t="str">
        <f aca="false">IF(L1328="GEN","GM",L1328)</f>
        <v>CS</v>
      </c>
    </row>
    <row r="1329" customFormat="false" ht="15" hidden="false" customHeight="false" outlineLevel="0" collapsed="false">
      <c r="A1329" s="0" t="s">
        <v>8915</v>
      </c>
      <c r="B1329" s="0" t="s">
        <v>8916</v>
      </c>
      <c r="C1329" s="0" t="s">
        <v>6290</v>
      </c>
      <c r="D1329" s="0" t="s">
        <v>2124</v>
      </c>
      <c r="E1329" s="31" t="n">
        <v>45709</v>
      </c>
      <c r="F1329" s="32" t="s">
        <v>6283</v>
      </c>
      <c r="G1329" s="0" t="n">
        <v>11.5</v>
      </c>
      <c r="H1329" s="0" t="n">
        <v>12</v>
      </c>
      <c r="I1329" s="32" t="s">
        <v>2106</v>
      </c>
      <c r="J1329" s="32" t="s">
        <v>2081</v>
      </c>
      <c r="K1329" s="0" t="n">
        <v>0.5</v>
      </c>
      <c r="L1329" s="32" t="s">
        <v>766</v>
      </c>
      <c r="M1329" s="0" t="str">
        <f aca="false">IF(L1329="GEN","GM",L1329)</f>
        <v>OR</v>
      </c>
    </row>
    <row r="1330" customFormat="false" ht="15" hidden="false" customHeight="false" outlineLevel="0" collapsed="false">
      <c r="A1330" s="0" t="s">
        <v>8917</v>
      </c>
      <c r="B1330" s="0" t="s">
        <v>8918</v>
      </c>
      <c r="C1330" s="0" t="s">
        <v>6290</v>
      </c>
      <c r="D1330" s="0" t="s">
        <v>2104</v>
      </c>
      <c r="E1330" s="31" t="n">
        <v>45709</v>
      </c>
      <c r="F1330" s="32" t="s">
        <v>1125</v>
      </c>
      <c r="G1330" s="0" t="n">
        <v>12</v>
      </c>
      <c r="H1330" s="0" t="n">
        <v>12</v>
      </c>
      <c r="I1330" s="32" t="s">
        <v>2081</v>
      </c>
      <c r="J1330" s="32" t="s">
        <v>2081</v>
      </c>
      <c r="K1330" s="0" t="n">
        <v>0</v>
      </c>
      <c r="L1330" s="32" t="s">
        <v>810</v>
      </c>
      <c r="M1330" s="0" t="str">
        <f aca="false">IF(L1330="GEN","GM",L1330)</f>
        <v>URO</v>
      </c>
    </row>
    <row r="1331" customFormat="false" ht="15" hidden="false" customHeight="false" outlineLevel="0" collapsed="false">
      <c r="A1331" s="0" t="s">
        <v>8919</v>
      </c>
      <c r="B1331" s="0" t="s">
        <v>8920</v>
      </c>
      <c r="C1331" s="0" t="s">
        <v>6290</v>
      </c>
      <c r="D1331" s="0" t="s">
        <v>2104</v>
      </c>
      <c r="E1331" s="31" t="n">
        <v>45709</v>
      </c>
      <c r="F1331" s="32" t="s">
        <v>6287</v>
      </c>
      <c r="G1331" s="0" t="n">
        <v>7.5</v>
      </c>
      <c r="H1331" s="0" t="n">
        <v>7.5</v>
      </c>
      <c r="I1331" s="32" t="s">
        <v>2081</v>
      </c>
      <c r="J1331" s="32" t="s">
        <v>2081</v>
      </c>
      <c r="K1331" s="0" t="n">
        <v>0</v>
      </c>
      <c r="L1331" s="32" t="s">
        <v>747</v>
      </c>
      <c r="M1331" s="0" t="str">
        <f aca="false">IF(L1331="GEN","GM",L1331)</f>
        <v>GM</v>
      </c>
    </row>
    <row r="1332" customFormat="false" ht="15" hidden="false" customHeight="false" outlineLevel="0" collapsed="false">
      <c r="A1332" s="0" t="s">
        <v>8921</v>
      </c>
      <c r="B1332" s="0" t="s">
        <v>8922</v>
      </c>
      <c r="C1332" s="0" t="s">
        <v>6282</v>
      </c>
      <c r="D1332" s="0" t="s">
        <v>2104</v>
      </c>
      <c r="E1332" s="31" t="n">
        <v>45709</v>
      </c>
      <c r="F1332" s="32" t="s">
        <v>6283</v>
      </c>
      <c r="G1332" s="0" t="n">
        <v>11.5</v>
      </c>
      <c r="H1332" s="0" t="n">
        <v>11.5</v>
      </c>
      <c r="I1332" s="32" t="s">
        <v>2081</v>
      </c>
      <c r="J1332" s="32" t="s">
        <v>2081</v>
      </c>
      <c r="K1332" s="0" t="n">
        <v>0</v>
      </c>
      <c r="L1332" s="32" t="s">
        <v>802</v>
      </c>
      <c r="M1332" s="0" t="str">
        <f aca="false">IF(L1332="GEN","GM",L1332)</f>
        <v>GYN</v>
      </c>
    </row>
    <row r="1333" customFormat="false" ht="15" hidden="false" customHeight="false" outlineLevel="0" collapsed="false">
      <c r="A1333" s="0" t="s">
        <v>8923</v>
      </c>
      <c r="B1333" s="0" t="s">
        <v>8924</v>
      </c>
      <c r="C1333" s="0" t="s">
        <v>6282</v>
      </c>
      <c r="D1333" s="0" t="s">
        <v>2104</v>
      </c>
      <c r="E1333" s="31" t="n">
        <v>45709</v>
      </c>
      <c r="F1333" s="32" t="s">
        <v>1125</v>
      </c>
      <c r="G1333" s="0" t="n">
        <v>12</v>
      </c>
      <c r="H1333" s="0" t="n">
        <v>12.5</v>
      </c>
      <c r="I1333" s="32" t="s">
        <v>2081</v>
      </c>
      <c r="J1333" s="32" t="s">
        <v>2081</v>
      </c>
      <c r="K1333" s="0" t="n">
        <v>0.5</v>
      </c>
      <c r="L1333" s="32" t="s">
        <v>747</v>
      </c>
      <c r="M1333" s="0" t="str">
        <f aca="false">IF(L1333="GEN","GM",L1333)</f>
        <v>GM</v>
      </c>
    </row>
    <row r="1334" customFormat="false" ht="15" hidden="false" customHeight="false" outlineLevel="0" collapsed="false">
      <c r="A1334" s="0" t="s">
        <v>8925</v>
      </c>
      <c r="B1334" s="0" t="s">
        <v>8926</v>
      </c>
      <c r="C1334" s="0" t="s">
        <v>6295</v>
      </c>
      <c r="D1334" s="0" t="s">
        <v>3035</v>
      </c>
      <c r="E1334" s="31" t="n">
        <v>45709</v>
      </c>
      <c r="F1334" s="32" t="s">
        <v>6287</v>
      </c>
      <c r="G1334" s="0" t="n">
        <v>7.5</v>
      </c>
      <c r="H1334" s="0" t="n">
        <v>7.5</v>
      </c>
      <c r="I1334" s="32" t="s">
        <v>2081</v>
      </c>
      <c r="J1334" s="32" t="s">
        <v>2081</v>
      </c>
      <c r="K1334" s="0" t="n">
        <v>0</v>
      </c>
      <c r="L1334" s="32" t="s">
        <v>826</v>
      </c>
      <c r="M1334" s="0" t="str">
        <f aca="false">IF(L1334="GEN","GM",L1334)</f>
        <v>RHE</v>
      </c>
    </row>
    <row r="1335" customFormat="false" ht="15" hidden="false" customHeight="false" outlineLevel="0" collapsed="false">
      <c r="A1335" s="0" t="s">
        <v>8927</v>
      </c>
      <c r="B1335" s="0" t="s">
        <v>8928</v>
      </c>
      <c r="C1335" s="0" t="s">
        <v>6282</v>
      </c>
      <c r="D1335" s="0" t="s">
        <v>3035</v>
      </c>
      <c r="E1335" s="31" t="n">
        <v>45709</v>
      </c>
      <c r="F1335" s="32" t="s">
        <v>6287</v>
      </c>
      <c r="G1335" s="0" t="n">
        <v>7.5</v>
      </c>
      <c r="H1335" s="0" t="n">
        <v>7.5</v>
      </c>
      <c r="I1335" s="32" t="s">
        <v>2081</v>
      </c>
      <c r="J1335" s="32" t="s">
        <v>2081</v>
      </c>
      <c r="K1335" s="0" t="n">
        <v>0</v>
      </c>
      <c r="L1335" s="32" t="s">
        <v>747</v>
      </c>
      <c r="M1335" s="0" t="str">
        <f aca="false">IF(L1335="GEN","GM",L1335)</f>
        <v>GM</v>
      </c>
    </row>
    <row r="1336" customFormat="false" ht="15" hidden="false" customHeight="false" outlineLevel="0" collapsed="false">
      <c r="A1336" s="0" t="s">
        <v>8929</v>
      </c>
      <c r="B1336" s="0" t="s">
        <v>8930</v>
      </c>
      <c r="C1336" s="0" t="s">
        <v>6286</v>
      </c>
      <c r="D1336" s="0" t="s">
        <v>3035</v>
      </c>
      <c r="E1336" s="31" t="n">
        <v>45709</v>
      </c>
      <c r="F1336" s="32" t="s">
        <v>6287</v>
      </c>
      <c r="G1336" s="0" t="n">
        <v>7.5</v>
      </c>
      <c r="H1336" s="0" t="n">
        <v>7.5</v>
      </c>
      <c r="I1336" s="32" t="s">
        <v>2081</v>
      </c>
      <c r="J1336" s="32" t="s">
        <v>2081</v>
      </c>
      <c r="K1336" s="0" t="n">
        <v>0</v>
      </c>
      <c r="L1336" s="32" t="s">
        <v>776</v>
      </c>
      <c r="M1336" s="0" t="str">
        <f aca="false">IF(L1336="GEN","GM",L1336)</f>
        <v>GS</v>
      </c>
    </row>
    <row r="1337" customFormat="false" ht="15" hidden="false" customHeight="false" outlineLevel="0" collapsed="false">
      <c r="A1337" s="0" t="s">
        <v>8931</v>
      </c>
      <c r="B1337" s="0" t="s">
        <v>8932</v>
      </c>
      <c r="C1337" s="0" t="s">
        <v>6696</v>
      </c>
      <c r="D1337" s="0" t="s">
        <v>3035</v>
      </c>
      <c r="E1337" s="31" t="n">
        <v>45709</v>
      </c>
      <c r="F1337" s="32" t="s">
        <v>1125</v>
      </c>
      <c r="G1337" s="0" t="n">
        <v>12</v>
      </c>
      <c r="H1337" s="0" t="n">
        <v>12</v>
      </c>
      <c r="I1337" s="32" t="s">
        <v>2081</v>
      </c>
      <c r="J1337" s="32" t="s">
        <v>2081</v>
      </c>
      <c r="K1337" s="0" t="n">
        <v>0</v>
      </c>
      <c r="L1337" s="32" t="s">
        <v>810</v>
      </c>
      <c r="M1337" s="0" t="str">
        <f aca="false">IF(L1337="GEN","GM",L1337)</f>
        <v>URO</v>
      </c>
    </row>
    <row r="1338" customFormat="false" ht="15" hidden="false" customHeight="false" outlineLevel="0" collapsed="false">
      <c r="A1338" s="0" t="s">
        <v>8933</v>
      </c>
      <c r="B1338" s="0" t="s">
        <v>8934</v>
      </c>
      <c r="C1338" s="0" t="s">
        <v>6290</v>
      </c>
      <c r="D1338" s="0" t="s">
        <v>3035</v>
      </c>
      <c r="E1338" s="31" t="n">
        <v>45709</v>
      </c>
      <c r="F1338" s="32" t="s">
        <v>6287</v>
      </c>
      <c r="G1338" s="0" t="n">
        <v>7.5</v>
      </c>
      <c r="H1338" s="0" t="n">
        <v>7.5</v>
      </c>
      <c r="I1338" s="32" t="s">
        <v>2081</v>
      </c>
      <c r="J1338" s="32" t="s">
        <v>2081</v>
      </c>
      <c r="K1338" s="0" t="n">
        <v>0</v>
      </c>
      <c r="L1338" s="32" t="s">
        <v>826</v>
      </c>
      <c r="M1338" s="0" t="str">
        <f aca="false">IF(L1338="GEN","GM",L1338)</f>
        <v>RHE</v>
      </c>
    </row>
    <row r="1339" customFormat="false" ht="15" hidden="false" customHeight="false" outlineLevel="0" collapsed="false">
      <c r="A1339" s="0" t="s">
        <v>8935</v>
      </c>
      <c r="B1339" s="0" t="s">
        <v>8936</v>
      </c>
      <c r="C1339" s="0" t="s">
        <v>6282</v>
      </c>
      <c r="D1339" s="0" t="s">
        <v>2088</v>
      </c>
      <c r="E1339" s="31" t="n">
        <v>45710</v>
      </c>
      <c r="F1339" s="32" t="s">
        <v>6283</v>
      </c>
      <c r="G1339" s="0" t="n">
        <v>11.5</v>
      </c>
      <c r="H1339" s="0" t="n">
        <v>11.5</v>
      </c>
      <c r="I1339" s="32" t="s">
        <v>2081</v>
      </c>
      <c r="J1339" s="32" t="s">
        <v>2081</v>
      </c>
      <c r="K1339" s="0" t="n">
        <v>0</v>
      </c>
      <c r="L1339" s="32" t="s">
        <v>802</v>
      </c>
      <c r="M1339" s="0" t="str">
        <f aca="false">IF(L1339="GEN","GM",L1339)</f>
        <v>GYN</v>
      </c>
    </row>
    <row r="1340" customFormat="false" ht="15" hidden="false" customHeight="false" outlineLevel="0" collapsed="false">
      <c r="A1340" s="0" t="s">
        <v>8937</v>
      </c>
      <c r="B1340" s="0" t="s">
        <v>8938</v>
      </c>
      <c r="C1340" s="0" t="s">
        <v>6282</v>
      </c>
      <c r="D1340" s="0" t="s">
        <v>2088</v>
      </c>
      <c r="E1340" s="31" t="n">
        <v>45710</v>
      </c>
      <c r="F1340" s="32" t="s">
        <v>6287</v>
      </c>
      <c r="G1340" s="0" t="n">
        <v>7.5</v>
      </c>
      <c r="H1340" s="0" t="n">
        <v>8</v>
      </c>
      <c r="I1340" s="32" t="s">
        <v>2081</v>
      </c>
      <c r="J1340" s="32" t="s">
        <v>2081</v>
      </c>
      <c r="K1340" s="0" t="n">
        <v>0.5</v>
      </c>
      <c r="L1340" s="32" t="s">
        <v>776</v>
      </c>
      <c r="M1340" s="0" t="str">
        <f aca="false">IF(L1340="GEN","GM",L1340)</f>
        <v>GS</v>
      </c>
    </row>
    <row r="1341" customFormat="false" ht="15" hidden="false" customHeight="false" outlineLevel="0" collapsed="false">
      <c r="A1341" s="0" t="s">
        <v>8939</v>
      </c>
      <c r="B1341" s="0" t="s">
        <v>8940</v>
      </c>
      <c r="C1341" s="0" t="s">
        <v>6286</v>
      </c>
      <c r="D1341" s="0" t="s">
        <v>2088</v>
      </c>
      <c r="E1341" s="31" t="n">
        <v>45710</v>
      </c>
      <c r="F1341" s="32" t="s">
        <v>6283</v>
      </c>
      <c r="G1341" s="0" t="n">
        <v>11.5</v>
      </c>
      <c r="H1341" s="0" t="n">
        <v>11.5</v>
      </c>
      <c r="I1341" s="32" t="s">
        <v>2081</v>
      </c>
      <c r="J1341" s="32" t="s">
        <v>2081</v>
      </c>
      <c r="K1341" s="0" t="n">
        <v>0</v>
      </c>
      <c r="L1341" s="32" t="s">
        <v>826</v>
      </c>
      <c r="M1341" s="0" t="str">
        <f aca="false">IF(L1341="GEN","GM",L1341)</f>
        <v>RHE</v>
      </c>
    </row>
    <row r="1342" customFormat="false" ht="15" hidden="false" customHeight="false" outlineLevel="0" collapsed="false">
      <c r="A1342" s="0" t="s">
        <v>8941</v>
      </c>
      <c r="B1342" s="0" t="s">
        <v>8942</v>
      </c>
      <c r="C1342" s="0" t="s">
        <v>6282</v>
      </c>
      <c r="D1342" s="0" t="s">
        <v>3356</v>
      </c>
      <c r="E1342" s="31" t="n">
        <v>45710</v>
      </c>
      <c r="F1342" s="32" t="s">
        <v>1125</v>
      </c>
      <c r="G1342" s="0" t="n">
        <v>12</v>
      </c>
      <c r="H1342" s="0" t="n">
        <v>12</v>
      </c>
      <c r="I1342" s="32" t="s">
        <v>2081</v>
      </c>
      <c r="J1342" s="32" t="s">
        <v>2081</v>
      </c>
      <c r="K1342" s="0" t="n">
        <v>0</v>
      </c>
      <c r="L1342" s="32" t="s">
        <v>810</v>
      </c>
      <c r="M1342" s="0" t="str">
        <f aca="false">IF(L1342="GEN","GM",L1342)</f>
        <v>URO</v>
      </c>
    </row>
    <row r="1343" customFormat="false" ht="15" hidden="false" customHeight="false" outlineLevel="0" collapsed="false">
      <c r="A1343" s="0" t="s">
        <v>8943</v>
      </c>
      <c r="B1343" s="0" t="s">
        <v>8944</v>
      </c>
      <c r="C1343" s="0" t="s">
        <v>6295</v>
      </c>
      <c r="D1343" s="0" t="s">
        <v>2088</v>
      </c>
      <c r="E1343" s="31" t="n">
        <v>45710</v>
      </c>
      <c r="F1343" s="32" t="s">
        <v>1125</v>
      </c>
      <c r="G1343" s="0" t="n">
        <v>12</v>
      </c>
      <c r="H1343" s="0" t="n">
        <v>12</v>
      </c>
      <c r="I1343" s="32" t="s">
        <v>2081</v>
      </c>
      <c r="J1343" s="32" t="s">
        <v>2081</v>
      </c>
      <c r="K1343" s="0" t="n">
        <v>0</v>
      </c>
      <c r="L1343" s="32" t="s">
        <v>776</v>
      </c>
      <c r="M1343" s="0" t="str">
        <f aca="false">IF(L1343="GEN","GM",L1343)</f>
        <v>GS</v>
      </c>
    </row>
    <row r="1344" customFormat="false" ht="15" hidden="false" customHeight="false" outlineLevel="0" collapsed="false">
      <c r="A1344" s="0" t="s">
        <v>8945</v>
      </c>
      <c r="B1344" s="0" t="s">
        <v>8946</v>
      </c>
      <c r="C1344" s="0" t="s">
        <v>6295</v>
      </c>
      <c r="D1344" s="0" t="s">
        <v>2079</v>
      </c>
      <c r="E1344" s="31" t="n">
        <v>45710</v>
      </c>
      <c r="F1344" s="32" t="s">
        <v>1125</v>
      </c>
      <c r="G1344" s="0" t="n">
        <v>12</v>
      </c>
      <c r="H1344" s="0" t="n">
        <v>12</v>
      </c>
      <c r="I1344" s="32" t="s">
        <v>2081</v>
      </c>
      <c r="J1344" s="32" t="s">
        <v>2106</v>
      </c>
      <c r="K1344" s="0" t="n">
        <v>0</v>
      </c>
      <c r="L1344" s="32" t="s">
        <v>826</v>
      </c>
      <c r="M1344" s="0" t="str">
        <f aca="false">IF(L1344="GEN","GM",L1344)</f>
        <v>RHE</v>
      </c>
    </row>
    <row r="1345" customFormat="false" ht="15" hidden="false" customHeight="false" outlineLevel="0" collapsed="false">
      <c r="A1345" s="0" t="s">
        <v>8947</v>
      </c>
      <c r="B1345" s="0" t="s">
        <v>8948</v>
      </c>
      <c r="C1345" s="0" t="s">
        <v>6286</v>
      </c>
      <c r="D1345" s="0" t="s">
        <v>2079</v>
      </c>
      <c r="E1345" s="31" t="n">
        <v>45710</v>
      </c>
      <c r="F1345" s="32" t="s">
        <v>6287</v>
      </c>
      <c r="G1345" s="0" t="n">
        <v>7.5</v>
      </c>
      <c r="H1345" s="0" t="n">
        <v>7.5</v>
      </c>
      <c r="I1345" s="32" t="s">
        <v>2081</v>
      </c>
      <c r="J1345" s="32" t="s">
        <v>2081</v>
      </c>
      <c r="K1345" s="0" t="n">
        <v>0</v>
      </c>
      <c r="L1345" s="32" t="s">
        <v>766</v>
      </c>
      <c r="M1345" s="0" t="str">
        <f aca="false">IF(L1345="GEN","GM",L1345)</f>
        <v>OR</v>
      </c>
    </row>
    <row r="1346" customFormat="false" ht="15" hidden="false" customHeight="false" outlineLevel="0" collapsed="false">
      <c r="A1346" s="0" t="s">
        <v>8949</v>
      </c>
      <c r="B1346" s="0" t="s">
        <v>8950</v>
      </c>
      <c r="C1346" s="0" t="s">
        <v>6286</v>
      </c>
      <c r="D1346" s="0" t="s">
        <v>2079</v>
      </c>
      <c r="E1346" s="31" t="n">
        <v>45710</v>
      </c>
      <c r="F1346" s="32" t="s">
        <v>6283</v>
      </c>
      <c r="G1346" s="0" t="n">
        <v>11.5</v>
      </c>
      <c r="H1346" s="0" t="n">
        <v>11.5</v>
      </c>
      <c r="I1346" s="32" t="s">
        <v>2081</v>
      </c>
      <c r="J1346" s="32" t="s">
        <v>2081</v>
      </c>
      <c r="K1346" s="0" t="n">
        <v>0</v>
      </c>
      <c r="L1346" s="32" t="s">
        <v>810</v>
      </c>
      <c r="M1346" s="0" t="str">
        <f aca="false">IF(L1346="GEN","GM",L1346)</f>
        <v>URO</v>
      </c>
    </row>
    <row r="1347" customFormat="false" ht="15" hidden="false" customHeight="false" outlineLevel="0" collapsed="false">
      <c r="A1347" s="0" t="s">
        <v>8951</v>
      </c>
      <c r="B1347" s="0" t="s">
        <v>8952</v>
      </c>
      <c r="C1347" s="0" t="s">
        <v>6295</v>
      </c>
      <c r="D1347" s="0" t="s">
        <v>2099</v>
      </c>
      <c r="E1347" s="31" t="n">
        <v>45710</v>
      </c>
      <c r="F1347" s="32" t="s">
        <v>1125</v>
      </c>
      <c r="G1347" s="0" t="n">
        <v>12</v>
      </c>
      <c r="H1347" s="0" t="n">
        <v>12</v>
      </c>
      <c r="I1347" s="32" t="s">
        <v>2081</v>
      </c>
      <c r="J1347" s="32" t="s">
        <v>2081</v>
      </c>
      <c r="K1347" s="0" t="n">
        <v>0</v>
      </c>
      <c r="L1347" s="32" t="s">
        <v>826</v>
      </c>
      <c r="M1347" s="0" t="str">
        <f aca="false">IF(L1347="GEN","GM",L1347)</f>
        <v>RHE</v>
      </c>
    </row>
    <row r="1348" customFormat="false" ht="15" hidden="false" customHeight="false" outlineLevel="0" collapsed="false">
      <c r="A1348" s="0" t="s">
        <v>8953</v>
      </c>
      <c r="B1348" s="0" t="s">
        <v>8954</v>
      </c>
      <c r="C1348" s="0" t="s">
        <v>6286</v>
      </c>
      <c r="D1348" s="0" t="s">
        <v>2099</v>
      </c>
      <c r="E1348" s="31" t="n">
        <v>45710</v>
      </c>
      <c r="F1348" s="32" t="s">
        <v>6283</v>
      </c>
      <c r="G1348" s="0" t="n">
        <v>11.5</v>
      </c>
      <c r="H1348" s="0" t="n">
        <v>11.5</v>
      </c>
      <c r="I1348" s="32" t="s">
        <v>2106</v>
      </c>
      <c r="J1348" s="32" t="s">
        <v>2081</v>
      </c>
      <c r="K1348" s="0" t="n">
        <v>0</v>
      </c>
      <c r="L1348" s="32" t="s">
        <v>785</v>
      </c>
      <c r="M1348" s="0" t="str">
        <f aca="false">IF(L1348="GEN","GM",L1348)</f>
        <v>RS</v>
      </c>
    </row>
    <row r="1349" customFormat="false" ht="15" hidden="false" customHeight="false" outlineLevel="0" collapsed="false">
      <c r="A1349" s="0" t="s">
        <v>8955</v>
      </c>
      <c r="B1349" s="0" t="s">
        <v>8956</v>
      </c>
      <c r="C1349" s="0" t="s">
        <v>6286</v>
      </c>
      <c r="D1349" s="0" t="s">
        <v>2099</v>
      </c>
      <c r="E1349" s="31" t="n">
        <v>45710</v>
      </c>
      <c r="F1349" s="32" t="s">
        <v>6287</v>
      </c>
      <c r="G1349" s="0" t="n">
        <v>7.5</v>
      </c>
      <c r="H1349" s="0" t="n">
        <v>8.2</v>
      </c>
      <c r="I1349" s="32" t="s">
        <v>2081</v>
      </c>
      <c r="J1349" s="32" t="s">
        <v>2081</v>
      </c>
      <c r="K1349" s="0" t="n">
        <v>0.7</v>
      </c>
      <c r="L1349" s="32" t="s">
        <v>747</v>
      </c>
      <c r="M1349" s="0" t="str">
        <f aca="false">IF(L1349="GEN","GM",L1349)</f>
        <v>GM</v>
      </c>
    </row>
    <row r="1350" customFormat="false" ht="15" hidden="false" customHeight="false" outlineLevel="0" collapsed="false">
      <c r="A1350" s="0" t="s">
        <v>8957</v>
      </c>
      <c r="B1350" s="0" t="s">
        <v>8958</v>
      </c>
      <c r="C1350" s="0" t="s">
        <v>6282</v>
      </c>
      <c r="D1350" s="0" t="s">
        <v>2115</v>
      </c>
      <c r="E1350" s="31" t="n">
        <v>45710</v>
      </c>
      <c r="F1350" s="32" t="s">
        <v>6283</v>
      </c>
      <c r="G1350" s="0" t="n">
        <v>11.5</v>
      </c>
      <c r="H1350" s="0" t="n">
        <v>11.5</v>
      </c>
      <c r="J1350" s="32" t="s">
        <v>2081</v>
      </c>
      <c r="K1350" s="0" t="n">
        <v>0</v>
      </c>
      <c r="L1350" s="32" t="s">
        <v>785</v>
      </c>
      <c r="M1350" s="0" t="str">
        <f aca="false">IF(L1350="GEN","GM",L1350)</f>
        <v>RS</v>
      </c>
    </row>
    <row r="1351" customFormat="false" ht="15" hidden="false" customHeight="false" outlineLevel="0" collapsed="false">
      <c r="A1351" s="0" t="s">
        <v>8959</v>
      </c>
      <c r="B1351" s="0" t="s">
        <v>8960</v>
      </c>
      <c r="C1351" s="0" t="s">
        <v>6295</v>
      </c>
      <c r="D1351" s="0" t="s">
        <v>2115</v>
      </c>
      <c r="E1351" s="31" t="n">
        <v>45710</v>
      </c>
      <c r="F1351" s="32" t="s">
        <v>6283</v>
      </c>
      <c r="G1351" s="0" t="n">
        <v>11.5</v>
      </c>
      <c r="H1351" s="0" t="n">
        <v>11.5</v>
      </c>
      <c r="I1351" s="32" t="s">
        <v>2106</v>
      </c>
      <c r="J1351" s="32" t="s">
        <v>2081</v>
      </c>
      <c r="K1351" s="0" t="n">
        <v>0</v>
      </c>
      <c r="L1351" s="32" t="s">
        <v>747</v>
      </c>
      <c r="M1351" s="0" t="str">
        <f aca="false">IF(L1351="GEN","GM",L1351)</f>
        <v>GM</v>
      </c>
    </row>
    <row r="1352" customFormat="false" ht="15" hidden="false" customHeight="false" outlineLevel="0" collapsed="false">
      <c r="A1352" s="0" t="s">
        <v>8961</v>
      </c>
      <c r="B1352" s="0" t="s">
        <v>8962</v>
      </c>
      <c r="C1352" s="0" t="s">
        <v>6290</v>
      </c>
      <c r="D1352" s="0" t="s">
        <v>2115</v>
      </c>
      <c r="E1352" s="31" t="n">
        <v>45710</v>
      </c>
      <c r="F1352" s="32" t="s">
        <v>6283</v>
      </c>
      <c r="G1352" s="0" t="n">
        <v>11.5</v>
      </c>
      <c r="H1352" s="0" t="n">
        <v>11.5</v>
      </c>
      <c r="I1352" s="32" t="s">
        <v>2081</v>
      </c>
      <c r="J1352" s="32" t="s">
        <v>2081</v>
      </c>
      <c r="K1352" s="0" t="n">
        <v>0</v>
      </c>
      <c r="L1352" s="32" t="s">
        <v>747</v>
      </c>
      <c r="M1352" s="0" t="str">
        <f aca="false">IF(L1352="GEN","GM",L1352)</f>
        <v>GM</v>
      </c>
    </row>
    <row r="1353" customFormat="false" ht="15" hidden="false" customHeight="false" outlineLevel="0" collapsed="false">
      <c r="A1353" s="0" t="s">
        <v>8963</v>
      </c>
      <c r="B1353" s="0" t="s">
        <v>8964</v>
      </c>
      <c r="C1353" s="0" t="s">
        <v>6286</v>
      </c>
      <c r="D1353" s="0" t="s">
        <v>2124</v>
      </c>
      <c r="E1353" s="31" t="n">
        <v>45710</v>
      </c>
      <c r="F1353" s="32" t="s">
        <v>1125</v>
      </c>
      <c r="G1353" s="0" t="n">
        <v>12</v>
      </c>
      <c r="H1353" s="0" t="n">
        <v>12</v>
      </c>
      <c r="I1353" s="32" t="s">
        <v>2106</v>
      </c>
      <c r="J1353" s="32" t="s">
        <v>2106</v>
      </c>
      <c r="K1353" s="0" t="n">
        <v>0</v>
      </c>
      <c r="L1353" s="32" t="s">
        <v>793</v>
      </c>
      <c r="M1353" s="0" t="str">
        <f aca="false">IF(L1353="GEN","GM",L1353)</f>
        <v>EM</v>
      </c>
    </row>
    <row r="1354" customFormat="false" ht="15" hidden="false" customHeight="false" outlineLevel="0" collapsed="false">
      <c r="A1354" s="0" t="s">
        <v>8965</v>
      </c>
      <c r="B1354" s="0" t="s">
        <v>8966</v>
      </c>
      <c r="C1354" s="0" t="s">
        <v>6295</v>
      </c>
      <c r="D1354" s="0" t="s">
        <v>2124</v>
      </c>
      <c r="E1354" s="31" t="n">
        <v>45710</v>
      </c>
      <c r="F1354" s="32" t="s">
        <v>6287</v>
      </c>
      <c r="G1354" s="0" t="n">
        <v>7.5</v>
      </c>
      <c r="H1354" s="0" t="n">
        <v>7.5</v>
      </c>
      <c r="I1354" s="32" t="s">
        <v>2106</v>
      </c>
      <c r="J1354" s="32" t="s">
        <v>2081</v>
      </c>
      <c r="K1354" s="0" t="n">
        <v>0</v>
      </c>
      <c r="L1354" s="32" t="s">
        <v>802</v>
      </c>
      <c r="M1354" s="0" t="str">
        <f aca="false">IF(L1354="GEN","GM",L1354)</f>
        <v>GYN</v>
      </c>
    </row>
    <row r="1355" customFormat="false" ht="15" hidden="false" customHeight="false" outlineLevel="0" collapsed="false">
      <c r="A1355" s="0" t="s">
        <v>8967</v>
      </c>
      <c r="B1355" s="0" t="s">
        <v>8968</v>
      </c>
      <c r="C1355" s="0" t="s">
        <v>6286</v>
      </c>
      <c r="D1355" s="0" t="s">
        <v>2124</v>
      </c>
      <c r="E1355" s="31" t="n">
        <v>45710</v>
      </c>
      <c r="F1355" s="32" t="s">
        <v>6287</v>
      </c>
      <c r="G1355" s="0" t="n">
        <v>7.5</v>
      </c>
      <c r="H1355" s="0" t="n">
        <v>7.5</v>
      </c>
      <c r="I1355" s="32" t="s">
        <v>2081</v>
      </c>
      <c r="J1355" s="32" t="s">
        <v>2081</v>
      </c>
      <c r="K1355" s="0" t="n">
        <v>0</v>
      </c>
      <c r="L1355" s="32" t="s">
        <v>785</v>
      </c>
      <c r="M1355" s="0" t="str">
        <f aca="false">IF(L1355="GEN","GM",L1355)</f>
        <v>RS</v>
      </c>
    </row>
    <row r="1356" customFormat="false" ht="15" hidden="false" customHeight="false" outlineLevel="0" collapsed="false">
      <c r="A1356" s="0" t="s">
        <v>8969</v>
      </c>
      <c r="B1356" s="0" t="s">
        <v>8970</v>
      </c>
      <c r="C1356" s="0" t="s">
        <v>6286</v>
      </c>
      <c r="D1356" s="0" t="s">
        <v>2124</v>
      </c>
      <c r="E1356" s="31" t="n">
        <v>45710</v>
      </c>
      <c r="F1356" s="32" t="s">
        <v>6283</v>
      </c>
      <c r="G1356" s="0" t="n">
        <v>11.5</v>
      </c>
      <c r="H1356" s="0" t="n">
        <v>11.5</v>
      </c>
      <c r="I1356" s="32" t="s">
        <v>2081</v>
      </c>
      <c r="J1356" s="32" t="s">
        <v>2081</v>
      </c>
      <c r="K1356" s="0" t="n">
        <v>0</v>
      </c>
      <c r="L1356" s="32" t="s">
        <v>826</v>
      </c>
      <c r="M1356" s="0" t="str">
        <f aca="false">IF(L1356="GEN","GM",L1356)</f>
        <v>RHE</v>
      </c>
    </row>
    <row r="1357" customFormat="false" ht="15" hidden="false" customHeight="false" outlineLevel="0" collapsed="false">
      <c r="A1357" s="0" t="s">
        <v>8971</v>
      </c>
      <c r="B1357" s="0" t="s">
        <v>8972</v>
      </c>
      <c r="C1357" s="0" t="s">
        <v>6286</v>
      </c>
      <c r="D1357" s="0" t="s">
        <v>2104</v>
      </c>
      <c r="E1357" s="31" t="n">
        <v>45710</v>
      </c>
      <c r="F1357" s="32" t="s">
        <v>6287</v>
      </c>
      <c r="G1357" s="0" t="n">
        <v>7.5</v>
      </c>
      <c r="H1357" s="0" t="n">
        <v>7.5</v>
      </c>
      <c r="I1357" s="32" t="s">
        <v>2106</v>
      </c>
      <c r="J1357" s="32" t="s">
        <v>2081</v>
      </c>
      <c r="K1357" s="0" t="n">
        <v>0</v>
      </c>
      <c r="L1357" s="32" t="s">
        <v>766</v>
      </c>
      <c r="M1357" s="0" t="str">
        <f aca="false">IF(L1357="GEN","GM",L1357)</f>
        <v>OR</v>
      </c>
    </row>
    <row r="1358" customFormat="false" ht="15" hidden="false" customHeight="false" outlineLevel="0" collapsed="false">
      <c r="A1358" s="0" t="s">
        <v>8973</v>
      </c>
      <c r="B1358" s="0" t="s">
        <v>8974</v>
      </c>
      <c r="C1358" s="0" t="s">
        <v>6295</v>
      </c>
      <c r="D1358" s="0" t="s">
        <v>2104</v>
      </c>
      <c r="E1358" s="31" t="n">
        <v>45710</v>
      </c>
      <c r="F1358" s="32" t="s">
        <v>6283</v>
      </c>
      <c r="G1358" s="0" t="n">
        <v>11.5</v>
      </c>
      <c r="H1358" s="0" t="n">
        <v>11.5</v>
      </c>
      <c r="I1358" s="32" t="s">
        <v>2106</v>
      </c>
      <c r="J1358" s="32" t="s">
        <v>2081</v>
      </c>
      <c r="K1358" s="0" t="n">
        <v>0</v>
      </c>
      <c r="L1358" s="32" t="s">
        <v>793</v>
      </c>
      <c r="M1358" s="0" t="str">
        <f aca="false">IF(L1358="GEN","GM",L1358)</f>
        <v>EM</v>
      </c>
    </row>
    <row r="1359" customFormat="false" ht="15" hidden="false" customHeight="false" outlineLevel="0" collapsed="false">
      <c r="A1359" s="0" t="s">
        <v>8975</v>
      </c>
      <c r="B1359" s="0" t="s">
        <v>8976</v>
      </c>
      <c r="C1359" s="0" t="s">
        <v>6286</v>
      </c>
      <c r="D1359" s="0" t="s">
        <v>2104</v>
      </c>
      <c r="E1359" s="31" t="n">
        <v>45710</v>
      </c>
      <c r="F1359" s="32" t="s">
        <v>6283</v>
      </c>
      <c r="G1359" s="0" t="n">
        <v>11.5</v>
      </c>
      <c r="H1359" s="0" t="n">
        <v>11.5</v>
      </c>
      <c r="I1359" s="32" t="s">
        <v>2081</v>
      </c>
      <c r="J1359" s="32" t="s">
        <v>2081</v>
      </c>
      <c r="K1359" s="0" t="n">
        <v>0</v>
      </c>
      <c r="L1359" s="32" t="s">
        <v>766</v>
      </c>
      <c r="M1359" s="0" t="str">
        <f aca="false">IF(L1359="GEN","GM",L1359)</f>
        <v>OR</v>
      </c>
    </row>
    <row r="1360" customFormat="false" ht="15" hidden="false" customHeight="false" outlineLevel="0" collapsed="false">
      <c r="A1360" s="0" t="s">
        <v>8977</v>
      </c>
      <c r="B1360" s="0" t="s">
        <v>8978</v>
      </c>
      <c r="C1360" s="0" t="s">
        <v>6295</v>
      </c>
      <c r="D1360" s="0" t="s">
        <v>2104</v>
      </c>
      <c r="E1360" s="31" t="n">
        <v>45710</v>
      </c>
      <c r="F1360" s="32" t="s">
        <v>1125</v>
      </c>
      <c r="G1360" s="0" t="n">
        <v>12</v>
      </c>
      <c r="H1360" s="0" t="n">
        <v>12</v>
      </c>
      <c r="I1360" s="32" t="s">
        <v>2081</v>
      </c>
      <c r="J1360" s="32" t="s">
        <v>2081</v>
      </c>
      <c r="K1360" s="0" t="n">
        <v>0</v>
      </c>
      <c r="L1360" s="32" t="s">
        <v>766</v>
      </c>
      <c r="M1360" s="0" t="str">
        <f aca="false">IF(L1360="GEN","GM",L1360)</f>
        <v>OR</v>
      </c>
    </row>
    <row r="1361" customFormat="false" ht="15" hidden="false" customHeight="false" outlineLevel="0" collapsed="false">
      <c r="A1361" s="0" t="s">
        <v>8979</v>
      </c>
      <c r="B1361" s="0" t="s">
        <v>8980</v>
      </c>
      <c r="C1361" s="0" t="s">
        <v>6290</v>
      </c>
      <c r="D1361" s="0" t="s">
        <v>3035</v>
      </c>
      <c r="E1361" s="31" t="n">
        <v>45710</v>
      </c>
      <c r="F1361" s="32" t="s">
        <v>1125</v>
      </c>
      <c r="G1361" s="0" t="n">
        <v>12</v>
      </c>
      <c r="H1361" s="0" t="n">
        <v>12.5</v>
      </c>
      <c r="I1361" s="32" t="s">
        <v>2081</v>
      </c>
      <c r="J1361" s="32" t="s">
        <v>2081</v>
      </c>
      <c r="K1361" s="0" t="n">
        <v>0.5</v>
      </c>
      <c r="L1361" s="32" t="s">
        <v>793</v>
      </c>
      <c r="M1361" s="0" t="str">
        <f aca="false">IF(L1361="GEN","GM",L1361)</f>
        <v>EM</v>
      </c>
    </row>
    <row r="1362" customFormat="false" ht="15" hidden="false" customHeight="false" outlineLevel="0" collapsed="false">
      <c r="A1362" s="0" t="s">
        <v>8981</v>
      </c>
      <c r="B1362" s="0" t="s">
        <v>6785</v>
      </c>
      <c r="C1362" s="0" t="s">
        <v>6286</v>
      </c>
      <c r="D1362" s="0" t="s">
        <v>3035</v>
      </c>
      <c r="E1362" s="31" t="n">
        <v>45710</v>
      </c>
      <c r="F1362" s="32" t="s">
        <v>6283</v>
      </c>
      <c r="G1362" s="0" t="n">
        <v>11.5</v>
      </c>
      <c r="H1362" s="0" t="n">
        <v>11.5</v>
      </c>
      <c r="I1362" s="32" t="s">
        <v>2081</v>
      </c>
      <c r="J1362" s="32" t="s">
        <v>2081</v>
      </c>
      <c r="K1362" s="0" t="n">
        <v>0</v>
      </c>
      <c r="L1362" s="32" t="s">
        <v>747</v>
      </c>
      <c r="M1362" s="0" t="str">
        <f aca="false">IF(L1362="GEN","GM",L1362)</f>
        <v>GM</v>
      </c>
    </row>
    <row r="1363" customFormat="false" ht="15" hidden="false" customHeight="false" outlineLevel="0" collapsed="false">
      <c r="A1363" s="0" t="s">
        <v>8982</v>
      </c>
      <c r="B1363" s="0" t="s">
        <v>8983</v>
      </c>
      <c r="C1363" s="0" t="s">
        <v>6282</v>
      </c>
      <c r="D1363" s="0" t="s">
        <v>3035</v>
      </c>
      <c r="E1363" s="31" t="n">
        <v>45710</v>
      </c>
      <c r="F1363" s="32" t="s">
        <v>6287</v>
      </c>
      <c r="G1363" s="0" t="n">
        <v>7.5</v>
      </c>
      <c r="H1363" s="0" t="n">
        <v>7.5</v>
      </c>
      <c r="I1363" s="32" t="s">
        <v>2081</v>
      </c>
      <c r="J1363" s="32" t="s">
        <v>2081</v>
      </c>
      <c r="K1363" s="0" t="n">
        <v>0</v>
      </c>
      <c r="L1363" s="32" t="s">
        <v>758</v>
      </c>
      <c r="M1363" s="0" t="str">
        <f aca="false">IF(L1363="GEN","GM",L1363)</f>
        <v>CS</v>
      </c>
    </row>
    <row r="1364" customFormat="false" ht="15" hidden="false" customHeight="false" outlineLevel="0" collapsed="false">
      <c r="A1364" s="0" t="s">
        <v>8984</v>
      </c>
      <c r="B1364" s="0" t="s">
        <v>8985</v>
      </c>
      <c r="C1364" s="0" t="s">
        <v>6295</v>
      </c>
      <c r="D1364" s="0" t="s">
        <v>3035</v>
      </c>
      <c r="E1364" s="31" t="n">
        <v>45710</v>
      </c>
      <c r="F1364" s="32" t="s">
        <v>6287</v>
      </c>
      <c r="G1364" s="0" t="n">
        <v>7.5</v>
      </c>
      <c r="H1364" s="0" t="n">
        <v>7.5</v>
      </c>
      <c r="I1364" s="32" t="s">
        <v>2081</v>
      </c>
      <c r="J1364" s="32" t="s">
        <v>2081</v>
      </c>
      <c r="K1364" s="0" t="n">
        <v>0</v>
      </c>
      <c r="L1364" s="32" t="s">
        <v>766</v>
      </c>
      <c r="M1364" s="0" t="str">
        <f aca="false">IF(L1364="GEN","GM",L1364)</f>
        <v>OR</v>
      </c>
    </row>
    <row r="1365" customFormat="false" ht="15" hidden="false" customHeight="false" outlineLevel="0" collapsed="false">
      <c r="A1365" s="0" t="s">
        <v>8986</v>
      </c>
      <c r="B1365" s="0" t="s">
        <v>8987</v>
      </c>
      <c r="C1365" s="0" t="s">
        <v>6295</v>
      </c>
      <c r="D1365" s="0" t="s">
        <v>2088</v>
      </c>
      <c r="E1365" s="31" t="n">
        <v>45711</v>
      </c>
      <c r="F1365" s="32" t="s">
        <v>1125</v>
      </c>
      <c r="G1365" s="0" t="n">
        <v>12</v>
      </c>
      <c r="H1365" s="0" t="n">
        <v>12</v>
      </c>
      <c r="I1365" s="32" t="s">
        <v>2081</v>
      </c>
      <c r="J1365" s="32" t="s">
        <v>2081</v>
      </c>
      <c r="K1365" s="0" t="n">
        <v>0</v>
      </c>
      <c r="L1365" s="32" t="s">
        <v>802</v>
      </c>
      <c r="M1365" s="0" t="str">
        <f aca="false">IF(L1365="GEN","GM",L1365)</f>
        <v>GYN</v>
      </c>
    </row>
    <row r="1366" customFormat="false" ht="15" hidden="false" customHeight="false" outlineLevel="0" collapsed="false">
      <c r="A1366" s="0" t="s">
        <v>8988</v>
      </c>
      <c r="B1366" s="0" t="s">
        <v>8989</v>
      </c>
      <c r="C1366" s="0" t="s">
        <v>6286</v>
      </c>
      <c r="D1366" s="0" t="s">
        <v>2088</v>
      </c>
      <c r="E1366" s="31" t="n">
        <v>45711</v>
      </c>
      <c r="F1366" s="32" t="s">
        <v>6287</v>
      </c>
      <c r="G1366" s="0" t="n">
        <v>7.5</v>
      </c>
      <c r="H1366" s="0" t="n">
        <v>7.5</v>
      </c>
      <c r="I1366" s="32" t="s">
        <v>2081</v>
      </c>
      <c r="J1366" s="32" t="s">
        <v>2081</v>
      </c>
      <c r="K1366" s="0" t="n">
        <v>0</v>
      </c>
      <c r="L1366" s="32" t="s">
        <v>802</v>
      </c>
      <c r="M1366" s="0" t="str">
        <f aca="false">IF(L1366="GEN","GM",L1366)</f>
        <v>GYN</v>
      </c>
    </row>
    <row r="1367" customFormat="false" ht="15" hidden="false" customHeight="false" outlineLevel="0" collapsed="false">
      <c r="A1367" s="0" t="s">
        <v>8990</v>
      </c>
      <c r="B1367" s="0" t="s">
        <v>8991</v>
      </c>
      <c r="C1367" s="0" t="s">
        <v>6295</v>
      </c>
      <c r="D1367" s="0" t="s">
        <v>2088</v>
      </c>
      <c r="E1367" s="31" t="n">
        <v>45711</v>
      </c>
      <c r="F1367" s="32" t="s">
        <v>1125</v>
      </c>
      <c r="G1367" s="0" t="n">
        <v>12</v>
      </c>
      <c r="H1367" s="0" t="n">
        <v>12</v>
      </c>
      <c r="I1367" s="32" t="s">
        <v>2081</v>
      </c>
      <c r="J1367" s="32" t="s">
        <v>2081</v>
      </c>
      <c r="K1367" s="0" t="n">
        <v>0</v>
      </c>
      <c r="L1367" s="32" t="s">
        <v>802</v>
      </c>
      <c r="M1367" s="0" t="str">
        <f aca="false">IF(L1367="GEN","GM",L1367)</f>
        <v>GYN</v>
      </c>
    </row>
    <row r="1368" customFormat="false" ht="15" hidden="false" customHeight="false" outlineLevel="0" collapsed="false">
      <c r="A1368" s="0" t="s">
        <v>8992</v>
      </c>
      <c r="B1368" s="0" t="s">
        <v>8993</v>
      </c>
      <c r="C1368" s="0" t="s">
        <v>6286</v>
      </c>
      <c r="D1368" s="0" t="s">
        <v>2088</v>
      </c>
      <c r="E1368" s="31" t="n">
        <v>45711</v>
      </c>
      <c r="F1368" s="32" t="s">
        <v>6287</v>
      </c>
      <c r="G1368" s="0" t="n">
        <v>7.5</v>
      </c>
      <c r="H1368" s="0" t="n">
        <v>7.5</v>
      </c>
      <c r="I1368" s="32" t="s">
        <v>2081</v>
      </c>
      <c r="J1368" s="32" t="s">
        <v>2081</v>
      </c>
      <c r="K1368" s="0" t="n">
        <v>0</v>
      </c>
      <c r="L1368" s="32" t="s">
        <v>802</v>
      </c>
      <c r="M1368" s="0" t="str">
        <f aca="false">IF(L1368="GEN","GM",L1368)</f>
        <v>GYN</v>
      </c>
    </row>
    <row r="1369" customFormat="false" ht="15" hidden="false" customHeight="false" outlineLevel="0" collapsed="false">
      <c r="A1369" s="0" t="s">
        <v>8994</v>
      </c>
      <c r="B1369" s="0" t="s">
        <v>8995</v>
      </c>
      <c r="C1369" s="0" t="s">
        <v>6290</v>
      </c>
      <c r="D1369" s="0" t="s">
        <v>2079</v>
      </c>
      <c r="E1369" s="31" t="n">
        <v>45711</v>
      </c>
      <c r="F1369" s="32" t="s">
        <v>1125</v>
      </c>
      <c r="G1369" s="0" t="n">
        <v>12</v>
      </c>
      <c r="H1369" s="0" t="n">
        <v>12</v>
      </c>
      <c r="I1369" s="32" t="s">
        <v>2081</v>
      </c>
      <c r="J1369" s="32" t="s">
        <v>2081</v>
      </c>
      <c r="K1369" s="0" t="n">
        <v>0</v>
      </c>
      <c r="L1369" s="32" t="s">
        <v>826</v>
      </c>
      <c r="M1369" s="0" t="str">
        <f aca="false">IF(L1369="GEN","GM",L1369)</f>
        <v>RHE</v>
      </c>
    </row>
    <row r="1370" customFormat="false" ht="15" hidden="false" customHeight="false" outlineLevel="0" collapsed="false">
      <c r="A1370" s="0" t="s">
        <v>8996</v>
      </c>
      <c r="B1370" s="0" t="s">
        <v>8997</v>
      </c>
      <c r="C1370" s="0" t="s">
        <v>6295</v>
      </c>
      <c r="D1370" s="0" t="s">
        <v>2079</v>
      </c>
      <c r="E1370" s="31" t="n">
        <v>45711</v>
      </c>
      <c r="F1370" s="32" t="s">
        <v>1125</v>
      </c>
      <c r="G1370" s="0" t="n">
        <v>12</v>
      </c>
      <c r="H1370" s="0" t="n">
        <v>12</v>
      </c>
      <c r="I1370" s="32" t="s">
        <v>2081</v>
      </c>
      <c r="J1370" s="32" t="s">
        <v>2081</v>
      </c>
      <c r="K1370" s="0" t="n">
        <v>0</v>
      </c>
      <c r="L1370" s="32" t="s">
        <v>810</v>
      </c>
      <c r="M1370" s="0" t="str">
        <f aca="false">IF(L1370="GEN","GM",L1370)</f>
        <v>URO</v>
      </c>
    </row>
    <row r="1371" customFormat="false" ht="15" hidden="false" customHeight="false" outlineLevel="0" collapsed="false">
      <c r="A1371" s="0" t="s">
        <v>8998</v>
      </c>
      <c r="B1371" s="0" t="s">
        <v>8999</v>
      </c>
      <c r="C1371" s="0" t="s">
        <v>780</v>
      </c>
      <c r="D1371" s="0" t="s">
        <v>2079</v>
      </c>
      <c r="E1371" s="31" t="n">
        <v>45711</v>
      </c>
      <c r="F1371" s="32" t="s">
        <v>1125</v>
      </c>
      <c r="G1371" s="0" t="n">
        <v>12</v>
      </c>
      <c r="H1371" s="0" t="n">
        <v>12</v>
      </c>
      <c r="I1371" s="32" t="s">
        <v>2106</v>
      </c>
      <c r="J1371" s="32" t="s">
        <v>2081</v>
      </c>
      <c r="K1371" s="0" t="n">
        <v>0</v>
      </c>
      <c r="L1371" s="32" t="s">
        <v>802</v>
      </c>
      <c r="M1371" s="0" t="str">
        <f aca="false">IF(L1371="GEN","GM",L1371)</f>
        <v>GYN</v>
      </c>
    </row>
    <row r="1372" customFormat="false" ht="15" hidden="false" customHeight="false" outlineLevel="0" collapsed="false">
      <c r="A1372" s="0" t="s">
        <v>9000</v>
      </c>
      <c r="B1372" s="0" t="s">
        <v>9001</v>
      </c>
      <c r="C1372" s="0" t="s">
        <v>6282</v>
      </c>
      <c r="D1372" s="0" t="s">
        <v>2079</v>
      </c>
      <c r="E1372" s="31" t="n">
        <v>45711</v>
      </c>
      <c r="F1372" s="32" t="s">
        <v>1125</v>
      </c>
      <c r="G1372" s="0" t="n">
        <v>12</v>
      </c>
      <c r="H1372" s="0" t="n">
        <v>12</v>
      </c>
      <c r="I1372" s="32" t="s">
        <v>2081</v>
      </c>
      <c r="J1372" s="32" t="s">
        <v>2081</v>
      </c>
      <c r="K1372" s="0" t="n">
        <v>0</v>
      </c>
      <c r="L1372" s="32" t="s">
        <v>747</v>
      </c>
      <c r="M1372" s="0" t="str">
        <f aca="false">IF(L1372="GEN","GM",L1372)</f>
        <v>GM</v>
      </c>
    </row>
    <row r="1373" customFormat="false" ht="15" hidden="false" customHeight="false" outlineLevel="0" collapsed="false">
      <c r="A1373" s="0" t="s">
        <v>9002</v>
      </c>
      <c r="B1373" s="0" t="s">
        <v>9003</v>
      </c>
      <c r="C1373" s="0" t="s">
        <v>6295</v>
      </c>
      <c r="D1373" s="0" t="s">
        <v>2099</v>
      </c>
      <c r="E1373" s="31" t="n">
        <v>45711</v>
      </c>
      <c r="F1373" s="32" t="s">
        <v>6287</v>
      </c>
      <c r="G1373" s="0" t="n">
        <v>7.5</v>
      </c>
      <c r="H1373" s="0" t="n">
        <v>7.5</v>
      </c>
      <c r="I1373" s="32" t="s">
        <v>2081</v>
      </c>
      <c r="J1373" s="32" t="s">
        <v>2081</v>
      </c>
      <c r="K1373" s="0" t="n">
        <v>0</v>
      </c>
      <c r="L1373" s="32" t="s">
        <v>758</v>
      </c>
      <c r="M1373" s="0" t="str">
        <f aca="false">IF(L1373="GEN","GM",L1373)</f>
        <v>CS</v>
      </c>
    </row>
    <row r="1374" customFormat="false" ht="15" hidden="false" customHeight="false" outlineLevel="0" collapsed="false">
      <c r="A1374" s="0" t="s">
        <v>9004</v>
      </c>
      <c r="B1374" s="0" t="s">
        <v>9005</v>
      </c>
      <c r="C1374" s="0" t="s">
        <v>6282</v>
      </c>
      <c r="D1374" s="0" t="s">
        <v>2099</v>
      </c>
      <c r="E1374" s="31" t="n">
        <v>45711</v>
      </c>
      <c r="F1374" s="32" t="s">
        <v>6287</v>
      </c>
      <c r="G1374" s="0" t="n">
        <v>7.5</v>
      </c>
      <c r="H1374" s="0" t="n">
        <v>7.5</v>
      </c>
      <c r="I1374" s="32" t="s">
        <v>2106</v>
      </c>
      <c r="J1374" s="32" t="s">
        <v>2081</v>
      </c>
      <c r="K1374" s="0" t="n">
        <v>0</v>
      </c>
      <c r="L1374" s="32" t="s">
        <v>793</v>
      </c>
      <c r="M1374" s="0" t="str">
        <f aca="false">IF(L1374="GEN","GM",L1374)</f>
        <v>EM</v>
      </c>
    </row>
    <row r="1375" customFormat="false" ht="15" hidden="false" customHeight="false" outlineLevel="0" collapsed="false">
      <c r="A1375" s="0" t="s">
        <v>9006</v>
      </c>
      <c r="B1375" s="0" t="s">
        <v>9007</v>
      </c>
      <c r="C1375" s="0" t="s">
        <v>6290</v>
      </c>
      <c r="D1375" s="0" t="s">
        <v>2099</v>
      </c>
      <c r="E1375" s="31" t="n">
        <v>45711</v>
      </c>
      <c r="F1375" s="32" t="s">
        <v>1125</v>
      </c>
      <c r="G1375" s="0" t="n">
        <v>12</v>
      </c>
      <c r="H1375" s="0" t="n">
        <v>12</v>
      </c>
      <c r="I1375" s="32" t="s">
        <v>2081</v>
      </c>
      <c r="J1375" s="32" t="s">
        <v>2081</v>
      </c>
      <c r="K1375" s="0" t="n">
        <v>0</v>
      </c>
      <c r="L1375" s="32" t="s">
        <v>785</v>
      </c>
      <c r="M1375" s="0" t="str">
        <f aca="false">IF(L1375="GEN","GM",L1375)</f>
        <v>RS</v>
      </c>
    </row>
    <row r="1376" customFormat="false" ht="15" hidden="false" customHeight="false" outlineLevel="0" collapsed="false">
      <c r="A1376" s="0" t="s">
        <v>9008</v>
      </c>
      <c r="B1376" s="0" t="s">
        <v>9009</v>
      </c>
      <c r="C1376" s="0" t="s">
        <v>6286</v>
      </c>
      <c r="D1376" s="0" t="s">
        <v>2099</v>
      </c>
      <c r="E1376" s="31" t="n">
        <v>45711</v>
      </c>
      <c r="F1376" s="32" t="s">
        <v>6283</v>
      </c>
      <c r="G1376" s="0" t="n">
        <v>11.5</v>
      </c>
      <c r="H1376" s="0" t="n">
        <v>11.5</v>
      </c>
      <c r="I1376" s="32" t="s">
        <v>2081</v>
      </c>
      <c r="J1376" s="32" t="s">
        <v>2081</v>
      </c>
      <c r="K1376" s="0" t="n">
        <v>-0.6</v>
      </c>
      <c r="L1376" s="32" t="s">
        <v>802</v>
      </c>
      <c r="M1376" s="0" t="str">
        <f aca="false">IF(L1376="GEN","GM",L1376)</f>
        <v>GYN</v>
      </c>
    </row>
    <row r="1377" customFormat="false" ht="15" hidden="false" customHeight="false" outlineLevel="0" collapsed="false">
      <c r="A1377" s="0" t="s">
        <v>9010</v>
      </c>
      <c r="B1377" s="0" t="s">
        <v>9011</v>
      </c>
      <c r="C1377" s="0" t="s">
        <v>6286</v>
      </c>
      <c r="D1377" s="0" t="s">
        <v>2115</v>
      </c>
      <c r="E1377" s="31" t="n">
        <v>45711</v>
      </c>
      <c r="F1377" s="32" t="s">
        <v>1125</v>
      </c>
      <c r="G1377" s="0" t="n">
        <v>12</v>
      </c>
      <c r="H1377" s="0" t="n">
        <v>12</v>
      </c>
      <c r="I1377" s="32" t="s">
        <v>2081</v>
      </c>
      <c r="J1377" s="32" t="s">
        <v>2081</v>
      </c>
      <c r="K1377" s="0" t="n">
        <v>0</v>
      </c>
      <c r="L1377" s="32" t="s">
        <v>776</v>
      </c>
      <c r="M1377" s="0" t="str">
        <f aca="false">IF(L1377="GEN","GM",L1377)</f>
        <v>GS</v>
      </c>
    </row>
    <row r="1378" customFormat="false" ht="15" hidden="false" customHeight="false" outlineLevel="0" collapsed="false">
      <c r="A1378" s="0" t="s">
        <v>9012</v>
      </c>
      <c r="B1378" s="0" t="s">
        <v>9013</v>
      </c>
      <c r="C1378" s="0" t="s">
        <v>6282</v>
      </c>
      <c r="D1378" s="0" t="s">
        <v>2115</v>
      </c>
      <c r="E1378" s="31" t="n">
        <v>45711</v>
      </c>
      <c r="F1378" s="32" t="s">
        <v>1125</v>
      </c>
      <c r="G1378" s="0" t="n">
        <v>12</v>
      </c>
      <c r="H1378" s="0" t="n">
        <v>12</v>
      </c>
      <c r="I1378" s="32" t="s">
        <v>2081</v>
      </c>
      <c r="J1378" s="32" t="s">
        <v>2081</v>
      </c>
      <c r="K1378" s="0" t="n">
        <v>0</v>
      </c>
      <c r="L1378" s="32" t="s">
        <v>793</v>
      </c>
      <c r="M1378" s="0" t="str">
        <f aca="false">IF(L1378="GEN","GM",L1378)</f>
        <v>EM</v>
      </c>
    </row>
    <row r="1379" customFormat="false" ht="15" hidden="false" customHeight="false" outlineLevel="0" collapsed="false">
      <c r="A1379" s="0" t="s">
        <v>9014</v>
      </c>
      <c r="B1379" s="0" t="s">
        <v>9015</v>
      </c>
      <c r="C1379" s="0" t="s">
        <v>6295</v>
      </c>
      <c r="D1379" s="0" t="s">
        <v>2115</v>
      </c>
      <c r="E1379" s="31" t="n">
        <v>45711</v>
      </c>
      <c r="F1379" s="32" t="s">
        <v>6287</v>
      </c>
      <c r="G1379" s="0" t="n">
        <v>7.5</v>
      </c>
      <c r="H1379" s="0" t="n">
        <v>7.5</v>
      </c>
      <c r="I1379" s="32" t="s">
        <v>2106</v>
      </c>
      <c r="J1379" s="32" t="s">
        <v>2081</v>
      </c>
      <c r="K1379" s="0" t="n">
        <v>0</v>
      </c>
      <c r="L1379" s="32" t="s">
        <v>810</v>
      </c>
      <c r="M1379" s="0" t="str">
        <f aca="false">IF(L1379="GEN","GM",L1379)</f>
        <v>URO</v>
      </c>
    </row>
    <row r="1380" customFormat="false" ht="15" hidden="false" customHeight="false" outlineLevel="0" collapsed="false">
      <c r="A1380" s="0" t="s">
        <v>9016</v>
      </c>
      <c r="B1380" s="0" t="s">
        <v>9017</v>
      </c>
      <c r="C1380" s="0" t="s">
        <v>6295</v>
      </c>
      <c r="D1380" s="0" t="s">
        <v>2124</v>
      </c>
      <c r="E1380" s="31" t="n">
        <v>45711</v>
      </c>
      <c r="F1380" s="32" t="s">
        <v>1125</v>
      </c>
      <c r="G1380" s="0" t="n">
        <v>12</v>
      </c>
      <c r="H1380" s="0" t="n">
        <v>12</v>
      </c>
      <c r="I1380" s="32" t="s">
        <v>2081</v>
      </c>
      <c r="J1380" s="32" t="s">
        <v>2081</v>
      </c>
      <c r="K1380" s="0" t="n">
        <v>0</v>
      </c>
      <c r="L1380" s="32" t="s">
        <v>747</v>
      </c>
      <c r="M1380" s="0" t="str">
        <f aca="false">IF(L1380="GEN","GM",L1380)</f>
        <v>GM</v>
      </c>
    </row>
    <row r="1381" customFormat="false" ht="15" hidden="false" customHeight="false" outlineLevel="0" collapsed="false">
      <c r="A1381" s="0" t="s">
        <v>9018</v>
      </c>
      <c r="B1381" s="0" t="s">
        <v>9019</v>
      </c>
      <c r="C1381" s="0" t="s">
        <v>6295</v>
      </c>
      <c r="D1381" s="0" t="s">
        <v>2124</v>
      </c>
      <c r="E1381" s="31" t="n">
        <v>45711</v>
      </c>
      <c r="F1381" s="32" t="s">
        <v>6283</v>
      </c>
      <c r="G1381" s="0" t="n">
        <v>11.5</v>
      </c>
      <c r="H1381" s="0" t="n">
        <v>11.5</v>
      </c>
      <c r="I1381" s="32" t="s">
        <v>2106</v>
      </c>
      <c r="J1381" s="32" t="s">
        <v>2081</v>
      </c>
      <c r="K1381" s="0" t="n">
        <v>0</v>
      </c>
      <c r="L1381" s="32" t="s">
        <v>802</v>
      </c>
      <c r="M1381" s="0" t="str">
        <f aca="false">IF(L1381="GEN","GM",L1381)</f>
        <v>GYN</v>
      </c>
    </row>
    <row r="1382" customFormat="false" ht="15" hidden="false" customHeight="false" outlineLevel="0" collapsed="false">
      <c r="A1382" s="0" t="s">
        <v>9020</v>
      </c>
      <c r="B1382" s="0" t="s">
        <v>9021</v>
      </c>
      <c r="C1382" s="0" t="s">
        <v>6290</v>
      </c>
      <c r="D1382" s="0" t="s">
        <v>2124</v>
      </c>
      <c r="E1382" s="31" t="n">
        <v>45711</v>
      </c>
      <c r="F1382" s="32" t="s">
        <v>6283</v>
      </c>
      <c r="G1382" s="0" t="n">
        <v>11.5</v>
      </c>
      <c r="H1382" s="0" t="n">
        <v>11.5</v>
      </c>
      <c r="I1382" s="32" t="s">
        <v>2081</v>
      </c>
      <c r="J1382" s="32" t="s">
        <v>2081</v>
      </c>
      <c r="K1382" s="0" t="n">
        <v>0</v>
      </c>
      <c r="L1382" s="32" t="s">
        <v>826</v>
      </c>
      <c r="M1382" s="0" t="str">
        <f aca="false">IF(L1382="GEN","GM",L1382)</f>
        <v>RHE</v>
      </c>
    </row>
    <row r="1383" customFormat="false" ht="15" hidden="false" customHeight="false" outlineLevel="0" collapsed="false">
      <c r="A1383" s="0" t="s">
        <v>9022</v>
      </c>
      <c r="B1383" s="0" t="s">
        <v>9023</v>
      </c>
      <c r="C1383" s="0" t="s">
        <v>6295</v>
      </c>
      <c r="D1383" s="0" t="s">
        <v>2104</v>
      </c>
      <c r="E1383" s="31" t="n">
        <v>45711</v>
      </c>
      <c r="F1383" s="32" t="s">
        <v>1125</v>
      </c>
      <c r="G1383" s="0" t="n">
        <v>12</v>
      </c>
      <c r="H1383" s="0" t="n">
        <v>12.5</v>
      </c>
      <c r="I1383" s="32" t="s">
        <v>2081</v>
      </c>
      <c r="J1383" s="32" t="s">
        <v>2081</v>
      </c>
      <c r="K1383" s="0" t="n">
        <v>0.5</v>
      </c>
      <c r="L1383" s="32" t="s">
        <v>766</v>
      </c>
      <c r="M1383" s="0" t="str">
        <f aca="false">IF(L1383="GEN","GM",L1383)</f>
        <v>OR</v>
      </c>
    </row>
    <row r="1384" customFormat="false" ht="15" hidden="false" customHeight="false" outlineLevel="0" collapsed="false">
      <c r="A1384" s="0" t="s">
        <v>9024</v>
      </c>
      <c r="B1384" s="0" t="s">
        <v>9025</v>
      </c>
      <c r="C1384" s="0" t="s">
        <v>6286</v>
      </c>
      <c r="D1384" s="0" t="s">
        <v>2104</v>
      </c>
      <c r="E1384" s="31" t="n">
        <v>45711</v>
      </c>
      <c r="F1384" s="32" t="s">
        <v>6287</v>
      </c>
      <c r="G1384" s="0" t="n">
        <v>7.5</v>
      </c>
      <c r="H1384" s="0" t="n">
        <v>7.5</v>
      </c>
      <c r="I1384" s="32" t="s">
        <v>2106</v>
      </c>
      <c r="J1384" s="32" t="s">
        <v>2081</v>
      </c>
      <c r="K1384" s="0" t="n">
        <v>0</v>
      </c>
      <c r="L1384" s="32" t="s">
        <v>747</v>
      </c>
      <c r="M1384" s="0" t="str">
        <f aca="false">IF(L1384="GEN","GM",L1384)</f>
        <v>GM</v>
      </c>
    </row>
    <row r="1385" customFormat="false" ht="15" hidden="false" customHeight="false" outlineLevel="0" collapsed="false">
      <c r="A1385" s="0" t="s">
        <v>9026</v>
      </c>
      <c r="B1385" s="0" t="s">
        <v>9027</v>
      </c>
      <c r="C1385" s="0" t="s">
        <v>6295</v>
      </c>
      <c r="D1385" s="0" t="s">
        <v>2104</v>
      </c>
      <c r="E1385" s="31" t="n">
        <v>45711</v>
      </c>
      <c r="F1385" s="32" t="s">
        <v>6287</v>
      </c>
      <c r="G1385" s="0" t="n">
        <v>7.5</v>
      </c>
      <c r="H1385" s="0" t="n">
        <v>7.5</v>
      </c>
      <c r="I1385" s="32" t="s">
        <v>2081</v>
      </c>
      <c r="J1385" s="32" t="s">
        <v>2081</v>
      </c>
      <c r="K1385" s="0" t="n">
        <v>0</v>
      </c>
      <c r="L1385" s="32" t="s">
        <v>785</v>
      </c>
      <c r="M1385" s="0" t="str">
        <f aca="false">IF(L1385="GEN","GM",L1385)</f>
        <v>RS</v>
      </c>
    </row>
    <row r="1386" customFormat="false" ht="15" hidden="false" customHeight="false" outlineLevel="0" collapsed="false">
      <c r="A1386" s="0" t="s">
        <v>9028</v>
      </c>
      <c r="B1386" s="0" t="s">
        <v>9029</v>
      </c>
      <c r="C1386" s="0" t="s">
        <v>6295</v>
      </c>
      <c r="D1386" s="0" t="s">
        <v>2104</v>
      </c>
      <c r="E1386" s="31" t="n">
        <v>45711</v>
      </c>
      <c r="F1386" s="32" t="s">
        <v>6287</v>
      </c>
      <c r="G1386" s="0" t="n">
        <v>7.5</v>
      </c>
      <c r="H1386" s="0" t="n">
        <v>7.5</v>
      </c>
      <c r="I1386" s="32" t="s">
        <v>2081</v>
      </c>
      <c r="J1386" s="32" t="s">
        <v>2081</v>
      </c>
      <c r="K1386" s="0" t="n">
        <v>0</v>
      </c>
      <c r="L1386" s="32" t="s">
        <v>810</v>
      </c>
      <c r="M1386" s="0" t="str">
        <f aca="false">IF(L1386="GEN","GM",L1386)</f>
        <v>URO</v>
      </c>
    </row>
    <row r="1387" customFormat="false" ht="15" hidden="false" customHeight="false" outlineLevel="0" collapsed="false">
      <c r="A1387" s="0" t="s">
        <v>9030</v>
      </c>
      <c r="B1387" s="0" t="s">
        <v>9031</v>
      </c>
      <c r="C1387" s="0" t="s">
        <v>6290</v>
      </c>
      <c r="D1387" s="0" t="s">
        <v>3035</v>
      </c>
      <c r="E1387" s="31" t="n">
        <v>45711</v>
      </c>
      <c r="F1387" s="32" t="s">
        <v>6287</v>
      </c>
      <c r="G1387" s="0" t="n">
        <v>7.5</v>
      </c>
      <c r="H1387" s="0" t="n">
        <v>7.5</v>
      </c>
      <c r="I1387" s="32" t="s">
        <v>2081</v>
      </c>
      <c r="J1387" s="32" t="s">
        <v>2081</v>
      </c>
      <c r="K1387" s="0" t="n">
        <v>0</v>
      </c>
      <c r="L1387" s="32" t="s">
        <v>747</v>
      </c>
      <c r="M1387" s="0" t="str">
        <f aca="false">IF(L1387="GEN","GM",L1387)</f>
        <v>GM</v>
      </c>
    </row>
    <row r="1388" customFormat="false" ht="15" hidden="false" customHeight="false" outlineLevel="0" collapsed="false">
      <c r="A1388" s="0" t="s">
        <v>9032</v>
      </c>
      <c r="B1388" s="0" t="s">
        <v>9033</v>
      </c>
      <c r="C1388" s="0" t="s">
        <v>6295</v>
      </c>
      <c r="D1388" s="0" t="s">
        <v>3035</v>
      </c>
      <c r="E1388" s="31" t="n">
        <v>45711</v>
      </c>
      <c r="F1388" s="32" t="s">
        <v>1125</v>
      </c>
      <c r="G1388" s="0" t="n">
        <v>12</v>
      </c>
      <c r="H1388" s="0" t="n">
        <v>12</v>
      </c>
      <c r="I1388" s="32" t="s">
        <v>2081</v>
      </c>
      <c r="J1388" s="32" t="s">
        <v>2081</v>
      </c>
      <c r="K1388" s="0" t="n">
        <v>0</v>
      </c>
      <c r="L1388" s="32" t="s">
        <v>776</v>
      </c>
      <c r="M1388" s="0" t="str">
        <f aca="false">IF(L1388="GEN","GM",L1388)</f>
        <v>GS</v>
      </c>
    </row>
    <row r="1389" customFormat="false" ht="15" hidden="false" customHeight="false" outlineLevel="0" collapsed="false">
      <c r="A1389" s="0" t="s">
        <v>9034</v>
      </c>
      <c r="B1389" s="0" t="s">
        <v>9035</v>
      </c>
      <c r="C1389" s="0" t="s">
        <v>6282</v>
      </c>
      <c r="D1389" s="0" t="s">
        <v>3035</v>
      </c>
      <c r="E1389" s="31" t="n">
        <v>45711</v>
      </c>
      <c r="F1389" s="32" t="s">
        <v>6287</v>
      </c>
      <c r="G1389" s="0" t="n">
        <v>7.5</v>
      </c>
      <c r="H1389" s="0" t="n">
        <v>7.5</v>
      </c>
      <c r="I1389" s="32" t="s">
        <v>2081</v>
      </c>
      <c r="J1389" s="32" t="s">
        <v>2081</v>
      </c>
      <c r="K1389" s="0" t="n">
        <v>0</v>
      </c>
      <c r="L1389" s="32" t="s">
        <v>802</v>
      </c>
      <c r="M1389" s="0" t="str">
        <f aca="false">IF(L1389="GEN","GM",L1389)</f>
        <v>GYN</v>
      </c>
    </row>
    <row r="1390" customFormat="false" ht="15" hidden="false" customHeight="false" outlineLevel="0" collapsed="false">
      <c r="A1390" s="0" t="s">
        <v>9036</v>
      </c>
      <c r="B1390" s="0" t="s">
        <v>9037</v>
      </c>
      <c r="C1390" s="0" t="s">
        <v>6286</v>
      </c>
      <c r="D1390" s="0" t="s">
        <v>3035</v>
      </c>
      <c r="E1390" s="31" t="n">
        <v>45711</v>
      </c>
      <c r="F1390" s="32" t="s">
        <v>6287</v>
      </c>
      <c r="G1390" s="0" t="n">
        <v>7.5</v>
      </c>
      <c r="H1390" s="0" t="n">
        <v>7.5</v>
      </c>
      <c r="I1390" s="32" t="s">
        <v>2106</v>
      </c>
      <c r="J1390" s="32" t="s">
        <v>2081</v>
      </c>
      <c r="K1390" s="0" t="n">
        <v>0</v>
      </c>
      <c r="L1390" s="32" t="s">
        <v>826</v>
      </c>
      <c r="M1390" s="0" t="str">
        <f aca="false">IF(L1390="GEN","GM",L1390)</f>
        <v>RHE</v>
      </c>
    </row>
    <row r="1391" customFormat="false" ht="15" hidden="false" customHeight="false" outlineLevel="0" collapsed="false">
      <c r="A1391" s="0" t="s">
        <v>9038</v>
      </c>
      <c r="B1391" s="0" t="s">
        <v>9039</v>
      </c>
      <c r="C1391" s="0" t="s">
        <v>6290</v>
      </c>
      <c r="D1391" s="0" t="s">
        <v>2088</v>
      </c>
      <c r="E1391" s="31" t="n">
        <v>45712</v>
      </c>
      <c r="F1391" s="32" t="s">
        <v>1125</v>
      </c>
      <c r="G1391" s="0" t="n">
        <v>12</v>
      </c>
      <c r="H1391" s="0" t="n">
        <v>12</v>
      </c>
      <c r="I1391" s="32" t="s">
        <v>2081</v>
      </c>
      <c r="J1391" s="32" t="s">
        <v>2081</v>
      </c>
      <c r="K1391" s="0" t="n">
        <v>0</v>
      </c>
      <c r="L1391" s="32" t="s">
        <v>776</v>
      </c>
      <c r="M1391" s="0" t="str">
        <f aca="false">IF(L1391="GEN","GM",L1391)</f>
        <v>GS</v>
      </c>
    </row>
    <row r="1392" customFormat="false" ht="15" hidden="false" customHeight="false" outlineLevel="0" collapsed="false">
      <c r="A1392" s="0" t="s">
        <v>9040</v>
      </c>
      <c r="B1392" s="0" t="s">
        <v>9041</v>
      </c>
      <c r="C1392" s="0" t="s">
        <v>6295</v>
      </c>
      <c r="D1392" s="0" t="s">
        <v>2088</v>
      </c>
      <c r="E1392" s="31" t="n">
        <v>45712</v>
      </c>
      <c r="F1392" s="32" t="s">
        <v>6283</v>
      </c>
      <c r="G1392" s="0" t="n">
        <v>11.5</v>
      </c>
      <c r="H1392" s="0" t="n">
        <v>11.5</v>
      </c>
      <c r="I1392" s="32" t="s">
        <v>2106</v>
      </c>
      <c r="J1392" s="32" t="s">
        <v>2081</v>
      </c>
      <c r="K1392" s="0" t="n">
        <v>0</v>
      </c>
      <c r="L1392" s="32" t="s">
        <v>802</v>
      </c>
      <c r="M1392" s="0" t="str">
        <f aca="false">IF(L1392="GEN","GM",L1392)</f>
        <v>GYN</v>
      </c>
    </row>
    <row r="1393" customFormat="false" ht="15" hidden="false" customHeight="false" outlineLevel="0" collapsed="false">
      <c r="A1393" s="0" t="s">
        <v>9042</v>
      </c>
      <c r="B1393" s="0" t="s">
        <v>9043</v>
      </c>
      <c r="C1393" s="0" t="s">
        <v>6290</v>
      </c>
      <c r="D1393" s="0" t="s">
        <v>2088</v>
      </c>
      <c r="E1393" s="31" t="n">
        <v>45712</v>
      </c>
      <c r="F1393" s="32" t="s">
        <v>6283</v>
      </c>
      <c r="G1393" s="0" t="n">
        <v>11.5</v>
      </c>
      <c r="H1393" s="0" t="n">
        <v>11.5</v>
      </c>
      <c r="I1393" s="32" t="s">
        <v>2081</v>
      </c>
      <c r="J1393" s="32" t="s">
        <v>2081</v>
      </c>
      <c r="K1393" s="0" t="n">
        <v>0</v>
      </c>
      <c r="L1393" s="32" t="s">
        <v>785</v>
      </c>
      <c r="M1393" s="0" t="str">
        <f aca="false">IF(L1393="GEN","GM",L1393)</f>
        <v>RS</v>
      </c>
    </row>
    <row r="1394" customFormat="false" ht="15" hidden="false" customHeight="false" outlineLevel="0" collapsed="false">
      <c r="A1394" s="0" t="s">
        <v>9044</v>
      </c>
      <c r="B1394" s="0" t="s">
        <v>9045</v>
      </c>
      <c r="C1394" s="0" t="s">
        <v>6286</v>
      </c>
      <c r="D1394" s="0" t="s">
        <v>2079</v>
      </c>
      <c r="E1394" s="31" t="n">
        <v>45712</v>
      </c>
      <c r="F1394" s="32" t="s">
        <v>6283</v>
      </c>
      <c r="G1394" s="0" t="n">
        <v>11.5</v>
      </c>
      <c r="H1394" s="0" t="n">
        <v>11.5</v>
      </c>
      <c r="I1394" s="32" t="s">
        <v>2081</v>
      </c>
      <c r="J1394" s="32" t="s">
        <v>2081</v>
      </c>
      <c r="K1394" s="0" t="n">
        <v>0</v>
      </c>
      <c r="L1394" s="32" t="s">
        <v>826</v>
      </c>
      <c r="M1394" s="0" t="str">
        <f aca="false">IF(L1394="GEN","GM",L1394)</f>
        <v>RHE</v>
      </c>
    </row>
    <row r="1395" customFormat="false" ht="15" hidden="false" customHeight="false" outlineLevel="0" collapsed="false">
      <c r="A1395" s="0" t="s">
        <v>9046</v>
      </c>
      <c r="B1395" s="0" t="s">
        <v>9047</v>
      </c>
      <c r="C1395" s="0" t="s">
        <v>6295</v>
      </c>
      <c r="D1395" s="0" t="s">
        <v>2079</v>
      </c>
      <c r="E1395" s="31" t="n">
        <v>45712</v>
      </c>
      <c r="F1395" s="32" t="s">
        <v>6283</v>
      </c>
      <c r="G1395" s="0" t="n">
        <v>11.5</v>
      </c>
      <c r="H1395" s="0" t="n">
        <v>11.5</v>
      </c>
      <c r="I1395" s="32" t="s">
        <v>2081</v>
      </c>
      <c r="J1395" s="32" t="s">
        <v>2081</v>
      </c>
      <c r="K1395" s="0" t="n">
        <v>0</v>
      </c>
      <c r="L1395" s="32" t="s">
        <v>785</v>
      </c>
      <c r="M1395" s="0" t="str">
        <f aca="false">IF(L1395="GEN","GM",L1395)</f>
        <v>RS</v>
      </c>
    </row>
    <row r="1396" customFormat="false" ht="15" hidden="false" customHeight="false" outlineLevel="0" collapsed="false">
      <c r="A1396" s="0" t="s">
        <v>9048</v>
      </c>
      <c r="B1396" s="0" t="s">
        <v>9049</v>
      </c>
      <c r="C1396" s="0" t="s">
        <v>6282</v>
      </c>
      <c r="D1396" s="0" t="s">
        <v>2079</v>
      </c>
      <c r="E1396" s="31" t="n">
        <v>45712</v>
      </c>
      <c r="F1396" s="32" t="s">
        <v>6287</v>
      </c>
      <c r="G1396" s="0" t="n">
        <v>7.5</v>
      </c>
      <c r="H1396" s="0" t="n">
        <v>7.5</v>
      </c>
      <c r="I1396" s="32" t="s">
        <v>2081</v>
      </c>
      <c r="J1396" s="32" t="s">
        <v>2081</v>
      </c>
      <c r="K1396" s="0" t="n">
        <v>0</v>
      </c>
      <c r="L1396" s="32" t="s">
        <v>766</v>
      </c>
      <c r="M1396" s="0" t="str">
        <f aca="false">IF(L1396="GEN","GM",L1396)</f>
        <v>OR</v>
      </c>
    </row>
    <row r="1397" customFormat="false" ht="15" hidden="false" customHeight="false" outlineLevel="0" collapsed="false">
      <c r="A1397" s="0" t="s">
        <v>9050</v>
      </c>
      <c r="B1397" s="0" t="s">
        <v>9051</v>
      </c>
      <c r="C1397" s="0" t="s">
        <v>6290</v>
      </c>
      <c r="D1397" s="0" t="s">
        <v>2099</v>
      </c>
      <c r="E1397" s="31" t="n">
        <v>45712</v>
      </c>
      <c r="F1397" s="32" t="s">
        <v>6287</v>
      </c>
      <c r="G1397" s="0" t="n">
        <v>7.5</v>
      </c>
      <c r="H1397" s="0" t="n">
        <v>7.5</v>
      </c>
      <c r="I1397" s="32" t="s">
        <v>2081</v>
      </c>
      <c r="J1397" s="32" t="s">
        <v>2081</v>
      </c>
      <c r="K1397" s="0" t="n">
        <v>0</v>
      </c>
      <c r="L1397" s="32" t="s">
        <v>785</v>
      </c>
      <c r="M1397" s="0" t="str">
        <f aca="false">IF(L1397="GEN","GM",L1397)</f>
        <v>RS</v>
      </c>
    </row>
    <row r="1398" customFormat="false" ht="15" hidden="false" customHeight="false" outlineLevel="0" collapsed="false">
      <c r="A1398" s="0" t="s">
        <v>9052</v>
      </c>
      <c r="B1398" s="0" t="s">
        <v>9053</v>
      </c>
      <c r="C1398" s="0" t="s">
        <v>6290</v>
      </c>
      <c r="D1398" s="0" t="s">
        <v>2099</v>
      </c>
      <c r="E1398" s="31" t="n">
        <v>45712</v>
      </c>
      <c r="F1398" s="32" t="s">
        <v>6283</v>
      </c>
      <c r="G1398" s="0" t="n">
        <v>11.5</v>
      </c>
      <c r="H1398" s="0" t="n">
        <v>11.5</v>
      </c>
      <c r="I1398" s="32" t="s">
        <v>2081</v>
      </c>
      <c r="J1398" s="32" t="s">
        <v>2081</v>
      </c>
      <c r="K1398" s="0" t="n">
        <v>0</v>
      </c>
      <c r="L1398" s="32" t="s">
        <v>776</v>
      </c>
      <c r="M1398" s="0" t="str">
        <f aca="false">IF(L1398="GEN","GM",L1398)</f>
        <v>GS</v>
      </c>
    </row>
    <row r="1399" customFormat="false" ht="15" hidden="false" customHeight="false" outlineLevel="0" collapsed="false">
      <c r="A1399" s="0" t="s">
        <v>9054</v>
      </c>
      <c r="B1399" s="0" t="s">
        <v>9055</v>
      </c>
      <c r="C1399" s="0" t="s">
        <v>6295</v>
      </c>
      <c r="D1399" s="0" t="s">
        <v>2099</v>
      </c>
      <c r="E1399" s="31" t="n">
        <v>45712</v>
      </c>
      <c r="F1399" s="32" t="s">
        <v>1125</v>
      </c>
      <c r="G1399" s="0" t="n">
        <v>12</v>
      </c>
      <c r="H1399" s="0" t="n">
        <v>12.5</v>
      </c>
      <c r="I1399" s="32" t="s">
        <v>2081</v>
      </c>
      <c r="J1399" s="32" t="s">
        <v>2081</v>
      </c>
      <c r="K1399" s="0" t="n">
        <v>0.5</v>
      </c>
      <c r="L1399" s="32" t="s">
        <v>758</v>
      </c>
      <c r="M1399" s="0" t="str">
        <f aca="false">IF(L1399="GEN","GM",L1399)</f>
        <v>CS</v>
      </c>
    </row>
    <row r="1400" customFormat="false" ht="15" hidden="false" customHeight="false" outlineLevel="0" collapsed="false">
      <c r="A1400" s="0" t="s">
        <v>9056</v>
      </c>
      <c r="B1400" s="0" t="s">
        <v>9057</v>
      </c>
      <c r="C1400" s="0" t="s">
        <v>6290</v>
      </c>
      <c r="D1400" s="0" t="s">
        <v>2115</v>
      </c>
      <c r="E1400" s="31" t="n">
        <v>45712</v>
      </c>
      <c r="F1400" s="32" t="s">
        <v>6287</v>
      </c>
      <c r="G1400" s="0" t="n">
        <v>7.5</v>
      </c>
      <c r="H1400" s="0" t="n">
        <v>7.5</v>
      </c>
      <c r="I1400" s="32" t="s">
        <v>2106</v>
      </c>
      <c r="J1400" s="32" t="s">
        <v>2081</v>
      </c>
      <c r="K1400" s="0" t="n">
        <v>0</v>
      </c>
      <c r="L1400" s="32" t="s">
        <v>766</v>
      </c>
      <c r="M1400" s="0" t="str">
        <f aca="false">IF(L1400="GEN","GM",L1400)</f>
        <v>OR</v>
      </c>
    </row>
    <row r="1401" customFormat="false" ht="15" hidden="false" customHeight="false" outlineLevel="0" collapsed="false">
      <c r="A1401" s="0" t="s">
        <v>9058</v>
      </c>
      <c r="B1401" s="0" t="s">
        <v>9059</v>
      </c>
      <c r="C1401" s="0" t="s">
        <v>6295</v>
      </c>
      <c r="D1401" s="0" t="s">
        <v>2115</v>
      </c>
      <c r="E1401" s="31" t="n">
        <v>45712</v>
      </c>
      <c r="F1401" s="32" t="s">
        <v>1125</v>
      </c>
      <c r="G1401" s="0" t="n">
        <v>12</v>
      </c>
      <c r="H1401" s="0" t="n">
        <v>12</v>
      </c>
      <c r="I1401" s="32" t="s">
        <v>2081</v>
      </c>
      <c r="J1401" s="32" t="s">
        <v>2081</v>
      </c>
      <c r="K1401" s="0" t="n">
        <v>0</v>
      </c>
      <c r="L1401" s="32" t="s">
        <v>826</v>
      </c>
      <c r="M1401" s="0" t="str">
        <f aca="false">IF(L1401="GEN","GM",L1401)</f>
        <v>RHE</v>
      </c>
    </row>
    <row r="1402" customFormat="false" ht="15" hidden="false" customHeight="false" outlineLevel="0" collapsed="false">
      <c r="A1402" s="0" t="s">
        <v>9060</v>
      </c>
      <c r="B1402" s="0" t="s">
        <v>9061</v>
      </c>
      <c r="C1402" s="0" t="s">
        <v>6290</v>
      </c>
      <c r="D1402" s="0" t="s">
        <v>2115</v>
      </c>
      <c r="E1402" s="31" t="n">
        <v>45712</v>
      </c>
      <c r="F1402" s="32" t="s">
        <v>6283</v>
      </c>
      <c r="G1402" s="0" t="n">
        <v>11.5</v>
      </c>
      <c r="H1402" s="0" t="n">
        <v>11.5</v>
      </c>
      <c r="I1402" s="32" t="s">
        <v>2106</v>
      </c>
      <c r="J1402" s="32" t="s">
        <v>2081</v>
      </c>
      <c r="K1402" s="0" t="n">
        <v>0</v>
      </c>
      <c r="L1402" s="32" t="s">
        <v>747</v>
      </c>
      <c r="M1402" s="0" t="str">
        <f aca="false">IF(L1402="GEN","GM",L1402)</f>
        <v>GM</v>
      </c>
    </row>
    <row r="1403" customFormat="false" ht="15" hidden="false" customHeight="false" outlineLevel="0" collapsed="false">
      <c r="A1403" s="0" t="s">
        <v>9062</v>
      </c>
      <c r="B1403" s="0" t="s">
        <v>9063</v>
      </c>
      <c r="C1403" s="0" t="s">
        <v>6295</v>
      </c>
      <c r="D1403" s="0" t="s">
        <v>2124</v>
      </c>
      <c r="E1403" s="31" t="n">
        <v>45712</v>
      </c>
      <c r="F1403" s="32" t="s">
        <v>6287</v>
      </c>
      <c r="G1403" s="0" t="n">
        <v>7.5</v>
      </c>
      <c r="H1403" s="0" t="n">
        <v>6.8</v>
      </c>
      <c r="I1403" s="32" t="s">
        <v>2081</v>
      </c>
      <c r="J1403" s="32" t="s">
        <v>2081</v>
      </c>
      <c r="K1403" s="0" t="n">
        <v>0</v>
      </c>
      <c r="L1403" s="32" t="s">
        <v>793</v>
      </c>
      <c r="M1403" s="0" t="str">
        <f aca="false">IF(L1403="GEN","GM",L1403)</f>
        <v>EM</v>
      </c>
    </row>
    <row r="1404" customFormat="false" ht="15" hidden="false" customHeight="false" outlineLevel="0" collapsed="false">
      <c r="A1404" s="0" t="s">
        <v>9064</v>
      </c>
      <c r="B1404" s="0" t="s">
        <v>9065</v>
      </c>
      <c r="C1404" s="0" t="s">
        <v>6286</v>
      </c>
      <c r="D1404" s="0" t="s">
        <v>2124</v>
      </c>
      <c r="E1404" s="31" t="n">
        <v>45712</v>
      </c>
      <c r="F1404" s="32" t="s">
        <v>6283</v>
      </c>
      <c r="G1404" s="0" t="n">
        <v>11.5</v>
      </c>
      <c r="H1404" s="0" t="n">
        <v>11.5</v>
      </c>
      <c r="I1404" s="32" t="s">
        <v>2106</v>
      </c>
      <c r="J1404" s="32" t="s">
        <v>2106</v>
      </c>
      <c r="K1404" s="0" t="n">
        <v>0</v>
      </c>
      <c r="L1404" s="32" t="s">
        <v>758</v>
      </c>
      <c r="M1404" s="0" t="str">
        <f aca="false">IF(L1404="GEN","GM",L1404)</f>
        <v>CS</v>
      </c>
    </row>
    <row r="1405" customFormat="false" ht="15" hidden="false" customHeight="false" outlineLevel="0" collapsed="false">
      <c r="A1405" s="0" t="s">
        <v>9066</v>
      </c>
      <c r="B1405" s="0" t="s">
        <v>9067</v>
      </c>
      <c r="C1405" s="0" t="s">
        <v>780</v>
      </c>
      <c r="D1405" s="0" t="s">
        <v>2124</v>
      </c>
      <c r="E1405" s="31" t="n">
        <v>45712</v>
      </c>
      <c r="F1405" s="32" t="s">
        <v>6287</v>
      </c>
      <c r="G1405" s="0" t="n">
        <v>7.5</v>
      </c>
      <c r="H1405" s="0" t="n">
        <v>7.5</v>
      </c>
      <c r="I1405" s="32" t="s">
        <v>2081</v>
      </c>
      <c r="J1405" s="32" t="s">
        <v>2081</v>
      </c>
      <c r="K1405" s="0" t="n">
        <v>0</v>
      </c>
      <c r="L1405" s="32" t="s">
        <v>810</v>
      </c>
      <c r="M1405" s="0" t="str">
        <f aca="false">IF(L1405="GEN","GM",L1405)</f>
        <v>URO</v>
      </c>
    </row>
    <row r="1406" customFormat="false" ht="15" hidden="false" customHeight="false" outlineLevel="0" collapsed="false">
      <c r="A1406" s="0" t="s">
        <v>9068</v>
      </c>
      <c r="B1406" s="0" t="s">
        <v>9069</v>
      </c>
      <c r="C1406" s="0" t="s">
        <v>6295</v>
      </c>
      <c r="D1406" s="0" t="s">
        <v>2124</v>
      </c>
      <c r="E1406" s="31" t="n">
        <v>45712</v>
      </c>
      <c r="F1406" s="32" t="s">
        <v>6287</v>
      </c>
      <c r="G1406" s="0" t="n">
        <v>7.5</v>
      </c>
      <c r="H1406" s="0" t="n">
        <v>7.5</v>
      </c>
      <c r="J1406" s="32" t="s">
        <v>2081</v>
      </c>
      <c r="K1406" s="0" t="n">
        <v>0</v>
      </c>
      <c r="L1406" s="32" t="s">
        <v>810</v>
      </c>
      <c r="M1406" s="0" t="str">
        <f aca="false">IF(L1406="GEN","GM",L1406)</f>
        <v>URO</v>
      </c>
    </row>
    <row r="1407" customFormat="false" ht="15" hidden="false" customHeight="false" outlineLevel="0" collapsed="false">
      <c r="A1407" s="0" t="s">
        <v>9070</v>
      </c>
      <c r="B1407" s="0" t="s">
        <v>9071</v>
      </c>
      <c r="C1407" s="0" t="s">
        <v>6290</v>
      </c>
      <c r="D1407" s="0" t="s">
        <v>2104</v>
      </c>
      <c r="E1407" s="31" t="n">
        <v>45712</v>
      </c>
      <c r="F1407" s="32" t="s">
        <v>6287</v>
      </c>
      <c r="G1407" s="0" t="n">
        <v>7.5</v>
      </c>
      <c r="H1407" s="0" t="n">
        <v>7.5</v>
      </c>
      <c r="I1407" s="32" t="s">
        <v>2081</v>
      </c>
      <c r="J1407" s="32" t="s">
        <v>2106</v>
      </c>
      <c r="K1407" s="0" t="n">
        <v>0</v>
      </c>
      <c r="L1407" s="32" t="s">
        <v>747</v>
      </c>
      <c r="M1407" s="0" t="str">
        <f aca="false">IF(L1407="GEN","GM",L1407)</f>
        <v>GM</v>
      </c>
    </row>
    <row r="1408" customFormat="false" ht="15" hidden="false" customHeight="false" outlineLevel="0" collapsed="false">
      <c r="A1408" s="0" t="s">
        <v>9072</v>
      </c>
      <c r="B1408" s="0" t="s">
        <v>9073</v>
      </c>
      <c r="C1408" s="0" t="s">
        <v>6295</v>
      </c>
      <c r="D1408" s="0" t="s">
        <v>2104</v>
      </c>
      <c r="E1408" s="31" t="n">
        <v>45712</v>
      </c>
      <c r="F1408" s="32" t="s">
        <v>6287</v>
      </c>
      <c r="G1408" s="0" t="n">
        <v>7.5</v>
      </c>
      <c r="H1408" s="0" t="n">
        <v>7.5</v>
      </c>
      <c r="I1408" s="32" t="s">
        <v>2081</v>
      </c>
      <c r="J1408" s="32" t="s">
        <v>2081</v>
      </c>
      <c r="K1408" s="0" t="n">
        <v>0</v>
      </c>
      <c r="L1408" s="32" t="s">
        <v>810</v>
      </c>
      <c r="M1408" s="0" t="str">
        <f aca="false">IF(L1408="GEN","GM",L1408)</f>
        <v>URO</v>
      </c>
    </row>
    <row r="1409" customFormat="false" ht="15" hidden="false" customHeight="false" outlineLevel="0" collapsed="false">
      <c r="A1409" s="0" t="s">
        <v>9074</v>
      </c>
      <c r="B1409" s="0" t="s">
        <v>9075</v>
      </c>
      <c r="C1409" s="0" t="s">
        <v>6282</v>
      </c>
      <c r="D1409" s="0" t="s">
        <v>2104</v>
      </c>
      <c r="E1409" s="31" t="n">
        <v>45712</v>
      </c>
      <c r="F1409" s="32" t="s">
        <v>6283</v>
      </c>
      <c r="G1409" s="0" t="n">
        <v>11.5</v>
      </c>
      <c r="H1409" s="0" t="n">
        <v>11.5</v>
      </c>
      <c r="I1409" s="32" t="s">
        <v>2081</v>
      </c>
      <c r="J1409" s="32" t="s">
        <v>2081</v>
      </c>
      <c r="K1409" s="0" t="n">
        <v>0</v>
      </c>
      <c r="L1409" s="32" t="s">
        <v>758</v>
      </c>
      <c r="M1409" s="0" t="str">
        <f aca="false">IF(L1409="GEN","GM",L1409)</f>
        <v>CS</v>
      </c>
    </row>
    <row r="1410" customFormat="false" ht="15" hidden="false" customHeight="false" outlineLevel="0" collapsed="false">
      <c r="A1410" s="0" t="s">
        <v>9076</v>
      </c>
      <c r="B1410" s="0" t="s">
        <v>9077</v>
      </c>
      <c r="C1410" s="0" t="s">
        <v>6295</v>
      </c>
      <c r="D1410" s="0" t="s">
        <v>2104</v>
      </c>
      <c r="E1410" s="31" t="n">
        <v>45712</v>
      </c>
      <c r="F1410" s="32" t="s">
        <v>6287</v>
      </c>
      <c r="G1410" s="0" t="n">
        <v>7.5</v>
      </c>
      <c r="H1410" s="0" t="n">
        <v>7.5</v>
      </c>
      <c r="I1410" s="32" t="s">
        <v>2081</v>
      </c>
      <c r="J1410" s="32" t="s">
        <v>2081</v>
      </c>
      <c r="K1410" s="0" t="n">
        <v>0</v>
      </c>
      <c r="L1410" s="32" t="s">
        <v>776</v>
      </c>
      <c r="M1410" s="0" t="str">
        <f aca="false">IF(L1410="GEN","GM",L1410)</f>
        <v>GS</v>
      </c>
    </row>
    <row r="1411" customFormat="false" ht="15" hidden="false" customHeight="false" outlineLevel="0" collapsed="false">
      <c r="A1411" s="0" t="s">
        <v>9078</v>
      </c>
      <c r="B1411" s="0" t="s">
        <v>9079</v>
      </c>
      <c r="C1411" s="0" t="s">
        <v>6286</v>
      </c>
      <c r="D1411" s="0" t="s">
        <v>3035</v>
      </c>
      <c r="E1411" s="31" t="n">
        <v>45712</v>
      </c>
      <c r="F1411" s="32" t="s">
        <v>6287</v>
      </c>
      <c r="G1411" s="0" t="n">
        <v>7.5</v>
      </c>
      <c r="H1411" s="0" t="n">
        <v>7.5</v>
      </c>
      <c r="I1411" s="32" t="s">
        <v>2081</v>
      </c>
      <c r="J1411" s="32" t="s">
        <v>2081</v>
      </c>
      <c r="K1411" s="0" t="n">
        <v>0</v>
      </c>
      <c r="L1411" s="32" t="s">
        <v>802</v>
      </c>
      <c r="M1411" s="0" t="str">
        <f aca="false">IF(L1411="GEN","GM",L1411)</f>
        <v>GYN</v>
      </c>
    </row>
    <row r="1412" customFormat="false" ht="15" hidden="false" customHeight="false" outlineLevel="0" collapsed="false">
      <c r="A1412" s="0" t="s">
        <v>9080</v>
      </c>
      <c r="B1412" s="0" t="s">
        <v>9081</v>
      </c>
      <c r="C1412" s="0" t="s">
        <v>6295</v>
      </c>
      <c r="D1412" s="0" t="s">
        <v>3035</v>
      </c>
      <c r="E1412" s="31" t="n">
        <v>45712</v>
      </c>
      <c r="F1412" s="32" t="s">
        <v>6287</v>
      </c>
      <c r="G1412" s="0" t="n">
        <v>7.5</v>
      </c>
      <c r="H1412" s="0" t="n">
        <v>7.5</v>
      </c>
      <c r="I1412" s="32" t="s">
        <v>2081</v>
      </c>
      <c r="J1412" s="32" t="s">
        <v>2081</v>
      </c>
      <c r="K1412" s="0" t="n">
        <v>0</v>
      </c>
      <c r="L1412" s="32" t="s">
        <v>785</v>
      </c>
      <c r="M1412" s="0" t="str">
        <f aca="false">IF(L1412="GEN","GM",L1412)</f>
        <v>RS</v>
      </c>
    </row>
    <row r="1413" customFormat="false" ht="15" hidden="false" customHeight="false" outlineLevel="0" collapsed="false">
      <c r="A1413" s="0" t="s">
        <v>9082</v>
      </c>
      <c r="B1413" s="0" t="s">
        <v>9083</v>
      </c>
      <c r="C1413" s="0" t="s">
        <v>6290</v>
      </c>
      <c r="D1413" s="0" t="s">
        <v>3035</v>
      </c>
      <c r="E1413" s="31" t="n">
        <v>45712</v>
      </c>
      <c r="F1413" s="32" t="s">
        <v>1125</v>
      </c>
      <c r="G1413" s="0" t="n">
        <v>12</v>
      </c>
      <c r="H1413" s="0" t="n">
        <v>12</v>
      </c>
      <c r="I1413" s="32" t="s">
        <v>2081</v>
      </c>
      <c r="J1413" s="32" t="s">
        <v>2081</v>
      </c>
      <c r="K1413" s="0" t="n">
        <v>0</v>
      </c>
      <c r="L1413" s="32" t="s">
        <v>758</v>
      </c>
      <c r="M1413" s="0" t="str">
        <f aca="false">IF(L1413="GEN","GM",L1413)</f>
        <v>CS</v>
      </c>
    </row>
    <row r="1414" customFormat="false" ht="15" hidden="false" customHeight="false" outlineLevel="0" collapsed="false">
      <c r="A1414" s="0" t="s">
        <v>9084</v>
      </c>
      <c r="B1414" s="0" t="s">
        <v>9085</v>
      </c>
      <c r="C1414" s="0" t="s">
        <v>6290</v>
      </c>
      <c r="D1414" s="0" t="s">
        <v>3035</v>
      </c>
      <c r="E1414" s="31" t="n">
        <v>45712</v>
      </c>
      <c r="F1414" s="32" t="s">
        <v>6287</v>
      </c>
      <c r="G1414" s="0" t="n">
        <v>7.5</v>
      </c>
      <c r="H1414" s="0" t="n">
        <v>7.5</v>
      </c>
      <c r="I1414" s="32" t="s">
        <v>2081</v>
      </c>
      <c r="J1414" s="32" t="s">
        <v>2081</v>
      </c>
      <c r="K1414" s="0" t="n">
        <v>0</v>
      </c>
      <c r="L1414" s="32" t="s">
        <v>810</v>
      </c>
      <c r="M1414" s="0" t="str">
        <f aca="false">IF(L1414="GEN","GM",L1414)</f>
        <v>URO</v>
      </c>
    </row>
    <row r="1415" customFormat="false" ht="15" hidden="false" customHeight="false" outlineLevel="0" collapsed="false">
      <c r="A1415" s="0" t="s">
        <v>9086</v>
      </c>
      <c r="B1415" s="0" t="s">
        <v>9087</v>
      </c>
      <c r="C1415" s="0" t="s">
        <v>6295</v>
      </c>
      <c r="D1415" s="0" t="s">
        <v>3035</v>
      </c>
      <c r="E1415" s="31" t="n">
        <v>45712</v>
      </c>
      <c r="F1415" s="32" t="s">
        <v>1125</v>
      </c>
      <c r="G1415" s="0" t="n">
        <v>12</v>
      </c>
      <c r="H1415" s="0" t="n">
        <v>12</v>
      </c>
      <c r="I1415" s="32" t="s">
        <v>2081</v>
      </c>
      <c r="J1415" s="32" t="s">
        <v>2081</v>
      </c>
      <c r="K1415" s="0" t="n">
        <v>0</v>
      </c>
      <c r="L1415" s="32" t="s">
        <v>810</v>
      </c>
      <c r="M1415" s="0" t="str">
        <f aca="false">IF(L1415="GEN","GM",L1415)</f>
        <v>URO</v>
      </c>
    </row>
    <row r="1416" customFormat="false" ht="15" hidden="false" customHeight="false" outlineLevel="0" collapsed="false">
      <c r="A1416" s="0" t="s">
        <v>9088</v>
      </c>
      <c r="B1416" s="0" t="s">
        <v>9089</v>
      </c>
      <c r="C1416" s="0" t="s">
        <v>6295</v>
      </c>
      <c r="D1416" s="0" t="s">
        <v>2088</v>
      </c>
      <c r="E1416" s="31" t="n">
        <v>45713</v>
      </c>
      <c r="F1416" s="32" t="s">
        <v>6283</v>
      </c>
      <c r="G1416" s="0" t="n">
        <v>11.5</v>
      </c>
      <c r="H1416" s="0" t="n">
        <v>11.5</v>
      </c>
      <c r="I1416" s="32" t="s">
        <v>2081</v>
      </c>
      <c r="J1416" s="32" t="s">
        <v>2081</v>
      </c>
      <c r="K1416" s="0" t="n">
        <v>0</v>
      </c>
      <c r="L1416" s="32" t="s">
        <v>747</v>
      </c>
      <c r="M1416" s="0" t="str">
        <f aca="false">IF(L1416="GEN","GM",L1416)</f>
        <v>GM</v>
      </c>
    </row>
    <row r="1417" customFormat="false" ht="15" hidden="false" customHeight="false" outlineLevel="0" collapsed="false">
      <c r="A1417" s="0" t="s">
        <v>9090</v>
      </c>
      <c r="B1417" s="0" t="s">
        <v>9091</v>
      </c>
      <c r="C1417" s="0" t="s">
        <v>6295</v>
      </c>
      <c r="D1417" s="0" t="s">
        <v>2088</v>
      </c>
      <c r="E1417" s="31" t="n">
        <v>45713</v>
      </c>
      <c r="F1417" s="32" t="s">
        <v>6287</v>
      </c>
      <c r="G1417" s="0" t="n">
        <v>7.5</v>
      </c>
      <c r="H1417" s="0" t="n">
        <v>7.5</v>
      </c>
      <c r="I1417" s="32" t="s">
        <v>2081</v>
      </c>
      <c r="J1417" s="32" t="s">
        <v>2081</v>
      </c>
      <c r="K1417" s="0" t="n">
        <v>0</v>
      </c>
      <c r="L1417" s="32" t="s">
        <v>747</v>
      </c>
      <c r="M1417" s="0" t="str">
        <f aca="false">IF(L1417="GEN","GM",L1417)</f>
        <v>GM</v>
      </c>
    </row>
    <row r="1418" customFormat="false" ht="15" hidden="false" customHeight="false" outlineLevel="0" collapsed="false">
      <c r="A1418" s="0" t="s">
        <v>9092</v>
      </c>
      <c r="B1418" s="0" t="s">
        <v>9093</v>
      </c>
      <c r="C1418" s="0" t="s">
        <v>6286</v>
      </c>
      <c r="D1418" s="0" t="s">
        <v>2088</v>
      </c>
      <c r="E1418" s="31" t="n">
        <v>45713</v>
      </c>
      <c r="F1418" s="32" t="s">
        <v>6287</v>
      </c>
      <c r="G1418" s="0" t="n">
        <v>7.5</v>
      </c>
      <c r="H1418" s="0" t="n">
        <v>7.5</v>
      </c>
      <c r="I1418" s="32" t="s">
        <v>2081</v>
      </c>
      <c r="J1418" s="32" t="s">
        <v>2081</v>
      </c>
      <c r="K1418" s="0" t="n">
        <v>0</v>
      </c>
      <c r="L1418" s="32" t="s">
        <v>810</v>
      </c>
      <c r="M1418" s="0" t="str">
        <f aca="false">IF(L1418="GEN","GM",L1418)</f>
        <v>URO</v>
      </c>
    </row>
    <row r="1419" customFormat="false" ht="15" hidden="false" customHeight="false" outlineLevel="0" collapsed="false">
      <c r="A1419" s="0" t="s">
        <v>9094</v>
      </c>
      <c r="B1419" s="0" t="s">
        <v>9095</v>
      </c>
      <c r="C1419" s="0" t="s">
        <v>6295</v>
      </c>
      <c r="D1419" s="0" t="s">
        <v>2079</v>
      </c>
      <c r="E1419" s="31" t="n">
        <v>45713</v>
      </c>
      <c r="F1419" s="32" t="s">
        <v>6287</v>
      </c>
      <c r="G1419" s="0" t="n">
        <v>7.5</v>
      </c>
      <c r="H1419" s="0" t="n">
        <v>7.5</v>
      </c>
      <c r="I1419" s="32" t="s">
        <v>2081</v>
      </c>
      <c r="J1419" s="32" t="s">
        <v>2081</v>
      </c>
      <c r="K1419" s="0" t="n">
        <v>0</v>
      </c>
      <c r="L1419" s="32" t="s">
        <v>810</v>
      </c>
      <c r="M1419" s="0" t="str">
        <f aca="false">IF(L1419="GEN","GM",L1419)</f>
        <v>URO</v>
      </c>
    </row>
    <row r="1420" customFormat="false" ht="15" hidden="false" customHeight="false" outlineLevel="0" collapsed="false">
      <c r="A1420" s="0" t="s">
        <v>9096</v>
      </c>
      <c r="B1420" s="0" t="s">
        <v>9097</v>
      </c>
      <c r="C1420" s="0" t="s">
        <v>6286</v>
      </c>
      <c r="D1420" s="0" t="s">
        <v>2079</v>
      </c>
      <c r="E1420" s="31" t="n">
        <v>45713</v>
      </c>
      <c r="F1420" s="32" t="s">
        <v>6283</v>
      </c>
      <c r="G1420" s="0" t="n">
        <v>11.5</v>
      </c>
      <c r="H1420" s="0" t="n">
        <v>11.5</v>
      </c>
      <c r="I1420" s="32" t="s">
        <v>2081</v>
      </c>
      <c r="J1420" s="32" t="s">
        <v>2081</v>
      </c>
      <c r="K1420" s="0" t="n">
        <v>0</v>
      </c>
      <c r="L1420" s="32" t="s">
        <v>758</v>
      </c>
      <c r="M1420" s="0" t="str">
        <f aca="false">IF(L1420="GEN","GM",L1420)</f>
        <v>CS</v>
      </c>
    </row>
    <row r="1421" customFormat="false" ht="15" hidden="false" customHeight="false" outlineLevel="0" collapsed="false">
      <c r="A1421" s="0" t="s">
        <v>9098</v>
      </c>
      <c r="B1421" s="0" t="s">
        <v>9099</v>
      </c>
      <c r="C1421" s="0" t="s">
        <v>6295</v>
      </c>
      <c r="D1421" s="0" t="s">
        <v>2079</v>
      </c>
      <c r="E1421" s="31" t="n">
        <v>45713</v>
      </c>
      <c r="F1421" s="32" t="s">
        <v>6283</v>
      </c>
      <c r="G1421" s="0" t="n">
        <v>11.5</v>
      </c>
      <c r="H1421" s="0" t="n">
        <v>11.5</v>
      </c>
      <c r="I1421" s="32" t="s">
        <v>2081</v>
      </c>
      <c r="J1421" s="32" t="s">
        <v>2081</v>
      </c>
      <c r="K1421" s="0" t="n">
        <v>0</v>
      </c>
      <c r="L1421" s="32" t="s">
        <v>758</v>
      </c>
      <c r="M1421" s="0" t="str">
        <f aca="false">IF(L1421="GEN","GM",L1421)</f>
        <v>CS</v>
      </c>
    </row>
    <row r="1422" customFormat="false" ht="15" hidden="false" customHeight="false" outlineLevel="0" collapsed="false">
      <c r="A1422" s="0" t="s">
        <v>9100</v>
      </c>
      <c r="B1422" s="0" t="s">
        <v>9101</v>
      </c>
      <c r="C1422" s="0" t="s">
        <v>780</v>
      </c>
      <c r="D1422" s="0" t="s">
        <v>2079</v>
      </c>
      <c r="E1422" s="31" t="n">
        <v>45713</v>
      </c>
      <c r="F1422" s="32" t="s">
        <v>1125</v>
      </c>
      <c r="G1422" s="0" t="n">
        <v>12</v>
      </c>
      <c r="H1422" s="0" t="n">
        <v>12</v>
      </c>
      <c r="I1422" s="32" t="s">
        <v>2081</v>
      </c>
      <c r="J1422" s="32" t="s">
        <v>2081</v>
      </c>
      <c r="K1422" s="0" t="n">
        <v>0</v>
      </c>
      <c r="L1422" s="32" t="s">
        <v>766</v>
      </c>
      <c r="M1422" s="0" t="str">
        <f aca="false">IF(L1422="GEN","GM",L1422)</f>
        <v>OR</v>
      </c>
    </row>
    <row r="1423" customFormat="false" ht="15" hidden="false" customHeight="false" outlineLevel="0" collapsed="false">
      <c r="A1423" s="0" t="s">
        <v>9102</v>
      </c>
      <c r="B1423" s="0" t="s">
        <v>9103</v>
      </c>
      <c r="C1423" s="0" t="s">
        <v>6286</v>
      </c>
      <c r="D1423" s="0" t="s">
        <v>2099</v>
      </c>
      <c r="E1423" s="31" t="n">
        <v>45713</v>
      </c>
      <c r="F1423" s="32" t="s">
        <v>6287</v>
      </c>
      <c r="G1423" s="0" t="n">
        <v>7.5</v>
      </c>
      <c r="H1423" s="0" t="n">
        <v>7.5</v>
      </c>
      <c r="I1423" s="32" t="s">
        <v>2081</v>
      </c>
      <c r="J1423" s="32" t="s">
        <v>2081</v>
      </c>
      <c r="K1423" s="0" t="n">
        <v>0</v>
      </c>
      <c r="L1423" s="32" t="s">
        <v>776</v>
      </c>
      <c r="M1423" s="0" t="str">
        <f aca="false">IF(L1423="GEN","GM",L1423)</f>
        <v>GS</v>
      </c>
    </row>
    <row r="1424" customFormat="false" ht="15" hidden="false" customHeight="false" outlineLevel="0" collapsed="false">
      <c r="A1424" s="0" t="s">
        <v>9104</v>
      </c>
      <c r="B1424" s="0" t="s">
        <v>9105</v>
      </c>
      <c r="C1424" s="0" t="s">
        <v>6295</v>
      </c>
      <c r="D1424" s="0" t="s">
        <v>2099</v>
      </c>
      <c r="E1424" s="31" t="n">
        <v>45713</v>
      </c>
      <c r="F1424" s="32" t="s">
        <v>6283</v>
      </c>
      <c r="G1424" s="0" t="n">
        <v>11.5</v>
      </c>
      <c r="H1424" s="0" t="n">
        <v>11.5</v>
      </c>
      <c r="I1424" s="32" t="s">
        <v>2081</v>
      </c>
      <c r="J1424" s="32" t="s">
        <v>2081</v>
      </c>
      <c r="K1424" s="0" t="n">
        <v>0</v>
      </c>
      <c r="L1424" s="32" t="s">
        <v>793</v>
      </c>
      <c r="M1424" s="0" t="str">
        <f aca="false">IF(L1424="GEN","GM",L1424)</f>
        <v>EM</v>
      </c>
    </row>
    <row r="1425" customFormat="false" ht="15" hidden="false" customHeight="false" outlineLevel="0" collapsed="false">
      <c r="A1425" s="0" t="s">
        <v>9106</v>
      </c>
      <c r="B1425" s="0" t="s">
        <v>9107</v>
      </c>
      <c r="C1425" s="0" t="s">
        <v>780</v>
      </c>
      <c r="D1425" s="0" t="s">
        <v>2099</v>
      </c>
      <c r="E1425" s="31" t="n">
        <v>45713</v>
      </c>
      <c r="F1425" s="32" t="s">
        <v>6283</v>
      </c>
      <c r="G1425" s="0" t="n">
        <v>11.5</v>
      </c>
      <c r="H1425" s="0" t="n">
        <v>11.5</v>
      </c>
      <c r="I1425" s="32" t="s">
        <v>2106</v>
      </c>
      <c r="J1425" s="32" t="s">
        <v>2081</v>
      </c>
      <c r="K1425" s="0" t="n">
        <v>0</v>
      </c>
      <c r="L1425" s="32" t="s">
        <v>776</v>
      </c>
      <c r="M1425" s="0" t="str">
        <f aca="false">IF(L1425="GEN","GM",L1425)</f>
        <v>GS</v>
      </c>
    </row>
    <row r="1426" customFormat="false" ht="15" hidden="false" customHeight="false" outlineLevel="0" collapsed="false">
      <c r="A1426" s="0" t="s">
        <v>9108</v>
      </c>
      <c r="B1426" s="0" t="s">
        <v>9109</v>
      </c>
      <c r="C1426" s="0" t="s">
        <v>6295</v>
      </c>
      <c r="D1426" s="0" t="s">
        <v>2099</v>
      </c>
      <c r="E1426" s="31" t="n">
        <v>45713</v>
      </c>
      <c r="F1426" s="32" t="s">
        <v>6287</v>
      </c>
      <c r="G1426" s="0" t="n">
        <v>7.5</v>
      </c>
      <c r="H1426" s="0" t="n">
        <v>7.5</v>
      </c>
      <c r="J1426" s="32" t="s">
        <v>2081</v>
      </c>
      <c r="K1426" s="0" t="n">
        <v>0</v>
      </c>
      <c r="L1426" s="32" t="s">
        <v>826</v>
      </c>
      <c r="M1426" s="0" t="str">
        <f aca="false">IF(L1426="GEN","GM",L1426)</f>
        <v>RHE</v>
      </c>
    </row>
    <row r="1427" customFormat="false" ht="15" hidden="false" customHeight="false" outlineLevel="0" collapsed="false">
      <c r="A1427" s="0" t="s">
        <v>9110</v>
      </c>
      <c r="B1427" s="0" t="s">
        <v>9111</v>
      </c>
      <c r="C1427" s="0" t="s">
        <v>6286</v>
      </c>
      <c r="D1427" s="0" t="s">
        <v>2099</v>
      </c>
      <c r="E1427" s="31" t="n">
        <v>45713</v>
      </c>
      <c r="F1427" s="32" t="s">
        <v>6283</v>
      </c>
      <c r="G1427" s="0" t="n">
        <v>11.5</v>
      </c>
      <c r="H1427" s="0" t="n">
        <v>11.5</v>
      </c>
      <c r="I1427" s="32" t="s">
        <v>2081</v>
      </c>
      <c r="J1427" s="32" t="s">
        <v>2081</v>
      </c>
      <c r="K1427" s="0" t="n">
        <v>0</v>
      </c>
      <c r="L1427" s="32" t="s">
        <v>776</v>
      </c>
      <c r="M1427" s="0" t="str">
        <f aca="false">IF(L1427="GEN","GM",L1427)</f>
        <v>GS</v>
      </c>
    </row>
    <row r="1428" customFormat="false" ht="15" hidden="false" customHeight="false" outlineLevel="0" collapsed="false">
      <c r="A1428" s="0" t="s">
        <v>9112</v>
      </c>
      <c r="B1428" s="0" t="s">
        <v>9113</v>
      </c>
      <c r="C1428" s="0" t="s">
        <v>6290</v>
      </c>
      <c r="D1428" s="0" t="s">
        <v>2115</v>
      </c>
      <c r="E1428" s="31" t="n">
        <v>45713</v>
      </c>
      <c r="F1428" s="32" t="s">
        <v>6283</v>
      </c>
      <c r="G1428" s="0" t="n">
        <v>11.5</v>
      </c>
      <c r="H1428" s="0" t="n">
        <v>11.5</v>
      </c>
      <c r="I1428" s="32" t="s">
        <v>2081</v>
      </c>
      <c r="J1428" s="32" t="s">
        <v>2081</v>
      </c>
      <c r="K1428" s="0" t="n">
        <v>0</v>
      </c>
      <c r="L1428" s="32" t="s">
        <v>826</v>
      </c>
      <c r="M1428" s="0" t="str">
        <f aca="false">IF(L1428="GEN","GM",L1428)</f>
        <v>RHE</v>
      </c>
    </row>
    <row r="1429" customFormat="false" ht="15" hidden="false" customHeight="false" outlineLevel="0" collapsed="false">
      <c r="A1429" s="0" t="s">
        <v>9114</v>
      </c>
      <c r="B1429" s="0" t="s">
        <v>9115</v>
      </c>
      <c r="C1429" s="0" t="s">
        <v>6286</v>
      </c>
      <c r="D1429" s="0" t="s">
        <v>2115</v>
      </c>
      <c r="E1429" s="31" t="n">
        <v>45713</v>
      </c>
      <c r="F1429" s="32" t="s">
        <v>6283</v>
      </c>
      <c r="G1429" s="0" t="n">
        <v>11.5</v>
      </c>
      <c r="H1429" s="0" t="n">
        <v>12.9</v>
      </c>
      <c r="I1429" s="32" t="s">
        <v>2081</v>
      </c>
      <c r="J1429" s="32" t="s">
        <v>2081</v>
      </c>
      <c r="K1429" s="0" t="n">
        <v>1.4</v>
      </c>
      <c r="L1429" s="32" t="s">
        <v>802</v>
      </c>
      <c r="M1429" s="0" t="str">
        <f aca="false">IF(L1429="GEN","GM",L1429)</f>
        <v>GYN</v>
      </c>
    </row>
    <row r="1430" customFormat="false" ht="15" hidden="false" customHeight="false" outlineLevel="0" collapsed="false">
      <c r="A1430" s="0" t="s">
        <v>9116</v>
      </c>
      <c r="B1430" s="0" t="s">
        <v>9117</v>
      </c>
      <c r="C1430" s="0" t="s">
        <v>6290</v>
      </c>
      <c r="D1430" s="0" t="s">
        <v>2115</v>
      </c>
      <c r="E1430" s="31" t="n">
        <v>45713</v>
      </c>
      <c r="F1430" s="32" t="s">
        <v>6287</v>
      </c>
      <c r="G1430" s="0" t="n">
        <v>7.5</v>
      </c>
      <c r="H1430" s="0" t="n">
        <v>7.5</v>
      </c>
      <c r="I1430" s="32" t="s">
        <v>2081</v>
      </c>
      <c r="J1430" s="32" t="s">
        <v>2081</v>
      </c>
      <c r="K1430" s="0" t="n">
        <v>0</v>
      </c>
      <c r="L1430" s="32" t="s">
        <v>776</v>
      </c>
      <c r="M1430" s="0" t="str">
        <f aca="false">IF(L1430="GEN","GM",L1430)</f>
        <v>GS</v>
      </c>
    </row>
    <row r="1431" customFormat="false" ht="15" hidden="false" customHeight="false" outlineLevel="0" collapsed="false">
      <c r="A1431" s="0" t="s">
        <v>9118</v>
      </c>
      <c r="B1431" s="0" t="s">
        <v>9119</v>
      </c>
      <c r="C1431" s="0" t="s">
        <v>780</v>
      </c>
      <c r="D1431" s="0" t="s">
        <v>2115</v>
      </c>
      <c r="E1431" s="31" t="n">
        <v>45713</v>
      </c>
      <c r="F1431" s="32" t="s">
        <v>1125</v>
      </c>
      <c r="G1431" s="0" t="n">
        <v>12</v>
      </c>
      <c r="H1431" s="0" t="n">
        <v>12</v>
      </c>
      <c r="I1431" s="32" t="s">
        <v>2081</v>
      </c>
      <c r="J1431" s="32" t="s">
        <v>2081</v>
      </c>
      <c r="K1431" s="0" t="n">
        <v>0</v>
      </c>
      <c r="L1431" s="32" t="s">
        <v>758</v>
      </c>
      <c r="M1431" s="0" t="str">
        <f aca="false">IF(L1431="GEN","GM",L1431)</f>
        <v>CS</v>
      </c>
    </row>
    <row r="1432" customFormat="false" ht="15" hidden="false" customHeight="false" outlineLevel="0" collapsed="false">
      <c r="A1432" s="0" t="s">
        <v>9120</v>
      </c>
      <c r="B1432" s="0" t="s">
        <v>9121</v>
      </c>
      <c r="C1432" s="0" t="s">
        <v>6295</v>
      </c>
      <c r="D1432" s="0" t="s">
        <v>2124</v>
      </c>
      <c r="E1432" s="31" t="n">
        <v>45713</v>
      </c>
      <c r="F1432" s="32" t="s">
        <v>6287</v>
      </c>
      <c r="G1432" s="0" t="n">
        <v>7.5</v>
      </c>
      <c r="H1432" s="0" t="n">
        <v>7.5</v>
      </c>
      <c r="I1432" s="32" t="s">
        <v>2081</v>
      </c>
      <c r="J1432" s="32" t="s">
        <v>2106</v>
      </c>
      <c r="K1432" s="0" t="n">
        <v>0</v>
      </c>
      <c r="L1432" s="32" t="s">
        <v>766</v>
      </c>
      <c r="M1432" s="0" t="str">
        <f aca="false">IF(L1432="GEN","GM",L1432)</f>
        <v>OR</v>
      </c>
    </row>
    <row r="1433" customFormat="false" ht="15" hidden="false" customHeight="false" outlineLevel="0" collapsed="false">
      <c r="A1433" s="0" t="s">
        <v>9122</v>
      </c>
      <c r="B1433" s="0" t="s">
        <v>9123</v>
      </c>
      <c r="C1433" s="0" t="s">
        <v>6282</v>
      </c>
      <c r="D1433" s="0" t="s">
        <v>2124</v>
      </c>
      <c r="E1433" s="31" t="n">
        <v>45713</v>
      </c>
      <c r="F1433" s="32" t="s">
        <v>1125</v>
      </c>
      <c r="G1433" s="0" t="n">
        <v>12</v>
      </c>
      <c r="H1433" s="0" t="n">
        <v>12</v>
      </c>
      <c r="I1433" s="32" t="s">
        <v>2106</v>
      </c>
      <c r="J1433" s="32" t="s">
        <v>2081</v>
      </c>
      <c r="K1433" s="0" t="n">
        <v>0</v>
      </c>
      <c r="L1433" s="32" t="s">
        <v>785</v>
      </c>
      <c r="M1433" s="0" t="str">
        <f aca="false">IF(L1433="GEN","GM",L1433)</f>
        <v>RS</v>
      </c>
    </row>
    <row r="1434" customFormat="false" ht="15" hidden="false" customHeight="false" outlineLevel="0" collapsed="false">
      <c r="A1434" s="0" t="s">
        <v>9124</v>
      </c>
      <c r="B1434" s="0" t="s">
        <v>9125</v>
      </c>
      <c r="C1434" s="0" t="s">
        <v>6282</v>
      </c>
      <c r="D1434" s="0" t="s">
        <v>2124</v>
      </c>
      <c r="E1434" s="31" t="n">
        <v>45713</v>
      </c>
      <c r="F1434" s="32" t="s">
        <v>6287</v>
      </c>
      <c r="G1434" s="0" t="n">
        <v>7.5</v>
      </c>
      <c r="H1434" s="0" t="n">
        <v>7.5</v>
      </c>
      <c r="I1434" s="32" t="s">
        <v>2081</v>
      </c>
      <c r="J1434" s="32" t="s">
        <v>2081</v>
      </c>
      <c r="K1434" s="0" t="n">
        <v>0</v>
      </c>
      <c r="L1434" s="32" t="s">
        <v>785</v>
      </c>
      <c r="M1434" s="0" t="str">
        <f aca="false">IF(L1434="GEN","GM",L1434)</f>
        <v>RS</v>
      </c>
    </row>
    <row r="1435" customFormat="false" ht="15" hidden="false" customHeight="false" outlineLevel="0" collapsed="false">
      <c r="A1435" s="0" t="s">
        <v>9126</v>
      </c>
      <c r="B1435" s="0" t="s">
        <v>9127</v>
      </c>
      <c r="C1435" s="0" t="s">
        <v>6286</v>
      </c>
      <c r="D1435" s="0" t="s">
        <v>2124</v>
      </c>
      <c r="E1435" s="31" t="n">
        <v>45713</v>
      </c>
      <c r="F1435" s="32" t="s">
        <v>1125</v>
      </c>
      <c r="G1435" s="0" t="n">
        <v>12</v>
      </c>
      <c r="H1435" s="0" t="n">
        <v>12</v>
      </c>
      <c r="I1435" s="32" t="s">
        <v>2081</v>
      </c>
      <c r="J1435" s="32" t="s">
        <v>2081</v>
      </c>
      <c r="K1435" s="0" t="n">
        <v>0</v>
      </c>
      <c r="L1435" s="32" t="s">
        <v>776</v>
      </c>
      <c r="M1435" s="0" t="str">
        <f aca="false">IF(L1435="GEN","GM",L1435)</f>
        <v>GS</v>
      </c>
    </row>
    <row r="1436" customFormat="false" ht="15" hidden="false" customHeight="false" outlineLevel="0" collapsed="false">
      <c r="A1436" s="0" t="s">
        <v>9128</v>
      </c>
      <c r="B1436" s="0" t="s">
        <v>9129</v>
      </c>
      <c r="C1436" s="0" t="s">
        <v>6286</v>
      </c>
      <c r="D1436" s="0" t="s">
        <v>2124</v>
      </c>
      <c r="E1436" s="31" t="n">
        <v>45713</v>
      </c>
      <c r="F1436" s="32" t="s">
        <v>6283</v>
      </c>
      <c r="G1436" s="0" t="n">
        <v>11.5</v>
      </c>
      <c r="H1436" s="0" t="n">
        <v>11.5</v>
      </c>
      <c r="I1436" s="32" t="s">
        <v>2081</v>
      </c>
      <c r="J1436" s="32" t="s">
        <v>2081</v>
      </c>
      <c r="K1436" s="0" t="n">
        <v>0</v>
      </c>
      <c r="L1436" s="32" t="s">
        <v>802</v>
      </c>
      <c r="M1436" s="0" t="str">
        <f aca="false">IF(L1436="GEN","GM",L1436)</f>
        <v>GYN</v>
      </c>
    </row>
    <row r="1437" customFormat="false" ht="15" hidden="false" customHeight="false" outlineLevel="0" collapsed="false">
      <c r="A1437" s="0" t="s">
        <v>9130</v>
      </c>
      <c r="B1437" s="0" t="s">
        <v>9131</v>
      </c>
      <c r="C1437" s="0" t="s">
        <v>6295</v>
      </c>
      <c r="D1437" s="0" t="s">
        <v>2104</v>
      </c>
      <c r="E1437" s="31" t="n">
        <v>45713</v>
      </c>
      <c r="F1437" s="32" t="s">
        <v>6283</v>
      </c>
      <c r="G1437" s="0" t="n">
        <v>11.5</v>
      </c>
      <c r="H1437" s="0" t="n">
        <v>11.5</v>
      </c>
      <c r="I1437" s="32" t="s">
        <v>2106</v>
      </c>
      <c r="J1437" s="32" t="s">
        <v>2081</v>
      </c>
      <c r="K1437" s="0" t="n">
        <v>0</v>
      </c>
      <c r="L1437" s="32" t="s">
        <v>826</v>
      </c>
      <c r="M1437" s="0" t="str">
        <f aca="false">IF(L1437="GEN","GM",L1437)</f>
        <v>RHE</v>
      </c>
    </row>
    <row r="1438" customFormat="false" ht="15" hidden="false" customHeight="false" outlineLevel="0" collapsed="false">
      <c r="A1438" s="0" t="s">
        <v>9132</v>
      </c>
      <c r="B1438" s="0" t="s">
        <v>9133</v>
      </c>
      <c r="C1438" s="0" t="s">
        <v>6286</v>
      </c>
      <c r="D1438" s="0" t="s">
        <v>2104</v>
      </c>
      <c r="E1438" s="31" t="n">
        <v>45713</v>
      </c>
      <c r="F1438" s="32" t="s">
        <v>6287</v>
      </c>
      <c r="G1438" s="0" t="n">
        <v>7.5</v>
      </c>
      <c r="H1438" s="0" t="n">
        <v>7.5</v>
      </c>
      <c r="I1438" s="32" t="s">
        <v>2106</v>
      </c>
      <c r="J1438" s="32" t="s">
        <v>2081</v>
      </c>
      <c r="K1438" s="0" t="n">
        <v>0</v>
      </c>
      <c r="L1438" s="32" t="s">
        <v>747</v>
      </c>
      <c r="M1438" s="0" t="str">
        <f aca="false">IF(L1438="GEN","GM",L1438)</f>
        <v>GM</v>
      </c>
    </row>
    <row r="1439" customFormat="false" ht="15" hidden="false" customHeight="false" outlineLevel="0" collapsed="false">
      <c r="A1439" s="0" t="s">
        <v>9134</v>
      </c>
      <c r="B1439" s="0" t="s">
        <v>9135</v>
      </c>
      <c r="C1439" s="0" t="s">
        <v>6295</v>
      </c>
      <c r="D1439" s="0" t="s">
        <v>2104</v>
      </c>
      <c r="E1439" s="31" t="n">
        <v>45713</v>
      </c>
      <c r="F1439" s="32" t="s">
        <v>6287</v>
      </c>
      <c r="G1439" s="0" t="n">
        <v>7.5</v>
      </c>
      <c r="H1439" s="0" t="n">
        <v>7.5</v>
      </c>
      <c r="I1439" s="32" t="s">
        <v>2081</v>
      </c>
      <c r="J1439" s="32" t="s">
        <v>2081</v>
      </c>
      <c r="K1439" s="0" t="n">
        <v>0</v>
      </c>
      <c r="L1439" s="32" t="s">
        <v>758</v>
      </c>
      <c r="M1439" s="0" t="str">
        <f aca="false">IF(L1439="GEN","GM",L1439)</f>
        <v>CS</v>
      </c>
    </row>
    <row r="1440" customFormat="false" ht="15" hidden="false" customHeight="false" outlineLevel="0" collapsed="false">
      <c r="A1440" s="0" t="s">
        <v>9136</v>
      </c>
      <c r="B1440" s="0" t="s">
        <v>9137</v>
      </c>
      <c r="C1440" s="0" t="s">
        <v>6286</v>
      </c>
      <c r="D1440" s="0" t="s">
        <v>2104</v>
      </c>
      <c r="E1440" s="31" t="n">
        <v>45713</v>
      </c>
      <c r="F1440" s="32" t="s">
        <v>6287</v>
      </c>
      <c r="G1440" s="0" t="n">
        <v>7.5</v>
      </c>
      <c r="H1440" s="0" t="n">
        <v>7.5</v>
      </c>
      <c r="I1440" s="32" t="s">
        <v>2081</v>
      </c>
      <c r="J1440" s="32" t="s">
        <v>2081</v>
      </c>
      <c r="K1440" s="0" t="n">
        <v>0</v>
      </c>
      <c r="L1440" s="32" t="s">
        <v>802</v>
      </c>
      <c r="M1440" s="0" t="str">
        <f aca="false">IF(L1440="GEN","GM",L1440)</f>
        <v>GYN</v>
      </c>
    </row>
    <row r="1441" customFormat="false" ht="15" hidden="false" customHeight="false" outlineLevel="0" collapsed="false">
      <c r="A1441" s="0" t="s">
        <v>9138</v>
      </c>
      <c r="B1441" s="0" t="s">
        <v>9139</v>
      </c>
      <c r="C1441" s="0" t="s">
        <v>6286</v>
      </c>
      <c r="D1441" s="0" t="s">
        <v>2104</v>
      </c>
      <c r="E1441" s="31" t="n">
        <v>45713</v>
      </c>
      <c r="F1441" s="32" t="s">
        <v>6283</v>
      </c>
      <c r="G1441" s="0" t="n">
        <v>11.5</v>
      </c>
      <c r="H1441" s="0" t="n">
        <v>11.5</v>
      </c>
      <c r="I1441" s="32" t="s">
        <v>2081</v>
      </c>
      <c r="J1441" s="32" t="s">
        <v>2081</v>
      </c>
      <c r="K1441" s="0" t="n">
        <v>0</v>
      </c>
      <c r="L1441" s="32" t="s">
        <v>793</v>
      </c>
      <c r="M1441" s="0" t="str">
        <f aca="false">IF(L1441="GEN","GM",L1441)</f>
        <v>EM</v>
      </c>
    </row>
    <row r="1442" customFormat="false" ht="15" hidden="false" customHeight="false" outlineLevel="0" collapsed="false">
      <c r="A1442" s="0" t="s">
        <v>9140</v>
      </c>
      <c r="B1442" s="0" t="s">
        <v>9141</v>
      </c>
      <c r="C1442" s="0" t="s">
        <v>780</v>
      </c>
      <c r="D1442" s="0" t="s">
        <v>3035</v>
      </c>
      <c r="E1442" s="31" t="n">
        <v>45713</v>
      </c>
      <c r="F1442" s="32" t="s">
        <v>6283</v>
      </c>
      <c r="G1442" s="0" t="n">
        <v>11.5</v>
      </c>
      <c r="H1442" s="0" t="n">
        <v>11.5</v>
      </c>
      <c r="I1442" s="32" t="s">
        <v>2081</v>
      </c>
      <c r="J1442" s="32" t="s">
        <v>2081</v>
      </c>
      <c r="K1442" s="0" t="n">
        <v>0</v>
      </c>
      <c r="L1442" s="32" t="s">
        <v>810</v>
      </c>
      <c r="M1442" s="0" t="str">
        <f aca="false">IF(L1442="GEN","GM",L1442)</f>
        <v>URO</v>
      </c>
    </row>
    <row r="1443" customFormat="false" ht="15" hidden="false" customHeight="false" outlineLevel="0" collapsed="false">
      <c r="A1443" s="0" t="s">
        <v>9142</v>
      </c>
      <c r="B1443" s="0" t="s">
        <v>9143</v>
      </c>
      <c r="C1443" s="0" t="s">
        <v>6295</v>
      </c>
      <c r="D1443" s="0" t="s">
        <v>3035</v>
      </c>
      <c r="E1443" s="31" t="n">
        <v>45713</v>
      </c>
      <c r="F1443" s="32" t="s">
        <v>6287</v>
      </c>
      <c r="G1443" s="0" t="n">
        <v>7.5</v>
      </c>
      <c r="H1443" s="0" t="n">
        <v>7.5</v>
      </c>
      <c r="I1443" s="32" t="s">
        <v>2081</v>
      </c>
      <c r="J1443" s="32" t="s">
        <v>2081</v>
      </c>
      <c r="K1443" s="0" t="n">
        <v>0</v>
      </c>
      <c r="L1443" s="32" t="s">
        <v>766</v>
      </c>
      <c r="M1443" s="0" t="str">
        <f aca="false">IF(L1443="GEN","GM",L1443)</f>
        <v>OR</v>
      </c>
    </row>
    <row r="1444" customFormat="false" ht="15" hidden="false" customHeight="false" outlineLevel="0" collapsed="false">
      <c r="A1444" s="0" t="s">
        <v>9144</v>
      </c>
      <c r="B1444" s="0" t="s">
        <v>9145</v>
      </c>
      <c r="C1444" s="0" t="s">
        <v>6282</v>
      </c>
      <c r="D1444" s="0" t="s">
        <v>3035</v>
      </c>
      <c r="E1444" s="31" t="n">
        <v>45713</v>
      </c>
      <c r="F1444" s="32" t="s">
        <v>6287</v>
      </c>
      <c r="G1444" s="0" t="n">
        <v>7.5</v>
      </c>
      <c r="H1444" s="0" t="n">
        <v>7.5</v>
      </c>
      <c r="I1444" s="32" t="s">
        <v>2081</v>
      </c>
      <c r="J1444" s="32" t="s">
        <v>2081</v>
      </c>
      <c r="K1444" s="0" t="n">
        <v>0</v>
      </c>
      <c r="L1444" s="32" t="s">
        <v>793</v>
      </c>
      <c r="M1444" s="0" t="str">
        <f aca="false">IF(L1444="GEN","GM",L1444)</f>
        <v>EM</v>
      </c>
    </row>
    <row r="1445" customFormat="false" ht="15" hidden="false" customHeight="false" outlineLevel="0" collapsed="false">
      <c r="A1445" s="0" t="s">
        <v>9146</v>
      </c>
      <c r="B1445" s="0" t="s">
        <v>9147</v>
      </c>
      <c r="C1445" s="0" t="s">
        <v>6295</v>
      </c>
      <c r="D1445" s="0" t="s">
        <v>3035</v>
      </c>
      <c r="E1445" s="31" t="n">
        <v>45713</v>
      </c>
      <c r="F1445" s="32" t="s">
        <v>1125</v>
      </c>
      <c r="G1445" s="0" t="n">
        <v>12</v>
      </c>
      <c r="H1445" s="0" t="n">
        <v>12.5</v>
      </c>
      <c r="I1445" s="32" t="s">
        <v>2081</v>
      </c>
      <c r="J1445" s="32" t="s">
        <v>2081</v>
      </c>
      <c r="K1445" s="0" t="n">
        <v>0.5</v>
      </c>
      <c r="L1445" s="32" t="s">
        <v>785</v>
      </c>
      <c r="M1445" s="0" t="str">
        <f aca="false">IF(L1445="GEN","GM",L1445)</f>
        <v>RS</v>
      </c>
    </row>
    <row r="1446" customFormat="false" ht="15" hidden="false" customHeight="false" outlineLevel="0" collapsed="false">
      <c r="A1446" s="0" t="s">
        <v>9148</v>
      </c>
      <c r="B1446" s="0" t="s">
        <v>9149</v>
      </c>
      <c r="C1446" s="0" t="s">
        <v>6295</v>
      </c>
      <c r="D1446" s="0" t="s">
        <v>2088</v>
      </c>
      <c r="E1446" s="31" t="n">
        <v>45714</v>
      </c>
      <c r="F1446" s="32" t="s">
        <v>6287</v>
      </c>
      <c r="G1446" s="0" t="n">
        <v>7.5</v>
      </c>
      <c r="H1446" s="0" t="n">
        <v>7.5</v>
      </c>
      <c r="I1446" s="32" t="s">
        <v>2081</v>
      </c>
      <c r="J1446" s="32" t="s">
        <v>2081</v>
      </c>
      <c r="K1446" s="0" t="n">
        <v>0</v>
      </c>
      <c r="L1446" s="32" t="s">
        <v>776</v>
      </c>
      <c r="M1446" s="0" t="str">
        <f aca="false">IF(L1446="GEN","GM",L1446)</f>
        <v>GS</v>
      </c>
    </row>
    <row r="1447" customFormat="false" ht="15" hidden="false" customHeight="false" outlineLevel="0" collapsed="false">
      <c r="A1447" s="0" t="s">
        <v>9150</v>
      </c>
      <c r="B1447" s="0" t="s">
        <v>9151</v>
      </c>
      <c r="C1447" s="0" t="s">
        <v>6295</v>
      </c>
      <c r="D1447" s="0" t="s">
        <v>2088</v>
      </c>
      <c r="E1447" s="31" t="n">
        <v>45714</v>
      </c>
      <c r="F1447" s="32" t="s">
        <v>1125</v>
      </c>
      <c r="G1447" s="0" t="n">
        <v>12</v>
      </c>
      <c r="H1447" s="0" t="n">
        <v>12.5</v>
      </c>
      <c r="I1447" s="32" t="s">
        <v>2081</v>
      </c>
      <c r="J1447" s="32" t="s">
        <v>2081</v>
      </c>
      <c r="K1447" s="0" t="n">
        <v>0.5</v>
      </c>
      <c r="L1447" s="32" t="s">
        <v>766</v>
      </c>
      <c r="M1447" s="0" t="str">
        <f aca="false">IF(L1447="GEN","GM",L1447)</f>
        <v>OR</v>
      </c>
    </row>
    <row r="1448" customFormat="false" ht="15" hidden="false" customHeight="false" outlineLevel="0" collapsed="false">
      <c r="A1448" s="0" t="s">
        <v>9152</v>
      </c>
      <c r="B1448" s="0" t="s">
        <v>9153</v>
      </c>
      <c r="C1448" s="0" t="s">
        <v>780</v>
      </c>
      <c r="D1448" s="0" t="s">
        <v>2088</v>
      </c>
      <c r="E1448" s="31" t="n">
        <v>45714</v>
      </c>
      <c r="F1448" s="32" t="s">
        <v>6287</v>
      </c>
      <c r="G1448" s="0" t="n">
        <v>7.5</v>
      </c>
      <c r="H1448" s="0" t="n">
        <v>7.5</v>
      </c>
      <c r="I1448" s="32" t="s">
        <v>2081</v>
      </c>
      <c r="J1448" s="32" t="s">
        <v>2081</v>
      </c>
      <c r="K1448" s="0" t="n">
        <v>0</v>
      </c>
      <c r="L1448" s="32" t="s">
        <v>766</v>
      </c>
      <c r="M1448" s="0" t="str">
        <f aca="false">IF(L1448="GEN","GM",L1448)</f>
        <v>OR</v>
      </c>
    </row>
    <row r="1449" customFormat="false" ht="15" hidden="false" customHeight="false" outlineLevel="0" collapsed="false">
      <c r="A1449" s="0" t="s">
        <v>9154</v>
      </c>
      <c r="B1449" s="0" t="s">
        <v>9155</v>
      </c>
      <c r="C1449" s="0" t="s">
        <v>6295</v>
      </c>
      <c r="D1449" s="0" t="s">
        <v>2088</v>
      </c>
      <c r="E1449" s="31" t="n">
        <v>45714</v>
      </c>
      <c r="F1449" s="32" t="s">
        <v>6283</v>
      </c>
      <c r="G1449" s="0" t="n">
        <v>11.5</v>
      </c>
      <c r="H1449" s="0" t="n">
        <v>11.5</v>
      </c>
      <c r="I1449" s="32" t="s">
        <v>2081</v>
      </c>
      <c r="J1449" s="32" t="s">
        <v>2081</v>
      </c>
      <c r="K1449" s="0" t="n">
        <v>0</v>
      </c>
      <c r="L1449" s="32" t="s">
        <v>810</v>
      </c>
      <c r="M1449" s="0" t="str">
        <f aca="false">IF(L1449="GEN","GM",L1449)</f>
        <v>URO</v>
      </c>
    </row>
    <row r="1450" customFormat="false" ht="15" hidden="false" customHeight="false" outlineLevel="0" collapsed="false">
      <c r="A1450" s="0" t="s">
        <v>9156</v>
      </c>
      <c r="B1450" s="0" t="s">
        <v>9157</v>
      </c>
      <c r="C1450" s="0" t="s">
        <v>6295</v>
      </c>
      <c r="D1450" s="0" t="s">
        <v>2088</v>
      </c>
      <c r="E1450" s="31" t="n">
        <v>45714</v>
      </c>
      <c r="F1450" s="32" t="s">
        <v>6287</v>
      </c>
      <c r="G1450" s="0" t="n">
        <v>7.5</v>
      </c>
      <c r="H1450" s="0" t="n">
        <v>7.5</v>
      </c>
      <c r="I1450" s="32" t="s">
        <v>2081</v>
      </c>
      <c r="J1450" s="32" t="s">
        <v>2081</v>
      </c>
      <c r="K1450" s="0" t="n">
        <v>0</v>
      </c>
      <c r="L1450" s="32" t="s">
        <v>785</v>
      </c>
      <c r="M1450" s="0" t="str">
        <f aca="false">IF(L1450="GEN","GM",L1450)</f>
        <v>RS</v>
      </c>
    </row>
    <row r="1451" customFormat="false" ht="15" hidden="false" customHeight="false" outlineLevel="0" collapsed="false">
      <c r="A1451" s="0" t="s">
        <v>9158</v>
      </c>
      <c r="B1451" s="0" t="s">
        <v>9159</v>
      </c>
      <c r="C1451" s="0" t="s">
        <v>6290</v>
      </c>
      <c r="D1451" s="0" t="s">
        <v>2079</v>
      </c>
      <c r="E1451" s="31" t="n">
        <v>45714</v>
      </c>
      <c r="F1451" s="32" t="s">
        <v>1125</v>
      </c>
      <c r="G1451" s="0" t="n">
        <v>12</v>
      </c>
      <c r="H1451" s="0" t="n">
        <v>12</v>
      </c>
      <c r="I1451" s="32" t="s">
        <v>2081</v>
      </c>
      <c r="J1451" s="32" t="s">
        <v>2081</v>
      </c>
      <c r="K1451" s="0" t="n">
        <v>-1</v>
      </c>
      <c r="L1451" s="32" t="s">
        <v>826</v>
      </c>
      <c r="M1451" s="0" t="str">
        <f aca="false">IF(L1451="GEN","GM",L1451)</f>
        <v>RHE</v>
      </c>
    </row>
    <row r="1452" customFormat="false" ht="15" hidden="false" customHeight="false" outlineLevel="0" collapsed="false">
      <c r="A1452" s="0" t="s">
        <v>9160</v>
      </c>
      <c r="B1452" s="0" t="s">
        <v>9161</v>
      </c>
      <c r="C1452" s="0" t="s">
        <v>6295</v>
      </c>
      <c r="D1452" s="0" t="s">
        <v>2079</v>
      </c>
      <c r="E1452" s="31" t="n">
        <v>45714</v>
      </c>
      <c r="F1452" s="32" t="s">
        <v>6287</v>
      </c>
      <c r="G1452" s="0" t="n">
        <v>7.5</v>
      </c>
      <c r="H1452" s="0" t="n">
        <v>7.5</v>
      </c>
      <c r="I1452" s="32" t="s">
        <v>2081</v>
      </c>
      <c r="J1452" s="32" t="s">
        <v>2081</v>
      </c>
      <c r="K1452" s="0" t="n">
        <v>0</v>
      </c>
      <c r="L1452" s="32" t="s">
        <v>1391</v>
      </c>
      <c r="M1452" s="0" t="str">
        <f aca="false">IF(L1452="GEN","GM",L1452)</f>
        <v>GM</v>
      </c>
    </row>
    <row r="1453" customFormat="false" ht="15" hidden="false" customHeight="false" outlineLevel="0" collapsed="false">
      <c r="A1453" s="0" t="s">
        <v>9162</v>
      </c>
      <c r="B1453" s="0" t="s">
        <v>9163</v>
      </c>
      <c r="C1453" s="0" t="s">
        <v>780</v>
      </c>
      <c r="D1453" s="0" t="s">
        <v>2079</v>
      </c>
      <c r="E1453" s="31" t="n">
        <v>45714</v>
      </c>
      <c r="F1453" s="32" t="s">
        <v>6283</v>
      </c>
      <c r="G1453" s="0" t="n">
        <v>11.5</v>
      </c>
      <c r="H1453" s="0" t="n">
        <v>11.5</v>
      </c>
      <c r="I1453" s="32" t="s">
        <v>2081</v>
      </c>
      <c r="J1453" s="32" t="s">
        <v>2081</v>
      </c>
      <c r="K1453" s="0" t="n">
        <v>0</v>
      </c>
      <c r="L1453" s="32" t="s">
        <v>802</v>
      </c>
      <c r="M1453" s="0" t="str">
        <f aca="false">IF(L1453="GEN","GM",L1453)</f>
        <v>GYN</v>
      </c>
    </row>
    <row r="1454" customFormat="false" ht="15" hidden="false" customHeight="false" outlineLevel="0" collapsed="false">
      <c r="A1454" s="0" t="s">
        <v>9164</v>
      </c>
      <c r="B1454" s="0" t="s">
        <v>9165</v>
      </c>
      <c r="C1454" s="0" t="s">
        <v>6286</v>
      </c>
      <c r="D1454" s="0" t="s">
        <v>2099</v>
      </c>
      <c r="E1454" s="31" t="n">
        <v>45714</v>
      </c>
      <c r="F1454" s="32" t="s">
        <v>6283</v>
      </c>
      <c r="G1454" s="0" t="n">
        <v>11.5</v>
      </c>
      <c r="H1454" s="0" t="n">
        <v>11.5</v>
      </c>
      <c r="I1454" s="32" t="s">
        <v>2081</v>
      </c>
      <c r="J1454" s="32" t="s">
        <v>2081</v>
      </c>
      <c r="K1454" s="0" t="n">
        <v>0</v>
      </c>
      <c r="L1454" s="32" t="s">
        <v>747</v>
      </c>
      <c r="M1454" s="0" t="str">
        <f aca="false">IF(L1454="GEN","GM",L1454)</f>
        <v>GM</v>
      </c>
    </row>
    <row r="1455" customFormat="false" ht="15" hidden="false" customHeight="false" outlineLevel="0" collapsed="false">
      <c r="A1455" s="0" t="s">
        <v>9166</v>
      </c>
      <c r="B1455" s="0" t="s">
        <v>9167</v>
      </c>
      <c r="C1455" s="0" t="s">
        <v>6286</v>
      </c>
      <c r="D1455" s="0" t="s">
        <v>2099</v>
      </c>
      <c r="E1455" s="31" t="n">
        <v>45714</v>
      </c>
      <c r="F1455" s="32" t="s">
        <v>6283</v>
      </c>
      <c r="G1455" s="0" t="n">
        <v>11.5</v>
      </c>
      <c r="H1455" s="0" t="n">
        <v>11.5</v>
      </c>
      <c r="I1455" s="32" t="s">
        <v>2081</v>
      </c>
      <c r="J1455" s="32" t="s">
        <v>2106</v>
      </c>
      <c r="K1455" s="0" t="n">
        <v>0</v>
      </c>
      <c r="L1455" s="32" t="s">
        <v>793</v>
      </c>
      <c r="M1455" s="0" t="str">
        <f aca="false">IF(L1455="GEN","GM",L1455)</f>
        <v>EM</v>
      </c>
    </row>
    <row r="1456" customFormat="false" ht="15" hidden="false" customHeight="false" outlineLevel="0" collapsed="false">
      <c r="A1456" s="0" t="s">
        <v>9168</v>
      </c>
      <c r="B1456" s="0" t="s">
        <v>9169</v>
      </c>
      <c r="C1456" s="0" t="s">
        <v>6290</v>
      </c>
      <c r="D1456" s="0" t="s">
        <v>2099</v>
      </c>
      <c r="E1456" s="31" t="n">
        <v>45714</v>
      </c>
      <c r="F1456" s="32" t="s">
        <v>6283</v>
      </c>
      <c r="G1456" s="0" t="n">
        <v>11.5</v>
      </c>
      <c r="H1456" s="0" t="n">
        <v>11.5</v>
      </c>
      <c r="I1456" s="32" t="s">
        <v>2106</v>
      </c>
      <c r="J1456" s="32" t="s">
        <v>2081</v>
      </c>
      <c r="K1456" s="0" t="n">
        <v>0</v>
      </c>
      <c r="L1456" s="32" t="s">
        <v>785</v>
      </c>
      <c r="M1456" s="0" t="str">
        <f aca="false">IF(L1456="GEN","GM",L1456)</f>
        <v>RS</v>
      </c>
    </row>
    <row r="1457" customFormat="false" ht="15" hidden="false" customHeight="false" outlineLevel="0" collapsed="false">
      <c r="A1457" s="0" t="s">
        <v>9170</v>
      </c>
      <c r="B1457" s="0" t="s">
        <v>9171</v>
      </c>
      <c r="C1457" s="0" t="s">
        <v>6282</v>
      </c>
      <c r="D1457" s="0" t="s">
        <v>2099</v>
      </c>
      <c r="E1457" s="31" t="n">
        <v>45714</v>
      </c>
      <c r="F1457" s="32" t="s">
        <v>6287</v>
      </c>
      <c r="G1457" s="0" t="n">
        <v>7.5</v>
      </c>
      <c r="H1457" s="0" t="n">
        <v>8.8</v>
      </c>
      <c r="I1457" s="32" t="s">
        <v>2081</v>
      </c>
      <c r="J1457" s="32" t="s">
        <v>2081</v>
      </c>
      <c r="K1457" s="0" t="n">
        <v>1.3</v>
      </c>
      <c r="L1457" s="32" t="s">
        <v>802</v>
      </c>
      <c r="M1457" s="0" t="str">
        <f aca="false">IF(L1457="GEN","GM",L1457)</f>
        <v>GYN</v>
      </c>
    </row>
    <row r="1458" customFormat="false" ht="15" hidden="false" customHeight="false" outlineLevel="0" collapsed="false">
      <c r="A1458" s="0" t="s">
        <v>9172</v>
      </c>
      <c r="B1458" s="0" t="s">
        <v>9173</v>
      </c>
      <c r="C1458" s="0" t="s">
        <v>6295</v>
      </c>
      <c r="D1458" s="0" t="s">
        <v>2099</v>
      </c>
      <c r="E1458" s="31" t="n">
        <v>45714</v>
      </c>
      <c r="F1458" s="32" t="s">
        <v>6287</v>
      </c>
      <c r="G1458" s="0" t="n">
        <v>7.5</v>
      </c>
      <c r="H1458" s="0" t="n">
        <v>7.5</v>
      </c>
      <c r="I1458" s="32" t="s">
        <v>2081</v>
      </c>
      <c r="J1458" s="32" t="s">
        <v>2081</v>
      </c>
      <c r="K1458" s="0" t="n">
        <v>0</v>
      </c>
      <c r="L1458" s="32" t="s">
        <v>810</v>
      </c>
      <c r="M1458" s="0" t="str">
        <f aca="false">IF(L1458="GEN","GM",L1458)</f>
        <v>URO</v>
      </c>
    </row>
    <row r="1459" customFormat="false" ht="15" hidden="false" customHeight="false" outlineLevel="0" collapsed="false">
      <c r="A1459" s="0" t="s">
        <v>9174</v>
      </c>
      <c r="B1459" s="0" t="s">
        <v>9175</v>
      </c>
      <c r="C1459" s="0" t="s">
        <v>6286</v>
      </c>
      <c r="D1459" s="0" t="s">
        <v>2115</v>
      </c>
      <c r="E1459" s="31" t="n">
        <v>45714</v>
      </c>
      <c r="F1459" s="32" t="s">
        <v>6283</v>
      </c>
      <c r="G1459" s="0" t="n">
        <v>11.5</v>
      </c>
      <c r="H1459" s="0" t="n">
        <v>11.5</v>
      </c>
      <c r="I1459" s="32" t="s">
        <v>2106</v>
      </c>
      <c r="J1459" s="32" t="s">
        <v>2081</v>
      </c>
      <c r="K1459" s="0" t="n">
        <v>0</v>
      </c>
      <c r="L1459" s="32" t="s">
        <v>766</v>
      </c>
      <c r="M1459" s="0" t="str">
        <f aca="false">IF(L1459="GEN","GM",L1459)</f>
        <v>OR</v>
      </c>
    </row>
    <row r="1460" customFormat="false" ht="15" hidden="false" customHeight="false" outlineLevel="0" collapsed="false">
      <c r="A1460" s="0" t="s">
        <v>9176</v>
      </c>
      <c r="B1460" s="0" t="s">
        <v>9177</v>
      </c>
      <c r="C1460" s="0" t="s">
        <v>6295</v>
      </c>
      <c r="D1460" s="0" t="s">
        <v>2115</v>
      </c>
      <c r="E1460" s="31" t="n">
        <v>45714</v>
      </c>
      <c r="F1460" s="32" t="s">
        <v>6287</v>
      </c>
      <c r="G1460" s="0" t="n">
        <v>7.5</v>
      </c>
      <c r="H1460" s="0" t="n">
        <v>7.5</v>
      </c>
      <c r="I1460" s="32" t="s">
        <v>2106</v>
      </c>
      <c r="J1460" s="32" t="s">
        <v>2081</v>
      </c>
      <c r="K1460" s="0" t="n">
        <v>0</v>
      </c>
      <c r="L1460" s="32" t="s">
        <v>826</v>
      </c>
      <c r="M1460" s="0" t="str">
        <f aca="false">IF(L1460="GEN","GM",L1460)</f>
        <v>RHE</v>
      </c>
    </row>
    <row r="1461" customFormat="false" ht="15" hidden="false" customHeight="false" outlineLevel="0" collapsed="false">
      <c r="A1461" s="0" t="s">
        <v>9178</v>
      </c>
      <c r="B1461" s="0" t="s">
        <v>9179</v>
      </c>
      <c r="C1461" s="0" t="s">
        <v>780</v>
      </c>
      <c r="D1461" s="0" t="s">
        <v>2115</v>
      </c>
      <c r="E1461" s="31" t="n">
        <v>45714</v>
      </c>
      <c r="F1461" s="32" t="s">
        <v>6287</v>
      </c>
      <c r="G1461" s="0" t="n">
        <v>7.5</v>
      </c>
      <c r="H1461" s="0" t="n">
        <v>7.5</v>
      </c>
      <c r="I1461" s="32" t="s">
        <v>2081</v>
      </c>
      <c r="J1461" s="32" t="s">
        <v>2081</v>
      </c>
      <c r="K1461" s="0" t="n">
        <v>0</v>
      </c>
      <c r="L1461" s="32" t="s">
        <v>785</v>
      </c>
      <c r="M1461" s="0" t="str">
        <f aca="false">IF(L1461="GEN","GM",L1461)</f>
        <v>RS</v>
      </c>
    </row>
    <row r="1462" customFormat="false" ht="15" hidden="false" customHeight="false" outlineLevel="0" collapsed="false">
      <c r="A1462" s="0" t="s">
        <v>9180</v>
      </c>
      <c r="B1462" s="0" t="s">
        <v>9181</v>
      </c>
      <c r="C1462" s="0" t="s">
        <v>6282</v>
      </c>
      <c r="D1462" s="0" t="s">
        <v>2115</v>
      </c>
      <c r="E1462" s="31" t="n">
        <v>45714</v>
      </c>
      <c r="F1462" s="32" t="s">
        <v>1125</v>
      </c>
      <c r="G1462" s="0" t="n">
        <v>12</v>
      </c>
      <c r="H1462" s="0" t="n">
        <v>12</v>
      </c>
      <c r="I1462" s="32" t="s">
        <v>2081</v>
      </c>
      <c r="J1462" s="32" t="s">
        <v>2081</v>
      </c>
      <c r="K1462" s="0" t="n">
        <v>0</v>
      </c>
      <c r="L1462" s="32" t="s">
        <v>766</v>
      </c>
      <c r="M1462" s="0" t="str">
        <f aca="false">IF(L1462="GEN","GM",L1462)</f>
        <v>OR</v>
      </c>
    </row>
    <row r="1463" customFormat="false" ht="15" hidden="false" customHeight="false" outlineLevel="0" collapsed="false">
      <c r="A1463" s="0" t="s">
        <v>9182</v>
      </c>
      <c r="B1463" s="0" t="s">
        <v>9183</v>
      </c>
      <c r="C1463" s="0" t="s">
        <v>6286</v>
      </c>
      <c r="D1463" s="0" t="s">
        <v>2124</v>
      </c>
      <c r="E1463" s="31" t="n">
        <v>45714</v>
      </c>
      <c r="F1463" s="32" t="s">
        <v>1125</v>
      </c>
      <c r="G1463" s="0" t="n">
        <v>12</v>
      </c>
      <c r="H1463" s="0" t="n">
        <v>12</v>
      </c>
      <c r="I1463" s="32" t="s">
        <v>2081</v>
      </c>
      <c r="J1463" s="32" t="s">
        <v>2081</v>
      </c>
      <c r="K1463" s="0" t="n">
        <v>0</v>
      </c>
      <c r="L1463" s="32" t="s">
        <v>826</v>
      </c>
      <c r="M1463" s="0" t="str">
        <f aca="false">IF(L1463="GEN","GM",L1463)</f>
        <v>RHE</v>
      </c>
    </row>
    <row r="1464" customFormat="false" ht="15" hidden="false" customHeight="false" outlineLevel="0" collapsed="false">
      <c r="A1464" s="0" t="s">
        <v>9184</v>
      </c>
      <c r="B1464" s="0" t="s">
        <v>9185</v>
      </c>
      <c r="C1464" s="0" t="s">
        <v>6295</v>
      </c>
      <c r="D1464" s="0" t="s">
        <v>2124</v>
      </c>
      <c r="E1464" s="31" t="n">
        <v>45714</v>
      </c>
      <c r="F1464" s="32" t="s">
        <v>6287</v>
      </c>
      <c r="G1464" s="0" t="n">
        <v>7.5</v>
      </c>
      <c r="H1464" s="0" t="n">
        <v>7.5</v>
      </c>
      <c r="I1464" s="32" t="s">
        <v>2081</v>
      </c>
      <c r="J1464" s="32" t="s">
        <v>2081</v>
      </c>
      <c r="K1464" s="0" t="n">
        <v>0</v>
      </c>
      <c r="L1464" s="32" t="s">
        <v>747</v>
      </c>
      <c r="M1464" s="0" t="str">
        <f aca="false">IF(L1464="GEN","GM",L1464)</f>
        <v>GM</v>
      </c>
    </row>
    <row r="1465" customFormat="false" ht="15" hidden="false" customHeight="false" outlineLevel="0" collapsed="false">
      <c r="A1465" s="0" t="s">
        <v>9186</v>
      </c>
      <c r="B1465" s="0" t="s">
        <v>9187</v>
      </c>
      <c r="C1465" s="0" t="s">
        <v>6286</v>
      </c>
      <c r="D1465" s="0" t="s">
        <v>2124</v>
      </c>
      <c r="E1465" s="31" t="n">
        <v>45714</v>
      </c>
      <c r="F1465" s="32" t="s">
        <v>6283</v>
      </c>
      <c r="G1465" s="0" t="n">
        <v>11.5</v>
      </c>
      <c r="H1465" s="0" t="n">
        <v>11.5</v>
      </c>
      <c r="I1465" s="32" t="s">
        <v>2106</v>
      </c>
      <c r="J1465" s="32" t="s">
        <v>2081</v>
      </c>
      <c r="K1465" s="0" t="n">
        <v>0</v>
      </c>
      <c r="L1465" s="32" t="s">
        <v>793</v>
      </c>
      <c r="M1465" s="0" t="str">
        <f aca="false">IF(L1465="GEN","GM",L1465)</f>
        <v>EM</v>
      </c>
    </row>
    <row r="1466" customFormat="false" ht="15" hidden="false" customHeight="false" outlineLevel="0" collapsed="false">
      <c r="A1466" s="0" t="s">
        <v>9188</v>
      </c>
      <c r="B1466" s="0" t="s">
        <v>9189</v>
      </c>
      <c r="C1466" s="0" t="s">
        <v>6295</v>
      </c>
      <c r="D1466" s="0" t="s">
        <v>2124</v>
      </c>
      <c r="E1466" s="31" t="n">
        <v>45714</v>
      </c>
      <c r="F1466" s="32" t="s">
        <v>1125</v>
      </c>
      <c r="G1466" s="0" t="n">
        <v>12</v>
      </c>
      <c r="H1466" s="0" t="n">
        <v>12</v>
      </c>
      <c r="I1466" s="32" t="s">
        <v>2081</v>
      </c>
      <c r="J1466" s="32" t="s">
        <v>2081</v>
      </c>
      <c r="K1466" s="0" t="n">
        <v>0</v>
      </c>
      <c r="L1466" s="32" t="s">
        <v>826</v>
      </c>
      <c r="M1466" s="0" t="str">
        <f aca="false">IF(L1466="GEN","GM",L1466)</f>
        <v>RHE</v>
      </c>
    </row>
    <row r="1467" customFormat="false" ht="15" hidden="false" customHeight="false" outlineLevel="0" collapsed="false">
      <c r="A1467" s="0" t="s">
        <v>9190</v>
      </c>
      <c r="B1467" s="0" t="s">
        <v>9191</v>
      </c>
      <c r="C1467" s="0" t="s">
        <v>6290</v>
      </c>
      <c r="D1467" s="0" t="s">
        <v>2104</v>
      </c>
      <c r="E1467" s="31" t="n">
        <v>45714</v>
      </c>
      <c r="F1467" s="32" t="s">
        <v>6287</v>
      </c>
      <c r="G1467" s="0" t="n">
        <v>7.5</v>
      </c>
      <c r="H1467" s="0" t="n">
        <v>7.5</v>
      </c>
      <c r="I1467" s="32" t="s">
        <v>2081</v>
      </c>
      <c r="J1467" s="32" t="s">
        <v>2081</v>
      </c>
      <c r="K1467" s="0" t="n">
        <v>0</v>
      </c>
      <c r="L1467" s="32" t="s">
        <v>802</v>
      </c>
      <c r="M1467" s="0" t="str">
        <f aca="false">IF(L1467="GEN","GM",L1467)</f>
        <v>GYN</v>
      </c>
    </row>
    <row r="1468" customFormat="false" ht="15" hidden="false" customHeight="false" outlineLevel="0" collapsed="false">
      <c r="A1468" s="0" t="s">
        <v>9192</v>
      </c>
      <c r="B1468" s="0" t="s">
        <v>9193</v>
      </c>
      <c r="C1468" s="0" t="s">
        <v>6286</v>
      </c>
      <c r="D1468" s="0" t="s">
        <v>2104</v>
      </c>
      <c r="E1468" s="31" t="n">
        <v>45714</v>
      </c>
      <c r="F1468" s="32" t="s">
        <v>6283</v>
      </c>
      <c r="G1468" s="0" t="n">
        <v>11.5</v>
      </c>
      <c r="H1468" s="0" t="n">
        <v>11.5</v>
      </c>
      <c r="I1468" s="32" t="s">
        <v>2081</v>
      </c>
      <c r="J1468" s="32" t="s">
        <v>2081</v>
      </c>
      <c r="K1468" s="0" t="n">
        <v>0</v>
      </c>
      <c r="L1468" s="32" t="s">
        <v>747</v>
      </c>
      <c r="M1468" s="0" t="str">
        <f aca="false">IF(L1468="GEN","GM",L1468)</f>
        <v>GM</v>
      </c>
    </row>
    <row r="1469" customFormat="false" ht="15" hidden="false" customHeight="false" outlineLevel="0" collapsed="false">
      <c r="A1469" s="0" t="s">
        <v>9194</v>
      </c>
      <c r="B1469" s="0" t="s">
        <v>9195</v>
      </c>
      <c r="C1469" s="0" t="s">
        <v>6295</v>
      </c>
      <c r="D1469" s="0" t="s">
        <v>2104</v>
      </c>
      <c r="E1469" s="31" t="n">
        <v>45714</v>
      </c>
      <c r="F1469" s="32" t="s">
        <v>6287</v>
      </c>
      <c r="G1469" s="0" t="n">
        <v>7.5</v>
      </c>
      <c r="H1469" s="0" t="n">
        <v>7.5</v>
      </c>
      <c r="I1469" s="32" t="s">
        <v>2081</v>
      </c>
      <c r="J1469" s="32" t="s">
        <v>2081</v>
      </c>
      <c r="K1469" s="0" t="n">
        <v>0</v>
      </c>
      <c r="L1469" s="32" t="s">
        <v>747</v>
      </c>
      <c r="M1469" s="0" t="str">
        <f aca="false">IF(L1469="GEN","GM",L1469)</f>
        <v>GM</v>
      </c>
    </row>
    <row r="1470" customFormat="false" ht="15" hidden="false" customHeight="false" outlineLevel="0" collapsed="false">
      <c r="A1470" s="0" t="s">
        <v>9196</v>
      </c>
      <c r="B1470" s="0" t="s">
        <v>9197</v>
      </c>
      <c r="C1470" s="0" t="s">
        <v>6295</v>
      </c>
      <c r="D1470" s="0" t="s">
        <v>3035</v>
      </c>
      <c r="E1470" s="31" t="n">
        <v>45714</v>
      </c>
      <c r="F1470" s="32" t="s">
        <v>1125</v>
      </c>
      <c r="G1470" s="0" t="n">
        <v>12</v>
      </c>
      <c r="H1470" s="0" t="n">
        <v>12</v>
      </c>
      <c r="I1470" s="32" t="s">
        <v>2081</v>
      </c>
      <c r="J1470" s="32" t="s">
        <v>2081</v>
      </c>
      <c r="K1470" s="0" t="n">
        <v>0</v>
      </c>
      <c r="L1470" s="32" t="s">
        <v>826</v>
      </c>
      <c r="M1470" s="0" t="str">
        <f aca="false">IF(L1470="GEN","GM",L1470)</f>
        <v>RHE</v>
      </c>
    </row>
    <row r="1471" customFormat="false" ht="15" hidden="false" customHeight="false" outlineLevel="0" collapsed="false">
      <c r="A1471" s="0" t="s">
        <v>9198</v>
      </c>
      <c r="B1471" s="0" t="s">
        <v>9199</v>
      </c>
      <c r="C1471" s="0" t="s">
        <v>6286</v>
      </c>
      <c r="D1471" s="0" t="s">
        <v>3035</v>
      </c>
      <c r="E1471" s="31" t="n">
        <v>45714</v>
      </c>
      <c r="F1471" s="32" t="s">
        <v>6287</v>
      </c>
      <c r="G1471" s="0" t="n">
        <v>7.5</v>
      </c>
      <c r="H1471" s="0" t="n">
        <v>7.5</v>
      </c>
      <c r="I1471" s="32" t="s">
        <v>2081</v>
      </c>
      <c r="J1471" s="32" t="s">
        <v>2081</v>
      </c>
      <c r="K1471" s="0" t="n">
        <v>0</v>
      </c>
      <c r="L1471" s="32" t="s">
        <v>802</v>
      </c>
      <c r="M1471" s="0" t="str">
        <f aca="false">IF(L1471="GEN","GM",L1471)</f>
        <v>GYN</v>
      </c>
    </row>
    <row r="1472" customFormat="false" ht="15" hidden="false" customHeight="false" outlineLevel="0" collapsed="false">
      <c r="A1472" s="0" t="s">
        <v>9200</v>
      </c>
      <c r="B1472" s="0" t="s">
        <v>9201</v>
      </c>
      <c r="C1472" s="0" t="s">
        <v>780</v>
      </c>
      <c r="D1472" s="0" t="s">
        <v>3035</v>
      </c>
      <c r="E1472" s="31" t="n">
        <v>45714</v>
      </c>
      <c r="F1472" s="32" t="s">
        <v>6287</v>
      </c>
      <c r="G1472" s="0" t="n">
        <v>7.5</v>
      </c>
      <c r="H1472" s="0" t="n">
        <v>7.5</v>
      </c>
      <c r="I1472" s="32" t="s">
        <v>2081</v>
      </c>
      <c r="J1472" s="32" t="s">
        <v>2081</v>
      </c>
      <c r="K1472" s="0" t="n">
        <v>0</v>
      </c>
      <c r="L1472" s="32" t="s">
        <v>747</v>
      </c>
      <c r="M1472" s="0" t="str">
        <f aca="false">IF(L1472="GEN","GM",L1472)</f>
        <v>GM</v>
      </c>
    </row>
    <row r="1473" customFormat="false" ht="15" hidden="false" customHeight="false" outlineLevel="0" collapsed="false">
      <c r="A1473" s="0" t="s">
        <v>9202</v>
      </c>
      <c r="B1473" s="0" t="s">
        <v>9203</v>
      </c>
      <c r="C1473" s="0" t="s">
        <v>6286</v>
      </c>
      <c r="D1473" s="0" t="s">
        <v>2088</v>
      </c>
      <c r="E1473" s="31" t="n">
        <v>45715</v>
      </c>
      <c r="F1473" s="32" t="s">
        <v>6283</v>
      </c>
      <c r="G1473" s="0" t="n">
        <v>11.5</v>
      </c>
      <c r="H1473" s="0" t="n">
        <v>10.7</v>
      </c>
      <c r="I1473" s="32" t="s">
        <v>2081</v>
      </c>
      <c r="J1473" s="32" t="s">
        <v>2081</v>
      </c>
      <c r="K1473" s="0" t="n">
        <v>0</v>
      </c>
      <c r="L1473" s="32" t="s">
        <v>810</v>
      </c>
      <c r="M1473" s="0" t="str">
        <f aca="false">IF(L1473="GEN","GM",L1473)</f>
        <v>URO</v>
      </c>
    </row>
    <row r="1474" customFormat="false" ht="15" hidden="false" customHeight="false" outlineLevel="0" collapsed="false">
      <c r="A1474" s="0" t="s">
        <v>9204</v>
      </c>
      <c r="B1474" s="0" t="s">
        <v>9205</v>
      </c>
      <c r="C1474" s="0" t="s">
        <v>6295</v>
      </c>
      <c r="D1474" s="0" t="s">
        <v>2088</v>
      </c>
      <c r="E1474" s="31" t="n">
        <v>45715</v>
      </c>
      <c r="F1474" s="32" t="s">
        <v>1125</v>
      </c>
      <c r="G1474" s="0" t="n">
        <v>12</v>
      </c>
      <c r="H1474" s="0" t="n">
        <v>12.5</v>
      </c>
      <c r="I1474" s="32" t="s">
        <v>2081</v>
      </c>
      <c r="J1474" s="32" t="s">
        <v>2081</v>
      </c>
      <c r="K1474" s="0" t="n">
        <v>0.5</v>
      </c>
      <c r="L1474" s="32" t="s">
        <v>785</v>
      </c>
      <c r="M1474" s="0" t="str">
        <f aca="false">IF(L1474="GEN","GM",L1474)</f>
        <v>RS</v>
      </c>
    </row>
    <row r="1475" customFormat="false" ht="15" hidden="false" customHeight="false" outlineLevel="0" collapsed="false">
      <c r="A1475" s="0" t="s">
        <v>9206</v>
      </c>
      <c r="C1475" s="0" t="s">
        <v>6286</v>
      </c>
      <c r="D1475" s="0" t="s">
        <v>2088</v>
      </c>
      <c r="E1475" s="31" t="n">
        <v>45715</v>
      </c>
      <c r="F1475" s="32" t="s">
        <v>6283</v>
      </c>
      <c r="G1475" s="0" t="n">
        <v>11.5</v>
      </c>
      <c r="H1475" s="0" t="n">
        <v>11.5</v>
      </c>
      <c r="I1475" s="32" t="s">
        <v>2081</v>
      </c>
      <c r="J1475" s="32" t="s">
        <v>2081</v>
      </c>
      <c r="K1475" s="0" t="n">
        <v>0</v>
      </c>
      <c r="L1475" s="32" t="s">
        <v>785</v>
      </c>
      <c r="M1475" s="0" t="str">
        <f aca="false">IF(L1475="GEN","GM",L1475)</f>
        <v>RS</v>
      </c>
    </row>
    <row r="1476" customFormat="false" ht="15" hidden="false" customHeight="false" outlineLevel="0" collapsed="false">
      <c r="A1476" s="0" t="s">
        <v>9207</v>
      </c>
      <c r="B1476" s="0" t="s">
        <v>9208</v>
      </c>
      <c r="C1476" s="0" t="s">
        <v>6290</v>
      </c>
      <c r="D1476" s="0" t="s">
        <v>2079</v>
      </c>
      <c r="E1476" s="31" t="n">
        <v>45715</v>
      </c>
      <c r="F1476" s="32" t="s">
        <v>1125</v>
      </c>
      <c r="G1476" s="0" t="n">
        <v>12</v>
      </c>
      <c r="H1476" s="0" t="n">
        <v>12</v>
      </c>
      <c r="I1476" s="32" t="s">
        <v>2081</v>
      </c>
      <c r="J1476" s="32" t="s">
        <v>2081</v>
      </c>
      <c r="K1476" s="0" t="n">
        <v>0</v>
      </c>
      <c r="L1476" s="32" t="s">
        <v>785</v>
      </c>
      <c r="M1476" s="0" t="str">
        <f aca="false">IF(L1476="GEN","GM",L1476)</f>
        <v>RS</v>
      </c>
    </row>
    <row r="1477" customFormat="false" ht="15" hidden="false" customHeight="false" outlineLevel="0" collapsed="false">
      <c r="A1477" s="0" t="s">
        <v>9209</v>
      </c>
      <c r="B1477" s="0" t="s">
        <v>9210</v>
      </c>
      <c r="C1477" s="0" t="s">
        <v>6286</v>
      </c>
      <c r="D1477" s="0" t="s">
        <v>2079</v>
      </c>
      <c r="E1477" s="31" t="n">
        <v>45715</v>
      </c>
      <c r="F1477" s="32" t="s">
        <v>1125</v>
      </c>
      <c r="G1477" s="0" t="n">
        <v>12</v>
      </c>
      <c r="H1477" s="0" t="n">
        <v>12</v>
      </c>
      <c r="I1477" s="32" t="s">
        <v>2081</v>
      </c>
      <c r="J1477" s="32" t="s">
        <v>2106</v>
      </c>
      <c r="K1477" s="0" t="n">
        <v>0</v>
      </c>
      <c r="L1477" s="32" t="s">
        <v>785</v>
      </c>
      <c r="M1477" s="0" t="str">
        <f aca="false">IF(L1477="GEN","GM",L1477)</f>
        <v>RS</v>
      </c>
    </row>
    <row r="1478" customFormat="false" ht="15" hidden="false" customHeight="false" outlineLevel="0" collapsed="false">
      <c r="A1478" s="0" t="s">
        <v>9211</v>
      </c>
      <c r="B1478" s="0" t="s">
        <v>9212</v>
      </c>
      <c r="C1478" s="0" t="s">
        <v>6295</v>
      </c>
      <c r="D1478" s="0" t="s">
        <v>2079</v>
      </c>
      <c r="E1478" s="31" t="n">
        <v>45715</v>
      </c>
      <c r="F1478" s="32" t="s">
        <v>6283</v>
      </c>
      <c r="G1478" s="0" t="n">
        <v>11.5</v>
      </c>
      <c r="H1478" s="0" t="n">
        <v>11.5</v>
      </c>
      <c r="I1478" s="32" t="s">
        <v>2081</v>
      </c>
      <c r="J1478" s="32" t="s">
        <v>2081</v>
      </c>
      <c r="K1478" s="0" t="n">
        <v>0</v>
      </c>
      <c r="L1478" s="32" t="s">
        <v>793</v>
      </c>
      <c r="M1478" s="0" t="str">
        <f aca="false">IF(L1478="GEN","GM",L1478)</f>
        <v>EM</v>
      </c>
    </row>
    <row r="1479" customFormat="false" ht="15" hidden="false" customHeight="false" outlineLevel="0" collapsed="false">
      <c r="A1479" s="0" t="s">
        <v>9213</v>
      </c>
      <c r="B1479" s="0" t="s">
        <v>9214</v>
      </c>
      <c r="C1479" s="0" t="s">
        <v>6295</v>
      </c>
      <c r="D1479" s="0" t="s">
        <v>2079</v>
      </c>
      <c r="E1479" s="31" t="n">
        <v>45715</v>
      </c>
      <c r="F1479" s="32" t="s">
        <v>1125</v>
      </c>
      <c r="G1479" s="0" t="n">
        <v>12</v>
      </c>
      <c r="H1479" s="0" t="n">
        <v>12.5</v>
      </c>
      <c r="I1479" s="32" t="s">
        <v>2081</v>
      </c>
      <c r="J1479" s="32" t="s">
        <v>2106</v>
      </c>
      <c r="K1479" s="0" t="n">
        <v>0.5</v>
      </c>
      <c r="L1479" s="32" t="s">
        <v>810</v>
      </c>
      <c r="M1479" s="0" t="str">
        <f aca="false">IF(L1479="GEN","GM",L1479)</f>
        <v>URO</v>
      </c>
    </row>
    <row r="1480" customFormat="false" ht="15" hidden="false" customHeight="false" outlineLevel="0" collapsed="false">
      <c r="A1480" s="0" t="s">
        <v>9215</v>
      </c>
      <c r="B1480" s="0" t="s">
        <v>9216</v>
      </c>
      <c r="C1480" s="0" t="s">
        <v>780</v>
      </c>
      <c r="D1480" s="0" t="s">
        <v>2079</v>
      </c>
      <c r="E1480" s="31" t="n">
        <v>45715</v>
      </c>
      <c r="F1480" s="32" t="s">
        <v>6283</v>
      </c>
      <c r="G1480" s="0" t="n">
        <v>11.5</v>
      </c>
      <c r="H1480" s="0" t="n">
        <v>11.5</v>
      </c>
      <c r="I1480" s="32" t="s">
        <v>2081</v>
      </c>
      <c r="J1480" s="32" t="s">
        <v>2081</v>
      </c>
      <c r="K1480" s="0" t="n">
        <v>0</v>
      </c>
      <c r="L1480" s="32" t="s">
        <v>747</v>
      </c>
      <c r="M1480" s="0" t="str">
        <f aca="false">IF(L1480="GEN","GM",L1480)</f>
        <v>GM</v>
      </c>
    </row>
    <row r="1481" customFormat="false" ht="15" hidden="false" customHeight="false" outlineLevel="0" collapsed="false">
      <c r="A1481" s="0" t="s">
        <v>9217</v>
      </c>
      <c r="B1481" s="0" t="s">
        <v>9218</v>
      </c>
      <c r="C1481" s="0" t="s">
        <v>6286</v>
      </c>
      <c r="D1481" s="0" t="s">
        <v>2099</v>
      </c>
      <c r="E1481" s="31" t="n">
        <v>45715</v>
      </c>
      <c r="F1481" s="32" t="s">
        <v>6287</v>
      </c>
      <c r="G1481" s="0" t="n">
        <v>7.5</v>
      </c>
      <c r="H1481" s="0" t="n">
        <v>7.5</v>
      </c>
      <c r="I1481" s="32" t="s">
        <v>2081</v>
      </c>
      <c r="J1481" s="32" t="s">
        <v>2081</v>
      </c>
      <c r="K1481" s="0" t="n">
        <v>0</v>
      </c>
      <c r="L1481" s="32" t="s">
        <v>766</v>
      </c>
      <c r="M1481" s="0" t="str">
        <f aca="false">IF(L1481="GEN","GM",L1481)</f>
        <v>OR</v>
      </c>
    </row>
    <row r="1482" customFormat="false" ht="15" hidden="false" customHeight="false" outlineLevel="0" collapsed="false">
      <c r="A1482" s="0" t="s">
        <v>9219</v>
      </c>
      <c r="B1482" s="0" t="s">
        <v>9220</v>
      </c>
      <c r="C1482" s="0" t="s">
        <v>6286</v>
      </c>
      <c r="D1482" s="0" t="s">
        <v>2099</v>
      </c>
      <c r="E1482" s="31" t="n">
        <v>45715</v>
      </c>
      <c r="F1482" s="32" t="s">
        <v>6287</v>
      </c>
      <c r="G1482" s="0" t="n">
        <v>7.5</v>
      </c>
      <c r="H1482" s="0" t="n">
        <v>7.5</v>
      </c>
      <c r="I1482" s="32" t="s">
        <v>2081</v>
      </c>
      <c r="J1482" s="32" t="s">
        <v>2081</v>
      </c>
      <c r="K1482" s="0" t="n">
        <v>0</v>
      </c>
      <c r="L1482" s="32" t="s">
        <v>802</v>
      </c>
      <c r="M1482" s="0" t="str">
        <f aca="false">IF(L1482="GEN","GM",L1482)</f>
        <v>GYN</v>
      </c>
    </row>
    <row r="1483" customFormat="false" ht="15" hidden="false" customHeight="false" outlineLevel="0" collapsed="false">
      <c r="A1483" s="0" t="s">
        <v>9221</v>
      </c>
      <c r="B1483" s="0" t="s">
        <v>9222</v>
      </c>
      <c r="C1483" s="0" t="s">
        <v>6282</v>
      </c>
      <c r="D1483" s="0" t="s">
        <v>2099</v>
      </c>
      <c r="E1483" s="31" t="n">
        <v>45715</v>
      </c>
      <c r="F1483" s="32" t="s">
        <v>6283</v>
      </c>
      <c r="G1483" s="0" t="n">
        <v>11.5</v>
      </c>
      <c r="H1483" s="0" t="n">
        <v>11.5</v>
      </c>
      <c r="I1483" s="32" t="s">
        <v>2081</v>
      </c>
      <c r="J1483" s="32" t="s">
        <v>2081</v>
      </c>
      <c r="K1483" s="0" t="n">
        <v>0</v>
      </c>
      <c r="L1483" s="32" t="s">
        <v>793</v>
      </c>
      <c r="M1483" s="0" t="str">
        <f aca="false">IF(L1483="GEN","GM",L1483)</f>
        <v>EM</v>
      </c>
    </row>
    <row r="1484" customFormat="false" ht="15" hidden="false" customHeight="false" outlineLevel="0" collapsed="false">
      <c r="A1484" s="0" t="s">
        <v>9223</v>
      </c>
      <c r="B1484" s="0" t="s">
        <v>9224</v>
      </c>
      <c r="C1484" s="0" t="s">
        <v>6286</v>
      </c>
      <c r="D1484" s="0" t="s">
        <v>2099</v>
      </c>
      <c r="E1484" s="31" t="n">
        <v>45715</v>
      </c>
      <c r="F1484" s="32" t="s">
        <v>6283</v>
      </c>
      <c r="G1484" s="0" t="n">
        <v>11.5</v>
      </c>
      <c r="H1484" s="0" t="n">
        <v>11.5</v>
      </c>
      <c r="I1484" s="32" t="s">
        <v>2081</v>
      </c>
      <c r="J1484" s="32" t="s">
        <v>2081</v>
      </c>
      <c r="K1484" s="0" t="n">
        <v>0</v>
      </c>
      <c r="L1484" s="32" t="s">
        <v>758</v>
      </c>
      <c r="M1484" s="0" t="str">
        <f aca="false">IF(L1484="GEN","GM",L1484)</f>
        <v>CS</v>
      </c>
    </row>
    <row r="1485" customFormat="false" ht="15" hidden="false" customHeight="false" outlineLevel="0" collapsed="false">
      <c r="A1485" s="0" t="s">
        <v>9225</v>
      </c>
      <c r="B1485" s="0" t="s">
        <v>9226</v>
      </c>
      <c r="C1485" s="0" t="s">
        <v>6295</v>
      </c>
      <c r="D1485" s="0" t="s">
        <v>2115</v>
      </c>
      <c r="E1485" s="31" t="n">
        <v>45715</v>
      </c>
      <c r="F1485" s="32" t="s">
        <v>1125</v>
      </c>
      <c r="G1485" s="0" t="n">
        <v>12</v>
      </c>
      <c r="H1485" s="0" t="n">
        <v>12.5</v>
      </c>
      <c r="I1485" s="32" t="s">
        <v>2106</v>
      </c>
      <c r="J1485" s="32" t="s">
        <v>2081</v>
      </c>
      <c r="K1485" s="0" t="n">
        <v>0.5</v>
      </c>
      <c r="L1485" s="32" t="s">
        <v>793</v>
      </c>
      <c r="M1485" s="0" t="str">
        <f aca="false">IF(L1485="GEN","GM",L1485)</f>
        <v>EM</v>
      </c>
    </row>
    <row r="1486" customFormat="false" ht="15" hidden="false" customHeight="false" outlineLevel="0" collapsed="false">
      <c r="A1486" s="0" t="s">
        <v>9227</v>
      </c>
      <c r="B1486" s="0" t="s">
        <v>9228</v>
      </c>
      <c r="C1486" s="0" t="s">
        <v>6295</v>
      </c>
      <c r="D1486" s="0" t="s">
        <v>2115</v>
      </c>
      <c r="E1486" s="31" t="n">
        <v>45715</v>
      </c>
      <c r="F1486" s="32" t="s">
        <v>1125</v>
      </c>
      <c r="G1486" s="0" t="n">
        <v>12</v>
      </c>
      <c r="H1486" s="0" t="n">
        <v>12</v>
      </c>
      <c r="I1486" s="32" t="s">
        <v>2081</v>
      </c>
      <c r="J1486" s="32" t="s">
        <v>2081</v>
      </c>
      <c r="K1486" s="0" t="n">
        <v>0</v>
      </c>
      <c r="L1486" s="32" t="s">
        <v>747</v>
      </c>
      <c r="M1486" s="0" t="str">
        <f aca="false">IF(L1486="GEN","GM",L1486)</f>
        <v>GM</v>
      </c>
    </row>
    <row r="1487" customFormat="false" ht="15" hidden="false" customHeight="false" outlineLevel="0" collapsed="false">
      <c r="A1487" s="0" t="s">
        <v>9229</v>
      </c>
      <c r="B1487" s="0" t="s">
        <v>9230</v>
      </c>
      <c r="C1487" s="0" t="s">
        <v>6286</v>
      </c>
      <c r="D1487" s="0" t="s">
        <v>2115</v>
      </c>
      <c r="E1487" s="31" t="n">
        <v>45715</v>
      </c>
      <c r="F1487" s="32" t="s">
        <v>6287</v>
      </c>
      <c r="G1487" s="0" t="n">
        <v>7.5</v>
      </c>
      <c r="H1487" s="0" t="n">
        <v>7.5</v>
      </c>
      <c r="I1487" s="32" t="s">
        <v>2081</v>
      </c>
      <c r="J1487" s="32" t="s">
        <v>2081</v>
      </c>
      <c r="K1487" s="0" t="n">
        <v>0</v>
      </c>
      <c r="L1487" s="32" t="s">
        <v>747</v>
      </c>
      <c r="M1487" s="0" t="str">
        <f aca="false">IF(L1487="GEN","GM",L1487)</f>
        <v>GM</v>
      </c>
    </row>
    <row r="1488" customFormat="false" ht="15" hidden="false" customHeight="false" outlineLevel="0" collapsed="false">
      <c r="A1488" s="0" t="s">
        <v>9231</v>
      </c>
      <c r="B1488" s="0" t="s">
        <v>9232</v>
      </c>
      <c r="C1488" s="0" t="s">
        <v>6282</v>
      </c>
      <c r="D1488" s="0" t="s">
        <v>2124</v>
      </c>
      <c r="E1488" s="31" t="n">
        <v>45715</v>
      </c>
      <c r="F1488" s="32" t="s">
        <v>6283</v>
      </c>
      <c r="G1488" s="0" t="n">
        <v>11.5</v>
      </c>
      <c r="H1488" s="0" t="n">
        <v>11.5</v>
      </c>
      <c r="I1488" s="32" t="s">
        <v>2081</v>
      </c>
      <c r="J1488" s="32" t="s">
        <v>2081</v>
      </c>
      <c r="K1488" s="0" t="n">
        <v>0</v>
      </c>
      <c r="L1488" s="32" t="s">
        <v>785</v>
      </c>
      <c r="M1488" s="0" t="str">
        <f aca="false">IF(L1488="GEN","GM",L1488)</f>
        <v>RS</v>
      </c>
    </row>
    <row r="1489" customFormat="false" ht="15" hidden="false" customHeight="false" outlineLevel="0" collapsed="false">
      <c r="A1489" s="0" t="s">
        <v>9233</v>
      </c>
      <c r="B1489" s="0" t="s">
        <v>9234</v>
      </c>
      <c r="C1489" s="0" t="s">
        <v>780</v>
      </c>
      <c r="D1489" s="0" t="s">
        <v>2124</v>
      </c>
      <c r="E1489" s="31" t="n">
        <v>45715</v>
      </c>
      <c r="F1489" s="32" t="s">
        <v>6283</v>
      </c>
      <c r="G1489" s="0" t="n">
        <v>11.5</v>
      </c>
      <c r="H1489" s="0" t="n">
        <v>11.5</v>
      </c>
      <c r="I1489" s="32" t="s">
        <v>2081</v>
      </c>
      <c r="J1489" s="32" t="s">
        <v>2081</v>
      </c>
      <c r="K1489" s="0" t="n">
        <v>0</v>
      </c>
      <c r="L1489" s="32" t="s">
        <v>826</v>
      </c>
      <c r="M1489" s="0" t="str">
        <f aca="false">IF(L1489="GEN","GM",L1489)</f>
        <v>RHE</v>
      </c>
    </row>
    <row r="1490" customFormat="false" ht="15" hidden="false" customHeight="false" outlineLevel="0" collapsed="false">
      <c r="A1490" s="0" t="s">
        <v>9235</v>
      </c>
      <c r="B1490" s="0" t="s">
        <v>9236</v>
      </c>
      <c r="C1490" s="0" t="s">
        <v>6282</v>
      </c>
      <c r="D1490" s="0" t="s">
        <v>2124</v>
      </c>
      <c r="E1490" s="31" t="n">
        <v>45715</v>
      </c>
      <c r="F1490" s="32" t="s">
        <v>6283</v>
      </c>
      <c r="G1490" s="0" t="n">
        <v>11.5</v>
      </c>
      <c r="H1490" s="0" t="n">
        <v>11.5</v>
      </c>
      <c r="I1490" s="32" t="s">
        <v>2081</v>
      </c>
      <c r="J1490" s="32" t="s">
        <v>2081</v>
      </c>
      <c r="K1490" s="0" t="n">
        <v>0</v>
      </c>
      <c r="L1490" s="32" t="s">
        <v>785</v>
      </c>
      <c r="M1490" s="0" t="str">
        <f aca="false">IF(L1490="GEN","GM",L1490)</f>
        <v>RS</v>
      </c>
    </row>
    <row r="1491" customFormat="false" ht="15" hidden="false" customHeight="false" outlineLevel="0" collapsed="false">
      <c r="A1491" s="0" t="s">
        <v>9237</v>
      </c>
      <c r="B1491" s="0" t="s">
        <v>9238</v>
      </c>
      <c r="C1491" s="0" t="s">
        <v>6282</v>
      </c>
      <c r="D1491" s="0" t="s">
        <v>2124</v>
      </c>
      <c r="E1491" s="31" t="n">
        <v>45715</v>
      </c>
      <c r="F1491" s="32" t="s">
        <v>6287</v>
      </c>
      <c r="G1491" s="0" t="n">
        <v>7.5</v>
      </c>
      <c r="H1491" s="0" t="n">
        <v>7.5</v>
      </c>
      <c r="I1491" s="32" t="s">
        <v>2081</v>
      </c>
      <c r="J1491" s="32" t="s">
        <v>2081</v>
      </c>
      <c r="K1491" s="0" t="n">
        <v>0</v>
      </c>
      <c r="L1491" s="32" t="s">
        <v>826</v>
      </c>
      <c r="M1491" s="0" t="str">
        <f aca="false">IF(L1491="GEN","GM",L1491)</f>
        <v>RHE</v>
      </c>
    </row>
    <row r="1492" customFormat="false" ht="15" hidden="false" customHeight="false" outlineLevel="0" collapsed="false">
      <c r="A1492" s="0" t="s">
        <v>9239</v>
      </c>
      <c r="B1492" s="0" t="s">
        <v>9240</v>
      </c>
      <c r="C1492" s="0" t="s">
        <v>6290</v>
      </c>
      <c r="D1492" s="0" t="s">
        <v>2124</v>
      </c>
      <c r="E1492" s="31" t="n">
        <v>45715</v>
      </c>
      <c r="F1492" s="32" t="s">
        <v>6287</v>
      </c>
      <c r="G1492" s="0" t="n">
        <v>7.5</v>
      </c>
      <c r="H1492" s="0" t="n">
        <v>7.5</v>
      </c>
      <c r="I1492" s="32" t="s">
        <v>2081</v>
      </c>
      <c r="J1492" s="32" t="s">
        <v>2081</v>
      </c>
      <c r="K1492" s="0" t="n">
        <v>0</v>
      </c>
      <c r="L1492" s="32" t="s">
        <v>776</v>
      </c>
      <c r="M1492" s="0" t="str">
        <f aca="false">IF(L1492="GEN","GM",L1492)</f>
        <v>GS</v>
      </c>
    </row>
    <row r="1493" customFormat="false" ht="15" hidden="false" customHeight="false" outlineLevel="0" collapsed="false">
      <c r="A1493" s="0" t="s">
        <v>9241</v>
      </c>
      <c r="B1493" s="0" t="s">
        <v>9242</v>
      </c>
      <c r="C1493" s="0" t="s">
        <v>6295</v>
      </c>
      <c r="D1493" s="0" t="s">
        <v>2104</v>
      </c>
      <c r="E1493" s="31" t="n">
        <v>45715</v>
      </c>
      <c r="F1493" s="32" t="s">
        <v>6287</v>
      </c>
      <c r="G1493" s="0" t="n">
        <v>7.5</v>
      </c>
      <c r="H1493" s="0" t="n">
        <v>7.5</v>
      </c>
      <c r="I1493" s="32" t="s">
        <v>2081</v>
      </c>
      <c r="J1493" s="32" t="s">
        <v>2081</v>
      </c>
      <c r="K1493" s="0" t="n">
        <v>0</v>
      </c>
      <c r="L1493" s="32" t="s">
        <v>776</v>
      </c>
      <c r="M1493" s="0" t="str">
        <f aca="false">IF(L1493="GEN","GM",L1493)</f>
        <v>GS</v>
      </c>
    </row>
    <row r="1494" customFormat="false" ht="15" hidden="false" customHeight="false" outlineLevel="0" collapsed="false">
      <c r="A1494" s="0" t="s">
        <v>9243</v>
      </c>
      <c r="B1494" s="0" t="s">
        <v>9244</v>
      </c>
      <c r="C1494" s="0" t="s">
        <v>6290</v>
      </c>
      <c r="D1494" s="0" t="s">
        <v>2104</v>
      </c>
      <c r="E1494" s="31" t="n">
        <v>45715</v>
      </c>
      <c r="F1494" s="32" t="s">
        <v>6287</v>
      </c>
      <c r="G1494" s="0" t="n">
        <v>7.5</v>
      </c>
      <c r="H1494" s="0" t="n">
        <v>7.5</v>
      </c>
      <c r="I1494" s="32" t="s">
        <v>2081</v>
      </c>
      <c r="J1494" s="32" t="s">
        <v>2081</v>
      </c>
      <c r="K1494" s="0" t="n">
        <v>0</v>
      </c>
      <c r="L1494" s="32" t="s">
        <v>785</v>
      </c>
      <c r="M1494" s="0" t="str">
        <f aca="false">IF(L1494="GEN","GM",L1494)</f>
        <v>RS</v>
      </c>
    </row>
    <row r="1495" customFormat="false" ht="15" hidden="false" customHeight="false" outlineLevel="0" collapsed="false">
      <c r="A1495" s="0" t="s">
        <v>9245</v>
      </c>
      <c r="B1495" s="0" t="s">
        <v>9246</v>
      </c>
      <c r="C1495" s="0" t="s">
        <v>6295</v>
      </c>
      <c r="D1495" s="0" t="s">
        <v>2104</v>
      </c>
      <c r="E1495" s="31" t="n">
        <v>45715</v>
      </c>
      <c r="F1495" s="32" t="s">
        <v>1125</v>
      </c>
      <c r="G1495" s="0" t="n">
        <v>12</v>
      </c>
      <c r="H1495" s="0" t="n">
        <v>12</v>
      </c>
      <c r="I1495" s="32" t="s">
        <v>2081</v>
      </c>
      <c r="J1495" s="32" t="s">
        <v>2081</v>
      </c>
      <c r="K1495" s="0" t="n">
        <v>0</v>
      </c>
      <c r="L1495" s="32" t="s">
        <v>747</v>
      </c>
      <c r="M1495" s="0" t="str">
        <f aca="false">IF(L1495="GEN","GM",L1495)</f>
        <v>GM</v>
      </c>
    </row>
    <row r="1496" customFormat="false" ht="15" hidden="false" customHeight="false" outlineLevel="0" collapsed="false">
      <c r="A1496" s="0" t="s">
        <v>9247</v>
      </c>
      <c r="B1496" s="0" t="s">
        <v>9248</v>
      </c>
      <c r="C1496" s="0" t="s">
        <v>6290</v>
      </c>
      <c r="D1496" s="0" t="s">
        <v>2104</v>
      </c>
      <c r="E1496" s="31" t="n">
        <v>45715</v>
      </c>
      <c r="F1496" s="32" t="s">
        <v>6283</v>
      </c>
      <c r="G1496" s="0" t="n">
        <v>11.5</v>
      </c>
      <c r="H1496" s="0" t="n">
        <v>11.5</v>
      </c>
      <c r="I1496" s="32" t="s">
        <v>2081</v>
      </c>
      <c r="J1496" s="32" t="s">
        <v>2081</v>
      </c>
      <c r="K1496" s="0" t="n">
        <v>0</v>
      </c>
      <c r="L1496" s="32" t="s">
        <v>810</v>
      </c>
      <c r="M1496" s="0" t="str">
        <f aca="false">IF(L1496="GEN","GM",L1496)</f>
        <v>URO</v>
      </c>
    </row>
    <row r="1497" customFormat="false" ht="15" hidden="false" customHeight="false" outlineLevel="0" collapsed="false">
      <c r="A1497" s="0" t="s">
        <v>9249</v>
      </c>
      <c r="B1497" s="0" t="s">
        <v>9250</v>
      </c>
      <c r="C1497" s="0" t="s">
        <v>6290</v>
      </c>
      <c r="D1497" s="0" t="s">
        <v>3035</v>
      </c>
      <c r="E1497" s="31" t="n">
        <v>45715</v>
      </c>
      <c r="F1497" s="32" t="s">
        <v>6283</v>
      </c>
      <c r="G1497" s="0" t="n">
        <v>11.5</v>
      </c>
      <c r="H1497" s="0" t="n">
        <v>11.5</v>
      </c>
      <c r="I1497" s="32" t="s">
        <v>2081</v>
      </c>
      <c r="J1497" s="32" t="s">
        <v>2081</v>
      </c>
      <c r="K1497" s="0" t="n">
        <v>0</v>
      </c>
      <c r="L1497" s="32" t="s">
        <v>810</v>
      </c>
      <c r="M1497" s="0" t="str">
        <f aca="false">IF(L1497="GEN","GM",L1497)</f>
        <v>URO</v>
      </c>
    </row>
    <row r="1498" customFormat="false" ht="15" hidden="false" customHeight="false" outlineLevel="0" collapsed="false">
      <c r="A1498" s="0" t="s">
        <v>9251</v>
      </c>
      <c r="B1498" s="0" t="s">
        <v>9252</v>
      </c>
      <c r="C1498" s="0" t="s">
        <v>6295</v>
      </c>
      <c r="D1498" s="0" t="s">
        <v>3035</v>
      </c>
      <c r="E1498" s="31" t="n">
        <v>45715</v>
      </c>
      <c r="F1498" s="32" t="s">
        <v>6283</v>
      </c>
      <c r="G1498" s="0" t="n">
        <v>11.5</v>
      </c>
      <c r="H1498" s="0" t="n">
        <v>11.5</v>
      </c>
      <c r="I1498" s="32" t="s">
        <v>2081</v>
      </c>
      <c r="J1498" s="32" t="s">
        <v>2081</v>
      </c>
      <c r="K1498" s="0" t="n">
        <v>0</v>
      </c>
      <c r="L1498" s="32" t="s">
        <v>776</v>
      </c>
      <c r="M1498" s="0" t="str">
        <f aca="false">IF(L1498="GEN","GM",L1498)</f>
        <v>GS</v>
      </c>
    </row>
    <row r="1499" customFormat="false" ht="15" hidden="false" customHeight="false" outlineLevel="0" collapsed="false">
      <c r="A1499" s="0" t="s">
        <v>9253</v>
      </c>
      <c r="B1499" s="0" t="s">
        <v>9254</v>
      </c>
      <c r="C1499" s="0" t="s">
        <v>6286</v>
      </c>
      <c r="D1499" s="0" t="s">
        <v>3035</v>
      </c>
      <c r="E1499" s="31" t="n">
        <v>45715</v>
      </c>
      <c r="F1499" s="32" t="s">
        <v>6287</v>
      </c>
      <c r="G1499" s="0" t="n">
        <v>7.5</v>
      </c>
      <c r="H1499" s="0" t="n">
        <v>7.5</v>
      </c>
      <c r="I1499" s="32" t="s">
        <v>2081</v>
      </c>
      <c r="J1499" s="32" t="s">
        <v>2081</v>
      </c>
      <c r="K1499" s="0" t="n">
        <v>0</v>
      </c>
      <c r="L1499" s="32" t="s">
        <v>776</v>
      </c>
      <c r="M1499" s="0" t="str">
        <f aca="false">IF(L1499="GEN","GM",L1499)</f>
        <v>GS</v>
      </c>
    </row>
    <row r="1500" customFormat="false" ht="15" hidden="false" customHeight="false" outlineLevel="0" collapsed="false">
      <c r="A1500" s="0" t="s">
        <v>9255</v>
      </c>
      <c r="B1500" s="0" t="s">
        <v>9256</v>
      </c>
      <c r="C1500" s="0" t="s">
        <v>6295</v>
      </c>
      <c r="D1500" s="0" t="s">
        <v>3035</v>
      </c>
      <c r="E1500" s="31" t="n">
        <v>45715</v>
      </c>
      <c r="F1500" s="32" t="s">
        <v>1125</v>
      </c>
      <c r="G1500" s="0" t="n">
        <v>12</v>
      </c>
      <c r="H1500" s="0" t="n">
        <v>12.5</v>
      </c>
      <c r="I1500" s="32" t="s">
        <v>2081</v>
      </c>
      <c r="J1500" s="32" t="s">
        <v>2081</v>
      </c>
      <c r="K1500" s="0" t="n">
        <v>0.5</v>
      </c>
      <c r="L1500" s="32" t="s">
        <v>802</v>
      </c>
      <c r="M1500" s="0" t="str">
        <f aca="false">IF(L1500="GEN","GM",L1500)</f>
        <v>GYN</v>
      </c>
    </row>
    <row r="1501" customFormat="false" ht="15" hidden="false" customHeight="false" outlineLevel="0" collapsed="false">
      <c r="A1501" s="0" t="s">
        <v>9257</v>
      </c>
      <c r="B1501" s="0" t="s">
        <v>9258</v>
      </c>
      <c r="C1501" s="0" t="s">
        <v>780</v>
      </c>
      <c r="D1501" s="0" t="s">
        <v>2088</v>
      </c>
      <c r="E1501" s="31" t="n">
        <v>45716</v>
      </c>
      <c r="F1501" s="32" t="s">
        <v>6287</v>
      </c>
      <c r="G1501" s="0" t="n">
        <v>7.5</v>
      </c>
      <c r="H1501" s="0" t="n">
        <v>7.5</v>
      </c>
      <c r="I1501" s="32" t="s">
        <v>2081</v>
      </c>
      <c r="J1501" s="32" t="s">
        <v>2081</v>
      </c>
      <c r="K1501" s="0" t="n">
        <v>0</v>
      </c>
      <c r="L1501" s="32" t="s">
        <v>747</v>
      </c>
      <c r="M1501" s="0" t="str">
        <f aca="false">IF(L1501="GEN","GM",L1501)</f>
        <v>GM</v>
      </c>
    </row>
    <row r="1502" customFormat="false" ht="15" hidden="false" customHeight="false" outlineLevel="0" collapsed="false">
      <c r="A1502" s="0" t="s">
        <v>9259</v>
      </c>
      <c r="B1502" s="0" t="s">
        <v>9260</v>
      </c>
      <c r="C1502" s="0" t="s">
        <v>6295</v>
      </c>
      <c r="D1502" s="0" t="s">
        <v>2088</v>
      </c>
      <c r="E1502" s="31" t="n">
        <v>45716</v>
      </c>
      <c r="F1502" s="32" t="s">
        <v>6287</v>
      </c>
      <c r="G1502" s="0" t="n">
        <v>7.5</v>
      </c>
      <c r="H1502" s="0" t="n">
        <v>7.5</v>
      </c>
      <c r="I1502" s="32" t="s">
        <v>2081</v>
      </c>
      <c r="J1502" s="32" t="s">
        <v>2081</v>
      </c>
      <c r="K1502" s="0" t="n">
        <v>0</v>
      </c>
      <c r="L1502" s="32" t="s">
        <v>810</v>
      </c>
      <c r="M1502" s="0" t="str">
        <f aca="false">IF(L1502="GEN","GM",L1502)</f>
        <v>URO</v>
      </c>
    </row>
    <row r="1503" customFormat="false" ht="15" hidden="false" customHeight="false" outlineLevel="0" collapsed="false">
      <c r="A1503" s="0" t="s">
        <v>9261</v>
      </c>
      <c r="B1503" s="0" t="s">
        <v>9262</v>
      </c>
      <c r="C1503" s="0" t="s">
        <v>6295</v>
      </c>
      <c r="D1503" s="0" t="s">
        <v>2088</v>
      </c>
      <c r="E1503" s="31" t="n">
        <v>45716</v>
      </c>
      <c r="F1503" s="32" t="s">
        <v>1125</v>
      </c>
      <c r="G1503" s="0" t="n">
        <v>12</v>
      </c>
      <c r="H1503" s="0" t="n">
        <v>12</v>
      </c>
      <c r="I1503" s="32" t="s">
        <v>2081</v>
      </c>
      <c r="J1503" s="32" t="s">
        <v>2081</v>
      </c>
      <c r="K1503" s="0" t="n">
        <v>0</v>
      </c>
      <c r="L1503" s="32" t="s">
        <v>785</v>
      </c>
      <c r="M1503" s="0" t="str">
        <f aca="false">IF(L1503="GEN","GM",L1503)</f>
        <v>RS</v>
      </c>
    </row>
    <row r="1504" customFormat="false" ht="15" hidden="false" customHeight="false" outlineLevel="0" collapsed="false">
      <c r="A1504" s="0" t="s">
        <v>9263</v>
      </c>
      <c r="B1504" s="0" t="s">
        <v>9264</v>
      </c>
      <c r="C1504" s="0" t="s">
        <v>6295</v>
      </c>
      <c r="D1504" s="0" t="s">
        <v>2088</v>
      </c>
      <c r="E1504" s="31" t="n">
        <v>45716</v>
      </c>
      <c r="F1504" s="32" t="s">
        <v>1125</v>
      </c>
      <c r="G1504" s="0" t="n">
        <v>12</v>
      </c>
      <c r="H1504" s="0" t="n">
        <v>12</v>
      </c>
      <c r="I1504" s="32" t="s">
        <v>2081</v>
      </c>
      <c r="J1504" s="32" t="s">
        <v>2081</v>
      </c>
      <c r="K1504" s="0" t="n">
        <v>0</v>
      </c>
      <c r="L1504" s="32" t="s">
        <v>793</v>
      </c>
      <c r="M1504" s="0" t="str">
        <f aca="false">IF(L1504="GEN","GM",L1504)</f>
        <v>EM</v>
      </c>
    </row>
    <row r="1505" customFormat="false" ht="15" hidden="false" customHeight="false" outlineLevel="0" collapsed="false">
      <c r="A1505" s="0" t="s">
        <v>9265</v>
      </c>
      <c r="B1505" s="0" t="s">
        <v>9266</v>
      </c>
      <c r="C1505" s="0" t="s">
        <v>6295</v>
      </c>
      <c r="D1505" s="0" t="s">
        <v>2079</v>
      </c>
      <c r="E1505" s="31" t="n">
        <v>45716</v>
      </c>
      <c r="F1505" s="32" t="s">
        <v>6287</v>
      </c>
      <c r="G1505" s="0" t="n">
        <v>7.5</v>
      </c>
      <c r="H1505" s="0" t="n">
        <v>8.4</v>
      </c>
      <c r="I1505" s="32" t="s">
        <v>2106</v>
      </c>
      <c r="J1505" s="32" t="s">
        <v>2081</v>
      </c>
      <c r="K1505" s="0" t="n">
        <v>0.9</v>
      </c>
      <c r="L1505" s="32" t="s">
        <v>793</v>
      </c>
      <c r="M1505" s="0" t="str">
        <f aca="false">IF(L1505="GEN","GM",L1505)</f>
        <v>EM</v>
      </c>
    </row>
    <row r="1506" customFormat="false" ht="15" hidden="false" customHeight="false" outlineLevel="0" collapsed="false">
      <c r="A1506" s="0" t="s">
        <v>9267</v>
      </c>
      <c r="B1506" s="0" t="s">
        <v>9268</v>
      </c>
      <c r="C1506" s="0" t="s">
        <v>6295</v>
      </c>
      <c r="D1506" s="0" t="s">
        <v>2079</v>
      </c>
      <c r="E1506" s="31" t="n">
        <v>45716</v>
      </c>
      <c r="F1506" s="32" t="s">
        <v>6287</v>
      </c>
      <c r="G1506" s="0" t="n">
        <v>7.5</v>
      </c>
      <c r="H1506" s="0" t="n">
        <v>7.5</v>
      </c>
      <c r="I1506" s="32" t="s">
        <v>2081</v>
      </c>
      <c r="J1506" s="32" t="s">
        <v>2081</v>
      </c>
      <c r="K1506" s="0" t="n">
        <v>0</v>
      </c>
      <c r="L1506" s="32" t="s">
        <v>793</v>
      </c>
      <c r="M1506" s="0" t="str">
        <f aca="false">IF(L1506="GEN","GM",L1506)</f>
        <v>EM</v>
      </c>
    </row>
    <row r="1507" customFormat="false" ht="15" hidden="false" customHeight="false" outlineLevel="0" collapsed="false">
      <c r="A1507" s="0" t="s">
        <v>9269</v>
      </c>
      <c r="B1507" s="0" t="s">
        <v>9270</v>
      </c>
      <c r="C1507" s="0" t="s">
        <v>6295</v>
      </c>
      <c r="D1507" s="0" t="s">
        <v>2079</v>
      </c>
      <c r="E1507" s="31" t="n">
        <v>45716</v>
      </c>
      <c r="F1507" s="32" t="s">
        <v>6287</v>
      </c>
      <c r="G1507" s="0" t="n">
        <v>7.5</v>
      </c>
      <c r="H1507" s="0" t="n">
        <v>7.5</v>
      </c>
      <c r="I1507" s="32" t="s">
        <v>2106</v>
      </c>
      <c r="J1507" s="32" t="s">
        <v>2081</v>
      </c>
      <c r="K1507" s="0" t="n">
        <v>0</v>
      </c>
      <c r="L1507" s="32" t="s">
        <v>758</v>
      </c>
      <c r="M1507" s="0" t="str">
        <f aca="false">IF(L1507="GEN","GM",L1507)</f>
        <v>CS</v>
      </c>
    </row>
    <row r="1508" customFormat="false" ht="15" hidden="false" customHeight="false" outlineLevel="0" collapsed="false">
      <c r="A1508" s="0" t="s">
        <v>9271</v>
      </c>
      <c r="B1508" s="0" t="s">
        <v>9272</v>
      </c>
      <c r="C1508" s="0" t="s">
        <v>6295</v>
      </c>
      <c r="D1508" s="0" t="s">
        <v>2079</v>
      </c>
      <c r="E1508" s="31" t="n">
        <v>45716</v>
      </c>
      <c r="F1508" s="32" t="s">
        <v>1125</v>
      </c>
      <c r="G1508" s="0" t="n">
        <v>12</v>
      </c>
      <c r="H1508" s="0" t="n">
        <v>12</v>
      </c>
      <c r="I1508" s="32" t="s">
        <v>2081</v>
      </c>
      <c r="J1508" s="32" t="s">
        <v>2081</v>
      </c>
      <c r="K1508" s="0" t="n">
        <v>0</v>
      </c>
      <c r="L1508" s="32" t="s">
        <v>785</v>
      </c>
      <c r="M1508" s="0" t="str">
        <f aca="false">IF(L1508="GEN","GM",L1508)</f>
        <v>RS</v>
      </c>
    </row>
    <row r="1509" customFormat="false" ht="15" hidden="false" customHeight="false" outlineLevel="0" collapsed="false">
      <c r="A1509" s="0" t="s">
        <v>9273</v>
      </c>
      <c r="B1509" s="0" t="s">
        <v>9274</v>
      </c>
      <c r="C1509" s="0" t="s">
        <v>6282</v>
      </c>
      <c r="D1509" s="0" t="s">
        <v>2079</v>
      </c>
      <c r="E1509" s="31" t="n">
        <v>45716</v>
      </c>
      <c r="F1509" s="32" t="s">
        <v>1125</v>
      </c>
      <c r="G1509" s="0" t="n">
        <v>12</v>
      </c>
      <c r="H1509" s="0" t="n">
        <v>12</v>
      </c>
      <c r="I1509" s="32" t="s">
        <v>2081</v>
      </c>
      <c r="J1509" s="32" t="s">
        <v>2081</v>
      </c>
      <c r="K1509" s="0" t="n">
        <v>0</v>
      </c>
      <c r="L1509" s="32" t="s">
        <v>785</v>
      </c>
      <c r="M1509" s="0" t="str">
        <f aca="false">IF(L1509="GEN","GM",L1509)</f>
        <v>RS</v>
      </c>
    </row>
    <row r="1510" customFormat="false" ht="15" hidden="false" customHeight="false" outlineLevel="0" collapsed="false">
      <c r="A1510" s="0" t="s">
        <v>9275</v>
      </c>
      <c r="B1510" s="0" t="s">
        <v>9276</v>
      </c>
      <c r="C1510" s="0" t="s">
        <v>6295</v>
      </c>
      <c r="D1510" s="0" t="s">
        <v>2099</v>
      </c>
      <c r="E1510" s="31" t="n">
        <v>45716</v>
      </c>
      <c r="F1510" s="32" t="s">
        <v>1125</v>
      </c>
      <c r="G1510" s="0" t="n">
        <v>12</v>
      </c>
      <c r="H1510" s="0" t="n">
        <v>12</v>
      </c>
      <c r="I1510" s="32" t="s">
        <v>2081</v>
      </c>
      <c r="J1510" s="32" t="s">
        <v>2081</v>
      </c>
      <c r="K1510" s="0" t="n">
        <v>0</v>
      </c>
      <c r="L1510" s="32" t="s">
        <v>826</v>
      </c>
      <c r="M1510" s="0" t="str">
        <f aca="false">IF(L1510="GEN","GM",L1510)</f>
        <v>RHE</v>
      </c>
    </row>
    <row r="1511" customFormat="false" ht="15" hidden="false" customHeight="false" outlineLevel="0" collapsed="false">
      <c r="A1511" s="0" t="s">
        <v>9277</v>
      </c>
      <c r="B1511" s="0" t="s">
        <v>9278</v>
      </c>
      <c r="C1511" s="0" t="s">
        <v>6290</v>
      </c>
      <c r="D1511" s="0" t="s">
        <v>2099</v>
      </c>
      <c r="E1511" s="31" t="n">
        <v>45716</v>
      </c>
      <c r="F1511" s="32" t="s">
        <v>6283</v>
      </c>
      <c r="G1511" s="0" t="n">
        <v>11.5</v>
      </c>
      <c r="H1511" s="0" t="n">
        <v>11.5</v>
      </c>
      <c r="I1511" s="32" t="s">
        <v>2081</v>
      </c>
      <c r="J1511" s="32" t="s">
        <v>2081</v>
      </c>
      <c r="K1511" s="0" t="n">
        <v>0</v>
      </c>
      <c r="L1511" s="32" t="s">
        <v>802</v>
      </c>
      <c r="M1511" s="0" t="str">
        <f aca="false">IF(L1511="GEN","GM",L1511)</f>
        <v>GYN</v>
      </c>
    </row>
    <row r="1512" customFormat="false" ht="15" hidden="false" customHeight="false" outlineLevel="0" collapsed="false">
      <c r="A1512" s="0" t="s">
        <v>9279</v>
      </c>
      <c r="B1512" s="0" t="s">
        <v>9280</v>
      </c>
      <c r="C1512" s="0" t="s">
        <v>6290</v>
      </c>
      <c r="D1512" s="0" t="s">
        <v>2099</v>
      </c>
      <c r="E1512" s="31" t="n">
        <v>45716</v>
      </c>
      <c r="F1512" s="32" t="s">
        <v>1125</v>
      </c>
      <c r="G1512" s="0" t="n">
        <v>12</v>
      </c>
      <c r="H1512" s="0" t="n">
        <v>12</v>
      </c>
      <c r="J1512" s="32" t="s">
        <v>2081</v>
      </c>
      <c r="K1512" s="0" t="n">
        <v>0</v>
      </c>
      <c r="L1512" s="32" t="s">
        <v>747</v>
      </c>
      <c r="M1512" s="0" t="str">
        <f aca="false">IF(L1512="GEN","GM",L1512)</f>
        <v>GM</v>
      </c>
    </row>
    <row r="1513" customFormat="false" ht="15" hidden="false" customHeight="false" outlineLevel="0" collapsed="false">
      <c r="A1513" s="0" t="s">
        <v>9281</v>
      </c>
      <c r="B1513" s="0" t="s">
        <v>9282</v>
      </c>
      <c r="C1513" s="0" t="s">
        <v>6295</v>
      </c>
      <c r="D1513" s="0" t="s">
        <v>2099</v>
      </c>
      <c r="E1513" s="31" t="n">
        <v>45716</v>
      </c>
      <c r="F1513" s="32" t="s">
        <v>6283</v>
      </c>
      <c r="G1513" s="0" t="n">
        <v>11.5</v>
      </c>
      <c r="H1513" s="0" t="n">
        <v>11.5</v>
      </c>
      <c r="I1513" s="32" t="s">
        <v>2081</v>
      </c>
      <c r="J1513" s="32" t="s">
        <v>2081</v>
      </c>
      <c r="K1513" s="0" t="n">
        <v>0</v>
      </c>
      <c r="L1513" s="32" t="s">
        <v>747</v>
      </c>
      <c r="M1513" s="0" t="str">
        <f aca="false">IF(L1513="GEN","GM",L1513)</f>
        <v>GM</v>
      </c>
    </row>
    <row r="1514" customFormat="false" ht="15" hidden="false" customHeight="false" outlineLevel="0" collapsed="false">
      <c r="A1514" s="0" t="s">
        <v>9283</v>
      </c>
      <c r="B1514" s="0" t="s">
        <v>9284</v>
      </c>
      <c r="C1514" s="0" t="s">
        <v>6290</v>
      </c>
      <c r="D1514" s="0" t="s">
        <v>2115</v>
      </c>
      <c r="E1514" s="31" t="n">
        <v>45716</v>
      </c>
      <c r="F1514" s="32" t="s">
        <v>6287</v>
      </c>
      <c r="G1514" s="0" t="n">
        <v>7.5</v>
      </c>
      <c r="H1514" s="0" t="n">
        <v>7.5</v>
      </c>
      <c r="I1514" s="32" t="s">
        <v>2081</v>
      </c>
      <c r="J1514" s="32" t="s">
        <v>2106</v>
      </c>
      <c r="K1514" s="0" t="n">
        <v>0</v>
      </c>
      <c r="L1514" s="32" t="s">
        <v>747</v>
      </c>
      <c r="M1514" s="0" t="str">
        <f aca="false">IF(L1514="GEN","GM",L1514)</f>
        <v>GM</v>
      </c>
    </row>
    <row r="1515" customFormat="false" ht="15" hidden="false" customHeight="false" outlineLevel="0" collapsed="false">
      <c r="A1515" s="0" t="s">
        <v>9285</v>
      </c>
      <c r="B1515" s="0" t="s">
        <v>9286</v>
      </c>
      <c r="C1515" s="0" t="s">
        <v>6295</v>
      </c>
      <c r="D1515" s="0" t="s">
        <v>2115</v>
      </c>
      <c r="E1515" s="31" t="n">
        <v>45716</v>
      </c>
      <c r="F1515" s="32" t="s">
        <v>6287</v>
      </c>
      <c r="G1515" s="0" t="n">
        <v>7.5</v>
      </c>
      <c r="H1515" s="0" t="n">
        <v>7.5</v>
      </c>
      <c r="I1515" s="32" t="s">
        <v>2081</v>
      </c>
      <c r="J1515" s="32" t="s">
        <v>2081</v>
      </c>
      <c r="K1515" s="0" t="n">
        <v>0</v>
      </c>
      <c r="L1515" s="32" t="s">
        <v>776</v>
      </c>
      <c r="M1515" s="0" t="str">
        <f aca="false">IF(L1515="GEN","GM",L1515)</f>
        <v>GS</v>
      </c>
    </row>
    <row r="1516" customFormat="false" ht="15" hidden="false" customHeight="false" outlineLevel="0" collapsed="false">
      <c r="A1516" s="0" t="s">
        <v>9287</v>
      </c>
      <c r="B1516" s="0" t="s">
        <v>9288</v>
      </c>
      <c r="C1516" s="0" t="s">
        <v>6290</v>
      </c>
      <c r="D1516" s="0" t="s">
        <v>2115</v>
      </c>
      <c r="E1516" s="31" t="n">
        <v>45716</v>
      </c>
      <c r="F1516" s="32" t="s">
        <v>6283</v>
      </c>
      <c r="G1516" s="0" t="n">
        <v>11.5</v>
      </c>
      <c r="H1516" s="0" t="n">
        <v>11.5</v>
      </c>
      <c r="I1516" s="32" t="s">
        <v>2081</v>
      </c>
      <c r="J1516" s="32" t="s">
        <v>2081</v>
      </c>
      <c r="K1516" s="0" t="n">
        <v>0</v>
      </c>
      <c r="L1516" s="32" t="s">
        <v>785</v>
      </c>
      <c r="M1516" s="0" t="str">
        <f aca="false">IF(L1516="GEN","GM",L1516)</f>
        <v>RS</v>
      </c>
    </row>
    <row r="1517" customFormat="false" ht="15" hidden="false" customHeight="false" outlineLevel="0" collapsed="false">
      <c r="A1517" s="0" t="s">
        <v>9289</v>
      </c>
      <c r="B1517" s="0" t="s">
        <v>9290</v>
      </c>
      <c r="C1517" s="0" t="s">
        <v>6282</v>
      </c>
      <c r="D1517" s="0" t="s">
        <v>2124</v>
      </c>
      <c r="E1517" s="31" t="n">
        <v>45716</v>
      </c>
      <c r="F1517" s="32" t="s">
        <v>6287</v>
      </c>
      <c r="G1517" s="0" t="n">
        <v>7.5</v>
      </c>
      <c r="H1517" s="0" t="n">
        <v>7.5</v>
      </c>
      <c r="I1517" s="32" t="s">
        <v>2081</v>
      </c>
      <c r="J1517" s="32" t="s">
        <v>2081</v>
      </c>
      <c r="K1517" s="0" t="n">
        <v>0</v>
      </c>
      <c r="L1517" s="32" t="s">
        <v>747</v>
      </c>
      <c r="M1517" s="0" t="str">
        <f aca="false">IF(L1517="GEN","GM",L1517)</f>
        <v>GM</v>
      </c>
    </row>
    <row r="1518" customFormat="false" ht="15" hidden="false" customHeight="false" outlineLevel="0" collapsed="false">
      <c r="A1518" s="0" t="s">
        <v>9291</v>
      </c>
      <c r="B1518" s="0" t="s">
        <v>9292</v>
      </c>
      <c r="C1518" s="0" t="s">
        <v>6286</v>
      </c>
      <c r="D1518" s="0" t="s">
        <v>2124</v>
      </c>
      <c r="E1518" s="31" t="n">
        <v>45716</v>
      </c>
      <c r="F1518" s="32" t="s">
        <v>6283</v>
      </c>
      <c r="G1518" s="0" t="n">
        <v>11.5</v>
      </c>
      <c r="H1518" s="0" t="n">
        <v>11.5</v>
      </c>
      <c r="I1518" s="32" t="s">
        <v>2106</v>
      </c>
      <c r="J1518" s="32" t="s">
        <v>2081</v>
      </c>
      <c r="K1518" s="0" t="n">
        <v>0</v>
      </c>
      <c r="L1518" s="32" t="s">
        <v>785</v>
      </c>
      <c r="M1518" s="0" t="str">
        <f aca="false">IF(L1518="GEN","GM",L1518)</f>
        <v>RS</v>
      </c>
    </row>
    <row r="1519" customFormat="false" ht="15" hidden="false" customHeight="false" outlineLevel="0" collapsed="false">
      <c r="A1519" s="0" t="s">
        <v>9293</v>
      </c>
      <c r="B1519" s="0" t="s">
        <v>9294</v>
      </c>
      <c r="C1519" s="0" t="s">
        <v>6290</v>
      </c>
      <c r="D1519" s="0" t="s">
        <v>2124</v>
      </c>
      <c r="E1519" s="31" t="n">
        <v>45716</v>
      </c>
      <c r="F1519" s="32" t="s">
        <v>6287</v>
      </c>
      <c r="G1519" s="0" t="n">
        <v>7.5</v>
      </c>
      <c r="H1519" s="0" t="n">
        <v>7.5</v>
      </c>
      <c r="I1519" s="32" t="s">
        <v>2081</v>
      </c>
      <c r="J1519" s="32" t="s">
        <v>2081</v>
      </c>
      <c r="K1519" s="0" t="n">
        <v>0</v>
      </c>
      <c r="L1519" s="32" t="s">
        <v>766</v>
      </c>
      <c r="M1519" s="0" t="str">
        <f aca="false">IF(L1519="GEN","GM",L1519)</f>
        <v>OR</v>
      </c>
    </row>
    <row r="1520" customFormat="false" ht="15" hidden="false" customHeight="false" outlineLevel="0" collapsed="false">
      <c r="A1520" s="0" t="s">
        <v>9295</v>
      </c>
      <c r="B1520" s="0" t="s">
        <v>9296</v>
      </c>
      <c r="C1520" s="0" t="s">
        <v>6282</v>
      </c>
      <c r="D1520" s="0" t="s">
        <v>2124</v>
      </c>
      <c r="E1520" s="31" t="n">
        <v>45716</v>
      </c>
      <c r="F1520" s="32" t="s">
        <v>6287</v>
      </c>
      <c r="G1520" s="0" t="n">
        <v>7.5</v>
      </c>
      <c r="H1520" s="0" t="n">
        <v>7.5</v>
      </c>
      <c r="I1520" s="32" t="s">
        <v>2081</v>
      </c>
      <c r="J1520" s="32" t="s">
        <v>2081</v>
      </c>
      <c r="K1520" s="0" t="n">
        <v>0</v>
      </c>
      <c r="L1520" s="32" t="s">
        <v>747</v>
      </c>
      <c r="M1520" s="0" t="str">
        <f aca="false">IF(L1520="GEN","GM",L1520)</f>
        <v>GM</v>
      </c>
    </row>
    <row r="1521" customFormat="false" ht="15" hidden="false" customHeight="false" outlineLevel="0" collapsed="false">
      <c r="A1521" s="0" t="s">
        <v>9297</v>
      </c>
      <c r="B1521" s="0" t="s">
        <v>9298</v>
      </c>
      <c r="C1521" s="0" t="s">
        <v>6286</v>
      </c>
      <c r="D1521" s="0" t="s">
        <v>2124</v>
      </c>
      <c r="E1521" s="31" t="n">
        <v>45716</v>
      </c>
      <c r="F1521" s="32" t="s">
        <v>6283</v>
      </c>
      <c r="G1521" s="0" t="n">
        <v>11.5</v>
      </c>
      <c r="H1521" s="0" t="n">
        <v>11.5</v>
      </c>
      <c r="I1521" s="32" t="s">
        <v>2081</v>
      </c>
      <c r="J1521" s="32" t="s">
        <v>2106</v>
      </c>
      <c r="K1521" s="0" t="n">
        <v>0</v>
      </c>
      <c r="L1521" s="32" t="s">
        <v>802</v>
      </c>
      <c r="M1521" s="0" t="str">
        <f aca="false">IF(L1521="GEN","GM",L1521)</f>
        <v>GYN</v>
      </c>
    </row>
    <row r="1522" customFormat="false" ht="15" hidden="false" customHeight="false" outlineLevel="0" collapsed="false">
      <c r="A1522" s="0" t="s">
        <v>9299</v>
      </c>
      <c r="B1522" s="0" t="s">
        <v>9300</v>
      </c>
      <c r="C1522" s="0" t="s">
        <v>6295</v>
      </c>
      <c r="D1522" s="0" t="s">
        <v>2104</v>
      </c>
      <c r="E1522" s="31" t="n">
        <v>45716</v>
      </c>
      <c r="F1522" s="32" t="s">
        <v>6287</v>
      </c>
      <c r="G1522" s="0" t="n">
        <v>7.5</v>
      </c>
      <c r="H1522" s="0" t="n">
        <v>7.5</v>
      </c>
      <c r="I1522" s="32" t="s">
        <v>2081</v>
      </c>
      <c r="J1522" s="32" t="s">
        <v>2081</v>
      </c>
      <c r="K1522" s="0" t="n">
        <v>0</v>
      </c>
      <c r="L1522" s="32" t="s">
        <v>776</v>
      </c>
      <c r="M1522" s="0" t="str">
        <f aca="false">IF(L1522="GEN","GM",L1522)</f>
        <v>GS</v>
      </c>
    </row>
    <row r="1523" customFormat="false" ht="15" hidden="false" customHeight="false" outlineLevel="0" collapsed="false">
      <c r="A1523" s="0" t="s">
        <v>9301</v>
      </c>
      <c r="B1523" s="0" t="s">
        <v>9302</v>
      </c>
      <c r="C1523" s="0" t="s">
        <v>6286</v>
      </c>
      <c r="D1523" s="0" t="s">
        <v>2104</v>
      </c>
      <c r="E1523" s="31" t="n">
        <v>45716</v>
      </c>
      <c r="F1523" s="32" t="s">
        <v>6283</v>
      </c>
      <c r="G1523" s="0" t="n">
        <v>11.5</v>
      </c>
      <c r="H1523" s="0" t="n">
        <v>11.5</v>
      </c>
      <c r="I1523" s="32" t="s">
        <v>2081</v>
      </c>
      <c r="J1523" s="32" t="s">
        <v>2081</v>
      </c>
      <c r="K1523" s="0" t="n">
        <v>0</v>
      </c>
      <c r="L1523" s="32" t="s">
        <v>747</v>
      </c>
      <c r="M1523" s="0" t="str">
        <f aca="false">IF(L1523="GEN","GM",L1523)</f>
        <v>GM</v>
      </c>
    </row>
    <row r="1524" customFormat="false" ht="15" hidden="false" customHeight="false" outlineLevel="0" collapsed="false">
      <c r="A1524" s="0" t="s">
        <v>9303</v>
      </c>
      <c r="B1524" s="0" t="s">
        <v>9304</v>
      </c>
      <c r="C1524" s="0" t="s">
        <v>6295</v>
      </c>
      <c r="D1524" s="0" t="s">
        <v>2104</v>
      </c>
      <c r="E1524" s="31" t="n">
        <v>45716</v>
      </c>
      <c r="F1524" s="32" t="s">
        <v>6287</v>
      </c>
      <c r="G1524" s="0" t="n">
        <v>7.5</v>
      </c>
      <c r="H1524" s="0" t="n">
        <v>7.5</v>
      </c>
      <c r="I1524" s="32" t="s">
        <v>2081</v>
      </c>
      <c r="J1524" s="32" t="s">
        <v>2081</v>
      </c>
      <c r="K1524" s="0" t="n">
        <v>0</v>
      </c>
      <c r="L1524" s="32" t="s">
        <v>747</v>
      </c>
      <c r="M1524" s="0" t="str">
        <f aca="false">IF(L1524="GEN","GM",L1524)</f>
        <v>GM</v>
      </c>
    </row>
    <row r="1525" customFormat="false" ht="15" hidden="false" customHeight="false" outlineLevel="0" collapsed="false">
      <c r="A1525" s="0" t="s">
        <v>9305</v>
      </c>
      <c r="B1525" s="0" t="s">
        <v>9306</v>
      </c>
      <c r="C1525" s="0" t="s">
        <v>6295</v>
      </c>
      <c r="D1525" s="0" t="s">
        <v>3035</v>
      </c>
      <c r="E1525" s="31" t="n">
        <v>45716</v>
      </c>
      <c r="F1525" s="32" t="s">
        <v>1125</v>
      </c>
      <c r="G1525" s="0" t="n">
        <v>12</v>
      </c>
      <c r="H1525" s="0" t="n">
        <v>12</v>
      </c>
      <c r="I1525" s="32" t="s">
        <v>2081</v>
      </c>
      <c r="J1525" s="32" t="s">
        <v>2081</v>
      </c>
      <c r="K1525" s="0" t="n">
        <v>0</v>
      </c>
      <c r="L1525" s="32" t="s">
        <v>802</v>
      </c>
      <c r="M1525" s="0" t="str">
        <f aca="false">IF(L1525="GEN","GM",L1525)</f>
        <v>GYN</v>
      </c>
    </row>
    <row r="1526" customFormat="false" ht="15" hidden="false" customHeight="false" outlineLevel="0" collapsed="false">
      <c r="A1526" s="0" t="s">
        <v>9307</v>
      </c>
      <c r="B1526" s="0" t="s">
        <v>9308</v>
      </c>
      <c r="C1526" s="0" t="s">
        <v>6290</v>
      </c>
      <c r="D1526" s="0" t="s">
        <v>3035</v>
      </c>
      <c r="E1526" s="31" t="n">
        <v>45716</v>
      </c>
      <c r="F1526" s="32" t="s">
        <v>6287</v>
      </c>
      <c r="G1526" s="0" t="n">
        <v>7.5</v>
      </c>
      <c r="H1526" s="0" t="n">
        <v>7.5</v>
      </c>
      <c r="I1526" s="32" t="s">
        <v>2081</v>
      </c>
      <c r="J1526" s="32" t="s">
        <v>2081</v>
      </c>
      <c r="K1526" s="0" t="n">
        <v>0</v>
      </c>
      <c r="L1526" s="32" t="s">
        <v>758</v>
      </c>
      <c r="M1526" s="0" t="str">
        <f aca="false">IF(L1526="GEN","GM",L1526)</f>
        <v>CS</v>
      </c>
    </row>
    <row r="1527" customFormat="false" ht="15" hidden="false" customHeight="false" outlineLevel="0" collapsed="false">
      <c r="A1527" s="0" t="s">
        <v>9309</v>
      </c>
      <c r="B1527" s="0" t="s">
        <v>9310</v>
      </c>
      <c r="C1527" s="0" t="s">
        <v>6290</v>
      </c>
      <c r="D1527" s="0" t="s">
        <v>3035</v>
      </c>
      <c r="E1527" s="31" t="n">
        <v>45716</v>
      </c>
      <c r="F1527" s="32" t="s">
        <v>6283</v>
      </c>
      <c r="G1527" s="0" t="n">
        <v>11.5</v>
      </c>
      <c r="H1527" s="0" t="n">
        <v>12.3</v>
      </c>
      <c r="I1527" s="32" t="s">
        <v>2081</v>
      </c>
      <c r="J1527" s="32" t="s">
        <v>2081</v>
      </c>
      <c r="K1527" s="0" t="n">
        <v>0.8</v>
      </c>
      <c r="L1527" s="32" t="s">
        <v>793</v>
      </c>
      <c r="M1527" s="0" t="str">
        <f aca="false">IF(L1527="GEN","GM",L1527)</f>
        <v>EM</v>
      </c>
    </row>
    <row r="1528" customFormat="false" ht="15" hidden="false" customHeight="false" outlineLevel="0" collapsed="false">
      <c r="A1528" s="0" t="s">
        <v>9311</v>
      </c>
      <c r="B1528" s="0" t="s">
        <v>9312</v>
      </c>
      <c r="C1528" s="0" t="s">
        <v>6282</v>
      </c>
      <c r="D1528" s="0" t="s">
        <v>3035</v>
      </c>
      <c r="E1528" s="31" t="n">
        <v>45716</v>
      </c>
      <c r="F1528" s="32" t="s">
        <v>6287</v>
      </c>
      <c r="G1528" s="0" t="n">
        <v>7.5</v>
      </c>
      <c r="H1528" s="0" t="n">
        <v>7.5</v>
      </c>
      <c r="I1528" s="32" t="s">
        <v>2081</v>
      </c>
      <c r="J1528" s="32" t="s">
        <v>2081</v>
      </c>
      <c r="K1528" s="0" t="n">
        <v>0</v>
      </c>
      <c r="L1528" s="32" t="s">
        <v>758</v>
      </c>
      <c r="M1528" s="0" t="str">
        <f aca="false">IF(L1528="GEN","GM",L1528)</f>
        <v>CS</v>
      </c>
    </row>
    <row r="1529" customFormat="false" ht="15" hidden="false" customHeight="false" outlineLevel="0" collapsed="false">
      <c r="A1529" s="0" t="s">
        <v>9313</v>
      </c>
      <c r="B1529" s="0" t="s">
        <v>9314</v>
      </c>
      <c r="C1529" s="0" t="s">
        <v>6290</v>
      </c>
      <c r="D1529" s="0" t="s">
        <v>2088</v>
      </c>
      <c r="E1529" s="31" t="n">
        <v>45717</v>
      </c>
      <c r="F1529" s="32" t="s">
        <v>6283</v>
      </c>
      <c r="G1529" s="0" t="n">
        <v>11.5</v>
      </c>
      <c r="H1529" s="0" t="n">
        <v>11.5</v>
      </c>
      <c r="I1529" s="32" t="s">
        <v>2081</v>
      </c>
      <c r="J1529" s="32" t="s">
        <v>2106</v>
      </c>
      <c r="K1529" s="0" t="n">
        <v>0</v>
      </c>
      <c r="L1529" s="32" t="s">
        <v>810</v>
      </c>
      <c r="M1529" s="0" t="str">
        <f aca="false">IF(L1529="GEN","GM",L1529)</f>
        <v>URO</v>
      </c>
    </row>
    <row r="1530" customFormat="false" ht="15" hidden="false" customHeight="false" outlineLevel="0" collapsed="false">
      <c r="A1530" s="0" t="s">
        <v>9315</v>
      </c>
      <c r="B1530" s="0" t="s">
        <v>9316</v>
      </c>
      <c r="C1530" s="0" t="s">
        <v>780</v>
      </c>
      <c r="D1530" s="0" t="s">
        <v>2088</v>
      </c>
      <c r="E1530" s="31" t="n">
        <v>45717</v>
      </c>
      <c r="F1530" s="32" t="s">
        <v>1125</v>
      </c>
      <c r="G1530" s="0" t="n">
        <v>12</v>
      </c>
      <c r="H1530" s="0" t="n">
        <v>11.4</v>
      </c>
      <c r="I1530" s="32" t="s">
        <v>2081</v>
      </c>
      <c r="J1530" s="32" t="s">
        <v>2081</v>
      </c>
      <c r="K1530" s="0" t="n">
        <v>0</v>
      </c>
      <c r="L1530" s="32" t="s">
        <v>758</v>
      </c>
      <c r="M1530" s="0" t="str">
        <f aca="false">IF(L1530="GEN","GM",L1530)</f>
        <v>CS</v>
      </c>
    </row>
    <row r="1531" customFormat="false" ht="15" hidden="false" customHeight="false" outlineLevel="0" collapsed="false">
      <c r="A1531" s="0" t="s">
        <v>9317</v>
      </c>
      <c r="B1531" s="0" t="s">
        <v>9318</v>
      </c>
      <c r="C1531" s="0" t="s">
        <v>6286</v>
      </c>
      <c r="D1531" s="0" t="s">
        <v>2088</v>
      </c>
      <c r="E1531" s="31" t="n">
        <v>45717</v>
      </c>
      <c r="F1531" s="32" t="s">
        <v>6283</v>
      </c>
      <c r="G1531" s="0" t="n">
        <v>11.5</v>
      </c>
      <c r="H1531" s="0" t="n">
        <v>11.5</v>
      </c>
      <c r="I1531" s="32" t="s">
        <v>2081</v>
      </c>
      <c r="J1531" s="32" t="s">
        <v>2081</v>
      </c>
      <c r="K1531" s="0" t="n">
        <v>0</v>
      </c>
      <c r="L1531" s="32" t="s">
        <v>766</v>
      </c>
      <c r="M1531" s="0" t="str">
        <f aca="false">IF(L1531="GEN","GM",L1531)</f>
        <v>OR</v>
      </c>
    </row>
    <row r="1532" customFormat="false" ht="15" hidden="false" customHeight="false" outlineLevel="0" collapsed="false">
      <c r="A1532" s="0" t="s">
        <v>9319</v>
      </c>
      <c r="B1532" s="0" t="s">
        <v>9320</v>
      </c>
      <c r="C1532" s="0" t="s">
        <v>6295</v>
      </c>
      <c r="D1532" s="0" t="s">
        <v>2079</v>
      </c>
      <c r="E1532" s="31" t="n">
        <v>45717</v>
      </c>
      <c r="F1532" s="32" t="s">
        <v>6283</v>
      </c>
      <c r="G1532" s="0" t="n">
        <v>11.5</v>
      </c>
      <c r="H1532" s="0" t="n">
        <v>10.2</v>
      </c>
      <c r="I1532" s="32" t="s">
        <v>2081</v>
      </c>
      <c r="J1532" s="32" t="s">
        <v>2081</v>
      </c>
      <c r="K1532" s="0" t="n">
        <v>0</v>
      </c>
      <c r="L1532" s="32" t="s">
        <v>758</v>
      </c>
      <c r="M1532" s="0" t="str">
        <f aca="false">IF(L1532="GEN","GM",L1532)</f>
        <v>CS</v>
      </c>
    </row>
    <row r="1533" customFormat="false" ht="15" hidden="false" customHeight="false" outlineLevel="0" collapsed="false">
      <c r="A1533" s="0" t="s">
        <v>9321</v>
      </c>
      <c r="B1533" s="0" t="s">
        <v>9322</v>
      </c>
      <c r="C1533" s="0" t="s">
        <v>6286</v>
      </c>
      <c r="D1533" s="0" t="s">
        <v>2079</v>
      </c>
      <c r="E1533" s="31" t="n">
        <v>45717</v>
      </c>
      <c r="F1533" s="32" t="s">
        <v>6287</v>
      </c>
      <c r="G1533" s="0" t="n">
        <v>7.5</v>
      </c>
      <c r="H1533" s="0" t="n">
        <v>7.5</v>
      </c>
      <c r="I1533" s="32" t="s">
        <v>2081</v>
      </c>
      <c r="J1533" s="32" t="s">
        <v>2081</v>
      </c>
      <c r="K1533" s="0" t="n">
        <v>0</v>
      </c>
      <c r="L1533" s="32" t="s">
        <v>776</v>
      </c>
      <c r="M1533" s="0" t="str">
        <f aca="false">IF(L1533="GEN","GM",L1533)</f>
        <v>GS</v>
      </c>
    </row>
    <row r="1534" customFormat="false" ht="15" hidden="false" customHeight="false" outlineLevel="0" collapsed="false">
      <c r="A1534" s="0" t="s">
        <v>9323</v>
      </c>
      <c r="B1534" s="0" t="s">
        <v>9324</v>
      </c>
      <c r="C1534" s="0" t="s">
        <v>780</v>
      </c>
      <c r="D1534" s="0" t="s">
        <v>2079</v>
      </c>
      <c r="E1534" s="31" t="n">
        <v>45717</v>
      </c>
      <c r="F1534" s="32" t="s">
        <v>6287</v>
      </c>
      <c r="G1534" s="0" t="n">
        <v>7.5</v>
      </c>
      <c r="H1534" s="0" t="n">
        <v>6.7</v>
      </c>
      <c r="I1534" s="32" t="s">
        <v>2081</v>
      </c>
      <c r="J1534" s="32" t="s">
        <v>2081</v>
      </c>
      <c r="K1534" s="0" t="n">
        <v>0</v>
      </c>
      <c r="L1534" s="32" t="s">
        <v>793</v>
      </c>
      <c r="M1534" s="0" t="str">
        <f aca="false">IF(L1534="GEN","GM",L1534)</f>
        <v>EM</v>
      </c>
    </row>
    <row r="1535" customFormat="false" ht="15" hidden="false" customHeight="false" outlineLevel="0" collapsed="false">
      <c r="A1535" s="0" t="s">
        <v>9325</v>
      </c>
      <c r="B1535" s="0" t="s">
        <v>9326</v>
      </c>
      <c r="C1535" s="0" t="s">
        <v>6295</v>
      </c>
      <c r="D1535" s="0" t="s">
        <v>2099</v>
      </c>
      <c r="E1535" s="31" t="n">
        <v>45717</v>
      </c>
      <c r="F1535" s="32" t="s">
        <v>6287</v>
      </c>
      <c r="G1535" s="0" t="n">
        <v>7.5</v>
      </c>
      <c r="H1535" s="0" t="n">
        <v>7.5</v>
      </c>
      <c r="I1535" s="32" t="s">
        <v>2081</v>
      </c>
      <c r="J1535" s="32" t="s">
        <v>2081</v>
      </c>
      <c r="K1535" s="0" t="n">
        <v>0</v>
      </c>
      <c r="L1535" s="32" t="s">
        <v>802</v>
      </c>
      <c r="M1535" s="0" t="str">
        <f aca="false">IF(L1535="GEN","GM",L1535)</f>
        <v>GYN</v>
      </c>
    </row>
    <row r="1536" customFormat="false" ht="15" hidden="false" customHeight="false" outlineLevel="0" collapsed="false">
      <c r="A1536" s="0" t="s">
        <v>9327</v>
      </c>
      <c r="B1536" s="0" t="s">
        <v>9328</v>
      </c>
      <c r="C1536" s="0" t="s">
        <v>6295</v>
      </c>
      <c r="D1536" s="0" t="s">
        <v>2099</v>
      </c>
      <c r="E1536" s="31" t="n">
        <v>45717</v>
      </c>
      <c r="F1536" s="32" t="s">
        <v>1125</v>
      </c>
      <c r="G1536" s="0" t="n">
        <v>12</v>
      </c>
      <c r="H1536" s="0" t="n">
        <v>12</v>
      </c>
      <c r="I1536" s="32" t="s">
        <v>2081</v>
      </c>
      <c r="J1536" s="32" t="s">
        <v>2081</v>
      </c>
      <c r="K1536" s="0" t="n">
        <v>0</v>
      </c>
      <c r="L1536" s="32" t="s">
        <v>785</v>
      </c>
      <c r="M1536" s="0" t="str">
        <f aca="false">IF(L1536="GEN","GM",L1536)</f>
        <v>RS</v>
      </c>
    </row>
    <row r="1537" customFormat="false" ht="15" hidden="false" customHeight="false" outlineLevel="0" collapsed="false">
      <c r="A1537" s="0" t="s">
        <v>9329</v>
      </c>
      <c r="B1537" s="0" t="s">
        <v>9330</v>
      </c>
      <c r="C1537" s="0" t="s">
        <v>780</v>
      </c>
      <c r="D1537" s="0" t="s">
        <v>2099</v>
      </c>
      <c r="E1537" s="31" t="n">
        <v>45717</v>
      </c>
      <c r="F1537" s="32" t="s">
        <v>6283</v>
      </c>
      <c r="G1537" s="0" t="n">
        <v>11.5</v>
      </c>
      <c r="H1537" s="0" t="n">
        <v>11.5</v>
      </c>
      <c r="I1537" s="32" t="s">
        <v>2081</v>
      </c>
      <c r="J1537" s="32" t="s">
        <v>2081</v>
      </c>
      <c r="K1537" s="0" t="n">
        <v>0</v>
      </c>
      <c r="L1537" s="32" t="s">
        <v>802</v>
      </c>
      <c r="M1537" s="0" t="str">
        <f aca="false">IF(L1537="GEN","GM",L1537)</f>
        <v>GYN</v>
      </c>
    </row>
    <row r="1538" customFormat="false" ht="15" hidden="false" customHeight="false" outlineLevel="0" collapsed="false">
      <c r="A1538" s="0" t="s">
        <v>9331</v>
      </c>
      <c r="B1538" s="0" t="s">
        <v>9332</v>
      </c>
      <c r="C1538" s="0" t="s">
        <v>780</v>
      </c>
      <c r="D1538" s="0" t="s">
        <v>2115</v>
      </c>
      <c r="E1538" s="31" t="n">
        <v>45717</v>
      </c>
      <c r="F1538" s="32" t="s">
        <v>1125</v>
      </c>
      <c r="G1538" s="0" t="n">
        <v>12</v>
      </c>
      <c r="H1538" s="0" t="n">
        <v>12</v>
      </c>
      <c r="I1538" s="32" t="s">
        <v>2081</v>
      </c>
      <c r="J1538" s="32" t="s">
        <v>2081</v>
      </c>
      <c r="K1538" s="0" t="n">
        <v>0</v>
      </c>
      <c r="L1538" s="32" t="s">
        <v>747</v>
      </c>
      <c r="M1538" s="0" t="str">
        <f aca="false">IF(L1538="GEN","GM",L1538)</f>
        <v>GM</v>
      </c>
    </row>
    <row r="1539" customFormat="false" ht="15" hidden="false" customHeight="false" outlineLevel="0" collapsed="false">
      <c r="A1539" s="0" t="s">
        <v>9333</v>
      </c>
      <c r="B1539" s="0" t="s">
        <v>9334</v>
      </c>
      <c r="C1539" s="0" t="s">
        <v>6282</v>
      </c>
      <c r="D1539" s="0" t="s">
        <v>2115</v>
      </c>
      <c r="E1539" s="31" t="n">
        <v>45717</v>
      </c>
      <c r="F1539" s="32" t="s">
        <v>1125</v>
      </c>
      <c r="G1539" s="0" t="n">
        <v>12</v>
      </c>
      <c r="H1539" s="0" t="n">
        <v>12</v>
      </c>
      <c r="I1539" s="32" t="s">
        <v>2081</v>
      </c>
      <c r="J1539" s="32" t="s">
        <v>2081</v>
      </c>
      <c r="K1539" s="0" t="n">
        <v>0</v>
      </c>
      <c r="L1539" s="32" t="s">
        <v>747</v>
      </c>
      <c r="M1539" s="0" t="str">
        <f aca="false">IF(L1539="GEN","GM",L1539)</f>
        <v>GM</v>
      </c>
    </row>
    <row r="1540" customFormat="false" ht="15" hidden="false" customHeight="false" outlineLevel="0" collapsed="false">
      <c r="A1540" s="0" t="s">
        <v>9335</v>
      </c>
      <c r="B1540" s="0" t="s">
        <v>9336</v>
      </c>
      <c r="C1540" s="0" t="s">
        <v>6286</v>
      </c>
      <c r="D1540" s="0" t="s">
        <v>2115</v>
      </c>
      <c r="E1540" s="31" t="n">
        <v>45717</v>
      </c>
      <c r="F1540" s="32" t="s">
        <v>6287</v>
      </c>
      <c r="G1540" s="0" t="n">
        <v>7.5</v>
      </c>
      <c r="H1540" s="0" t="n">
        <v>7.5</v>
      </c>
      <c r="I1540" s="32" t="s">
        <v>2081</v>
      </c>
      <c r="J1540" s="32" t="s">
        <v>2081</v>
      </c>
      <c r="K1540" s="0" t="n">
        <v>0</v>
      </c>
      <c r="L1540" s="32" t="s">
        <v>793</v>
      </c>
      <c r="M1540" s="0" t="str">
        <f aca="false">IF(L1540="GEN","GM",L1540)</f>
        <v>EM</v>
      </c>
    </row>
    <row r="1541" customFormat="false" ht="15" hidden="false" customHeight="false" outlineLevel="0" collapsed="false">
      <c r="A1541" s="0" t="s">
        <v>9337</v>
      </c>
      <c r="B1541" s="0" t="s">
        <v>9338</v>
      </c>
      <c r="C1541" s="0" t="s">
        <v>6286</v>
      </c>
      <c r="D1541" s="0" t="s">
        <v>2115</v>
      </c>
      <c r="E1541" s="31" t="n">
        <v>45717</v>
      </c>
      <c r="F1541" s="32" t="s">
        <v>1125</v>
      </c>
      <c r="G1541" s="0" t="n">
        <v>12</v>
      </c>
      <c r="H1541" s="0" t="n">
        <v>12</v>
      </c>
      <c r="I1541" s="32" t="s">
        <v>2106</v>
      </c>
      <c r="J1541" s="32" t="s">
        <v>2081</v>
      </c>
      <c r="K1541" s="0" t="n">
        <v>0</v>
      </c>
      <c r="L1541" s="32" t="s">
        <v>802</v>
      </c>
      <c r="M1541" s="0" t="str">
        <f aca="false">IF(L1541="GEN","GM",L1541)</f>
        <v>GYN</v>
      </c>
    </row>
    <row r="1542" customFormat="false" ht="15" hidden="false" customHeight="false" outlineLevel="0" collapsed="false">
      <c r="A1542" s="0" t="s">
        <v>9339</v>
      </c>
      <c r="B1542" s="0" t="s">
        <v>9340</v>
      </c>
      <c r="C1542" s="0" t="s">
        <v>6295</v>
      </c>
      <c r="D1542" s="0" t="s">
        <v>2124</v>
      </c>
      <c r="E1542" s="31" t="n">
        <v>45717</v>
      </c>
      <c r="F1542" s="32" t="s">
        <v>6287</v>
      </c>
      <c r="G1542" s="0" t="n">
        <v>7.5</v>
      </c>
      <c r="H1542" s="0" t="n">
        <v>7.5</v>
      </c>
      <c r="I1542" s="32" t="s">
        <v>2081</v>
      </c>
      <c r="J1542" s="32" t="s">
        <v>2081</v>
      </c>
      <c r="K1542" s="0" t="n">
        <v>0</v>
      </c>
      <c r="L1542" s="32" t="s">
        <v>1391</v>
      </c>
      <c r="M1542" s="0" t="str">
        <f aca="false">IF(L1542="GEN","GM",L1542)</f>
        <v>GM</v>
      </c>
    </row>
    <row r="1543" customFormat="false" ht="15" hidden="false" customHeight="false" outlineLevel="0" collapsed="false">
      <c r="A1543" s="0" t="s">
        <v>9341</v>
      </c>
      <c r="B1543" s="0" t="s">
        <v>9342</v>
      </c>
      <c r="C1543" s="0" t="s">
        <v>6290</v>
      </c>
      <c r="D1543" s="0" t="s">
        <v>2124</v>
      </c>
      <c r="E1543" s="31" t="n">
        <v>45717</v>
      </c>
      <c r="F1543" s="32" t="s">
        <v>6283</v>
      </c>
      <c r="G1543" s="0" t="n">
        <v>11.5</v>
      </c>
      <c r="H1543" s="0" t="n">
        <v>11.5</v>
      </c>
      <c r="I1543" s="32" t="s">
        <v>2106</v>
      </c>
      <c r="J1543" s="32" t="s">
        <v>2081</v>
      </c>
      <c r="K1543" s="0" t="n">
        <v>0</v>
      </c>
      <c r="L1543" s="32" t="s">
        <v>826</v>
      </c>
      <c r="M1543" s="0" t="str">
        <f aca="false">IF(L1543="GEN","GM",L1543)</f>
        <v>RHE</v>
      </c>
    </row>
    <row r="1544" customFormat="false" ht="15" hidden="false" customHeight="false" outlineLevel="0" collapsed="false">
      <c r="A1544" s="0" t="s">
        <v>9343</v>
      </c>
      <c r="B1544" s="0" t="s">
        <v>9344</v>
      </c>
      <c r="C1544" s="0" t="s">
        <v>6290</v>
      </c>
      <c r="D1544" s="0" t="s">
        <v>2124</v>
      </c>
      <c r="E1544" s="31" t="n">
        <v>45717</v>
      </c>
      <c r="F1544" s="32" t="s">
        <v>6283</v>
      </c>
      <c r="G1544" s="0" t="n">
        <v>11.5</v>
      </c>
      <c r="H1544" s="0" t="n">
        <v>11.5</v>
      </c>
      <c r="I1544" s="32" t="s">
        <v>2081</v>
      </c>
      <c r="J1544" s="32" t="s">
        <v>2081</v>
      </c>
      <c r="K1544" s="0" t="n">
        <v>0</v>
      </c>
      <c r="L1544" s="32" t="s">
        <v>802</v>
      </c>
      <c r="M1544" s="0" t="str">
        <f aca="false">IF(L1544="GEN","GM",L1544)</f>
        <v>GYN</v>
      </c>
    </row>
    <row r="1545" customFormat="false" ht="15" hidden="false" customHeight="false" outlineLevel="0" collapsed="false">
      <c r="A1545" s="0" t="s">
        <v>9345</v>
      </c>
      <c r="B1545" s="0" t="s">
        <v>9346</v>
      </c>
      <c r="C1545" s="0" t="s">
        <v>6286</v>
      </c>
      <c r="D1545" s="0" t="s">
        <v>2124</v>
      </c>
      <c r="E1545" s="31" t="n">
        <v>45717</v>
      </c>
      <c r="F1545" s="32" t="s">
        <v>6283</v>
      </c>
      <c r="G1545" s="0" t="n">
        <v>11.5</v>
      </c>
      <c r="H1545" s="0" t="n">
        <v>11.5</v>
      </c>
      <c r="I1545" s="32" t="s">
        <v>2081</v>
      </c>
      <c r="J1545" s="32" t="s">
        <v>2106</v>
      </c>
      <c r="K1545" s="0" t="n">
        <v>0</v>
      </c>
      <c r="L1545" s="32" t="s">
        <v>776</v>
      </c>
      <c r="M1545" s="0" t="str">
        <f aca="false">IF(L1545="GEN","GM",L1545)</f>
        <v>GS</v>
      </c>
    </row>
    <row r="1546" customFormat="false" ht="15" hidden="false" customHeight="false" outlineLevel="0" collapsed="false">
      <c r="A1546" s="0" t="s">
        <v>9347</v>
      </c>
      <c r="B1546" s="0" t="s">
        <v>9348</v>
      </c>
      <c r="C1546" s="0" t="s">
        <v>6282</v>
      </c>
      <c r="D1546" s="0" t="s">
        <v>2104</v>
      </c>
      <c r="E1546" s="31" t="n">
        <v>45717</v>
      </c>
      <c r="F1546" s="32" t="s">
        <v>6283</v>
      </c>
      <c r="G1546" s="0" t="n">
        <v>11.5</v>
      </c>
      <c r="H1546" s="0" t="n">
        <v>11.5</v>
      </c>
      <c r="I1546" s="32" t="s">
        <v>2106</v>
      </c>
      <c r="J1546" s="32" t="s">
        <v>2081</v>
      </c>
      <c r="K1546" s="0" t="n">
        <v>0</v>
      </c>
      <c r="L1546" s="32" t="s">
        <v>747</v>
      </c>
      <c r="M1546" s="0" t="str">
        <f aca="false">IF(L1546="GEN","GM",L1546)</f>
        <v>GM</v>
      </c>
    </row>
    <row r="1547" customFormat="false" ht="15" hidden="false" customHeight="false" outlineLevel="0" collapsed="false">
      <c r="A1547" s="0" t="s">
        <v>9349</v>
      </c>
      <c r="B1547" s="0" t="s">
        <v>9350</v>
      </c>
      <c r="C1547" s="0" t="s">
        <v>6286</v>
      </c>
      <c r="D1547" s="0" t="s">
        <v>2104</v>
      </c>
      <c r="E1547" s="31" t="n">
        <v>45717</v>
      </c>
      <c r="F1547" s="32" t="s">
        <v>1125</v>
      </c>
      <c r="G1547" s="0" t="n">
        <v>12</v>
      </c>
      <c r="H1547" s="0" t="n">
        <v>12</v>
      </c>
      <c r="I1547" s="32" t="s">
        <v>2081</v>
      </c>
      <c r="J1547" s="32" t="s">
        <v>2081</v>
      </c>
      <c r="K1547" s="0" t="n">
        <v>0</v>
      </c>
      <c r="L1547" s="32" t="s">
        <v>747</v>
      </c>
      <c r="M1547" s="0" t="str">
        <f aca="false">IF(L1547="GEN","GM",L1547)</f>
        <v>GM</v>
      </c>
    </row>
    <row r="1548" customFormat="false" ht="15" hidden="false" customHeight="false" outlineLevel="0" collapsed="false">
      <c r="A1548" s="0" t="s">
        <v>9351</v>
      </c>
      <c r="B1548" s="0" t="s">
        <v>6524</v>
      </c>
      <c r="C1548" s="0" t="s">
        <v>6295</v>
      </c>
      <c r="D1548" s="0" t="s">
        <v>2104</v>
      </c>
      <c r="E1548" s="31" t="n">
        <v>45717</v>
      </c>
      <c r="F1548" s="32" t="s">
        <v>6287</v>
      </c>
      <c r="G1548" s="0" t="n">
        <v>7.5</v>
      </c>
      <c r="H1548" s="0" t="n">
        <v>9.1</v>
      </c>
      <c r="I1548" s="32" t="s">
        <v>2081</v>
      </c>
      <c r="J1548" s="32" t="s">
        <v>2106</v>
      </c>
      <c r="K1548" s="0" t="n">
        <v>1.6</v>
      </c>
      <c r="L1548" s="32" t="s">
        <v>826</v>
      </c>
      <c r="M1548" s="0" t="str">
        <f aca="false">IF(L1548="GEN","GM",L1548)</f>
        <v>RHE</v>
      </c>
    </row>
    <row r="1549" customFormat="false" ht="15" hidden="false" customHeight="false" outlineLevel="0" collapsed="false">
      <c r="A1549" s="0" t="s">
        <v>9352</v>
      </c>
      <c r="B1549" s="0" t="s">
        <v>9353</v>
      </c>
      <c r="C1549" s="0" t="s">
        <v>6282</v>
      </c>
      <c r="D1549" s="0" t="s">
        <v>3035</v>
      </c>
      <c r="E1549" s="31" t="n">
        <v>45717</v>
      </c>
      <c r="F1549" s="32" t="s">
        <v>6283</v>
      </c>
      <c r="G1549" s="0" t="n">
        <v>11.5</v>
      </c>
      <c r="H1549" s="0" t="n">
        <v>11.5</v>
      </c>
      <c r="I1549" s="32" t="s">
        <v>2081</v>
      </c>
      <c r="J1549" s="32" t="s">
        <v>2081</v>
      </c>
      <c r="K1549" s="0" t="n">
        <v>0</v>
      </c>
      <c r="L1549" s="32" t="s">
        <v>766</v>
      </c>
      <c r="M1549" s="0" t="str">
        <f aca="false">IF(L1549="GEN","GM",L1549)</f>
        <v>OR</v>
      </c>
    </row>
    <row r="1550" customFormat="false" ht="15" hidden="false" customHeight="false" outlineLevel="0" collapsed="false">
      <c r="A1550" s="0" t="s">
        <v>9354</v>
      </c>
      <c r="B1550" s="0" t="s">
        <v>9355</v>
      </c>
      <c r="C1550" s="0" t="s">
        <v>6286</v>
      </c>
      <c r="D1550" s="0" t="s">
        <v>3035</v>
      </c>
      <c r="E1550" s="31" t="n">
        <v>45717</v>
      </c>
      <c r="F1550" s="32" t="s">
        <v>6287</v>
      </c>
      <c r="G1550" s="0" t="n">
        <v>7.5</v>
      </c>
      <c r="H1550" s="0" t="n">
        <v>7.5</v>
      </c>
      <c r="I1550" s="32" t="s">
        <v>2081</v>
      </c>
      <c r="J1550" s="32" t="s">
        <v>2106</v>
      </c>
      <c r="K1550" s="0" t="n">
        <v>0</v>
      </c>
      <c r="L1550" s="32" t="s">
        <v>810</v>
      </c>
      <c r="M1550" s="0" t="str">
        <f aca="false">IF(L1550="GEN","GM",L1550)</f>
        <v>URO</v>
      </c>
    </row>
    <row r="1551" customFormat="false" ht="15" hidden="false" customHeight="false" outlineLevel="0" collapsed="false">
      <c r="A1551" s="0" t="s">
        <v>9356</v>
      </c>
      <c r="B1551" s="0" t="s">
        <v>9357</v>
      </c>
      <c r="C1551" s="0" t="s">
        <v>6286</v>
      </c>
      <c r="D1551" s="0" t="s">
        <v>3035</v>
      </c>
      <c r="E1551" s="31" t="n">
        <v>45717</v>
      </c>
      <c r="F1551" s="32" t="s">
        <v>1125</v>
      </c>
      <c r="G1551" s="0" t="n">
        <v>12</v>
      </c>
      <c r="H1551" s="0" t="n">
        <v>12.5</v>
      </c>
      <c r="I1551" s="32" t="s">
        <v>2081</v>
      </c>
      <c r="J1551" s="32" t="s">
        <v>2081</v>
      </c>
      <c r="K1551" s="0" t="n">
        <v>0.5</v>
      </c>
      <c r="L1551" s="32" t="s">
        <v>802</v>
      </c>
      <c r="M1551" s="0" t="str">
        <f aca="false">IF(L1551="GEN","GM",L1551)</f>
        <v>GYN</v>
      </c>
    </row>
    <row r="1552" customFormat="false" ht="15" hidden="false" customHeight="false" outlineLevel="0" collapsed="false">
      <c r="A1552" s="0" t="s">
        <v>9358</v>
      </c>
      <c r="B1552" s="0" t="s">
        <v>9359</v>
      </c>
      <c r="C1552" s="0" t="s">
        <v>6290</v>
      </c>
      <c r="D1552" s="0" t="s">
        <v>3035</v>
      </c>
      <c r="E1552" s="31" t="n">
        <v>45717</v>
      </c>
      <c r="F1552" s="32" t="s">
        <v>6287</v>
      </c>
      <c r="G1552" s="0" t="n">
        <v>7.5</v>
      </c>
      <c r="H1552" s="0" t="n">
        <v>7.5</v>
      </c>
      <c r="I1552" s="32" t="s">
        <v>2081</v>
      </c>
      <c r="J1552" s="32" t="s">
        <v>2081</v>
      </c>
      <c r="K1552" s="0" t="n">
        <v>0</v>
      </c>
      <c r="L1552" s="32" t="s">
        <v>785</v>
      </c>
      <c r="M1552" s="0" t="str">
        <f aca="false">IF(L1552="GEN","GM",L1552)</f>
        <v>RS</v>
      </c>
    </row>
    <row r="1553" customFormat="false" ht="15" hidden="false" customHeight="false" outlineLevel="0" collapsed="false">
      <c r="A1553" s="0" t="s">
        <v>9360</v>
      </c>
      <c r="B1553" s="0" t="s">
        <v>9361</v>
      </c>
      <c r="C1553" s="0" t="s">
        <v>6290</v>
      </c>
      <c r="D1553" s="0" t="s">
        <v>3035</v>
      </c>
      <c r="E1553" s="31" t="n">
        <v>45717</v>
      </c>
      <c r="F1553" s="32" t="s">
        <v>1125</v>
      </c>
      <c r="G1553" s="0" t="n">
        <v>12</v>
      </c>
      <c r="H1553" s="0" t="n">
        <v>12</v>
      </c>
      <c r="I1553" s="32" t="s">
        <v>2081</v>
      </c>
      <c r="J1553" s="32" t="s">
        <v>2081</v>
      </c>
      <c r="K1553" s="0" t="n">
        <v>0</v>
      </c>
      <c r="L1553" s="32" t="s">
        <v>747</v>
      </c>
      <c r="M1553" s="0" t="str">
        <f aca="false">IF(L1553="GEN","GM",L1553)</f>
        <v>GM</v>
      </c>
    </row>
    <row r="1554" customFormat="false" ht="15" hidden="false" customHeight="false" outlineLevel="0" collapsed="false">
      <c r="A1554" s="0" t="s">
        <v>9362</v>
      </c>
      <c r="B1554" s="0" t="s">
        <v>9363</v>
      </c>
      <c r="C1554" s="0" t="s">
        <v>6282</v>
      </c>
      <c r="D1554" s="0" t="s">
        <v>2088</v>
      </c>
      <c r="E1554" s="31" t="n">
        <v>45718</v>
      </c>
      <c r="F1554" s="32" t="s">
        <v>6283</v>
      </c>
      <c r="G1554" s="0" t="n">
        <v>11.5</v>
      </c>
      <c r="H1554" s="0" t="n">
        <v>11.5</v>
      </c>
      <c r="I1554" s="32" t="s">
        <v>2081</v>
      </c>
      <c r="J1554" s="32" t="s">
        <v>2081</v>
      </c>
      <c r="K1554" s="0" t="n">
        <v>0</v>
      </c>
      <c r="L1554" s="32" t="s">
        <v>766</v>
      </c>
      <c r="M1554" s="0" t="str">
        <f aca="false">IF(L1554="GEN","GM",L1554)</f>
        <v>OR</v>
      </c>
    </row>
    <row r="1555" customFormat="false" ht="15" hidden="false" customHeight="false" outlineLevel="0" collapsed="false">
      <c r="A1555" s="0" t="s">
        <v>9364</v>
      </c>
      <c r="B1555" s="0" t="s">
        <v>9365</v>
      </c>
      <c r="C1555" s="0" t="s">
        <v>6295</v>
      </c>
      <c r="D1555" s="0" t="s">
        <v>2088</v>
      </c>
      <c r="E1555" s="31" t="n">
        <v>45718</v>
      </c>
      <c r="F1555" s="32" t="s">
        <v>1125</v>
      </c>
      <c r="G1555" s="0" t="n">
        <v>12</v>
      </c>
      <c r="H1555" s="0" t="n">
        <v>12.5</v>
      </c>
      <c r="I1555" s="32" t="s">
        <v>2081</v>
      </c>
      <c r="J1555" s="32" t="s">
        <v>2081</v>
      </c>
      <c r="K1555" s="0" t="n">
        <v>0.5</v>
      </c>
      <c r="L1555" s="32" t="s">
        <v>766</v>
      </c>
      <c r="M1555" s="0" t="str">
        <f aca="false">IF(L1555="GEN","GM",L1555)</f>
        <v>OR</v>
      </c>
    </row>
    <row r="1556" customFormat="false" ht="15" hidden="false" customHeight="false" outlineLevel="0" collapsed="false">
      <c r="A1556" s="0" t="s">
        <v>9366</v>
      </c>
      <c r="B1556" s="0" t="s">
        <v>9367</v>
      </c>
      <c r="C1556" s="0" t="s">
        <v>6295</v>
      </c>
      <c r="D1556" s="0" t="s">
        <v>2088</v>
      </c>
      <c r="E1556" s="31" t="n">
        <v>45718</v>
      </c>
      <c r="F1556" s="32" t="s">
        <v>1125</v>
      </c>
      <c r="G1556" s="0" t="n">
        <v>12</v>
      </c>
      <c r="H1556" s="0" t="n">
        <v>12.5</v>
      </c>
      <c r="I1556" s="32" t="s">
        <v>2081</v>
      </c>
      <c r="J1556" s="32" t="s">
        <v>2081</v>
      </c>
      <c r="K1556" s="0" t="n">
        <v>0.5</v>
      </c>
      <c r="L1556" s="32" t="s">
        <v>785</v>
      </c>
      <c r="M1556" s="0" t="str">
        <f aca="false">IF(L1556="GEN","GM",L1556)</f>
        <v>RS</v>
      </c>
    </row>
    <row r="1557" customFormat="false" ht="15" hidden="false" customHeight="false" outlineLevel="0" collapsed="false">
      <c r="A1557" s="0" t="s">
        <v>9368</v>
      </c>
      <c r="B1557" s="0" t="s">
        <v>9369</v>
      </c>
      <c r="C1557" s="0" t="s">
        <v>780</v>
      </c>
      <c r="D1557" s="0" t="s">
        <v>2088</v>
      </c>
      <c r="E1557" s="31" t="n">
        <v>45718</v>
      </c>
      <c r="F1557" s="32" t="s">
        <v>6283</v>
      </c>
      <c r="G1557" s="0" t="n">
        <v>11.5</v>
      </c>
      <c r="H1557" s="0" t="n">
        <v>11.5</v>
      </c>
      <c r="I1557" s="32" t="s">
        <v>2081</v>
      </c>
      <c r="J1557" s="32" t="s">
        <v>2081</v>
      </c>
      <c r="K1557" s="0" t="n">
        <v>0</v>
      </c>
      <c r="L1557" s="32" t="s">
        <v>747</v>
      </c>
      <c r="M1557" s="0" t="str">
        <f aca="false">IF(L1557="GEN","GM",L1557)</f>
        <v>GM</v>
      </c>
    </row>
    <row r="1558" customFormat="false" ht="15" hidden="false" customHeight="false" outlineLevel="0" collapsed="false">
      <c r="A1558" s="0" t="s">
        <v>9370</v>
      </c>
      <c r="B1558" s="0" t="s">
        <v>9371</v>
      </c>
      <c r="C1558" s="0" t="s">
        <v>6295</v>
      </c>
      <c r="D1558" s="0" t="s">
        <v>2088</v>
      </c>
      <c r="E1558" s="31" t="n">
        <v>45718</v>
      </c>
      <c r="F1558" s="32" t="s">
        <v>6283</v>
      </c>
      <c r="G1558" s="0" t="n">
        <v>11.5</v>
      </c>
      <c r="H1558" s="0" t="n">
        <v>11.5</v>
      </c>
      <c r="I1558" s="32" t="s">
        <v>2106</v>
      </c>
      <c r="J1558" s="32" t="s">
        <v>2081</v>
      </c>
      <c r="K1558" s="0" t="n">
        <v>0</v>
      </c>
      <c r="L1558" s="32" t="s">
        <v>766</v>
      </c>
      <c r="M1558" s="0" t="str">
        <f aca="false">IF(L1558="GEN","GM",L1558)</f>
        <v>OR</v>
      </c>
    </row>
    <row r="1559" customFormat="false" ht="15" hidden="false" customHeight="false" outlineLevel="0" collapsed="false">
      <c r="A1559" s="0" t="s">
        <v>9372</v>
      </c>
      <c r="B1559" s="0" t="s">
        <v>9373</v>
      </c>
      <c r="C1559" s="0" t="s">
        <v>6295</v>
      </c>
      <c r="D1559" s="0" t="s">
        <v>2079</v>
      </c>
      <c r="E1559" s="31" t="n">
        <v>45718</v>
      </c>
      <c r="F1559" s="32" t="s">
        <v>1125</v>
      </c>
      <c r="G1559" s="0" t="n">
        <v>12</v>
      </c>
      <c r="H1559" s="0" t="n">
        <v>12</v>
      </c>
      <c r="I1559" s="32" t="s">
        <v>2081</v>
      </c>
      <c r="J1559" s="32" t="s">
        <v>2081</v>
      </c>
      <c r="K1559" s="0" t="n">
        <v>0</v>
      </c>
      <c r="L1559" s="32" t="s">
        <v>826</v>
      </c>
      <c r="M1559" s="0" t="str">
        <f aca="false">IF(L1559="GEN","GM",L1559)</f>
        <v>RHE</v>
      </c>
    </row>
    <row r="1560" customFormat="false" ht="15" hidden="false" customHeight="false" outlineLevel="0" collapsed="false">
      <c r="A1560" s="0" t="s">
        <v>9374</v>
      </c>
      <c r="B1560" s="0" t="s">
        <v>9375</v>
      </c>
      <c r="C1560" s="0" t="s">
        <v>6290</v>
      </c>
      <c r="D1560" s="0" t="s">
        <v>2079</v>
      </c>
      <c r="E1560" s="31" t="n">
        <v>45718</v>
      </c>
      <c r="F1560" s="32" t="s">
        <v>6287</v>
      </c>
      <c r="G1560" s="0" t="n">
        <v>7.5</v>
      </c>
      <c r="H1560" s="0" t="n">
        <v>7.5</v>
      </c>
      <c r="I1560" s="32" t="s">
        <v>2081</v>
      </c>
      <c r="J1560" s="32" t="s">
        <v>2081</v>
      </c>
      <c r="K1560" s="0" t="n">
        <v>0</v>
      </c>
      <c r="L1560" s="32" t="s">
        <v>785</v>
      </c>
      <c r="M1560" s="0" t="str">
        <f aca="false">IF(L1560="GEN","GM",L1560)</f>
        <v>RS</v>
      </c>
    </row>
    <row r="1561" customFormat="false" ht="15" hidden="false" customHeight="false" outlineLevel="0" collapsed="false">
      <c r="A1561" s="0" t="s">
        <v>9376</v>
      </c>
      <c r="B1561" s="0" t="s">
        <v>9377</v>
      </c>
      <c r="C1561" s="0" t="s">
        <v>6282</v>
      </c>
      <c r="D1561" s="0" t="s">
        <v>2079</v>
      </c>
      <c r="E1561" s="31" t="n">
        <v>45718</v>
      </c>
      <c r="F1561" s="32" t="s">
        <v>6283</v>
      </c>
      <c r="G1561" s="0" t="n">
        <v>11.5</v>
      </c>
      <c r="H1561" s="0" t="n">
        <v>11.5</v>
      </c>
      <c r="I1561" s="32" t="s">
        <v>2081</v>
      </c>
      <c r="J1561" s="32" t="s">
        <v>2081</v>
      </c>
      <c r="K1561" s="0" t="n">
        <v>0</v>
      </c>
      <c r="L1561" s="32" t="s">
        <v>785</v>
      </c>
      <c r="M1561" s="0" t="str">
        <f aca="false">IF(L1561="GEN","GM",L1561)</f>
        <v>RS</v>
      </c>
    </row>
  </sheetData>
  <autoFilter ref="A1:L15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2026-10-05T19:19:54Z</dcterms:created>
  <dc:creator>openpyxl</dc:creator>
  <dc:description/>
  <dc:language>en-US</dc:language>
  <cp:lastModifiedBy/>
  <dcterms:modified xsi:type="dcterms:W3CDTF">2026-10-05T19:19:55Z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